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Bhattacharya Bodhis\Downloads\"/>
    </mc:Choice>
  </mc:AlternateContent>
  <xr:revisionPtr revIDLastSave="0" documentId="8_{BD07609B-9B38-4CBD-BAA8-7055FA46DFD7}" xr6:coauthVersionLast="47" xr6:coauthVersionMax="47" xr10:uidLastSave="{00000000-0000-0000-0000-000000000000}"/>
  <bookViews>
    <workbookView xWindow="-110" yWindow="-110" windowWidth="25820" windowHeight="15500" tabRatio="500" xr2:uid="{00000000-000D-0000-FFFF-FFFF00000000}"/>
  </bookViews>
  <sheets>
    <sheet name="Executive Summary" sheetId="1" r:id="rId1"/>
    <sheet name="Problem Statement" sheetId="2" r:id="rId2"/>
    <sheet name="Q1 - Refund Reasons" sheetId="3" r:id="rId3"/>
    <sheet name="Q2 - Reduce Refund %" sheetId="4" r:id="rId4"/>
    <sheet name="Q3 - Additional Hypotheses" sheetId="5" r:id="rId5"/>
    <sheet name="Categorised Reasons" sheetId="6" r:id="rId6"/>
    <sheet name="Master Learner Profile" sheetId="7" r:id="rId7"/>
    <sheet name="Learner IDs" sheetId="8" r:id="rId8"/>
    <sheet name="Comms Tracker" sheetId="9" r:id="rId9"/>
    <sheet name="Week 0 Attendance" sheetId="10" r:id="rId10"/>
    <sheet name="Overall Attendance" sheetId="11" r:id="rId11"/>
    <sheet name="Dashboard Walkthrough" sheetId="12" r:id="rId12"/>
    <sheet name="Refund Team Tracker" sheetId="13" r:id="rId13"/>
    <sheet name="Mentor Sessions" sheetId="14" r:id="rId14"/>
  </sheets>
  <definedNames>
    <definedName name="_xlnm._FilterDatabase" localSheetId="5" hidden="1">'Categorised Reasons'!$A$1:$H$305</definedName>
    <definedName name="_xlnm._FilterDatabase" localSheetId="6" hidden="1">'Master Learner Profile'!$A$1:$O$1650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O1650" i="7" l="1"/>
  <c r="N1650" i="7"/>
  <c r="H1650" i="7"/>
  <c r="G1650" i="7"/>
  <c r="O1649" i="7"/>
  <c r="N1649" i="7"/>
  <c r="H1649" i="7"/>
  <c r="G1649" i="7"/>
  <c r="O1648" i="7"/>
  <c r="N1648" i="7"/>
  <c r="H1648" i="7"/>
  <c r="G1648" i="7"/>
  <c r="O1647" i="7"/>
  <c r="N1647" i="7"/>
  <c r="H1647" i="7"/>
  <c r="G1647" i="7"/>
  <c r="O1646" i="7"/>
  <c r="N1646" i="7"/>
  <c r="H1646" i="7"/>
  <c r="G1646" i="7"/>
  <c r="O1645" i="7"/>
  <c r="N1645" i="7"/>
  <c r="H1645" i="7"/>
  <c r="G1645" i="7"/>
  <c r="O1644" i="7"/>
  <c r="N1644" i="7"/>
  <c r="H1644" i="7"/>
  <c r="G1644" i="7"/>
  <c r="O1643" i="7"/>
  <c r="N1643" i="7"/>
  <c r="H1643" i="7"/>
  <c r="G1643" i="7"/>
  <c r="O1642" i="7"/>
  <c r="N1642" i="7"/>
  <c r="H1642" i="7"/>
  <c r="G1642" i="7"/>
  <c r="O1641" i="7"/>
  <c r="N1641" i="7"/>
  <c r="H1641" i="7"/>
  <c r="G1641" i="7"/>
  <c r="O1640" i="7"/>
  <c r="N1640" i="7"/>
  <c r="H1640" i="7"/>
  <c r="G1640" i="7"/>
  <c r="O1639" i="7"/>
  <c r="N1639" i="7"/>
  <c r="H1639" i="7"/>
  <c r="G1639" i="7"/>
  <c r="O1638" i="7"/>
  <c r="N1638" i="7"/>
  <c r="H1638" i="7"/>
  <c r="G1638" i="7"/>
  <c r="O1637" i="7"/>
  <c r="N1637" i="7"/>
  <c r="H1637" i="7"/>
  <c r="G1637" i="7"/>
  <c r="O1636" i="7"/>
  <c r="N1636" i="7"/>
  <c r="H1636" i="7"/>
  <c r="G1636" i="7"/>
  <c r="O1635" i="7"/>
  <c r="N1635" i="7"/>
  <c r="H1635" i="7"/>
  <c r="G1635" i="7"/>
  <c r="O1634" i="7"/>
  <c r="N1634" i="7"/>
  <c r="H1634" i="7"/>
  <c r="G1634" i="7"/>
  <c r="O1633" i="7"/>
  <c r="N1633" i="7"/>
  <c r="H1633" i="7"/>
  <c r="G1633" i="7"/>
  <c r="O1632" i="7"/>
  <c r="N1632" i="7"/>
  <c r="H1632" i="7"/>
  <c r="G1632" i="7"/>
  <c r="O1631" i="7"/>
  <c r="N1631" i="7"/>
  <c r="H1631" i="7"/>
  <c r="G1631" i="7"/>
  <c r="O1630" i="7"/>
  <c r="N1630" i="7"/>
  <c r="H1630" i="7"/>
  <c r="G1630" i="7"/>
  <c r="O1629" i="7"/>
  <c r="N1629" i="7"/>
  <c r="H1629" i="7"/>
  <c r="G1629" i="7"/>
  <c r="O1628" i="7"/>
  <c r="N1628" i="7"/>
  <c r="H1628" i="7"/>
  <c r="G1628" i="7"/>
  <c r="O1627" i="7"/>
  <c r="N1627" i="7"/>
  <c r="H1627" i="7"/>
  <c r="G1627" i="7"/>
  <c r="O1626" i="7"/>
  <c r="N1626" i="7"/>
  <c r="H1626" i="7"/>
  <c r="G1626" i="7"/>
  <c r="O1625" i="7"/>
  <c r="N1625" i="7"/>
  <c r="H1625" i="7"/>
  <c r="G1625" i="7"/>
  <c r="O1624" i="7"/>
  <c r="N1624" i="7"/>
  <c r="H1624" i="7"/>
  <c r="G1624" i="7"/>
  <c r="O1623" i="7"/>
  <c r="N1623" i="7"/>
  <c r="H1623" i="7"/>
  <c r="G1623" i="7"/>
  <c r="O1622" i="7"/>
  <c r="N1622" i="7"/>
  <c r="H1622" i="7"/>
  <c r="G1622" i="7"/>
  <c r="O1621" i="7"/>
  <c r="N1621" i="7"/>
  <c r="H1621" i="7"/>
  <c r="G1621" i="7"/>
  <c r="O1620" i="7"/>
  <c r="N1620" i="7"/>
  <c r="H1620" i="7"/>
  <c r="G1620" i="7"/>
  <c r="O1619" i="7"/>
  <c r="N1619" i="7"/>
  <c r="H1619" i="7"/>
  <c r="G1619" i="7"/>
  <c r="O1618" i="7"/>
  <c r="N1618" i="7"/>
  <c r="H1618" i="7"/>
  <c r="G1618" i="7"/>
  <c r="O1617" i="7"/>
  <c r="N1617" i="7"/>
  <c r="H1617" i="7"/>
  <c r="G1617" i="7"/>
  <c r="O1616" i="7"/>
  <c r="N1616" i="7"/>
  <c r="H1616" i="7"/>
  <c r="G1616" i="7"/>
  <c r="O1615" i="7"/>
  <c r="N1615" i="7"/>
  <c r="H1615" i="7"/>
  <c r="G1615" i="7"/>
  <c r="O1614" i="7"/>
  <c r="N1614" i="7"/>
  <c r="H1614" i="7"/>
  <c r="G1614" i="7"/>
  <c r="O1613" i="7"/>
  <c r="N1613" i="7"/>
  <c r="H1613" i="7"/>
  <c r="G1613" i="7"/>
  <c r="O1612" i="7"/>
  <c r="N1612" i="7"/>
  <c r="H1612" i="7"/>
  <c r="G1612" i="7"/>
  <c r="O1611" i="7"/>
  <c r="N1611" i="7"/>
  <c r="H1611" i="7"/>
  <c r="G1611" i="7"/>
  <c r="O1610" i="7"/>
  <c r="N1610" i="7"/>
  <c r="H1610" i="7"/>
  <c r="G1610" i="7"/>
  <c r="O1609" i="7"/>
  <c r="N1609" i="7"/>
  <c r="H1609" i="7"/>
  <c r="G1609" i="7"/>
  <c r="O1608" i="7"/>
  <c r="N1608" i="7"/>
  <c r="H1608" i="7"/>
  <c r="G1608" i="7"/>
  <c r="O1607" i="7"/>
  <c r="N1607" i="7"/>
  <c r="H1607" i="7"/>
  <c r="G1607" i="7"/>
  <c r="O1606" i="7"/>
  <c r="N1606" i="7"/>
  <c r="H1606" i="7"/>
  <c r="G1606" i="7"/>
  <c r="O1605" i="7"/>
  <c r="N1605" i="7"/>
  <c r="H1605" i="7"/>
  <c r="G1605" i="7"/>
  <c r="O1604" i="7"/>
  <c r="N1604" i="7"/>
  <c r="H1604" i="7"/>
  <c r="G1604" i="7"/>
  <c r="O1603" i="7"/>
  <c r="N1603" i="7"/>
  <c r="H1603" i="7"/>
  <c r="G1603" i="7"/>
  <c r="O1602" i="7"/>
  <c r="N1602" i="7"/>
  <c r="H1602" i="7"/>
  <c r="G1602" i="7"/>
  <c r="O1601" i="7"/>
  <c r="N1601" i="7"/>
  <c r="H1601" i="7"/>
  <c r="G1601" i="7"/>
  <c r="O1600" i="7"/>
  <c r="N1600" i="7"/>
  <c r="H1600" i="7"/>
  <c r="G1600" i="7"/>
  <c r="O1599" i="7"/>
  <c r="N1599" i="7"/>
  <c r="H1599" i="7"/>
  <c r="G1599" i="7"/>
  <c r="O1598" i="7"/>
  <c r="N1598" i="7"/>
  <c r="H1598" i="7"/>
  <c r="G1598" i="7"/>
  <c r="O1597" i="7"/>
  <c r="N1597" i="7"/>
  <c r="H1597" i="7"/>
  <c r="G1597" i="7"/>
  <c r="O1596" i="7"/>
  <c r="N1596" i="7"/>
  <c r="H1596" i="7"/>
  <c r="G1596" i="7"/>
  <c r="O1595" i="7"/>
  <c r="N1595" i="7"/>
  <c r="H1595" i="7"/>
  <c r="G1595" i="7"/>
  <c r="O1594" i="7"/>
  <c r="N1594" i="7"/>
  <c r="H1594" i="7"/>
  <c r="G1594" i="7"/>
  <c r="O1593" i="7"/>
  <c r="N1593" i="7"/>
  <c r="H1593" i="7"/>
  <c r="G1593" i="7"/>
  <c r="O1592" i="7"/>
  <c r="N1592" i="7"/>
  <c r="H1592" i="7"/>
  <c r="G1592" i="7"/>
  <c r="O1591" i="7"/>
  <c r="N1591" i="7"/>
  <c r="H1591" i="7"/>
  <c r="G1591" i="7"/>
  <c r="O1590" i="7"/>
  <c r="N1590" i="7"/>
  <c r="H1590" i="7"/>
  <c r="G1590" i="7"/>
  <c r="O1589" i="7"/>
  <c r="N1589" i="7"/>
  <c r="H1589" i="7"/>
  <c r="G1589" i="7"/>
  <c r="O1588" i="7"/>
  <c r="N1588" i="7"/>
  <c r="H1588" i="7"/>
  <c r="G1588" i="7"/>
  <c r="O1587" i="7"/>
  <c r="N1587" i="7"/>
  <c r="H1587" i="7"/>
  <c r="G1587" i="7"/>
  <c r="O1586" i="7"/>
  <c r="N1586" i="7"/>
  <c r="H1586" i="7"/>
  <c r="G1586" i="7"/>
  <c r="O1585" i="7"/>
  <c r="N1585" i="7"/>
  <c r="H1585" i="7"/>
  <c r="G1585" i="7"/>
  <c r="O1584" i="7"/>
  <c r="N1584" i="7"/>
  <c r="H1584" i="7"/>
  <c r="G1584" i="7"/>
  <c r="O1583" i="7"/>
  <c r="N1583" i="7"/>
  <c r="H1583" i="7"/>
  <c r="G1583" i="7"/>
  <c r="O1582" i="7"/>
  <c r="N1582" i="7"/>
  <c r="H1582" i="7"/>
  <c r="G1582" i="7"/>
  <c r="O1581" i="7"/>
  <c r="N1581" i="7"/>
  <c r="H1581" i="7"/>
  <c r="G1581" i="7"/>
  <c r="O1580" i="7"/>
  <c r="N1580" i="7"/>
  <c r="H1580" i="7"/>
  <c r="G1580" i="7"/>
  <c r="O1579" i="7"/>
  <c r="N1579" i="7"/>
  <c r="H1579" i="7"/>
  <c r="G1579" i="7"/>
  <c r="O1578" i="7"/>
  <c r="N1578" i="7"/>
  <c r="H1578" i="7"/>
  <c r="G1578" i="7"/>
  <c r="O1577" i="7"/>
  <c r="N1577" i="7"/>
  <c r="H1577" i="7"/>
  <c r="G1577" i="7"/>
  <c r="O1576" i="7"/>
  <c r="N1576" i="7"/>
  <c r="H1576" i="7"/>
  <c r="G1576" i="7"/>
  <c r="O1575" i="7"/>
  <c r="N1575" i="7"/>
  <c r="H1575" i="7"/>
  <c r="G1575" i="7"/>
  <c r="O1574" i="7"/>
  <c r="N1574" i="7"/>
  <c r="H1574" i="7"/>
  <c r="G1574" i="7"/>
  <c r="O1573" i="7"/>
  <c r="N1573" i="7"/>
  <c r="H1573" i="7"/>
  <c r="G1573" i="7"/>
  <c r="O1572" i="7"/>
  <c r="N1572" i="7"/>
  <c r="H1572" i="7"/>
  <c r="G1572" i="7"/>
  <c r="O1571" i="7"/>
  <c r="N1571" i="7"/>
  <c r="H1571" i="7"/>
  <c r="G1571" i="7"/>
  <c r="O1570" i="7"/>
  <c r="N1570" i="7"/>
  <c r="H1570" i="7"/>
  <c r="G1570" i="7"/>
  <c r="O1569" i="7"/>
  <c r="N1569" i="7"/>
  <c r="H1569" i="7"/>
  <c r="G1569" i="7"/>
  <c r="O1568" i="7"/>
  <c r="N1568" i="7"/>
  <c r="H1568" i="7"/>
  <c r="G1568" i="7"/>
  <c r="O1567" i="7"/>
  <c r="N1567" i="7"/>
  <c r="H1567" i="7"/>
  <c r="G1567" i="7"/>
  <c r="O1566" i="7"/>
  <c r="N1566" i="7"/>
  <c r="H1566" i="7"/>
  <c r="G1566" i="7"/>
  <c r="O1565" i="7"/>
  <c r="N1565" i="7"/>
  <c r="H1565" i="7"/>
  <c r="G1565" i="7"/>
  <c r="O1564" i="7"/>
  <c r="N1564" i="7"/>
  <c r="H1564" i="7"/>
  <c r="G1564" i="7"/>
  <c r="O1563" i="7"/>
  <c r="N1563" i="7"/>
  <c r="H1563" i="7"/>
  <c r="G1563" i="7"/>
  <c r="O1562" i="7"/>
  <c r="N1562" i="7"/>
  <c r="H1562" i="7"/>
  <c r="G1562" i="7"/>
  <c r="O1561" i="7"/>
  <c r="N1561" i="7"/>
  <c r="H1561" i="7"/>
  <c r="G1561" i="7"/>
  <c r="O1560" i="7"/>
  <c r="N1560" i="7"/>
  <c r="H1560" i="7"/>
  <c r="G1560" i="7"/>
  <c r="O1559" i="7"/>
  <c r="N1559" i="7"/>
  <c r="H1559" i="7"/>
  <c r="G1559" i="7"/>
  <c r="O1558" i="7"/>
  <c r="N1558" i="7"/>
  <c r="H1558" i="7"/>
  <c r="G1558" i="7"/>
  <c r="O1557" i="7"/>
  <c r="N1557" i="7"/>
  <c r="H1557" i="7"/>
  <c r="G1557" i="7"/>
  <c r="O1556" i="7"/>
  <c r="N1556" i="7"/>
  <c r="H1556" i="7"/>
  <c r="G1556" i="7"/>
  <c r="O1555" i="7"/>
  <c r="N1555" i="7"/>
  <c r="H1555" i="7"/>
  <c r="G1555" i="7"/>
  <c r="O1554" i="7"/>
  <c r="N1554" i="7"/>
  <c r="H1554" i="7"/>
  <c r="G1554" i="7"/>
  <c r="O1553" i="7"/>
  <c r="N1553" i="7"/>
  <c r="H1553" i="7"/>
  <c r="G1553" i="7"/>
  <c r="O1552" i="7"/>
  <c r="N1552" i="7"/>
  <c r="H1552" i="7"/>
  <c r="G1552" i="7"/>
  <c r="O1551" i="7"/>
  <c r="N1551" i="7"/>
  <c r="H1551" i="7"/>
  <c r="G1551" i="7"/>
  <c r="O1550" i="7"/>
  <c r="N1550" i="7"/>
  <c r="H1550" i="7"/>
  <c r="G1550" i="7"/>
  <c r="O1549" i="7"/>
  <c r="N1549" i="7"/>
  <c r="H1549" i="7"/>
  <c r="G1549" i="7"/>
  <c r="O1548" i="7"/>
  <c r="N1548" i="7"/>
  <c r="H1548" i="7"/>
  <c r="G1548" i="7"/>
  <c r="O1547" i="7"/>
  <c r="N1547" i="7"/>
  <c r="H1547" i="7"/>
  <c r="G1547" i="7"/>
  <c r="O1546" i="7"/>
  <c r="N1546" i="7"/>
  <c r="H1546" i="7"/>
  <c r="G1546" i="7"/>
  <c r="O1545" i="7"/>
  <c r="N1545" i="7"/>
  <c r="H1545" i="7"/>
  <c r="G1545" i="7"/>
  <c r="O1544" i="7"/>
  <c r="N1544" i="7"/>
  <c r="H1544" i="7"/>
  <c r="G1544" i="7"/>
  <c r="O1543" i="7"/>
  <c r="N1543" i="7"/>
  <c r="H1543" i="7"/>
  <c r="G1543" i="7"/>
  <c r="O1542" i="7"/>
  <c r="N1542" i="7"/>
  <c r="H1542" i="7"/>
  <c r="G1542" i="7"/>
  <c r="O1541" i="7"/>
  <c r="N1541" i="7"/>
  <c r="H1541" i="7"/>
  <c r="G1541" i="7"/>
  <c r="O1540" i="7"/>
  <c r="N1540" i="7"/>
  <c r="H1540" i="7"/>
  <c r="G1540" i="7"/>
  <c r="O1539" i="7"/>
  <c r="N1539" i="7"/>
  <c r="H1539" i="7"/>
  <c r="G1539" i="7"/>
  <c r="O1538" i="7"/>
  <c r="N1538" i="7"/>
  <c r="H1538" i="7"/>
  <c r="G1538" i="7"/>
  <c r="O1537" i="7"/>
  <c r="N1537" i="7"/>
  <c r="H1537" i="7"/>
  <c r="G1537" i="7"/>
  <c r="O1536" i="7"/>
  <c r="N1536" i="7"/>
  <c r="H1536" i="7"/>
  <c r="G1536" i="7"/>
  <c r="O1535" i="7"/>
  <c r="N1535" i="7"/>
  <c r="H1535" i="7"/>
  <c r="G1535" i="7"/>
  <c r="O1534" i="7"/>
  <c r="N1534" i="7"/>
  <c r="H1534" i="7"/>
  <c r="G1534" i="7"/>
  <c r="O1533" i="7"/>
  <c r="N1533" i="7"/>
  <c r="H1533" i="7"/>
  <c r="G1533" i="7"/>
  <c r="O1532" i="7"/>
  <c r="N1532" i="7"/>
  <c r="H1532" i="7"/>
  <c r="G1532" i="7"/>
  <c r="O1531" i="7"/>
  <c r="N1531" i="7"/>
  <c r="H1531" i="7"/>
  <c r="G1531" i="7"/>
  <c r="O1530" i="7"/>
  <c r="N1530" i="7"/>
  <c r="H1530" i="7"/>
  <c r="G1530" i="7"/>
  <c r="O1529" i="7"/>
  <c r="N1529" i="7"/>
  <c r="H1529" i="7"/>
  <c r="G1529" i="7"/>
  <c r="O1528" i="7"/>
  <c r="N1528" i="7"/>
  <c r="H1528" i="7"/>
  <c r="G1528" i="7"/>
  <c r="O1527" i="7"/>
  <c r="N1527" i="7"/>
  <c r="H1527" i="7"/>
  <c r="G1527" i="7"/>
  <c r="O1526" i="7"/>
  <c r="N1526" i="7"/>
  <c r="H1526" i="7"/>
  <c r="G1526" i="7"/>
  <c r="O1525" i="7"/>
  <c r="N1525" i="7"/>
  <c r="H1525" i="7"/>
  <c r="G1525" i="7"/>
  <c r="O1524" i="7"/>
  <c r="N1524" i="7"/>
  <c r="H1524" i="7"/>
  <c r="G1524" i="7"/>
  <c r="O1523" i="7"/>
  <c r="N1523" i="7"/>
  <c r="H1523" i="7"/>
  <c r="G1523" i="7"/>
  <c r="O1522" i="7"/>
  <c r="N1522" i="7"/>
  <c r="H1522" i="7"/>
  <c r="G1522" i="7"/>
  <c r="O1521" i="7"/>
  <c r="N1521" i="7"/>
  <c r="H1521" i="7"/>
  <c r="G1521" i="7"/>
  <c r="O1520" i="7"/>
  <c r="N1520" i="7"/>
  <c r="H1520" i="7"/>
  <c r="G1520" i="7"/>
  <c r="O1519" i="7"/>
  <c r="N1519" i="7"/>
  <c r="H1519" i="7"/>
  <c r="G1519" i="7"/>
  <c r="O1518" i="7"/>
  <c r="N1518" i="7"/>
  <c r="H1518" i="7"/>
  <c r="G1518" i="7"/>
  <c r="O1517" i="7"/>
  <c r="N1517" i="7"/>
  <c r="H1517" i="7"/>
  <c r="G1517" i="7"/>
  <c r="O1516" i="7"/>
  <c r="N1516" i="7"/>
  <c r="H1516" i="7"/>
  <c r="G1516" i="7"/>
  <c r="O1515" i="7"/>
  <c r="N1515" i="7"/>
  <c r="H1515" i="7"/>
  <c r="G1515" i="7"/>
  <c r="O1514" i="7"/>
  <c r="N1514" i="7"/>
  <c r="H1514" i="7"/>
  <c r="G1514" i="7"/>
  <c r="O1513" i="7"/>
  <c r="N1513" i="7"/>
  <c r="H1513" i="7"/>
  <c r="G1513" i="7"/>
  <c r="O1512" i="7"/>
  <c r="N1512" i="7"/>
  <c r="H1512" i="7"/>
  <c r="G1512" i="7"/>
  <c r="O1511" i="7"/>
  <c r="N1511" i="7"/>
  <c r="H1511" i="7"/>
  <c r="G1511" i="7"/>
  <c r="O1510" i="7"/>
  <c r="N1510" i="7"/>
  <c r="H1510" i="7"/>
  <c r="G1510" i="7"/>
  <c r="O1509" i="7"/>
  <c r="N1509" i="7"/>
  <c r="H1509" i="7"/>
  <c r="G1509" i="7"/>
  <c r="O1508" i="7"/>
  <c r="N1508" i="7"/>
  <c r="H1508" i="7"/>
  <c r="G1508" i="7"/>
  <c r="O1507" i="7"/>
  <c r="N1507" i="7"/>
  <c r="H1507" i="7"/>
  <c r="G1507" i="7"/>
  <c r="O1506" i="7"/>
  <c r="N1506" i="7"/>
  <c r="H1506" i="7"/>
  <c r="G1506" i="7"/>
  <c r="O1505" i="7"/>
  <c r="N1505" i="7"/>
  <c r="H1505" i="7"/>
  <c r="G1505" i="7"/>
  <c r="O1504" i="7"/>
  <c r="N1504" i="7"/>
  <c r="H1504" i="7"/>
  <c r="G1504" i="7"/>
  <c r="O1503" i="7"/>
  <c r="N1503" i="7"/>
  <c r="H1503" i="7"/>
  <c r="G1503" i="7"/>
  <c r="O1502" i="7"/>
  <c r="N1502" i="7"/>
  <c r="H1502" i="7"/>
  <c r="G1502" i="7"/>
  <c r="O1501" i="7"/>
  <c r="N1501" i="7"/>
  <c r="H1501" i="7"/>
  <c r="G1501" i="7"/>
  <c r="O1500" i="7"/>
  <c r="N1500" i="7"/>
  <c r="H1500" i="7"/>
  <c r="G1500" i="7"/>
  <c r="O1499" i="7"/>
  <c r="N1499" i="7"/>
  <c r="H1499" i="7"/>
  <c r="G1499" i="7"/>
  <c r="O1498" i="7"/>
  <c r="N1498" i="7"/>
  <c r="H1498" i="7"/>
  <c r="G1498" i="7"/>
  <c r="O1497" i="7"/>
  <c r="N1497" i="7"/>
  <c r="H1497" i="7"/>
  <c r="G1497" i="7"/>
  <c r="O1496" i="7"/>
  <c r="N1496" i="7"/>
  <c r="H1496" i="7"/>
  <c r="G1496" i="7"/>
  <c r="O1495" i="7"/>
  <c r="N1495" i="7"/>
  <c r="H1495" i="7"/>
  <c r="G1495" i="7"/>
  <c r="O1494" i="7"/>
  <c r="N1494" i="7"/>
  <c r="H1494" i="7"/>
  <c r="G1494" i="7"/>
  <c r="O1493" i="7"/>
  <c r="N1493" i="7"/>
  <c r="H1493" i="7"/>
  <c r="G1493" i="7"/>
  <c r="O1492" i="7"/>
  <c r="N1492" i="7"/>
  <c r="H1492" i="7"/>
  <c r="G1492" i="7"/>
  <c r="O1491" i="7"/>
  <c r="N1491" i="7"/>
  <c r="H1491" i="7"/>
  <c r="G1491" i="7"/>
  <c r="O1490" i="7"/>
  <c r="N1490" i="7"/>
  <c r="H1490" i="7"/>
  <c r="G1490" i="7"/>
  <c r="O1489" i="7"/>
  <c r="N1489" i="7"/>
  <c r="H1489" i="7"/>
  <c r="G1489" i="7"/>
  <c r="O1488" i="7"/>
  <c r="N1488" i="7"/>
  <c r="H1488" i="7"/>
  <c r="G1488" i="7"/>
  <c r="O1487" i="7"/>
  <c r="N1487" i="7"/>
  <c r="H1487" i="7"/>
  <c r="G1487" i="7"/>
  <c r="O1486" i="7"/>
  <c r="N1486" i="7"/>
  <c r="H1486" i="7"/>
  <c r="G1486" i="7"/>
  <c r="O1485" i="7"/>
  <c r="N1485" i="7"/>
  <c r="H1485" i="7"/>
  <c r="G1485" i="7"/>
  <c r="O1484" i="7"/>
  <c r="N1484" i="7"/>
  <c r="H1484" i="7"/>
  <c r="G1484" i="7"/>
  <c r="O1483" i="7"/>
  <c r="N1483" i="7"/>
  <c r="H1483" i="7"/>
  <c r="G1483" i="7"/>
  <c r="O1482" i="7"/>
  <c r="N1482" i="7"/>
  <c r="H1482" i="7"/>
  <c r="G1482" i="7"/>
  <c r="O1481" i="7"/>
  <c r="N1481" i="7"/>
  <c r="H1481" i="7"/>
  <c r="G1481" i="7"/>
  <c r="O1480" i="7"/>
  <c r="N1480" i="7"/>
  <c r="H1480" i="7"/>
  <c r="G1480" i="7"/>
  <c r="O1479" i="7"/>
  <c r="N1479" i="7"/>
  <c r="H1479" i="7"/>
  <c r="G1479" i="7"/>
  <c r="O1478" i="7"/>
  <c r="N1478" i="7"/>
  <c r="H1478" i="7"/>
  <c r="G1478" i="7"/>
  <c r="O1477" i="7"/>
  <c r="N1477" i="7"/>
  <c r="H1477" i="7"/>
  <c r="G1477" i="7"/>
  <c r="O1476" i="7"/>
  <c r="N1476" i="7"/>
  <c r="H1476" i="7"/>
  <c r="G1476" i="7"/>
  <c r="O1475" i="7"/>
  <c r="N1475" i="7"/>
  <c r="H1475" i="7"/>
  <c r="G1475" i="7"/>
  <c r="O1474" i="7"/>
  <c r="N1474" i="7"/>
  <c r="H1474" i="7"/>
  <c r="G1474" i="7"/>
  <c r="O1473" i="7"/>
  <c r="N1473" i="7"/>
  <c r="H1473" i="7"/>
  <c r="G1473" i="7"/>
  <c r="O1472" i="7"/>
  <c r="N1472" i="7"/>
  <c r="H1472" i="7"/>
  <c r="G1472" i="7"/>
  <c r="O1471" i="7"/>
  <c r="N1471" i="7"/>
  <c r="H1471" i="7"/>
  <c r="G1471" i="7"/>
  <c r="O1470" i="7"/>
  <c r="N1470" i="7"/>
  <c r="H1470" i="7"/>
  <c r="G1470" i="7"/>
  <c r="O1469" i="7"/>
  <c r="N1469" i="7"/>
  <c r="H1469" i="7"/>
  <c r="G1469" i="7"/>
  <c r="O1468" i="7"/>
  <c r="N1468" i="7"/>
  <c r="H1468" i="7"/>
  <c r="G1468" i="7"/>
  <c r="O1467" i="7"/>
  <c r="N1467" i="7"/>
  <c r="H1467" i="7"/>
  <c r="G1467" i="7"/>
  <c r="O1466" i="7"/>
  <c r="N1466" i="7"/>
  <c r="H1466" i="7"/>
  <c r="G1466" i="7"/>
  <c r="O1465" i="7"/>
  <c r="N1465" i="7"/>
  <c r="H1465" i="7"/>
  <c r="G1465" i="7"/>
  <c r="O1464" i="7"/>
  <c r="N1464" i="7"/>
  <c r="H1464" i="7"/>
  <c r="G1464" i="7"/>
  <c r="O1463" i="7"/>
  <c r="N1463" i="7"/>
  <c r="H1463" i="7"/>
  <c r="G1463" i="7"/>
  <c r="O1462" i="7"/>
  <c r="N1462" i="7"/>
  <c r="H1462" i="7"/>
  <c r="G1462" i="7"/>
  <c r="O1461" i="7"/>
  <c r="N1461" i="7"/>
  <c r="H1461" i="7"/>
  <c r="G1461" i="7"/>
  <c r="O1460" i="7"/>
  <c r="N1460" i="7"/>
  <c r="H1460" i="7"/>
  <c r="G1460" i="7"/>
  <c r="O1459" i="7"/>
  <c r="N1459" i="7"/>
  <c r="H1459" i="7"/>
  <c r="G1459" i="7"/>
  <c r="O1458" i="7"/>
  <c r="N1458" i="7"/>
  <c r="H1458" i="7"/>
  <c r="G1458" i="7"/>
  <c r="O1457" i="7"/>
  <c r="N1457" i="7"/>
  <c r="H1457" i="7"/>
  <c r="G1457" i="7"/>
  <c r="O1456" i="7"/>
  <c r="N1456" i="7"/>
  <c r="H1456" i="7"/>
  <c r="G1456" i="7"/>
  <c r="O1455" i="7"/>
  <c r="N1455" i="7"/>
  <c r="H1455" i="7"/>
  <c r="G1455" i="7"/>
  <c r="O1454" i="7"/>
  <c r="N1454" i="7"/>
  <c r="H1454" i="7"/>
  <c r="G1454" i="7"/>
  <c r="O1453" i="7"/>
  <c r="N1453" i="7"/>
  <c r="H1453" i="7"/>
  <c r="G1453" i="7"/>
  <c r="O1452" i="7"/>
  <c r="N1452" i="7"/>
  <c r="H1452" i="7"/>
  <c r="G1452" i="7"/>
  <c r="O1451" i="7"/>
  <c r="N1451" i="7"/>
  <c r="H1451" i="7"/>
  <c r="G1451" i="7"/>
  <c r="O1450" i="7"/>
  <c r="N1450" i="7"/>
  <c r="H1450" i="7"/>
  <c r="G1450" i="7"/>
  <c r="O1449" i="7"/>
  <c r="N1449" i="7"/>
  <c r="H1449" i="7"/>
  <c r="G1449" i="7"/>
  <c r="O1448" i="7"/>
  <c r="N1448" i="7"/>
  <c r="H1448" i="7"/>
  <c r="G1448" i="7"/>
  <c r="O1447" i="7"/>
  <c r="N1447" i="7"/>
  <c r="H1447" i="7"/>
  <c r="G1447" i="7"/>
  <c r="O1446" i="7"/>
  <c r="N1446" i="7"/>
  <c r="H1446" i="7"/>
  <c r="G1446" i="7"/>
  <c r="O1445" i="7"/>
  <c r="N1445" i="7"/>
  <c r="H1445" i="7"/>
  <c r="G1445" i="7"/>
  <c r="O1444" i="7"/>
  <c r="N1444" i="7"/>
  <c r="H1444" i="7"/>
  <c r="G1444" i="7"/>
  <c r="O1443" i="7"/>
  <c r="N1443" i="7"/>
  <c r="H1443" i="7"/>
  <c r="G1443" i="7"/>
  <c r="O1442" i="7"/>
  <c r="N1442" i="7"/>
  <c r="H1442" i="7"/>
  <c r="G1442" i="7"/>
  <c r="O1441" i="7"/>
  <c r="N1441" i="7"/>
  <c r="H1441" i="7"/>
  <c r="G1441" i="7"/>
  <c r="O1440" i="7"/>
  <c r="N1440" i="7"/>
  <c r="H1440" i="7"/>
  <c r="G1440" i="7"/>
  <c r="O1439" i="7"/>
  <c r="N1439" i="7"/>
  <c r="H1439" i="7"/>
  <c r="G1439" i="7"/>
  <c r="O1438" i="7"/>
  <c r="N1438" i="7"/>
  <c r="H1438" i="7"/>
  <c r="G1438" i="7"/>
  <c r="O1437" i="7"/>
  <c r="N1437" i="7"/>
  <c r="H1437" i="7"/>
  <c r="G1437" i="7"/>
  <c r="O1436" i="7"/>
  <c r="N1436" i="7"/>
  <c r="H1436" i="7"/>
  <c r="G1436" i="7"/>
  <c r="O1435" i="7"/>
  <c r="N1435" i="7"/>
  <c r="H1435" i="7"/>
  <c r="G1435" i="7"/>
  <c r="O1434" i="7"/>
  <c r="N1434" i="7"/>
  <c r="H1434" i="7"/>
  <c r="G1434" i="7"/>
  <c r="O1433" i="7"/>
  <c r="N1433" i="7"/>
  <c r="H1433" i="7"/>
  <c r="G1433" i="7"/>
  <c r="O1432" i="7"/>
  <c r="N1432" i="7"/>
  <c r="H1432" i="7"/>
  <c r="G1432" i="7"/>
  <c r="O1431" i="7"/>
  <c r="N1431" i="7"/>
  <c r="H1431" i="7"/>
  <c r="G1431" i="7"/>
  <c r="O1430" i="7"/>
  <c r="N1430" i="7"/>
  <c r="H1430" i="7"/>
  <c r="G1430" i="7"/>
  <c r="O1429" i="7"/>
  <c r="N1429" i="7"/>
  <c r="H1429" i="7"/>
  <c r="G1429" i="7"/>
  <c r="O1428" i="7"/>
  <c r="N1428" i="7"/>
  <c r="H1428" i="7"/>
  <c r="G1428" i="7"/>
  <c r="O1427" i="7"/>
  <c r="N1427" i="7"/>
  <c r="H1427" i="7"/>
  <c r="G1427" i="7"/>
  <c r="O1426" i="7"/>
  <c r="N1426" i="7"/>
  <c r="H1426" i="7"/>
  <c r="G1426" i="7"/>
  <c r="O1425" i="7"/>
  <c r="N1425" i="7"/>
  <c r="H1425" i="7"/>
  <c r="G1425" i="7"/>
  <c r="O1424" i="7"/>
  <c r="N1424" i="7"/>
  <c r="H1424" i="7"/>
  <c r="G1424" i="7"/>
  <c r="O1423" i="7"/>
  <c r="N1423" i="7"/>
  <c r="H1423" i="7"/>
  <c r="G1423" i="7"/>
  <c r="O1422" i="7"/>
  <c r="N1422" i="7"/>
  <c r="H1422" i="7"/>
  <c r="G1422" i="7"/>
  <c r="O1421" i="7"/>
  <c r="N1421" i="7"/>
  <c r="H1421" i="7"/>
  <c r="G1421" i="7"/>
  <c r="O1420" i="7"/>
  <c r="N1420" i="7"/>
  <c r="H1420" i="7"/>
  <c r="G1420" i="7"/>
  <c r="O1419" i="7"/>
  <c r="N1419" i="7"/>
  <c r="H1419" i="7"/>
  <c r="G1419" i="7"/>
  <c r="O1418" i="7"/>
  <c r="N1418" i="7"/>
  <c r="H1418" i="7"/>
  <c r="G1418" i="7"/>
  <c r="O1417" i="7"/>
  <c r="N1417" i="7"/>
  <c r="H1417" i="7"/>
  <c r="G1417" i="7"/>
  <c r="O1416" i="7"/>
  <c r="N1416" i="7"/>
  <c r="H1416" i="7"/>
  <c r="G1416" i="7"/>
  <c r="O1415" i="7"/>
  <c r="N1415" i="7"/>
  <c r="H1415" i="7"/>
  <c r="G1415" i="7"/>
  <c r="O1414" i="7"/>
  <c r="N1414" i="7"/>
  <c r="H1414" i="7"/>
  <c r="G1414" i="7"/>
  <c r="O1413" i="7"/>
  <c r="N1413" i="7"/>
  <c r="H1413" i="7"/>
  <c r="G1413" i="7"/>
  <c r="O1412" i="7"/>
  <c r="N1412" i="7"/>
  <c r="H1412" i="7"/>
  <c r="G1412" i="7"/>
  <c r="O1411" i="7"/>
  <c r="N1411" i="7"/>
  <c r="H1411" i="7"/>
  <c r="G1411" i="7"/>
  <c r="O1410" i="7"/>
  <c r="N1410" i="7"/>
  <c r="H1410" i="7"/>
  <c r="G1410" i="7"/>
  <c r="O1409" i="7"/>
  <c r="N1409" i="7"/>
  <c r="H1409" i="7"/>
  <c r="G1409" i="7"/>
  <c r="O1408" i="7"/>
  <c r="N1408" i="7"/>
  <c r="H1408" i="7"/>
  <c r="G1408" i="7"/>
  <c r="O1407" i="7"/>
  <c r="N1407" i="7"/>
  <c r="H1407" i="7"/>
  <c r="G1407" i="7"/>
  <c r="O1406" i="7"/>
  <c r="N1406" i="7"/>
  <c r="H1406" i="7"/>
  <c r="G1406" i="7"/>
  <c r="O1405" i="7"/>
  <c r="N1405" i="7"/>
  <c r="H1405" i="7"/>
  <c r="G1405" i="7"/>
  <c r="O1404" i="7"/>
  <c r="N1404" i="7"/>
  <c r="H1404" i="7"/>
  <c r="G1404" i="7"/>
  <c r="O1403" i="7"/>
  <c r="N1403" i="7"/>
  <c r="H1403" i="7"/>
  <c r="G1403" i="7"/>
  <c r="O1402" i="7"/>
  <c r="N1402" i="7"/>
  <c r="H1402" i="7"/>
  <c r="G1402" i="7"/>
  <c r="O1401" i="7"/>
  <c r="N1401" i="7"/>
  <c r="H1401" i="7"/>
  <c r="G1401" i="7"/>
  <c r="O1400" i="7"/>
  <c r="N1400" i="7"/>
  <c r="H1400" i="7"/>
  <c r="G1400" i="7"/>
  <c r="O1399" i="7"/>
  <c r="N1399" i="7"/>
  <c r="H1399" i="7"/>
  <c r="G1399" i="7"/>
  <c r="O1398" i="7"/>
  <c r="N1398" i="7"/>
  <c r="H1398" i="7"/>
  <c r="G1398" i="7"/>
  <c r="O1397" i="7"/>
  <c r="N1397" i="7"/>
  <c r="H1397" i="7"/>
  <c r="G1397" i="7"/>
  <c r="O1396" i="7"/>
  <c r="N1396" i="7"/>
  <c r="H1396" i="7"/>
  <c r="G1396" i="7"/>
  <c r="O1395" i="7"/>
  <c r="N1395" i="7"/>
  <c r="H1395" i="7"/>
  <c r="G1395" i="7"/>
  <c r="O1394" i="7"/>
  <c r="N1394" i="7"/>
  <c r="H1394" i="7"/>
  <c r="G1394" i="7"/>
  <c r="O1393" i="7"/>
  <c r="N1393" i="7"/>
  <c r="H1393" i="7"/>
  <c r="G1393" i="7"/>
  <c r="O1392" i="7"/>
  <c r="N1392" i="7"/>
  <c r="H1392" i="7"/>
  <c r="G1392" i="7"/>
  <c r="O1391" i="7"/>
  <c r="N1391" i="7"/>
  <c r="H1391" i="7"/>
  <c r="G1391" i="7"/>
  <c r="O1390" i="7"/>
  <c r="N1390" i="7"/>
  <c r="H1390" i="7"/>
  <c r="G1390" i="7"/>
  <c r="O1389" i="7"/>
  <c r="N1389" i="7"/>
  <c r="H1389" i="7"/>
  <c r="G1389" i="7"/>
  <c r="O1388" i="7"/>
  <c r="N1388" i="7"/>
  <c r="H1388" i="7"/>
  <c r="G1388" i="7"/>
  <c r="O1387" i="7"/>
  <c r="N1387" i="7"/>
  <c r="H1387" i="7"/>
  <c r="G1387" i="7"/>
  <c r="O1386" i="7"/>
  <c r="N1386" i="7"/>
  <c r="H1386" i="7"/>
  <c r="G1386" i="7"/>
  <c r="O1385" i="7"/>
  <c r="N1385" i="7"/>
  <c r="H1385" i="7"/>
  <c r="G1385" i="7"/>
  <c r="O1384" i="7"/>
  <c r="N1384" i="7"/>
  <c r="H1384" i="7"/>
  <c r="G1384" i="7"/>
  <c r="O1383" i="7"/>
  <c r="N1383" i="7"/>
  <c r="H1383" i="7"/>
  <c r="G1383" i="7"/>
  <c r="O1382" i="7"/>
  <c r="N1382" i="7"/>
  <c r="H1382" i="7"/>
  <c r="G1382" i="7"/>
  <c r="O1381" i="7"/>
  <c r="N1381" i="7"/>
  <c r="H1381" i="7"/>
  <c r="G1381" i="7"/>
  <c r="O1380" i="7"/>
  <c r="N1380" i="7"/>
  <c r="H1380" i="7"/>
  <c r="G1380" i="7"/>
  <c r="O1379" i="7"/>
  <c r="N1379" i="7"/>
  <c r="H1379" i="7"/>
  <c r="G1379" i="7"/>
  <c r="O1378" i="7"/>
  <c r="N1378" i="7"/>
  <c r="H1378" i="7"/>
  <c r="G1378" i="7"/>
  <c r="O1377" i="7"/>
  <c r="N1377" i="7"/>
  <c r="H1377" i="7"/>
  <c r="G1377" i="7"/>
  <c r="O1376" i="7"/>
  <c r="N1376" i="7"/>
  <c r="H1376" i="7"/>
  <c r="G1376" i="7"/>
  <c r="O1375" i="7"/>
  <c r="N1375" i="7"/>
  <c r="H1375" i="7"/>
  <c r="G1375" i="7"/>
  <c r="O1374" i="7"/>
  <c r="N1374" i="7"/>
  <c r="H1374" i="7"/>
  <c r="G1374" i="7"/>
  <c r="O1373" i="7"/>
  <c r="N1373" i="7"/>
  <c r="H1373" i="7"/>
  <c r="G1373" i="7"/>
  <c r="O1372" i="7"/>
  <c r="N1372" i="7"/>
  <c r="H1372" i="7"/>
  <c r="G1372" i="7"/>
  <c r="O1371" i="7"/>
  <c r="N1371" i="7"/>
  <c r="H1371" i="7"/>
  <c r="G1371" i="7"/>
  <c r="O1370" i="7"/>
  <c r="N1370" i="7"/>
  <c r="H1370" i="7"/>
  <c r="G1370" i="7"/>
  <c r="O1369" i="7"/>
  <c r="N1369" i="7"/>
  <c r="H1369" i="7"/>
  <c r="G1369" i="7"/>
  <c r="O1368" i="7"/>
  <c r="N1368" i="7"/>
  <c r="H1368" i="7"/>
  <c r="G1368" i="7"/>
  <c r="O1367" i="7"/>
  <c r="N1367" i="7"/>
  <c r="H1367" i="7"/>
  <c r="G1367" i="7"/>
  <c r="O1366" i="7"/>
  <c r="N1366" i="7"/>
  <c r="H1366" i="7"/>
  <c r="G1366" i="7"/>
  <c r="O1365" i="7"/>
  <c r="N1365" i="7"/>
  <c r="H1365" i="7"/>
  <c r="G1365" i="7"/>
  <c r="O1364" i="7"/>
  <c r="N1364" i="7"/>
  <c r="H1364" i="7"/>
  <c r="G1364" i="7"/>
  <c r="O1363" i="7"/>
  <c r="N1363" i="7"/>
  <c r="H1363" i="7"/>
  <c r="G1363" i="7"/>
  <c r="O1362" i="7"/>
  <c r="N1362" i="7"/>
  <c r="H1362" i="7"/>
  <c r="G1362" i="7"/>
  <c r="O1361" i="7"/>
  <c r="N1361" i="7"/>
  <c r="H1361" i="7"/>
  <c r="G1361" i="7"/>
  <c r="O1360" i="7"/>
  <c r="N1360" i="7"/>
  <c r="H1360" i="7"/>
  <c r="G1360" i="7"/>
  <c r="O1359" i="7"/>
  <c r="N1359" i="7"/>
  <c r="H1359" i="7"/>
  <c r="G1359" i="7"/>
  <c r="O1358" i="7"/>
  <c r="N1358" i="7"/>
  <c r="H1358" i="7"/>
  <c r="G1358" i="7"/>
  <c r="O1357" i="7"/>
  <c r="N1357" i="7"/>
  <c r="H1357" i="7"/>
  <c r="G1357" i="7"/>
  <c r="O1356" i="7"/>
  <c r="N1356" i="7"/>
  <c r="H1356" i="7"/>
  <c r="G1356" i="7"/>
  <c r="O1355" i="7"/>
  <c r="N1355" i="7"/>
  <c r="H1355" i="7"/>
  <c r="G1355" i="7"/>
  <c r="O1354" i="7"/>
  <c r="N1354" i="7"/>
  <c r="H1354" i="7"/>
  <c r="G1354" i="7"/>
  <c r="O1353" i="7"/>
  <c r="N1353" i="7"/>
  <c r="H1353" i="7"/>
  <c r="G1353" i="7"/>
  <c r="O1352" i="7"/>
  <c r="N1352" i="7"/>
  <c r="H1352" i="7"/>
  <c r="G1352" i="7"/>
  <c r="O1351" i="7"/>
  <c r="N1351" i="7"/>
  <c r="H1351" i="7"/>
  <c r="G1351" i="7"/>
  <c r="O1350" i="7"/>
  <c r="N1350" i="7"/>
  <c r="H1350" i="7"/>
  <c r="G1350" i="7"/>
  <c r="O1349" i="7"/>
  <c r="N1349" i="7"/>
  <c r="H1349" i="7"/>
  <c r="G1349" i="7"/>
  <c r="O1348" i="7"/>
  <c r="N1348" i="7"/>
  <c r="H1348" i="7"/>
  <c r="G1348" i="7"/>
  <c r="O1347" i="7"/>
  <c r="N1347" i="7"/>
  <c r="H1347" i="7"/>
  <c r="G1347" i="7"/>
  <c r="O1346" i="7"/>
  <c r="N1346" i="7"/>
  <c r="H1346" i="7"/>
  <c r="G1346" i="7"/>
  <c r="O1345" i="7"/>
  <c r="N1345" i="7"/>
  <c r="H1345" i="7"/>
  <c r="G1345" i="7"/>
  <c r="O1344" i="7"/>
  <c r="N1344" i="7"/>
  <c r="H1344" i="7"/>
  <c r="G1344" i="7"/>
  <c r="O1343" i="7"/>
  <c r="N1343" i="7"/>
  <c r="H1343" i="7"/>
  <c r="G1343" i="7"/>
  <c r="O1342" i="7"/>
  <c r="N1342" i="7"/>
  <c r="H1342" i="7"/>
  <c r="G1342" i="7"/>
  <c r="O1341" i="7"/>
  <c r="N1341" i="7"/>
  <c r="H1341" i="7"/>
  <c r="G1341" i="7"/>
  <c r="O1340" i="7"/>
  <c r="N1340" i="7"/>
  <c r="H1340" i="7"/>
  <c r="G1340" i="7"/>
  <c r="O1339" i="7"/>
  <c r="N1339" i="7"/>
  <c r="H1339" i="7"/>
  <c r="G1339" i="7"/>
  <c r="O1338" i="7"/>
  <c r="N1338" i="7"/>
  <c r="H1338" i="7"/>
  <c r="G1338" i="7"/>
  <c r="O1337" i="7"/>
  <c r="N1337" i="7"/>
  <c r="H1337" i="7"/>
  <c r="G1337" i="7"/>
  <c r="O1336" i="7"/>
  <c r="N1336" i="7"/>
  <c r="H1336" i="7"/>
  <c r="G1336" i="7"/>
  <c r="O1335" i="7"/>
  <c r="N1335" i="7"/>
  <c r="H1335" i="7"/>
  <c r="G1335" i="7"/>
  <c r="O1334" i="7"/>
  <c r="N1334" i="7"/>
  <c r="H1334" i="7"/>
  <c r="G1334" i="7"/>
  <c r="O1333" i="7"/>
  <c r="N1333" i="7"/>
  <c r="H1333" i="7"/>
  <c r="G1333" i="7"/>
  <c r="O1332" i="7"/>
  <c r="N1332" i="7"/>
  <c r="H1332" i="7"/>
  <c r="G1332" i="7"/>
  <c r="O1331" i="7"/>
  <c r="N1331" i="7"/>
  <c r="H1331" i="7"/>
  <c r="G1331" i="7"/>
  <c r="O1330" i="7"/>
  <c r="N1330" i="7"/>
  <c r="H1330" i="7"/>
  <c r="G1330" i="7"/>
  <c r="O1329" i="7"/>
  <c r="N1329" i="7"/>
  <c r="H1329" i="7"/>
  <c r="G1329" i="7"/>
  <c r="O1328" i="7"/>
  <c r="N1328" i="7"/>
  <c r="H1328" i="7"/>
  <c r="G1328" i="7"/>
  <c r="O1327" i="7"/>
  <c r="N1327" i="7"/>
  <c r="H1327" i="7"/>
  <c r="G1327" i="7"/>
  <c r="O1326" i="7"/>
  <c r="N1326" i="7"/>
  <c r="H1326" i="7"/>
  <c r="G1326" i="7"/>
  <c r="O1325" i="7"/>
  <c r="N1325" i="7"/>
  <c r="H1325" i="7"/>
  <c r="G1325" i="7"/>
  <c r="O1324" i="7"/>
  <c r="N1324" i="7"/>
  <c r="H1324" i="7"/>
  <c r="G1324" i="7"/>
  <c r="O1323" i="7"/>
  <c r="N1323" i="7"/>
  <c r="H1323" i="7"/>
  <c r="G1323" i="7"/>
  <c r="O1322" i="7"/>
  <c r="N1322" i="7"/>
  <c r="H1322" i="7"/>
  <c r="G1322" i="7"/>
  <c r="O1321" i="7"/>
  <c r="N1321" i="7"/>
  <c r="H1321" i="7"/>
  <c r="G1321" i="7"/>
  <c r="O1320" i="7"/>
  <c r="N1320" i="7"/>
  <c r="H1320" i="7"/>
  <c r="G1320" i="7"/>
  <c r="O1319" i="7"/>
  <c r="N1319" i="7"/>
  <c r="H1319" i="7"/>
  <c r="G1319" i="7"/>
  <c r="O1318" i="7"/>
  <c r="N1318" i="7"/>
  <c r="H1318" i="7"/>
  <c r="G1318" i="7"/>
  <c r="O1317" i="7"/>
  <c r="N1317" i="7"/>
  <c r="H1317" i="7"/>
  <c r="G1317" i="7"/>
  <c r="O1316" i="7"/>
  <c r="N1316" i="7"/>
  <c r="H1316" i="7"/>
  <c r="G1316" i="7"/>
  <c r="O1315" i="7"/>
  <c r="N1315" i="7"/>
  <c r="H1315" i="7"/>
  <c r="G1315" i="7"/>
  <c r="O1314" i="7"/>
  <c r="N1314" i="7"/>
  <c r="H1314" i="7"/>
  <c r="G1314" i="7"/>
  <c r="O1313" i="7"/>
  <c r="N1313" i="7"/>
  <c r="H1313" i="7"/>
  <c r="G1313" i="7"/>
  <c r="O1312" i="7"/>
  <c r="N1312" i="7"/>
  <c r="H1312" i="7"/>
  <c r="G1312" i="7"/>
  <c r="O1311" i="7"/>
  <c r="N1311" i="7"/>
  <c r="H1311" i="7"/>
  <c r="G1311" i="7"/>
  <c r="O1310" i="7"/>
  <c r="N1310" i="7"/>
  <c r="H1310" i="7"/>
  <c r="G1310" i="7"/>
  <c r="O1309" i="7"/>
  <c r="N1309" i="7"/>
  <c r="H1309" i="7"/>
  <c r="G1309" i="7"/>
  <c r="O1308" i="7"/>
  <c r="N1308" i="7"/>
  <c r="H1308" i="7"/>
  <c r="G1308" i="7"/>
  <c r="O1307" i="7"/>
  <c r="N1307" i="7"/>
  <c r="H1307" i="7"/>
  <c r="G1307" i="7"/>
  <c r="O1306" i="7"/>
  <c r="N1306" i="7"/>
  <c r="H1306" i="7"/>
  <c r="G1306" i="7"/>
  <c r="O1305" i="7"/>
  <c r="N1305" i="7"/>
  <c r="H1305" i="7"/>
  <c r="G1305" i="7"/>
  <c r="O1304" i="7"/>
  <c r="N1304" i="7"/>
  <c r="H1304" i="7"/>
  <c r="G1304" i="7"/>
  <c r="O1303" i="7"/>
  <c r="N1303" i="7"/>
  <c r="H1303" i="7"/>
  <c r="G1303" i="7"/>
  <c r="O1302" i="7"/>
  <c r="N1302" i="7"/>
  <c r="H1302" i="7"/>
  <c r="G1302" i="7"/>
  <c r="O1301" i="7"/>
  <c r="N1301" i="7"/>
  <c r="H1301" i="7"/>
  <c r="G1301" i="7"/>
  <c r="O1300" i="7"/>
  <c r="N1300" i="7"/>
  <c r="H1300" i="7"/>
  <c r="G1300" i="7"/>
  <c r="O1299" i="7"/>
  <c r="N1299" i="7"/>
  <c r="H1299" i="7"/>
  <c r="G1299" i="7"/>
  <c r="O1298" i="7"/>
  <c r="N1298" i="7"/>
  <c r="H1298" i="7"/>
  <c r="G1298" i="7"/>
  <c r="O1297" i="7"/>
  <c r="N1297" i="7"/>
  <c r="H1297" i="7"/>
  <c r="G1297" i="7"/>
  <c r="O1296" i="7"/>
  <c r="N1296" i="7"/>
  <c r="H1296" i="7"/>
  <c r="G1296" i="7"/>
  <c r="O1295" i="7"/>
  <c r="N1295" i="7"/>
  <c r="H1295" i="7"/>
  <c r="G1295" i="7"/>
  <c r="O1294" i="7"/>
  <c r="N1294" i="7"/>
  <c r="H1294" i="7"/>
  <c r="G1294" i="7"/>
  <c r="O1293" i="7"/>
  <c r="N1293" i="7"/>
  <c r="H1293" i="7"/>
  <c r="G1293" i="7"/>
  <c r="O1292" i="7"/>
  <c r="N1292" i="7"/>
  <c r="H1292" i="7"/>
  <c r="G1292" i="7"/>
  <c r="O1291" i="7"/>
  <c r="N1291" i="7"/>
  <c r="H1291" i="7"/>
  <c r="G1291" i="7"/>
  <c r="O1290" i="7"/>
  <c r="N1290" i="7"/>
  <c r="H1290" i="7"/>
  <c r="G1290" i="7"/>
  <c r="O1289" i="7"/>
  <c r="N1289" i="7"/>
  <c r="H1289" i="7"/>
  <c r="G1289" i="7"/>
  <c r="O1288" i="7"/>
  <c r="N1288" i="7"/>
  <c r="H1288" i="7"/>
  <c r="G1288" i="7"/>
  <c r="O1287" i="7"/>
  <c r="N1287" i="7"/>
  <c r="H1287" i="7"/>
  <c r="G1287" i="7"/>
  <c r="O1286" i="7"/>
  <c r="N1286" i="7"/>
  <c r="H1286" i="7"/>
  <c r="G1286" i="7"/>
  <c r="O1285" i="7"/>
  <c r="N1285" i="7"/>
  <c r="H1285" i="7"/>
  <c r="G1285" i="7"/>
  <c r="O1284" i="7"/>
  <c r="N1284" i="7"/>
  <c r="H1284" i="7"/>
  <c r="G1284" i="7"/>
  <c r="O1283" i="7"/>
  <c r="N1283" i="7"/>
  <c r="H1283" i="7"/>
  <c r="G1283" i="7"/>
  <c r="O1282" i="7"/>
  <c r="N1282" i="7"/>
  <c r="H1282" i="7"/>
  <c r="G1282" i="7"/>
  <c r="O1281" i="7"/>
  <c r="N1281" i="7"/>
  <c r="H1281" i="7"/>
  <c r="G1281" i="7"/>
  <c r="O1280" i="7"/>
  <c r="N1280" i="7"/>
  <c r="H1280" i="7"/>
  <c r="G1280" i="7"/>
  <c r="O1279" i="7"/>
  <c r="N1279" i="7"/>
  <c r="H1279" i="7"/>
  <c r="G1279" i="7"/>
  <c r="O1278" i="7"/>
  <c r="N1278" i="7"/>
  <c r="H1278" i="7"/>
  <c r="G1278" i="7"/>
  <c r="O1277" i="7"/>
  <c r="N1277" i="7"/>
  <c r="H1277" i="7"/>
  <c r="G1277" i="7"/>
  <c r="O1276" i="7"/>
  <c r="N1276" i="7"/>
  <c r="H1276" i="7"/>
  <c r="G1276" i="7"/>
  <c r="O1275" i="7"/>
  <c r="N1275" i="7"/>
  <c r="H1275" i="7"/>
  <c r="G1275" i="7"/>
  <c r="O1274" i="7"/>
  <c r="N1274" i="7"/>
  <c r="H1274" i="7"/>
  <c r="G1274" i="7"/>
  <c r="O1273" i="7"/>
  <c r="N1273" i="7"/>
  <c r="H1273" i="7"/>
  <c r="G1273" i="7"/>
  <c r="O1272" i="7"/>
  <c r="N1272" i="7"/>
  <c r="H1272" i="7"/>
  <c r="G1272" i="7"/>
  <c r="O1271" i="7"/>
  <c r="N1271" i="7"/>
  <c r="H1271" i="7"/>
  <c r="G1271" i="7"/>
  <c r="O1270" i="7"/>
  <c r="N1270" i="7"/>
  <c r="H1270" i="7"/>
  <c r="G1270" i="7"/>
  <c r="O1269" i="7"/>
  <c r="N1269" i="7"/>
  <c r="H1269" i="7"/>
  <c r="G1269" i="7"/>
  <c r="O1268" i="7"/>
  <c r="N1268" i="7"/>
  <c r="H1268" i="7"/>
  <c r="G1268" i="7"/>
  <c r="O1267" i="7"/>
  <c r="N1267" i="7"/>
  <c r="H1267" i="7"/>
  <c r="G1267" i="7"/>
  <c r="O1266" i="7"/>
  <c r="N1266" i="7"/>
  <c r="H1266" i="7"/>
  <c r="G1266" i="7"/>
  <c r="O1265" i="7"/>
  <c r="N1265" i="7"/>
  <c r="H1265" i="7"/>
  <c r="G1265" i="7"/>
  <c r="O1264" i="7"/>
  <c r="N1264" i="7"/>
  <c r="H1264" i="7"/>
  <c r="G1264" i="7"/>
  <c r="O1263" i="7"/>
  <c r="N1263" i="7"/>
  <c r="H1263" i="7"/>
  <c r="G1263" i="7"/>
  <c r="O1262" i="7"/>
  <c r="N1262" i="7"/>
  <c r="H1262" i="7"/>
  <c r="G1262" i="7"/>
  <c r="O1261" i="7"/>
  <c r="N1261" i="7"/>
  <c r="H1261" i="7"/>
  <c r="G1261" i="7"/>
  <c r="O1260" i="7"/>
  <c r="N1260" i="7"/>
  <c r="H1260" i="7"/>
  <c r="G1260" i="7"/>
  <c r="O1259" i="7"/>
  <c r="N1259" i="7"/>
  <c r="H1259" i="7"/>
  <c r="G1259" i="7"/>
  <c r="O1258" i="7"/>
  <c r="N1258" i="7"/>
  <c r="H1258" i="7"/>
  <c r="G1258" i="7"/>
  <c r="O1257" i="7"/>
  <c r="N1257" i="7"/>
  <c r="H1257" i="7"/>
  <c r="G1257" i="7"/>
  <c r="O1256" i="7"/>
  <c r="N1256" i="7"/>
  <c r="H1256" i="7"/>
  <c r="G1256" i="7"/>
  <c r="O1255" i="7"/>
  <c r="N1255" i="7"/>
  <c r="H1255" i="7"/>
  <c r="G1255" i="7"/>
  <c r="O1254" i="7"/>
  <c r="N1254" i="7"/>
  <c r="H1254" i="7"/>
  <c r="G1254" i="7"/>
  <c r="O1253" i="7"/>
  <c r="N1253" i="7"/>
  <c r="H1253" i="7"/>
  <c r="G1253" i="7"/>
  <c r="O1252" i="7"/>
  <c r="N1252" i="7"/>
  <c r="H1252" i="7"/>
  <c r="G1252" i="7"/>
  <c r="O1251" i="7"/>
  <c r="N1251" i="7"/>
  <c r="H1251" i="7"/>
  <c r="G1251" i="7"/>
  <c r="O1250" i="7"/>
  <c r="N1250" i="7"/>
  <c r="H1250" i="7"/>
  <c r="G1250" i="7"/>
  <c r="O1249" i="7"/>
  <c r="N1249" i="7"/>
  <c r="H1249" i="7"/>
  <c r="G1249" i="7"/>
  <c r="O1248" i="7"/>
  <c r="N1248" i="7"/>
  <c r="H1248" i="7"/>
  <c r="G1248" i="7"/>
  <c r="O1247" i="7"/>
  <c r="N1247" i="7"/>
  <c r="H1247" i="7"/>
  <c r="G1247" i="7"/>
  <c r="O1246" i="7"/>
  <c r="N1246" i="7"/>
  <c r="H1246" i="7"/>
  <c r="G1246" i="7"/>
  <c r="O1245" i="7"/>
  <c r="N1245" i="7"/>
  <c r="H1245" i="7"/>
  <c r="G1245" i="7"/>
  <c r="O1244" i="7"/>
  <c r="N1244" i="7"/>
  <c r="H1244" i="7"/>
  <c r="G1244" i="7"/>
  <c r="O1243" i="7"/>
  <c r="N1243" i="7"/>
  <c r="H1243" i="7"/>
  <c r="G1243" i="7"/>
  <c r="O1242" i="7"/>
  <c r="N1242" i="7"/>
  <c r="H1242" i="7"/>
  <c r="G1242" i="7"/>
  <c r="O1241" i="7"/>
  <c r="N1241" i="7"/>
  <c r="H1241" i="7"/>
  <c r="G1241" i="7"/>
  <c r="O1240" i="7"/>
  <c r="N1240" i="7"/>
  <c r="H1240" i="7"/>
  <c r="G1240" i="7"/>
  <c r="O1239" i="7"/>
  <c r="N1239" i="7"/>
  <c r="H1239" i="7"/>
  <c r="G1239" i="7"/>
  <c r="O1238" i="7"/>
  <c r="N1238" i="7"/>
  <c r="H1238" i="7"/>
  <c r="G1238" i="7"/>
  <c r="O1237" i="7"/>
  <c r="N1237" i="7"/>
  <c r="H1237" i="7"/>
  <c r="G1237" i="7"/>
  <c r="O1236" i="7"/>
  <c r="N1236" i="7"/>
  <c r="H1236" i="7"/>
  <c r="G1236" i="7"/>
  <c r="O1235" i="7"/>
  <c r="N1235" i="7"/>
  <c r="H1235" i="7"/>
  <c r="G1235" i="7"/>
  <c r="O1234" i="7"/>
  <c r="N1234" i="7"/>
  <c r="H1234" i="7"/>
  <c r="G1234" i="7"/>
  <c r="O1233" i="7"/>
  <c r="N1233" i="7"/>
  <c r="H1233" i="7"/>
  <c r="G1233" i="7"/>
  <c r="O1232" i="7"/>
  <c r="N1232" i="7"/>
  <c r="H1232" i="7"/>
  <c r="G1232" i="7"/>
  <c r="O1231" i="7"/>
  <c r="N1231" i="7"/>
  <c r="H1231" i="7"/>
  <c r="G1231" i="7"/>
  <c r="O1230" i="7"/>
  <c r="N1230" i="7"/>
  <c r="H1230" i="7"/>
  <c r="G1230" i="7"/>
  <c r="O1229" i="7"/>
  <c r="N1229" i="7"/>
  <c r="H1229" i="7"/>
  <c r="G1229" i="7"/>
  <c r="O1228" i="7"/>
  <c r="N1228" i="7"/>
  <c r="H1228" i="7"/>
  <c r="G1228" i="7"/>
  <c r="O1227" i="7"/>
  <c r="N1227" i="7"/>
  <c r="H1227" i="7"/>
  <c r="G1227" i="7"/>
  <c r="O1226" i="7"/>
  <c r="N1226" i="7"/>
  <c r="H1226" i="7"/>
  <c r="G1226" i="7"/>
  <c r="O1225" i="7"/>
  <c r="N1225" i="7"/>
  <c r="H1225" i="7"/>
  <c r="G1225" i="7"/>
  <c r="O1224" i="7"/>
  <c r="N1224" i="7"/>
  <c r="H1224" i="7"/>
  <c r="G1224" i="7"/>
  <c r="O1223" i="7"/>
  <c r="N1223" i="7"/>
  <c r="H1223" i="7"/>
  <c r="G1223" i="7"/>
  <c r="O1222" i="7"/>
  <c r="N1222" i="7"/>
  <c r="H1222" i="7"/>
  <c r="G1222" i="7"/>
  <c r="O1221" i="7"/>
  <c r="N1221" i="7"/>
  <c r="H1221" i="7"/>
  <c r="G1221" i="7"/>
  <c r="O1220" i="7"/>
  <c r="N1220" i="7"/>
  <c r="H1220" i="7"/>
  <c r="G1220" i="7"/>
  <c r="O1219" i="7"/>
  <c r="N1219" i="7"/>
  <c r="H1219" i="7"/>
  <c r="G1219" i="7"/>
  <c r="O1218" i="7"/>
  <c r="N1218" i="7"/>
  <c r="H1218" i="7"/>
  <c r="G1218" i="7"/>
  <c r="O1217" i="7"/>
  <c r="N1217" i="7"/>
  <c r="H1217" i="7"/>
  <c r="G1217" i="7"/>
  <c r="O1216" i="7"/>
  <c r="N1216" i="7"/>
  <c r="H1216" i="7"/>
  <c r="G1216" i="7"/>
  <c r="O1215" i="7"/>
  <c r="N1215" i="7"/>
  <c r="H1215" i="7"/>
  <c r="G1215" i="7"/>
  <c r="O1214" i="7"/>
  <c r="N1214" i="7"/>
  <c r="H1214" i="7"/>
  <c r="G1214" i="7"/>
  <c r="O1213" i="7"/>
  <c r="N1213" i="7"/>
  <c r="H1213" i="7"/>
  <c r="G1213" i="7"/>
  <c r="O1212" i="7"/>
  <c r="N1212" i="7"/>
  <c r="H1212" i="7"/>
  <c r="G1212" i="7"/>
  <c r="O1211" i="7"/>
  <c r="N1211" i="7"/>
  <c r="H1211" i="7"/>
  <c r="G1211" i="7"/>
  <c r="O1210" i="7"/>
  <c r="N1210" i="7"/>
  <c r="H1210" i="7"/>
  <c r="G1210" i="7"/>
  <c r="O1209" i="7"/>
  <c r="N1209" i="7"/>
  <c r="H1209" i="7"/>
  <c r="G1209" i="7"/>
  <c r="O1208" i="7"/>
  <c r="N1208" i="7"/>
  <c r="H1208" i="7"/>
  <c r="G1208" i="7"/>
  <c r="O1207" i="7"/>
  <c r="N1207" i="7"/>
  <c r="H1207" i="7"/>
  <c r="G1207" i="7"/>
  <c r="O1206" i="7"/>
  <c r="N1206" i="7"/>
  <c r="H1206" i="7"/>
  <c r="G1206" i="7"/>
  <c r="O1205" i="7"/>
  <c r="N1205" i="7"/>
  <c r="H1205" i="7"/>
  <c r="G1205" i="7"/>
  <c r="O1204" i="7"/>
  <c r="N1204" i="7"/>
  <c r="H1204" i="7"/>
  <c r="G1204" i="7"/>
  <c r="O1203" i="7"/>
  <c r="N1203" i="7"/>
  <c r="H1203" i="7"/>
  <c r="G1203" i="7"/>
  <c r="O1202" i="7"/>
  <c r="N1202" i="7"/>
  <c r="H1202" i="7"/>
  <c r="G1202" i="7"/>
  <c r="O1201" i="7"/>
  <c r="N1201" i="7"/>
  <c r="H1201" i="7"/>
  <c r="G1201" i="7"/>
  <c r="O1200" i="7"/>
  <c r="N1200" i="7"/>
  <c r="H1200" i="7"/>
  <c r="G1200" i="7"/>
  <c r="O1199" i="7"/>
  <c r="N1199" i="7"/>
  <c r="H1199" i="7"/>
  <c r="G1199" i="7"/>
  <c r="O1198" i="7"/>
  <c r="N1198" i="7"/>
  <c r="H1198" i="7"/>
  <c r="G1198" i="7"/>
  <c r="O1197" i="7"/>
  <c r="N1197" i="7"/>
  <c r="H1197" i="7"/>
  <c r="G1197" i="7"/>
  <c r="O1196" i="7"/>
  <c r="N1196" i="7"/>
  <c r="H1196" i="7"/>
  <c r="G1196" i="7"/>
  <c r="O1195" i="7"/>
  <c r="N1195" i="7"/>
  <c r="H1195" i="7"/>
  <c r="G1195" i="7"/>
  <c r="O1194" i="7"/>
  <c r="N1194" i="7"/>
  <c r="H1194" i="7"/>
  <c r="G1194" i="7"/>
  <c r="O1193" i="7"/>
  <c r="N1193" i="7"/>
  <c r="H1193" i="7"/>
  <c r="G1193" i="7"/>
  <c r="O1192" i="7"/>
  <c r="N1192" i="7"/>
  <c r="H1192" i="7"/>
  <c r="G1192" i="7"/>
  <c r="O1191" i="7"/>
  <c r="N1191" i="7"/>
  <c r="H1191" i="7"/>
  <c r="G1191" i="7"/>
  <c r="O1190" i="7"/>
  <c r="N1190" i="7"/>
  <c r="H1190" i="7"/>
  <c r="G1190" i="7"/>
  <c r="O1189" i="7"/>
  <c r="N1189" i="7"/>
  <c r="H1189" i="7"/>
  <c r="G1189" i="7"/>
  <c r="O1188" i="7"/>
  <c r="N1188" i="7"/>
  <c r="H1188" i="7"/>
  <c r="G1188" i="7"/>
  <c r="O1187" i="7"/>
  <c r="N1187" i="7"/>
  <c r="H1187" i="7"/>
  <c r="G1187" i="7"/>
  <c r="O1186" i="7"/>
  <c r="N1186" i="7"/>
  <c r="H1186" i="7"/>
  <c r="G1186" i="7"/>
  <c r="O1185" i="7"/>
  <c r="N1185" i="7"/>
  <c r="H1185" i="7"/>
  <c r="G1185" i="7"/>
  <c r="O1184" i="7"/>
  <c r="N1184" i="7"/>
  <c r="H1184" i="7"/>
  <c r="G1184" i="7"/>
  <c r="O1183" i="7"/>
  <c r="N1183" i="7"/>
  <c r="H1183" i="7"/>
  <c r="G1183" i="7"/>
  <c r="O1182" i="7"/>
  <c r="N1182" i="7"/>
  <c r="H1182" i="7"/>
  <c r="G1182" i="7"/>
  <c r="O1181" i="7"/>
  <c r="N1181" i="7"/>
  <c r="H1181" i="7"/>
  <c r="G1181" i="7"/>
  <c r="O1180" i="7"/>
  <c r="N1180" i="7"/>
  <c r="H1180" i="7"/>
  <c r="G1180" i="7"/>
  <c r="O1179" i="7"/>
  <c r="N1179" i="7"/>
  <c r="H1179" i="7"/>
  <c r="G1179" i="7"/>
  <c r="O1178" i="7"/>
  <c r="N1178" i="7"/>
  <c r="H1178" i="7"/>
  <c r="G1178" i="7"/>
  <c r="O1177" i="7"/>
  <c r="N1177" i="7"/>
  <c r="H1177" i="7"/>
  <c r="G1177" i="7"/>
  <c r="O1176" i="7"/>
  <c r="N1176" i="7"/>
  <c r="H1176" i="7"/>
  <c r="G1176" i="7"/>
  <c r="O1175" i="7"/>
  <c r="N1175" i="7"/>
  <c r="H1175" i="7"/>
  <c r="G1175" i="7"/>
  <c r="O1174" i="7"/>
  <c r="N1174" i="7"/>
  <c r="H1174" i="7"/>
  <c r="G1174" i="7"/>
  <c r="O1173" i="7"/>
  <c r="N1173" i="7"/>
  <c r="H1173" i="7"/>
  <c r="G1173" i="7"/>
  <c r="O1172" i="7"/>
  <c r="N1172" i="7"/>
  <c r="H1172" i="7"/>
  <c r="G1172" i="7"/>
  <c r="O1171" i="7"/>
  <c r="N1171" i="7"/>
  <c r="H1171" i="7"/>
  <c r="G1171" i="7"/>
  <c r="O1170" i="7"/>
  <c r="N1170" i="7"/>
  <c r="H1170" i="7"/>
  <c r="G1170" i="7"/>
  <c r="O1169" i="7"/>
  <c r="N1169" i="7"/>
  <c r="H1169" i="7"/>
  <c r="G1169" i="7"/>
  <c r="O1168" i="7"/>
  <c r="N1168" i="7"/>
  <c r="H1168" i="7"/>
  <c r="G1168" i="7"/>
  <c r="O1167" i="7"/>
  <c r="N1167" i="7"/>
  <c r="H1167" i="7"/>
  <c r="G1167" i="7"/>
  <c r="O1166" i="7"/>
  <c r="N1166" i="7"/>
  <c r="H1166" i="7"/>
  <c r="G1166" i="7"/>
  <c r="O1165" i="7"/>
  <c r="N1165" i="7"/>
  <c r="H1165" i="7"/>
  <c r="G1165" i="7"/>
  <c r="O1164" i="7"/>
  <c r="N1164" i="7"/>
  <c r="H1164" i="7"/>
  <c r="G1164" i="7"/>
  <c r="O1163" i="7"/>
  <c r="N1163" i="7"/>
  <c r="H1163" i="7"/>
  <c r="G1163" i="7"/>
  <c r="O1162" i="7"/>
  <c r="N1162" i="7"/>
  <c r="H1162" i="7"/>
  <c r="G1162" i="7"/>
  <c r="O1161" i="7"/>
  <c r="N1161" i="7"/>
  <c r="H1161" i="7"/>
  <c r="G1161" i="7"/>
  <c r="O1160" i="7"/>
  <c r="N1160" i="7"/>
  <c r="H1160" i="7"/>
  <c r="G1160" i="7"/>
  <c r="O1159" i="7"/>
  <c r="N1159" i="7"/>
  <c r="H1159" i="7"/>
  <c r="G1159" i="7"/>
  <c r="O1158" i="7"/>
  <c r="N1158" i="7"/>
  <c r="H1158" i="7"/>
  <c r="G1158" i="7"/>
  <c r="O1157" i="7"/>
  <c r="N1157" i="7"/>
  <c r="H1157" i="7"/>
  <c r="G1157" i="7"/>
  <c r="O1156" i="7"/>
  <c r="N1156" i="7"/>
  <c r="H1156" i="7"/>
  <c r="G1156" i="7"/>
  <c r="O1155" i="7"/>
  <c r="N1155" i="7"/>
  <c r="H1155" i="7"/>
  <c r="G1155" i="7"/>
  <c r="O1154" i="7"/>
  <c r="N1154" i="7"/>
  <c r="H1154" i="7"/>
  <c r="G1154" i="7"/>
  <c r="O1153" i="7"/>
  <c r="N1153" i="7"/>
  <c r="H1153" i="7"/>
  <c r="G1153" i="7"/>
  <c r="O1152" i="7"/>
  <c r="N1152" i="7"/>
  <c r="H1152" i="7"/>
  <c r="G1152" i="7"/>
  <c r="O1151" i="7"/>
  <c r="N1151" i="7"/>
  <c r="H1151" i="7"/>
  <c r="G1151" i="7"/>
  <c r="O1150" i="7"/>
  <c r="N1150" i="7"/>
  <c r="H1150" i="7"/>
  <c r="G1150" i="7"/>
  <c r="O1149" i="7"/>
  <c r="N1149" i="7"/>
  <c r="H1149" i="7"/>
  <c r="G1149" i="7"/>
  <c r="O1148" i="7"/>
  <c r="N1148" i="7"/>
  <c r="H1148" i="7"/>
  <c r="G1148" i="7"/>
  <c r="O1147" i="7"/>
  <c r="N1147" i="7"/>
  <c r="H1147" i="7"/>
  <c r="G1147" i="7"/>
  <c r="O1146" i="7"/>
  <c r="N1146" i="7"/>
  <c r="H1146" i="7"/>
  <c r="G1146" i="7"/>
  <c r="O1145" i="7"/>
  <c r="N1145" i="7"/>
  <c r="H1145" i="7"/>
  <c r="G1145" i="7"/>
  <c r="O1144" i="7"/>
  <c r="N1144" i="7"/>
  <c r="H1144" i="7"/>
  <c r="G1144" i="7"/>
  <c r="O1143" i="7"/>
  <c r="N1143" i="7"/>
  <c r="H1143" i="7"/>
  <c r="G1143" i="7"/>
  <c r="O1142" i="7"/>
  <c r="N1142" i="7"/>
  <c r="H1142" i="7"/>
  <c r="G1142" i="7"/>
  <c r="O1141" i="7"/>
  <c r="N1141" i="7"/>
  <c r="H1141" i="7"/>
  <c r="G1141" i="7"/>
  <c r="O1140" i="7"/>
  <c r="N1140" i="7"/>
  <c r="H1140" i="7"/>
  <c r="G1140" i="7"/>
  <c r="O1139" i="7"/>
  <c r="N1139" i="7"/>
  <c r="H1139" i="7"/>
  <c r="G1139" i="7"/>
  <c r="O1138" i="7"/>
  <c r="N1138" i="7"/>
  <c r="H1138" i="7"/>
  <c r="G1138" i="7"/>
  <c r="O1137" i="7"/>
  <c r="N1137" i="7"/>
  <c r="H1137" i="7"/>
  <c r="G1137" i="7"/>
  <c r="O1136" i="7"/>
  <c r="N1136" i="7"/>
  <c r="H1136" i="7"/>
  <c r="G1136" i="7"/>
  <c r="O1135" i="7"/>
  <c r="N1135" i="7"/>
  <c r="H1135" i="7"/>
  <c r="G1135" i="7"/>
  <c r="O1134" i="7"/>
  <c r="N1134" i="7"/>
  <c r="H1134" i="7"/>
  <c r="G1134" i="7"/>
  <c r="O1133" i="7"/>
  <c r="N1133" i="7"/>
  <c r="H1133" i="7"/>
  <c r="G1133" i="7"/>
  <c r="O1132" i="7"/>
  <c r="N1132" i="7"/>
  <c r="H1132" i="7"/>
  <c r="G1132" i="7"/>
  <c r="O1131" i="7"/>
  <c r="N1131" i="7"/>
  <c r="H1131" i="7"/>
  <c r="G1131" i="7"/>
  <c r="O1130" i="7"/>
  <c r="N1130" i="7"/>
  <c r="H1130" i="7"/>
  <c r="G1130" i="7"/>
  <c r="O1129" i="7"/>
  <c r="N1129" i="7"/>
  <c r="H1129" i="7"/>
  <c r="G1129" i="7"/>
  <c r="O1128" i="7"/>
  <c r="N1128" i="7"/>
  <c r="H1128" i="7"/>
  <c r="G1128" i="7"/>
  <c r="O1127" i="7"/>
  <c r="N1127" i="7"/>
  <c r="H1127" i="7"/>
  <c r="G1127" i="7"/>
  <c r="O1126" i="7"/>
  <c r="N1126" i="7"/>
  <c r="H1126" i="7"/>
  <c r="G1126" i="7"/>
  <c r="O1125" i="7"/>
  <c r="N1125" i="7"/>
  <c r="H1125" i="7"/>
  <c r="G1125" i="7"/>
  <c r="O1124" i="7"/>
  <c r="N1124" i="7"/>
  <c r="H1124" i="7"/>
  <c r="G1124" i="7"/>
  <c r="O1123" i="7"/>
  <c r="N1123" i="7"/>
  <c r="H1123" i="7"/>
  <c r="G1123" i="7"/>
  <c r="O1122" i="7"/>
  <c r="N1122" i="7"/>
  <c r="H1122" i="7"/>
  <c r="G1122" i="7"/>
  <c r="O1121" i="7"/>
  <c r="N1121" i="7"/>
  <c r="H1121" i="7"/>
  <c r="G1121" i="7"/>
  <c r="O1120" i="7"/>
  <c r="N1120" i="7"/>
  <c r="H1120" i="7"/>
  <c r="G1120" i="7"/>
  <c r="O1119" i="7"/>
  <c r="N1119" i="7"/>
  <c r="H1119" i="7"/>
  <c r="G1119" i="7"/>
  <c r="O1118" i="7"/>
  <c r="N1118" i="7"/>
  <c r="H1118" i="7"/>
  <c r="G1118" i="7"/>
  <c r="O1117" i="7"/>
  <c r="N1117" i="7"/>
  <c r="H1117" i="7"/>
  <c r="G1117" i="7"/>
  <c r="O1116" i="7"/>
  <c r="N1116" i="7"/>
  <c r="H1116" i="7"/>
  <c r="G1116" i="7"/>
  <c r="O1115" i="7"/>
  <c r="N1115" i="7"/>
  <c r="H1115" i="7"/>
  <c r="G1115" i="7"/>
  <c r="O1114" i="7"/>
  <c r="N1114" i="7"/>
  <c r="H1114" i="7"/>
  <c r="G1114" i="7"/>
  <c r="O1113" i="7"/>
  <c r="N1113" i="7"/>
  <c r="H1113" i="7"/>
  <c r="G1113" i="7"/>
  <c r="O1112" i="7"/>
  <c r="N1112" i="7"/>
  <c r="H1112" i="7"/>
  <c r="G1112" i="7"/>
  <c r="O1111" i="7"/>
  <c r="N1111" i="7"/>
  <c r="H1111" i="7"/>
  <c r="G1111" i="7"/>
  <c r="O1110" i="7"/>
  <c r="N1110" i="7"/>
  <c r="H1110" i="7"/>
  <c r="G1110" i="7"/>
  <c r="O1109" i="7"/>
  <c r="N1109" i="7"/>
  <c r="H1109" i="7"/>
  <c r="G1109" i="7"/>
  <c r="O1108" i="7"/>
  <c r="N1108" i="7"/>
  <c r="H1108" i="7"/>
  <c r="G1108" i="7"/>
  <c r="O1107" i="7"/>
  <c r="N1107" i="7"/>
  <c r="H1107" i="7"/>
  <c r="G1107" i="7"/>
  <c r="O1106" i="7"/>
  <c r="N1106" i="7"/>
  <c r="H1106" i="7"/>
  <c r="G1106" i="7"/>
  <c r="O1105" i="7"/>
  <c r="N1105" i="7"/>
  <c r="H1105" i="7"/>
  <c r="G1105" i="7"/>
  <c r="O1104" i="7"/>
  <c r="N1104" i="7"/>
  <c r="H1104" i="7"/>
  <c r="G1104" i="7"/>
  <c r="O1103" i="7"/>
  <c r="N1103" i="7"/>
  <c r="H1103" i="7"/>
  <c r="G1103" i="7"/>
  <c r="O1102" i="7"/>
  <c r="N1102" i="7"/>
  <c r="H1102" i="7"/>
  <c r="G1102" i="7"/>
  <c r="O1101" i="7"/>
  <c r="N1101" i="7"/>
  <c r="H1101" i="7"/>
  <c r="G1101" i="7"/>
  <c r="O1100" i="7"/>
  <c r="N1100" i="7"/>
  <c r="H1100" i="7"/>
  <c r="G1100" i="7"/>
  <c r="O1099" i="7"/>
  <c r="N1099" i="7"/>
  <c r="H1099" i="7"/>
  <c r="G1099" i="7"/>
  <c r="O1098" i="7"/>
  <c r="N1098" i="7"/>
  <c r="H1098" i="7"/>
  <c r="G1098" i="7"/>
  <c r="O1097" i="7"/>
  <c r="N1097" i="7"/>
  <c r="H1097" i="7"/>
  <c r="G1097" i="7"/>
  <c r="O1096" i="7"/>
  <c r="N1096" i="7"/>
  <c r="H1096" i="7"/>
  <c r="G1096" i="7"/>
  <c r="O1095" i="7"/>
  <c r="N1095" i="7"/>
  <c r="H1095" i="7"/>
  <c r="G1095" i="7"/>
  <c r="O1094" i="7"/>
  <c r="N1094" i="7"/>
  <c r="H1094" i="7"/>
  <c r="G1094" i="7"/>
  <c r="O1093" i="7"/>
  <c r="N1093" i="7"/>
  <c r="H1093" i="7"/>
  <c r="G1093" i="7"/>
  <c r="O1092" i="7"/>
  <c r="N1092" i="7"/>
  <c r="H1092" i="7"/>
  <c r="G1092" i="7"/>
  <c r="O1091" i="7"/>
  <c r="N1091" i="7"/>
  <c r="H1091" i="7"/>
  <c r="G1091" i="7"/>
  <c r="O1090" i="7"/>
  <c r="N1090" i="7"/>
  <c r="H1090" i="7"/>
  <c r="G1090" i="7"/>
  <c r="O1089" i="7"/>
  <c r="N1089" i="7"/>
  <c r="H1089" i="7"/>
  <c r="G1089" i="7"/>
  <c r="O1088" i="7"/>
  <c r="N1088" i="7"/>
  <c r="H1088" i="7"/>
  <c r="G1088" i="7"/>
  <c r="O1087" i="7"/>
  <c r="N1087" i="7"/>
  <c r="H1087" i="7"/>
  <c r="G1087" i="7"/>
  <c r="O1086" i="7"/>
  <c r="N1086" i="7"/>
  <c r="H1086" i="7"/>
  <c r="G1086" i="7"/>
  <c r="O1085" i="7"/>
  <c r="N1085" i="7"/>
  <c r="H1085" i="7"/>
  <c r="G1085" i="7"/>
  <c r="O1084" i="7"/>
  <c r="N1084" i="7"/>
  <c r="H1084" i="7"/>
  <c r="G1084" i="7"/>
  <c r="O1083" i="7"/>
  <c r="N1083" i="7"/>
  <c r="H1083" i="7"/>
  <c r="G1083" i="7"/>
  <c r="O1082" i="7"/>
  <c r="N1082" i="7"/>
  <c r="H1082" i="7"/>
  <c r="G1082" i="7"/>
  <c r="O1081" i="7"/>
  <c r="N1081" i="7"/>
  <c r="H1081" i="7"/>
  <c r="G1081" i="7"/>
  <c r="O1080" i="7"/>
  <c r="N1080" i="7"/>
  <c r="H1080" i="7"/>
  <c r="G1080" i="7"/>
  <c r="O1079" i="7"/>
  <c r="N1079" i="7"/>
  <c r="H1079" i="7"/>
  <c r="G1079" i="7"/>
  <c r="O1078" i="7"/>
  <c r="N1078" i="7"/>
  <c r="H1078" i="7"/>
  <c r="G1078" i="7"/>
  <c r="O1077" i="7"/>
  <c r="N1077" i="7"/>
  <c r="H1077" i="7"/>
  <c r="G1077" i="7"/>
  <c r="O1076" i="7"/>
  <c r="N1076" i="7"/>
  <c r="H1076" i="7"/>
  <c r="G1076" i="7"/>
  <c r="O1075" i="7"/>
  <c r="N1075" i="7"/>
  <c r="H1075" i="7"/>
  <c r="G1075" i="7"/>
  <c r="O1074" i="7"/>
  <c r="N1074" i="7"/>
  <c r="H1074" i="7"/>
  <c r="G1074" i="7"/>
  <c r="O1073" i="7"/>
  <c r="N1073" i="7"/>
  <c r="H1073" i="7"/>
  <c r="G1073" i="7"/>
  <c r="O1072" i="7"/>
  <c r="N1072" i="7"/>
  <c r="H1072" i="7"/>
  <c r="G1072" i="7"/>
  <c r="O1071" i="7"/>
  <c r="N1071" i="7"/>
  <c r="H1071" i="7"/>
  <c r="G1071" i="7"/>
  <c r="O1070" i="7"/>
  <c r="N1070" i="7"/>
  <c r="H1070" i="7"/>
  <c r="G1070" i="7"/>
  <c r="O1069" i="7"/>
  <c r="N1069" i="7"/>
  <c r="H1069" i="7"/>
  <c r="G1069" i="7"/>
  <c r="O1068" i="7"/>
  <c r="N1068" i="7"/>
  <c r="H1068" i="7"/>
  <c r="G1068" i="7"/>
  <c r="O1067" i="7"/>
  <c r="N1067" i="7"/>
  <c r="H1067" i="7"/>
  <c r="G1067" i="7"/>
  <c r="O1066" i="7"/>
  <c r="N1066" i="7"/>
  <c r="H1066" i="7"/>
  <c r="G1066" i="7"/>
  <c r="O1065" i="7"/>
  <c r="N1065" i="7"/>
  <c r="H1065" i="7"/>
  <c r="G1065" i="7"/>
  <c r="O1064" i="7"/>
  <c r="N1064" i="7"/>
  <c r="H1064" i="7"/>
  <c r="G1064" i="7"/>
  <c r="O1063" i="7"/>
  <c r="N1063" i="7"/>
  <c r="H1063" i="7"/>
  <c r="G1063" i="7"/>
  <c r="O1062" i="7"/>
  <c r="N1062" i="7"/>
  <c r="H1062" i="7"/>
  <c r="G1062" i="7"/>
  <c r="O1061" i="7"/>
  <c r="N1061" i="7"/>
  <c r="H1061" i="7"/>
  <c r="G1061" i="7"/>
  <c r="O1060" i="7"/>
  <c r="N1060" i="7"/>
  <c r="H1060" i="7"/>
  <c r="G1060" i="7"/>
  <c r="O1059" i="7"/>
  <c r="N1059" i="7"/>
  <c r="H1059" i="7"/>
  <c r="G1059" i="7"/>
  <c r="O1058" i="7"/>
  <c r="N1058" i="7"/>
  <c r="H1058" i="7"/>
  <c r="G1058" i="7"/>
  <c r="O1057" i="7"/>
  <c r="N1057" i="7"/>
  <c r="H1057" i="7"/>
  <c r="G1057" i="7"/>
  <c r="O1056" i="7"/>
  <c r="N1056" i="7"/>
  <c r="H1056" i="7"/>
  <c r="G1056" i="7"/>
  <c r="O1055" i="7"/>
  <c r="N1055" i="7"/>
  <c r="H1055" i="7"/>
  <c r="G1055" i="7"/>
  <c r="O1054" i="7"/>
  <c r="N1054" i="7"/>
  <c r="H1054" i="7"/>
  <c r="G1054" i="7"/>
  <c r="O1053" i="7"/>
  <c r="N1053" i="7"/>
  <c r="H1053" i="7"/>
  <c r="G1053" i="7"/>
  <c r="O1052" i="7"/>
  <c r="N1052" i="7"/>
  <c r="H1052" i="7"/>
  <c r="G1052" i="7"/>
  <c r="O1051" i="7"/>
  <c r="N1051" i="7"/>
  <c r="H1051" i="7"/>
  <c r="G1051" i="7"/>
  <c r="O1050" i="7"/>
  <c r="N1050" i="7"/>
  <c r="H1050" i="7"/>
  <c r="G1050" i="7"/>
  <c r="O1049" i="7"/>
  <c r="N1049" i="7"/>
  <c r="H1049" i="7"/>
  <c r="G1049" i="7"/>
  <c r="O1048" i="7"/>
  <c r="N1048" i="7"/>
  <c r="H1048" i="7"/>
  <c r="G1048" i="7"/>
  <c r="O1047" i="7"/>
  <c r="N1047" i="7"/>
  <c r="H1047" i="7"/>
  <c r="G1047" i="7"/>
  <c r="O1046" i="7"/>
  <c r="N1046" i="7"/>
  <c r="H1046" i="7"/>
  <c r="G1046" i="7"/>
  <c r="O1045" i="7"/>
  <c r="N1045" i="7"/>
  <c r="H1045" i="7"/>
  <c r="G1045" i="7"/>
  <c r="O1044" i="7"/>
  <c r="N1044" i="7"/>
  <c r="H1044" i="7"/>
  <c r="G1044" i="7"/>
  <c r="O1043" i="7"/>
  <c r="N1043" i="7"/>
  <c r="H1043" i="7"/>
  <c r="G1043" i="7"/>
  <c r="O1042" i="7"/>
  <c r="N1042" i="7"/>
  <c r="H1042" i="7"/>
  <c r="G1042" i="7"/>
  <c r="O1041" i="7"/>
  <c r="N1041" i="7"/>
  <c r="H1041" i="7"/>
  <c r="G1041" i="7"/>
  <c r="O1040" i="7"/>
  <c r="N1040" i="7"/>
  <c r="H1040" i="7"/>
  <c r="G1040" i="7"/>
  <c r="O1039" i="7"/>
  <c r="N1039" i="7"/>
  <c r="H1039" i="7"/>
  <c r="G1039" i="7"/>
  <c r="O1038" i="7"/>
  <c r="N1038" i="7"/>
  <c r="H1038" i="7"/>
  <c r="G1038" i="7"/>
  <c r="O1037" i="7"/>
  <c r="N1037" i="7"/>
  <c r="H1037" i="7"/>
  <c r="G1037" i="7"/>
  <c r="O1036" i="7"/>
  <c r="N1036" i="7"/>
  <c r="H1036" i="7"/>
  <c r="G1036" i="7"/>
  <c r="O1035" i="7"/>
  <c r="N1035" i="7"/>
  <c r="H1035" i="7"/>
  <c r="G1035" i="7"/>
  <c r="O1034" i="7"/>
  <c r="N1034" i="7"/>
  <c r="H1034" i="7"/>
  <c r="G1034" i="7"/>
  <c r="O1033" i="7"/>
  <c r="N1033" i="7"/>
  <c r="H1033" i="7"/>
  <c r="G1033" i="7"/>
  <c r="O1032" i="7"/>
  <c r="N1032" i="7"/>
  <c r="H1032" i="7"/>
  <c r="G1032" i="7"/>
  <c r="O1031" i="7"/>
  <c r="N1031" i="7"/>
  <c r="H1031" i="7"/>
  <c r="G1031" i="7"/>
  <c r="O1030" i="7"/>
  <c r="N1030" i="7"/>
  <c r="H1030" i="7"/>
  <c r="G1030" i="7"/>
  <c r="O1029" i="7"/>
  <c r="N1029" i="7"/>
  <c r="H1029" i="7"/>
  <c r="G1029" i="7"/>
  <c r="O1028" i="7"/>
  <c r="N1028" i="7"/>
  <c r="H1028" i="7"/>
  <c r="G1028" i="7"/>
  <c r="O1027" i="7"/>
  <c r="N1027" i="7"/>
  <c r="H1027" i="7"/>
  <c r="G1027" i="7"/>
  <c r="O1026" i="7"/>
  <c r="N1026" i="7"/>
  <c r="H1026" i="7"/>
  <c r="G1026" i="7"/>
  <c r="O1025" i="7"/>
  <c r="N1025" i="7"/>
  <c r="H1025" i="7"/>
  <c r="G1025" i="7"/>
  <c r="O1024" i="7"/>
  <c r="N1024" i="7"/>
  <c r="H1024" i="7"/>
  <c r="G1024" i="7"/>
  <c r="O1023" i="7"/>
  <c r="N1023" i="7"/>
  <c r="H1023" i="7"/>
  <c r="G1023" i="7"/>
  <c r="O1022" i="7"/>
  <c r="N1022" i="7"/>
  <c r="H1022" i="7"/>
  <c r="G1022" i="7"/>
  <c r="O1021" i="7"/>
  <c r="N1021" i="7"/>
  <c r="H1021" i="7"/>
  <c r="G1021" i="7"/>
  <c r="O1020" i="7"/>
  <c r="N1020" i="7"/>
  <c r="H1020" i="7"/>
  <c r="G1020" i="7"/>
  <c r="O1019" i="7"/>
  <c r="N1019" i="7"/>
  <c r="H1019" i="7"/>
  <c r="G1019" i="7"/>
  <c r="O1018" i="7"/>
  <c r="N1018" i="7"/>
  <c r="H1018" i="7"/>
  <c r="G1018" i="7"/>
  <c r="O1017" i="7"/>
  <c r="N1017" i="7"/>
  <c r="H1017" i="7"/>
  <c r="G1017" i="7"/>
  <c r="O1016" i="7"/>
  <c r="N1016" i="7"/>
  <c r="H1016" i="7"/>
  <c r="G1016" i="7"/>
  <c r="O1015" i="7"/>
  <c r="N1015" i="7"/>
  <c r="H1015" i="7"/>
  <c r="G1015" i="7"/>
  <c r="O1014" i="7"/>
  <c r="N1014" i="7"/>
  <c r="H1014" i="7"/>
  <c r="G1014" i="7"/>
  <c r="O1013" i="7"/>
  <c r="N1013" i="7"/>
  <c r="H1013" i="7"/>
  <c r="G1013" i="7"/>
  <c r="O1012" i="7"/>
  <c r="N1012" i="7"/>
  <c r="H1012" i="7"/>
  <c r="G1012" i="7"/>
  <c r="O1011" i="7"/>
  <c r="N1011" i="7"/>
  <c r="H1011" i="7"/>
  <c r="G1011" i="7"/>
  <c r="O1010" i="7"/>
  <c r="N1010" i="7"/>
  <c r="H1010" i="7"/>
  <c r="G1010" i="7"/>
  <c r="O1009" i="7"/>
  <c r="N1009" i="7"/>
  <c r="H1009" i="7"/>
  <c r="G1009" i="7"/>
  <c r="O1008" i="7"/>
  <c r="N1008" i="7"/>
  <c r="H1008" i="7"/>
  <c r="G1008" i="7"/>
  <c r="O1007" i="7"/>
  <c r="N1007" i="7"/>
  <c r="H1007" i="7"/>
  <c r="G1007" i="7"/>
  <c r="O1006" i="7"/>
  <c r="N1006" i="7"/>
  <c r="H1006" i="7"/>
  <c r="G1006" i="7"/>
  <c r="O1005" i="7"/>
  <c r="N1005" i="7"/>
  <c r="H1005" i="7"/>
  <c r="G1005" i="7"/>
  <c r="O1004" i="7"/>
  <c r="N1004" i="7"/>
  <c r="H1004" i="7"/>
  <c r="G1004" i="7"/>
  <c r="O1003" i="7"/>
  <c r="N1003" i="7"/>
  <c r="H1003" i="7"/>
  <c r="G1003" i="7"/>
  <c r="O1002" i="7"/>
  <c r="N1002" i="7"/>
  <c r="H1002" i="7"/>
  <c r="G1002" i="7"/>
  <c r="O1001" i="7"/>
  <c r="N1001" i="7"/>
  <c r="H1001" i="7"/>
  <c r="G1001" i="7"/>
  <c r="O1000" i="7"/>
  <c r="N1000" i="7"/>
  <c r="H1000" i="7"/>
  <c r="G1000" i="7"/>
  <c r="O999" i="7"/>
  <c r="N999" i="7"/>
  <c r="H999" i="7"/>
  <c r="G999" i="7"/>
  <c r="O998" i="7"/>
  <c r="N998" i="7"/>
  <c r="H998" i="7"/>
  <c r="G998" i="7"/>
  <c r="O997" i="7"/>
  <c r="N997" i="7"/>
  <c r="H997" i="7"/>
  <c r="G997" i="7"/>
  <c r="O996" i="7"/>
  <c r="N996" i="7"/>
  <c r="H996" i="7"/>
  <c r="G996" i="7"/>
  <c r="O995" i="7"/>
  <c r="N995" i="7"/>
  <c r="H995" i="7"/>
  <c r="G995" i="7"/>
  <c r="O994" i="7"/>
  <c r="N994" i="7"/>
  <c r="H994" i="7"/>
  <c r="G994" i="7"/>
  <c r="O993" i="7"/>
  <c r="N993" i="7"/>
  <c r="H993" i="7"/>
  <c r="G993" i="7"/>
  <c r="O992" i="7"/>
  <c r="N992" i="7"/>
  <c r="H992" i="7"/>
  <c r="G992" i="7"/>
  <c r="O991" i="7"/>
  <c r="N991" i="7"/>
  <c r="H991" i="7"/>
  <c r="G991" i="7"/>
  <c r="O990" i="7"/>
  <c r="N990" i="7"/>
  <c r="H990" i="7"/>
  <c r="G990" i="7"/>
  <c r="O989" i="7"/>
  <c r="N989" i="7"/>
  <c r="H989" i="7"/>
  <c r="G989" i="7"/>
  <c r="O988" i="7"/>
  <c r="N988" i="7"/>
  <c r="H988" i="7"/>
  <c r="G988" i="7"/>
  <c r="O987" i="7"/>
  <c r="N987" i="7"/>
  <c r="H987" i="7"/>
  <c r="G987" i="7"/>
  <c r="O986" i="7"/>
  <c r="N986" i="7"/>
  <c r="H986" i="7"/>
  <c r="G986" i="7"/>
  <c r="O985" i="7"/>
  <c r="N985" i="7"/>
  <c r="H985" i="7"/>
  <c r="G985" i="7"/>
  <c r="O984" i="7"/>
  <c r="N984" i="7"/>
  <c r="H984" i="7"/>
  <c r="G984" i="7"/>
  <c r="O983" i="7"/>
  <c r="N983" i="7"/>
  <c r="H983" i="7"/>
  <c r="G983" i="7"/>
  <c r="O982" i="7"/>
  <c r="N982" i="7"/>
  <c r="H982" i="7"/>
  <c r="G982" i="7"/>
  <c r="O981" i="7"/>
  <c r="N981" i="7"/>
  <c r="H981" i="7"/>
  <c r="G981" i="7"/>
  <c r="O980" i="7"/>
  <c r="N980" i="7"/>
  <c r="H980" i="7"/>
  <c r="G980" i="7"/>
  <c r="O979" i="7"/>
  <c r="N979" i="7"/>
  <c r="H979" i="7"/>
  <c r="G979" i="7"/>
  <c r="O978" i="7"/>
  <c r="N978" i="7"/>
  <c r="H978" i="7"/>
  <c r="G978" i="7"/>
  <c r="O977" i="7"/>
  <c r="N977" i="7"/>
  <c r="H977" i="7"/>
  <c r="G977" i="7"/>
  <c r="O976" i="7"/>
  <c r="N976" i="7"/>
  <c r="H976" i="7"/>
  <c r="G976" i="7"/>
  <c r="O975" i="7"/>
  <c r="N975" i="7"/>
  <c r="H975" i="7"/>
  <c r="G975" i="7"/>
  <c r="O974" i="7"/>
  <c r="N974" i="7"/>
  <c r="H974" i="7"/>
  <c r="G974" i="7"/>
  <c r="O973" i="7"/>
  <c r="N973" i="7"/>
  <c r="H973" i="7"/>
  <c r="G973" i="7"/>
  <c r="O972" i="7"/>
  <c r="N972" i="7"/>
  <c r="H972" i="7"/>
  <c r="G972" i="7"/>
  <c r="O971" i="7"/>
  <c r="N971" i="7"/>
  <c r="H971" i="7"/>
  <c r="G971" i="7"/>
  <c r="O970" i="7"/>
  <c r="N970" i="7"/>
  <c r="H970" i="7"/>
  <c r="G970" i="7"/>
  <c r="O969" i="7"/>
  <c r="N969" i="7"/>
  <c r="H969" i="7"/>
  <c r="G969" i="7"/>
  <c r="O968" i="7"/>
  <c r="N968" i="7"/>
  <c r="H968" i="7"/>
  <c r="G968" i="7"/>
  <c r="O967" i="7"/>
  <c r="N967" i="7"/>
  <c r="H967" i="7"/>
  <c r="G967" i="7"/>
  <c r="O966" i="7"/>
  <c r="N966" i="7"/>
  <c r="H966" i="7"/>
  <c r="G966" i="7"/>
  <c r="O965" i="7"/>
  <c r="N965" i="7"/>
  <c r="H965" i="7"/>
  <c r="G965" i="7"/>
  <c r="O964" i="7"/>
  <c r="N964" i="7"/>
  <c r="H964" i="7"/>
  <c r="G964" i="7"/>
  <c r="O963" i="7"/>
  <c r="N963" i="7"/>
  <c r="H963" i="7"/>
  <c r="G963" i="7"/>
  <c r="O962" i="7"/>
  <c r="N962" i="7"/>
  <c r="H962" i="7"/>
  <c r="G962" i="7"/>
  <c r="O961" i="7"/>
  <c r="N961" i="7"/>
  <c r="H961" i="7"/>
  <c r="G961" i="7"/>
  <c r="O960" i="7"/>
  <c r="N960" i="7"/>
  <c r="H960" i="7"/>
  <c r="G960" i="7"/>
  <c r="O959" i="7"/>
  <c r="N959" i="7"/>
  <c r="H959" i="7"/>
  <c r="G959" i="7"/>
  <c r="O958" i="7"/>
  <c r="N958" i="7"/>
  <c r="H958" i="7"/>
  <c r="G958" i="7"/>
  <c r="O957" i="7"/>
  <c r="N957" i="7"/>
  <c r="H957" i="7"/>
  <c r="G957" i="7"/>
  <c r="O956" i="7"/>
  <c r="N956" i="7"/>
  <c r="H956" i="7"/>
  <c r="G956" i="7"/>
  <c r="O955" i="7"/>
  <c r="N955" i="7"/>
  <c r="H955" i="7"/>
  <c r="G955" i="7"/>
  <c r="O954" i="7"/>
  <c r="N954" i="7"/>
  <c r="H954" i="7"/>
  <c r="G954" i="7"/>
  <c r="O953" i="7"/>
  <c r="N953" i="7"/>
  <c r="H953" i="7"/>
  <c r="G953" i="7"/>
  <c r="O952" i="7"/>
  <c r="N952" i="7"/>
  <c r="H952" i="7"/>
  <c r="G952" i="7"/>
  <c r="O951" i="7"/>
  <c r="N951" i="7"/>
  <c r="H951" i="7"/>
  <c r="G951" i="7"/>
  <c r="O950" i="7"/>
  <c r="N950" i="7"/>
  <c r="H950" i="7"/>
  <c r="G950" i="7"/>
  <c r="O949" i="7"/>
  <c r="N949" i="7"/>
  <c r="H949" i="7"/>
  <c r="G949" i="7"/>
  <c r="O948" i="7"/>
  <c r="N948" i="7"/>
  <c r="H948" i="7"/>
  <c r="G948" i="7"/>
  <c r="O947" i="7"/>
  <c r="N947" i="7"/>
  <c r="H947" i="7"/>
  <c r="G947" i="7"/>
  <c r="O946" i="7"/>
  <c r="N946" i="7"/>
  <c r="H946" i="7"/>
  <c r="G946" i="7"/>
  <c r="O945" i="7"/>
  <c r="N945" i="7"/>
  <c r="H945" i="7"/>
  <c r="G945" i="7"/>
  <c r="O944" i="7"/>
  <c r="N944" i="7"/>
  <c r="H944" i="7"/>
  <c r="G944" i="7"/>
  <c r="O943" i="7"/>
  <c r="N943" i="7"/>
  <c r="H943" i="7"/>
  <c r="G943" i="7"/>
  <c r="O942" i="7"/>
  <c r="N942" i="7"/>
  <c r="H942" i="7"/>
  <c r="G942" i="7"/>
  <c r="O941" i="7"/>
  <c r="N941" i="7"/>
  <c r="H941" i="7"/>
  <c r="G941" i="7"/>
  <c r="O940" i="7"/>
  <c r="N940" i="7"/>
  <c r="H940" i="7"/>
  <c r="G940" i="7"/>
  <c r="O939" i="7"/>
  <c r="N939" i="7"/>
  <c r="H939" i="7"/>
  <c r="G939" i="7"/>
  <c r="O938" i="7"/>
  <c r="N938" i="7"/>
  <c r="H938" i="7"/>
  <c r="G938" i="7"/>
  <c r="O937" i="7"/>
  <c r="N937" i="7"/>
  <c r="H937" i="7"/>
  <c r="G937" i="7"/>
  <c r="O936" i="7"/>
  <c r="N936" i="7"/>
  <c r="H936" i="7"/>
  <c r="G936" i="7"/>
  <c r="O935" i="7"/>
  <c r="N935" i="7"/>
  <c r="H935" i="7"/>
  <c r="G935" i="7"/>
  <c r="O934" i="7"/>
  <c r="N934" i="7"/>
  <c r="H934" i="7"/>
  <c r="G934" i="7"/>
  <c r="O933" i="7"/>
  <c r="N933" i="7"/>
  <c r="H933" i="7"/>
  <c r="G933" i="7"/>
  <c r="O932" i="7"/>
  <c r="N932" i="7"/>
  <c r="H932" i="7"/>
  <c r="G932" i="7"/>
  <c r="O931" i="7"/>
  <c r="N931" i="7"/>
  <c r="H931" i="7"/>
  <c r="G931" i="7"/>
  <c r="O930" i="7"/>
  <c r="N930" i="7"/>
  <c r="H930" i="7"/>
  <c r="G930" i="7"/>
  <c r="O929" i="7"/>
  <c r="N929" i="7"/>
  <c r="H929" i="7"/>
  <c r="G929" i="7"/>
  <c r="O928" i="7"/>
  <c r="N928" i="7"/>
  <c r="H928" i="7"/>
  <c r="G928" i="7"/>
  <c r="O927" i="7"/>
  <c r="N927" i="7"/>
  <c r="H927" i="7"/>
  <c r="G927" i="7"/>
  <c r="O926" i="7"/>
  <c r="N926" i="7"/>
  <c r="H926" i="7"/>
  <c r="G926" i="7"/>
  <c r="O925" i="7"/>
  <c r="N925" i="7"/>
  <c r="H925" i="7"/>
  <c r="G925" i="7"/>
  <c r="O924" i="7"/>
  <c r="N924" i="7"/>
  <c r="H924" i="7"/>
  <c r="G924" i="7"/>
  <c r="O923" i="7"/>
  <c r="N923" i="7"/>
  <c r="H923" i="7"/>
  <c r="G923" i="7"/>
  <c r="O922" i="7"/>
  <c r="N922" i="7"/>
  <c r="H922" i="7"/>
  <c r="G922" i="7"/>
  <c r="O921" i="7"/>
  <c r="N921" i="7"/>
  <c r="H921" i="7"/>
  <c r="G921" i="7"/>
  <c r="O920" i="7"/>
  <c r="N920" i="7"/>
  <c r="H920" i="7"/>
  <c r="G920" i="7"/>
  <c r="O919" i="7"/>
  <c r="N919" i="7"/>
  <c r="H919" i="7"/>
  <c r="G919" i="7"/>
  <c r="O918" i="7"/>
  <c r="N918" i="7"/>
  <c r="H918" i="7"/>
  <c r="G918" i="7"/>
  <c r="O917" i="7"/>
  <c r="N917" i="7"/>
  <c r="H917" i="7"/>
  <c r="G917" i="7"/>
  <c r="O916" i="7"/>
  <c r="N916" i="7"/>
  <c r="H916" i="7"/>
  <c r="G916" i="7"/>
  <c r="O915" i="7"/>
  <c r="N915" i="7"/>
  <c r="H915" i="7"/>
  <c r="G915" i="7"/>
  <c r="O914" i="7"/>
  <c r="N914" i="7"/>
  <c r="H914" i="7"/>
  <c r="G914" i="7"/>
  <c r="O913" i="7"/>
  <c r="N913" i="7"/>
  <c r="H913" i="7"/>
  <c r="G913" i="7"/>
  <c r="O912" i="7"/>
  <c r="N912" i="7"/>
  <c r="H912" i="7"/>
  <c r="G912" i="7"/>
  <c r="O911" i="7"/>
  <c r="N911" i="7"/>
  <c r="H911" i="7"/>
  <c r="G911" i="7"/>
  <c r="O910" i="7"/>
  <c r="N910" i="7"/>
  <c r="H910" i="7"/>
  <c r="G910" i="7"/>
  <c r="O909" i="7"/>
  <c r="N909" i="7"/>
  <c r="H909" i="7"/>
  <c r="G909" i="7"/>
  <c r="O908" i="7"/>
  <c r="N908" i="7"/>
  <c r="H908" i="7"/>
  <c r="G908" i="7"/>
  <c r="O907" i="7"/>
  <c r="N907" i="7"/>
  <c r="H907" i="7"/>
  <c r="G907" i="7"/>
  <c r="O906" i="7"/>
  <c r="N906" i="7"/>
  <c r="H906" i="7"/>
  <c r="G906" i="7"/>
  <c r="O905" i="7"/>
  <c r="N905" i="7"/>
  <c r="H905" i="7"/>
  <c r="G905" i="7"/>
  <c r="O904" i="7"/>
  <c r="N904" i="7"/>
  <c r="H904" i="7"/>
  <c r="G904" i="7"/>
  <c r="O903" i="7"/>
  <c r="N903" i="7"/>
  <c r="H903" i="7"/>
  <c r="G903" i="7"/>
  <c r="O902" i="7"/>
  <c r="N902" i="7"/>
  <c r="H902" i="7"/>
  <c r="G902" i="7"/>
  <c r="O901" i="7"/>
  <c r="N901" i="7"/>
  <c r="H901" i="7"/>
  <c r="G901" i="7"/>
  <c r="O900" i="7"/>
  <c r="N900" i="7"/>
  <c r="H900" i="7"/>
  <c r="G900" i="7"/>
  <c r="O899" i="7"/>
  <c r="N899" i="7"/>
  <c r="H899" i="7"/>
  <c r="G899" i="7"/>
  <c r="O898" i="7"/>
  <c r="N898" i="7"/>
  <c r="H898" i="7"/>
  <c r="G898" i="7"/>
  <c r="O897" i="7"/>
  <c r="N897" i="7"/>
  <c r="H897" i="7"/>
  <c r="G897" i="7"/>
  <c r="O896" i="7"/>
  <c r="N896" i="7"/>
  <c r="H896" i="7"/>
  <c r="G896" i="7"/>
  <c r="O895" i="7"/>
  <c r="N895" i="7"/>
  <c r="H895" i="7"/>
  <c r="G895" i="7"/>
  <c r="O894" i="7"/>
  <c r="N894" i="7"/>
  <c r="H894" i="7"/>
  <c r="G894" i="7"/>
  <c r="O893" i="7"/>
  <c r="N893" i="7"/>
  <c r="H893" i="7"/>
  <c r="G893" i="7"/>
  <c r="O892" i="7"/>
  <c r="N892" i="7"/>
  <c r="H892" i="7"/>
  <c r="G892" i="7"/>
  <c r="O891" i="7"/>
  <c r="N891" i="7"/>
  <c r="H891" i="7"/>
  <c r="G891" i="7"/>
  <c r="O890" i="7"/>
  <c r="N890" i="7"/>
  <c r="H890" i="7"/>
  <c r="G890" i="7"/>
  <c r="O889" i="7"/>
  <c r="N889" i="7"/>
  <c r="H889" i="7"/>
  <c r="G889" i="7"/>
  <c r="O888" i="7"/>
  <c r="N888" i="7"/>
  <c r="H888" i="7"/>
  <c r="G888" i="7"/>
  <c r="O887" i="7"/>
  <c r="N887" i="7"/>
  <c r="H887" i="7"/>
  <c r="G887" i="7"/>
  <c r="O886" i="7"/>
  <c r="N886" i="7"/>
  <c r="H886" i="7"/>
  <c r="G886" i="7"/>
  <c r="O885" i="7"/>
  <c r="N885" i="7"/>
  <c r="H885" i="7"/>
  <c r="G885" i="7"/>
  <c r="O884" i="7"/>
  <c r="N884" i="7"/>
  <c r="H884" i="7"/>
  <c r="G884" i="7"/>
  <c r="O883" i="7"/>
  <c r="N883" i="7"/>
  <c r="H883" i="7"/>
  <c r="G883" i="7"/>
  <c r="O882" i="7"/>
  <c r="N882" i="7"/>
  <c r="H882" i="7"/>
  <c r="G882" i="7"/>
  <c r="O881" i="7"/>
  <c r="N881" i="7"/>
  <c r="H881" i="7"/>
  <c r="G881" i="7"/>
  <c r="O880" i="7"/>
  <c r="N880" i="7"/>
  <c r="H880" i="7"/>
  <c r="G880" i="7"/>
  <c r="O879" i="7"/>
  <c r="N879" i="7"/>
  <c r="H879" i="7"/>
  <c r="G879" i="7"/>
  <c r="O878" i="7"/>
  <c r="N878" i="7"/>
  <c r="H878" i="7"/>
  <c r="G878" i="7"/>
  <c r="O877" i="7"/>
  <c r="N877" i="7"/>
  <c r="H877" i="7"/>
  <c r="G877" i="7"/>
  <c r="O876" i="7"/>
  <c r="N876" i="7"/>
  <c r="H876" i="7"/>
  <c r="G876" i="7"/>
  <c r="O875" i="7"/>
  <c r="N875" i="7"/>
  <c r="H875" i="7"/>
  <c r="G875" i="7"/>
  <c r="O874" i="7"/>
  <c r="N874" i="7"/>
  <c r="H874" i="7"/>
  <c r="G874" i="7"/>
  <c r="O873" i="7"/>
  <c r="N873" i="7"/>
  <c r="H873" i="7"/>
  <c r="G873" i="7"/>
  <c r="O872" i="7"/>
  <c r="N872" i="7"/>
  <c r="H872" i="7"/>
  <c r="G872" i="7"/>
  <c r="O871" i="7"/>
  <c r="N871" i="7"/>
  <c r="H871" i="7"/>
  <c r="G871" i="7"/>
  <c r="O870" i="7"/>
  <c r="N870" i="7"/>
  <c r="H870" i="7"/>
  <c r="G870" i="7"/>
  <c r="O869" i="7"/>
  <c r="N869" i="7"/>
  <c r="H869" i="7"/>
  <c r="G869" i="7"/>
  <c r="O868" i="7"/>
  <c r="N868" i="7"/>
  <c r="H868" i="7"/>
  <c r="G868" i="7"/>
  <c r="O867" i="7"/>
  <c r="N867" i="7"/>
  <c r="H867" i="7"/>
  <c r="G867" i="7"/>
  <c r="O866" i="7"/>
  <c r="N866" i="7"/>
  <c r="H866" i="7"/>
  <c r="G866" i="7"/>
  <c r="O865" i="7"/>
  <c r="N865" i="7"/>
  <c r="H865" i="7"/>
  <c r="G865" i="7"/>
  <c r="O864" i="7"/>
  <c r="N864" i="7"/>
  <c r="H864" i="7"/>
  <c r="G864" i="7"/>
  <c r="O863" i="7"/>
  <c r="N863" i="7"/>
  <c r="H863" i="7"/>
  <c r="G863" i="7"/>
  <c r="O862" i="7"/>
  <c r="N862" i="7"/>
  <c r="H862" i="7"/>
  <c r="G862" i="7"/>
  <c r="O861" i="7"/>
  <c r="N861" i="7"/>
  <c r="H861" i="7"/>
  <c r="G861" i="7"/>
  <c r="O860" i="7"/>
  <c r="N860" i="7"/>
  <c r="H860" i="7"/>
  <c r="G860" i="7"/>
  <c r="O859" i="7"/>
  <c r="N859" i="7"/>
  <c r="H859" i="7"/>
  <c r="G859" i="7"/>
  <c r="O858" i="7"/>
  <c r="N858" i="7"/>
  <c r="H858" i="7"/>
  <c r="G858" i="7"/>
  <c r="O857" i="7"/>
  <c r="N857" i="7"/>
  <c r="H857" i="7"/>
  <c r="G857" i="7"/>
  <c r="O856" i="7"/>
  <c r="N856" i="7"/>
  <c r="H856" i="7"/>
  <c r="G856" i="7"/>
  <c r="O855" i="7"/>
  <c r="N855" i="7"/>
  <c r="H855" i="7"/>
  <c r="G855" i="7"/>
  <c r="O854" i="7"/>
  <c r="N854" i="7"/>
  <c r="H854" i="7"/>
  <c r="G854" i="7"/>
  <c r="O853" i="7"/>
  <c r="N853" i="7"/>
  <c r="H853" i="7"/>
  <c r="G853" i="7"/>
  <c r="O852" i="7"/>
  <c r="N852" i="7"/>
  <c r="H852" i="7"/>
  <c r="G852" i="7"/>
  <c r="O851" i="7"/>
  <c r="N851" i="7"/>
  <c r="H851" i="7"/>
  <c r="G851" i="7"/>
  <c r="O850" i="7"/>
  <c r="N850" i="7"/>
  <c r="H850" i="7"/>
  <c r="G850" i="7"/>
  <c r="O849" i="7"/>
  <c r="N849" i="7"/>
  <c r="H849" i="7"/>
  <c r="G849" i="7"/>
  <c r="O848" i="7"/>
  <c r="N848" i="7"/>
  <c r="H848" i="7"/>
  <c r="G848" i="7"/>
  <c r="O847" i="7"/>
  <c r="N847" i="7"/>
  <c r="H847" i="7"/>
  <c r="G847" i="7"/>
  <c r="O846" i="7"/>
  <c r="N846" i="7"/>
  <c r="H846" i="7"/>
  <c r="G846" i="7"/>
  <c r="O845" i="7"/>
  <c r="N845" i="7"/>
  <c r="H845" i="7"/>
  <c r="G845" i="7"/>
  <c r="O844" i="7"/>
  <c r="N844" i="7"/>
  <c r="H844" i="7"/>
  <c r="G844" i="7"/>
  <c r="O843" i="7"/>
  <c r="N843" i="7"/>
  <c r="H843" i="7"/>
  <c r="G843" i="7"/>
  <c r="O842" i="7"/>
  <c r="N842" i="7"/>
  <c r="H842" i="7"/>
  <c r="G842" i="7"/>
  <c r="O841" i="7"/>
  <c r="N841" i="7"/>
  <c r="H841" i="7"/>
  <c r="G841" i="7"/>
  <c r="O840" i="7"/>
  <c r="N840" i="7"/>
  <c r="H840" i="7"/>
  <c r="G840" i="7"/>
  <c r="O839" i="7"/>
  <c r="N839" i="7"/>
  <c r="H839" i="7"/>
  <c r="G839" i="7"/>
  <c r="O838" i="7"/>
  <c r="N838" i="7"/>
  <c r="H838" i="7"/>
  <c r="G838" i="7"/>
  <c r="O837" i="7"/>
  <c r="N837" i="7"/>
  <c r="H837" i="7"/>
  <c r="G837" i="7"/>
  <c r="O836" i="7"/>
  <c r="N836" i="7"/>
  <c r="H836" i="7"/>
  <c r="G836" i="7"/>
  <c r="O835" i="7"/>
  <c r="N835" i="7"/>
  <c r="H835" i="7"/>
  <c r="G835" i="7"/>
  <c r="O834" i="7"/>
  <c r="N834" i="7"/>
  <c r="H834" i="7"/>
  <c r="G834" i="7"/>
  <c r="O833" i="7"/>
  <c r="N833" i="7"/>
  <c r="H833" i="7"/>
  <c r="G833" i="7"/>
  <c r="O832" i="7"/>
  <c r="N832" i="7"/>
  <c r="H832" i="7"/>
  <c r="G832" i="7"/>
  <c r="O831" i="7"/>
  <c r="N831" i="7"/>
  <c r="H831" i="7"/>
  <c r="G831" i="7"/>
  <c r="O830" i="7"/>
  <c r="N830" i="7"/>
  <c r="H830" i="7"/>
  <c r="G830" i="7"/>
  <c r="O829" i="7"/>
  <c r="N829" i="7"/>
  <c r="H829" i="7"/>
  <c r="G829" i="7"/>
  <c r="O828" i="7"/>
  <c r="N828" i="7"/>
  <c r="H828" i="7"/>
  <c r="G828" i="7"/>
  <c r="O827" i="7"/>
  <c r="N827" i="7"/>
  <c r="H827" i="7"/>
  <c r="G827" i="7"/>
  <c r="O826" i="7"/>
  <c r="N826" i="7"/>
  <c r="H826" i="7"/>
  <c r="G826" i="7"/>
  <c r="O825" i="7"/>
  <c r="N825" i="7"/>
  <c r="H825" i="7"/>
  <c r="G825" i="7"/>
  <c r="O824" i="7"/>
  <c r="N824" i="7"/>
  <c r="H824" i="7"/>
  <c r="G824" i="7"/>
  <c r="O823" i="7"/>
  <c r="N823" i="7"/>
  <c r="H823" i="7"/>
  <c r="G823" i="7"/>
  <c r="O822" i="7"/>
  <c r="N822" i="7"/>
  <c r="H822" i="7"/>
  <c r="G822" i="7"/>
  <c r="O821" i="7"/>
  <c r="N821" i="7"/>
  <c r="H821" i="7"/>
  <c r="G821" i="7"/>
  <c r="O820" i="7"/>
  <c r="N820" i="7"/>
  <c r="H820" i="7"/>
  <c r="G820" i="7"/>
  <c r="O819" i="7"/>
  <c r="N819" i="7"/>
  <c r="H819" i="7"/>
  <c r="G819" i="7"/>
  <c r="O818" i="7"/>
  <c r="N818" i="7"/>
  <c r="H818" i="7"/>
  <c r="G818" i="7"/>
  <c r="O817" i="7"/>
  <c r="N817" i="7"/>
  <c r="H817" i="7"/>
  <c r="G817" i="7"/>
  <c r="O816" i="7"/>
  <c r="N816" i="7"/>
  <c r="H816" i="7"/>
  <c r="G816" i="7"/>
  <c r="O815" i="7"/>
  <c r="N815" i="7"/>
  <c r="H815" i="7"/>
  <c r="G815" i="7"/>
  <c r="O814" i="7"/>
  <c r="N814" i="7"/>
  <c r="H814" i="7"/>
  <c r="G814" i="7"/>
  <c r="O813" i="7"/>
  <c r="N813" i="7"/>
  <c r="H813" i="7"/>
  <c r="G813" i="7"/>
  <c r="O812" i="7"/>
  <c r="N812" i="7"/>
  <c r="H812" i="7"/>
  <c r="G812" i="7"/>
  <c r="O811" i="7"/>
  <c r="N811" i="7"/>
  <c r="H811" i="7"/>
  <c r="G811" i="7"/>
  <c r="O810" i="7"/>
  <c r="N810" i="7"/>
  <c r="H810" i="7"/>
  <c r="G810" i="7"/>
  <c r="O809" i="7"/>
  <c r="N809" i="7"/>
  <c r="H809" i="7"/>
  <c r="G809" i="7"/>
  <c r="O808" i="7"/>
  <c r="N808" i="7"/>
  <c r="H808" i="7"/>
  <c r="G808" i="7"/>
  <c r="O807" i="7"/>
  <c r="N807" i="7"/>
  <c r="H807" i="7"/>
  <c r="G807" i="7"/>
  <c r="O806" i="7"/>
  <c r="N806" i="7"/>
  <c r="H806" i="7"/>
  <c r="G806" i="7"/>
  <c r="O805" i="7"/>
  <c r="N805" i="7"/>
  <c r="H805" i="7"/>
  <c r="G805" i="7"/>
  <c r="O804" i="7"/>
  <c r="N804" i="7"/>
  <c r="H804" i="7"/>
  <c r="G804" i="7"/>
  <c r="O803" i="7"/>
  <c r="N803" i="7"/>
  <c r="H803" i="7"/>
  <c r="G803" i="7"/>
  <c r="O802" i="7"/>
  <c r="N802" i="7"/>
  <c r="H802" i="7"/>
  <c r="G802" i="7"/>
  <c r="O801" i="7"/>
  <c r="N801" i="7"/>
  <c r="H801" i="7"/>
  <c r="G801" i="7"/>
  <c r="O800" i="7"/>
  <c r="N800" i="7"/>
  <c r="H800" i="7"/>
  <c r="G800" i="7"/>
  <c r="O799" i="7"/>
  <c r="N799" i="7"/>
  <c r="H799" i="7"/>
  <c r="G799" i="7"/>
  <c r="O798" i="7"/>
  <c r="N798" i="7"/>
  <c r="H798" i="7"/>
  <c r="G798" i="7"/>
  <c r="O797" i="7"/>
  <c r="N797" i="7"/>
  <c r="H797" i="7"/>
  <c r="G797" i="7"/>
  <c r="O796" i="7"/>
  <c r="N796" i="7"/>
  <c r="H796" i="7"/>
  <c r="G796" i="7"/>
  <c r="O795" i="7"/>
  <c r="N795" i="7"/>
  <c r="H795" i="7"/>
  <c r="G795" i="7"/>
  <c r="O794" i="7"/>
  <c r="N794" i="7"/>
  <c r="H794" i="7"/>
  <c r="G794" i="7"/>
  <c r="O793" i="7"/>
  <c r="N793" i="7"/>
  <c r="H793" i="7"/>
  <c r="G793" i="7"/>
  <c r="O792" i="7"/>
  <c r="N792" i="7"/>
  <c r="H792" i="7"/>
  <c r="G792" i="7"/>
  <c r="O791" i="7"/>
  <c r="N791" i="7"/>
  <c r="H791" i="7"/>
  <c r="G791" i="7"/>
  <c r="O790" i="7"/>
  <c r="N790" i="7"/>
  <c r="H790" i="7"/>
  <c r="G790" i="7"/>
  <c r="O789" i="7"/>
  <c r="N789" i="7"/>
  <c r="H789" i="7"/>
  <c r="G789" i="7"/>
  <c r="O788" i="7"/>
  <c r="N788" i="7"/>
  <c r="H788" i="7"/>
  <c r="G788" i="7"/>
  <c r="O787" i="7"/>
  <c r="N787" i="7"/>
  <c r="H787" i="7"/>
  <c r="G787" i="7"/>
  <c r="O786" i="7"/>
  <c r="N786" i="7"/>
  <c r="H786" i="7"/>
  <c r="G786" i="7"/>
  <c r="O785" i="7"/>
  <c r="N785" i="7"/>
  <c r="H785" i="7"/>
  <c r="G785" i="7"/>
  <c r="O784" i="7"/>
  <c r="N784" i="7"/>
  <c r="H784" i="7"/>
  <c r="G784" i="7"/>
  <c r="O783" i="7"/>
  <c r="N783" i="7"/>
  <c r="H783" i="7"/>
  <c r="G783" i="7"/>
  <c r="O782" i="7"/>
  <c r="N782" i="7"/>
  <c r="H782" i="7"/>
  <c r="G782" i="7"/>
  <c r="O781" i="7"/>
  <c r="N781" i="7"/>
  <c r="H781" i="7"/>
  <c r="G781" i="7"/>
  <c r="O780" i="7"/>
  <c r="N780" i="7"/>
  <c r="H780" i="7"/>
  <c r="G780" i="7"/>
  <c r="O779" i="7"/>
  <c r="N779" i="7"/>
  <c r="H779" i="7"/>
  <c r="G779" i="7"/>
  <c r="O778" i="7"/>
  <c r="N778" i="7"/>
  <c r="H778" i="7"/>
  <c r="G778" i="7"/>
  <c r="O777" i="7"/>
  <c r="N777" i="7"/>
  <c r="H777" i="7"/>
  <c r="G777" i="7"/>
  <c r="O776" i="7"/>
  <c r="N776" i="7"/>
  <c r="H776" i="7"/>
  <c r="G776" i="7"/>
  <c r="O775" i="7"/>
  <c r="N775" i="7"/>
  <c r="H775" i="7"/>
  <c r="G775" i="7"/>
  <c r="O774" i="7"/>
  <c r="N774" i="7"/>
  <c r="H774" i="7"/>
  <c r="G774" i="7"/>
  <c r="O773" i="7"/>
  <c r="N773" i="7"/>
  <c r="H773" i="7"/>
  <c r="G773" i="7"/>
  <c r="O772" i="7"/>
  <c r="N772" i="7"/>
  <c r="H772" i="7"/>
  <c r="G772" i="7"/>
  <c r="O771" i="7"/>
  <c r="N771" i="7"/>
  <c r="H771" i="7"/>
  <c r="G771" i="7"/>
  <c r="O770" i="7"/>
  <c r="N770" i="7"/>
  <c r="H770" i="7"/>
  <c r="G770" i="7"/>
  <c r="O769" i="7"/>
  <c r="N769" i="7"/>
  <c r="H769" i="7"/>
  <c r="G769" i="7"/>
  <c r="O768" i="7"/>
  <c r="N768" i="7"/>
  <c r="H768" i="7"/>
  <c r="G768" i="7"/>
  <c r="O767" i="7"/>
  <c r="N767" i="7"/>
  <c r="H767" i="7"/>
  <c r="G767" i="7"/>
  <c r="O766" i="7"/>
  <c r="N766" i="7"/>
  <c r="H766" i="7"/>
  <c r="G766" i="7"/>
  <c r="O765" i="7"/>
  <c r="N765" i="7"/>
  <c r="H765" i="7"/>
  <c r="G765" i="7"/>
  <c r="O764" i="7"/>
  <c r="N764" i="7"/>
  <c r="H764" i="7"/>
  <c r="G764" i="7"/>
  <c r="O763" i="7"/>
  <c r="N763" i="7"/>
  <c r="H763" i="7"/>
  <c r="G763" i="7"/>
  <c r="O762" i="7"/>
  <c r="N762" i="7"/>
  <c r="H762" i="7"/>
  <c r="G762" i="7"/>
  <c r="O761" i="7"/>
  <c r="N761" i="7"/>
  <c r="H761" i="7"/>
  <c r="G761" i="7"/>
  <c r="O760" i="7"/>
  <c r="N760" i="7"/>
  <c r="H760" i="7"/>
  <c r="G760" i="7"/>
  <c r="O759" i="7"/>
  <c r="N759" i="7"/>
  <c r="H759" i="7"/>
  <c r="G759" i="7"/>
  <c r="O758" i="7"/>
  <c r="N758" i="7"/>
  <c r="H758" i="7"/>
  <c r="G758" i="7"/>
  <c r="O757" i="7"/>
  <c r="N757" i="7"/>
  <c r="H757" i="7"/>
  <c r="G757" i="7"/>
  <c r="O756" i="7"/>
  <c r="N756" i="7"/>
  <c r="H756" i="7"/>
  <c r="G756" i="7"/>
  <c r="O755" i="7"/>
  <c r="N755" i="7"/>
  <c r="H755" i="7"/>
  <c r="G755" i="7"/>
  <c r="O754" i="7"/>
  <c r="N754" i="7"/>
  <c r="H754" i="7"/>
  <c r="G754" i="7"/>
  <c r="O753" i="7"/>
  <c r="N753" i="7"/>
  <c r="H753" i="7"/>
  <c r="G753" i="7"/>
  <c r="O752" i="7"/>
  <c r="N752" i="7"/>
  <c r="H752" i="7"/>
  <c r="G752" i="7"/>
  <c r="O751" i="7"/>
  <c r="N751" i="7"/>
  <c r="H751" i="7"/>
  <c r="G751" i="7"/>
  <c r="O750" i="7"/>
  <c r="N750" i="7"/>
  <c r="H750" i="7"/>
  <c r="G750" i="7"/>
  <c r="O749" i="7"/>
  <c r="N749" i="7"/>
  <c r="H749" i="7"/>
  <c r="G749" i="7"/>
  <c r="O748" i="7"/>
  <c r="N748" i="7"/>
  <c r="H748" i="7"/>
  <c r="G748" i="7"/>
  <c r="O747" i="7"/>
  <c r="N747" i="7"/>
  <c r="H747" i="7"/>
  <c r="G747" i="7"/>
  <c r="O746" i="7"/>
  <c r="N746" i="7"/>
  <c r="H746" i="7"/>
  <c r="G746" i="7"/>
  <c r="O745" i="7"/>
  <c r="N745" i="7"/>
  <c r="H745" i="7"/>
  <c r="G745" i="7"/>
  <c r="O744" i="7"/>
  <c r="N744" i="7"/>
  <c r="H744" i="7"/>
  <c r="G744" i="7"/>
  <c r="O743" i="7"/>
  <c r="N743" i="7"/>
  <c r="H743" i="7"/>
  <c r="G743" i="7"/>
  <c r="O742" i="7"/>
  <c r="N742" i="7"/>
  <c r="H742" i="7"/>
  <c r="G742" i="7"/>
  <c r="O741" i="7"/>
  <c r="N741" i="7"/>
  <c r="H741" i="7"/>
  <c r="G741" i="7"/>
  <c r="O740" i="7"/>
  <c r="N740" i="7"/>
  <c r="H740" i="7"/>
  <c r="G740" i="7"/>
  <c r="O739" i="7"/>
  <c r="N739" i="7"/>
  <c r="H739" i="7"/>
  <c r="G739" i="7"/>
  <c r="O738" i="7"/>
  <c r="N738" i="7"/>
  <c r="H738" i="7"/>
  <c r="G738" i="7"/>
  <c r="O737" i="7"/>
  <c r="N737" i="7"/>
  <c r="H737" i="7"/>
  <c r="G737" i="7"/>
  <c r="O736" i="7"/>
  <c r="N736" i="7"/>
  <c r="H736" i="7"/>
  <c r="G736" i="7"/>
  <c r="O735" i="7"/>
  <c r="N735" i="7"/>
  <c r="H735" i="7"/>
  <c r="G735" i="7"/>
  <c r="O734" i="7"/>
  <c r="N734" i="7"/>
  <c r="H734" i="7"/>
  <c r="G734" i="7"/>
  <c r="O733" i="7"/>
  <c r="N733" i="7"/>
  <c r="H733" i="7"/>
  <c r="G733" i="7"/>
  <c r="O732" i="7"/>
  <c r="N732" i="7"/>
  <c r="H732" i="7"/>
  <c r="G732" i="7"/>
  <c r="O731" i="7"/>
  <c r="N731" i="7"/>
  <c r="H731" i="7"/>
  <c r="G731" i="7"/>
  <c r="O730" i="7"/>
  <c r="N730" i="7"/>
  <c r="H730" i="7"/>
  <c r="G730" i="7"/>
  <c r="O729" i="7"/>
  <c r="N729" i="7"/>
  <c r="H729" i="7"/>
  <c r="G729" i="7"/>
  <c r="O728" i="7"/>
  <c r="N728" i="7"/>
  <c r="H728" i="7"/>
  <c r="G728" i="7"/>
  <c r="O727" i="7"/>
  <c r="N727" i="7"/>
  <c r="H727" i="7"/>
  <c r="G727" i="7"/>
  <c r="O726" i="7"/>
  <c r="N726" i="7"/>
  <c r="H726" i="7"/>
  <c r="G726" i="7"/>
  <c r="O725" i="7"/>
  <c r="N725" i="7"/>
  <c r="H725" i="7"/>
  <c r="G725" i="7"/>
  <c r="O724" i="7"/>
  <c r="N724" i="7"/>
  <c r="H724" i="7"/>
  <c r="G724" i="7"/>
  <c r="O723" i="7"/>
  <c r="N723" i="7"/>
  <c r="H723" i="7"/>
  <c r="G723" i="7"/>
  <c r="O722" i="7"/>
  <c r="N722" i="7"/>
  <c r="H722" i="7"/>
  <c r="G722" i="7"/>
  <c r="O721" i="7"/>
  <c r="N721" i="7"/>
  <c r="H721" i="7"/>
  <c r="G721" i="7"/>
  <c r="O720" i="7"/>
  <c r="N720" i="7"/>
  <c r="H720" i="7"/>
  <c r="G720" i="7"/>
  <c r="O719" i="7"/>
  <c r="N719" i="7"/>
  <c r="H719" i="7"/>
  <c r="G719" i="7"/>
  <c r="O718" i="7"/>
  <c r="N718" i="7"/>
  <c r="H718" i="7"/>
  <c r="G718" i="7"/>
  <c r="O717" i="7"/>
  <c r="N717" i="7"/>
  <c r="H717" i="7"/>
  <c r="G717" i="7"/>
  <c r="O716" i="7"/>
  <c r="N716" i="7"/>
  <c r="H716" i="7"/>
  <c r="G716" i="7"/>
  <c r="O715" i="7"/>
  <c r="N715" i="7"/>
  <c r="H715" i="7"/>
  <c r="G715" i="7"/>
  <c r="O714" i="7"/>
  <c r="N714" i="7"/>
  <c r="H714" i="7"/>
  <c r="G714" i="7"/>
  <c r="O713" i="7"/>
  <c r="N713" i="7"/>
  <c r="H713" i="7"/>
  <c r="G713" i="7"/>
  <c r="O712" i="7"/>
  <c r="N712" i="7"/>
  <c r="H712" i="7"/>
  <c r="G712" i="7"/>
  <c r="O711" i="7"/>
  <c r="N711" i="7"/>
  <c r="H711" i="7"/>
  <c r="G711" i="7"/>
  <c r="O710" i="7"/>
  <c r="N710" i="7"/>
  <c r="H710" i="7"/>
  <c r="G710" i="7"/>
  <c r="O709" i="7"/>
  <c r="N709" i="7"/>
  <c r="H709" i="7"/>
  <c r="G709" i="7"/>
  <c r="O708" i="7"/>
  <c r="N708" i="7"/>
  <c r="H708" i="7"/>
  <c r="G708" i="7"/>
  <c r="O707" i="7"/>
  <c r="N707" i="7"/>
  <c r="H707" i="7"/>
  <c r="G707" i="7"/>
  <c r="O706" i="7"/>
  <c r="N706" i="7"/>
  <c r="H706" i="7"/>
  <c r="G706" i="7"/>
  <c r="O705" i="7"/>
  <c r="N705" i="7"/>
  <c r="H705" i="7"/>
  <c r="G705" i="7"/>
  <c r="O704" i="7"/>
  <c r="N704" i="7"/>
  <c r="H704" i="7"/>
  <c r="G704" i="7"/>
  <c r="O703" i="7"/>
  <c r="N703" i="7"/>
  <c r="H703" i="7"/>
  <c r="G703" i="7"/>
  <c r="O702" i="7"/>
  <c r="N702" i="7"/>
  <c r="H702" i="7"/>
  <c r="G702" i="7"/>
  <c r="O701" i="7"/>
  <c r="N701" i="7"/>
  <c r="H701" i="7"/>
  <c r="G701" i="7"/>
  <c r="O700" i="7"/>
  <c r="N700" i="7"/>
  <c r="H700" i="7"/>
  <c r="G700" i="7"/>
  <c r="O699" i="7"/>
  <c r="N699" i="7"/>
  <c r="H699" i="7"/>
  <c r="G699" i="7"/>
  <c r="O698" i="7"/>
  <c r="N698" i="7"/>
  <c r="H698" i="7"/>
  <c r="G698" i="7"/>
  <c r="O697" i="7"/>
  <c r="N697" i="7"/>
  <c r="H697" i="7"/>
  <c r="G697" i="7"/>
  <c r="O696" i="7"/>
  <c r="N696" i="7"/>
  <c r="H696" i="7"/>
  <c r="G696" i="7"/>
  <c r="O695" i="7"/>
  <c r="N695" i="7"/>
  <c r="H695" i="7"/>
  <c r="G695" i="7"/>
  <c r="O694" i="7"/>
  <c r="N694" i="7"/>
  <c r="H694" i="7"/>
  <c r="G694" i="7"/>
  <c r="O693" i="7"/>
  <c r="N693" i="7"/>
  <c r="H693" i="7"/>
  <c r="G693" i="7"/>
  <c r="O692" i="7"/>
  <c r="N692" i="7"/>
  <c r="H692" i="7"/>
  <c r="G692" i="7"/>
  <c r="O691" i="7"/>
  <c r="N691" i="7"/>
  <c r="H691" i="7"/>
  <c r="G691" i="7"/>
  <c r="O690" i="7"/>
  <c r="N690" i="7"/>
  <c r="H690" i="7"/>
  <c r="G690" i="7"/>
  <c r="O689" i="7"/>
  <c r="N689" i="7"/>
  <c r="H689" i="7"/>
  <c r="G689" i="7"/>
  <c r="O688" i="7"/>
  <c r="N688" i="7"/>
  <c r="H688" i="7"/>
  <c r="G688" i="7"/>
  <c r="O687" i="7"/>
  <c r="N687" i="7"/>
  <c r="H687" i="7"/>
  <c r="G687" i="7"/>
  <c r="O686" i="7"/>
  <c r="N686" i="7"/>
  <c r="H686" i="7"/>
  <c r="G686" i="7"/>
  <c r="O685" i="7"/>
  <c r="N685" i="7"/>
  <c r="H685" i="7"/>
  <c r="G685" i="7"/>
  <c r="O684" i="7"/>
  <c r="N684" i="7"/>
  <c r="H684" i="7"/>
  <c r="G684" i="7"/>
  <c r="O683" i="7"/>
  <c r="N683" i="7"/>
  <c r="H683" i="7"/>
  <c r="G683" i="7"/>
  <c r="O682" i="7"/>
  <c r="N682" i="7"/>
  <c r="H682" i="7"/>
  <c r="G682" i="7"/>
  <c r="O681" i="7"/>
  <c r="N681" i="7"/>
  <c r="H681" i="7"/>
  <c r="G681" i="7"/>
  <c r="O680" i="7"/>
  <c r="N680" i="7"/>
  <c r="H680" i="7"/>
  <c r="G680" i="7"/>
  <c r="O679" i="7"/>
  <c r="N679" i="7"/>
  <c r="H679" i="7"/>
  <c r="G679" i="7"/>
  <c r="O678" i="7"/>
  <c r="N678" i="7"/>
  <c r="H678" i="7"/>
  <c r="G678" i="7"/>
  <c r="O677" i="7"/>
  <c r="N677" i="7"/>
  <c r="H677" i="7"/>
  <c r="G677" i="7"/>
  <c r="O676" i="7"/>
  <c r="N676" i="7"/>
  <c r="H676" i="7"/>
  <c r="G676" i="7"/>
  <c r="O675" i="7"/>
  <c r="N675" i="7"/>
  <c r="H675" i="7"/>
  <c r="G675" i="7"/>
  <c r="O674" i="7"/>
  <c r="N674" i="7"/>
  <c r="H674" i="7"/>
  <c r="G674" i="7"/>
  <c r="O673" i="7"/>
  <c r="N673" i="7"/>
  <c r="H673" i="7"/>
  <c r="G673" i="7"/>
  <c r="O672" i="7"/>
  <c r="N672" i="7"/>
  <c r="H672" i="7"/>
  <c r="G672" i="7"/>
  <c r="O671" i="7"/>
  <c r="N671" i="7"/>
  <c r="H671" i="7"/>
  <c r="G671" i="7"/>
  <c r="O670" i="7"/>
  <c r="N670" i="7"/>
  <c r="H670" i="7"/>
  <c r="G670" i="7"/>
  <c r="O669" i="7"/>
  <c r="N669" i="7"/>
  <c r="H669" i="7"/>
  <c r="G669" i="7"/>
  <c r="O668" i="7"/>
  <c r="N668" i="7"/>
  <c r="H668" i="7"/>
  <c r="G668" i="7"/>
  <c r="O667" i="7"/>
  <c r="N667" i="7"/>
  <c r="H667" i="7"/>
  <c r="G667" i="7"/>
  <c r="O666" i="7"/>
  <c r="N666" i="7"/>
  <c r="H666" i="7"/>
  <c r="G666" i="7"/>
  <c r="O665" i="7"/>
  <c r="N665" i="7"/>
  <c r="H665" i="7"/>
  <c r="G665" i="7"/>
  <c r="O664" i="7"/>
  <c r="N664" i="7"/>
  <c r="H664" i="7"/>
  <c r="G664" i="7"/>
  <c r="O663" i="7"/>
  <c r="N663" i="7"/>
  <c r="H663" i="7"/>
  <c r="G663" i="7"/>
  <c r="O662" i="7"/>
  <c r="N662" i="7"/>
  <c r="H662" i="7"/>
  <c r="G662" i="7"/>
  <c r="O661" i="7"/>
  <c r="N661" i="7"/>
  <c r="H661" i="7"/>
  <c r="G661" i="7"/>
  <c r="O660" i="7"/>
  <c r="N660" i="7"/>
  <c r="H660" i="7"/>
  <c r="G660" i="7"/>
  <c r="O659" i="7"/>
  <c r="N659" i="7"/>
  <c r="H659" i="7"/>
  <c r="G659" i="7"/>
  <c r="O658" i="7"/>
  <c r="N658" i="7"/>
  <c r="H658" i="7"/>
  <c r="G658" i="7"/>
  <c r="O657" i="7"/>
  <c r="N657" i="7"/>
  <c r="H657" i="7"/>
  <c r="G657" i="7"/>
  <c r="O656" i="7"/>
  <c r="N656" i="7"/>
  <c r="H656" i="7"/>
  <c r="G656" i="7"/>
  <c r="O655" i="7"/>
  <c r="N655" i="7"/>
  <c r="H655" i="7"/>
  <c r="G655" i="7"/>
  <c r="O654" i="7"/>
  <c r="N654" i="7"/>
  <c r="H654" i="7"/>
  <c r="G654" i="7"/>
  <c r="O653" i="7"/>
  <c r="N653" i="7"/>
  <c r="H653" i="7"/>
  <c r="G653" i="7"/>
  <c r="O652" i="7"/>
  <c r="N652" i="7"/>
  <c r="H652" i="7"/>
  <c r="G652" i="7"/>
  <c r="O651" i="7"/>
  <c r="N651" i="7"/>
  <c r="H651" i="7"/>
  <c r="G651" i="7"/>
  <c r="O650" i="7"/>
  <c r="N650" i="7"/>
  <c r="H650" i="7"/>
  <c r="G650" i="7"/>
  <c r="O649" i="7"/>
  <c r="N649" i="7"/>
  <c r="H649" i="7"/>
  <c r="G649" i="7"/>
  <c r="O648" i="7"/>
  <c r="N648" i="7"/>
  <c r="H648" i="7"/>
  <c r="G648" i="7"/>
  <c r="O647" i="7"/>
  <c r="N647" i="7"/>
  <c r="H647" i="7"/>
  <c r="G647" i="7"/>
  <c r="O646" i="7"/>
  <c r="N646" i="7"/>
  <c r="H646" i="7"/>
  <c r="G646" i="7"/>
  <c r="O645" i="7"/>
  <c r="N645" i="7"/>
  <c r="H645" i="7"/>
  <c r="G645" i="7"/>
  <c r="O644" i="7"/>
  <c r="N644" i="7"/>
  <c r="H644" i="7"/>
  <c r="G644" i="7"/>
  <c r="O643" i="7"/>
  <c r="N643" i="7"/>
  <c r="H643" i="7"/>
  <c r="G643" i="7"/>
  <c r="O642" i="7"/>
  <c r="N642" i="7"/>
  <c r="H642" i="7"/>
  <c r="G642" i="7"/>
  <c r="O641" i="7"/>
  <c r="N641" i="7"/>
  <c r="H641" i="7"/>
  <c r="G641" i="7"/>
  <c r="O640" i="7"/>
  <c r="N640" i="7"/>
  <c r="H640" i="7"/>
  <c r="G640" i="7"/>
  <c r="O639" i="7"/>
  <c r="N639" i="7"/>
  <c r="H639" i="7"/>
  <c r="G639" i="7"/>
  <c r="O638" i="7"/>
  <c r="N638" i="7"/>
  <c r="H638" i="7"/>
  <c r="G638" i="7"/>
  <c r="O637" i="7"/>
  <c r="N637" i="7"/>
  <c r="H637" i="7"/>
  <c r="G637" i="7"/>
  <c r="O636" i="7"/>
  <c r="N636" i="7"/>
  <c r="H636" i="7"/>
  <c r="G636" i="7"/>
  <c r="O635" i="7"/>
  <c r="N635" i="7"/>
  <c r="H635" i="7"/>
  <c r="G635" i="7"/>
  <c r="O634" i="7"/>
  <c r="N634" i="7"/>
  <c r="H634" i="7"/>
  <c r="G634" i="7"/>
  <c r="O633" i="7"/>
  <c r="N633" i="7"/>
  <c r="H633" i="7"/>
  <c r="G633" i="7"/>
  <c r="O632" i="7"/>
  <c r="N632" i="7"/>
  <c r="H632" i="7"/>
  <c r="G632" i="7"/>
  <c r="O631" i="7"/>
  <c r="N631" i="7"/>
  <c r="H631" i="7"/>
  <c r="G631" i="7"/>
  <c r="O630" i="7"/>
  <c r="N630" i="7"/>
  <c r="H630" i="7"/>
  <c r="G630" i="7"/>
  <c r="O629" i="7"/>
  <c r="N629" i="7"/>
  <c r="H629" i="7"/>
  <c r="G629" i="7"/>
  <c r="O628" i="7"/>
  <c r="N628" i="7"/>
  <c r="H628" i="7"/>
  <c r="G628" i="7"/>
  <c r="O627" i="7"/>
  <c r="N627" i="7"/>
  <c r="H627" i="7"/>
  <c r="G627" i="7"/>
  <c r="O626" i="7"/>
  <c r="N626" i="7"/>
  <c r="H626" i="7"/>
  <c r="G626" i="7"/>
  <c r="O625" i="7"/>
  <c r="N625" i="7"/>
  <c r="H625" i="7"/>
  <c r="G625" i="7"/>
  <c r="O624" i="7"/>
  <c r="N624" i="7"/>
  <c r="H624" i="7"/>
  <c r="G624" i="7"/>
  <c r="O623" i="7"/>
  <c r="N623" i="7"/>
  <c r="H623" i="7"/>
  <c r="G623" i="7"/>
  <c r="O622" i="7"/>
  <c r="N622" i="7"/>
  <c r="H622" i="7"/>
  <c r="G622" i="7"/>
  <c r="O621" i="7"/>
  <c r="N621" i="7"/>
  <c r="H621" i="7"/>
  <c r="G621" i="7"/>
  <c r="O620" i="7"/>
  <c r="N620" i="7"/>
  <c r="H620" i="7"/>
  <c r="G620" i="7"/>
  <c r="O619" i="7"/>
  <c r="N619" i="7"/>
  <c r="H619" i="7"/>
  <c r="G619" i="7"/>
  <c r="O618" i="7"/>
  <c r="N618" i="7"/>
  <c r="H618" i="7"/>
  <c r="G618" i="7"/>
  <c r="O617" i="7"/>
  <c r="N617" i="7"/>
  <c r="H617" i="7"/>
  <c r="G617" i="7"/>
  <c r="O616" i="7"/>
  <c r="N616" i="7"/>
  <c r="H616" i="7"/>
  <c r="G616" i="7"/>
  <c r="O615" i="7"/>
  <c r="N615" i="7"/>
  <c r="H615" i="7"/>
  <c r="G615" i="7"/>
  <c r="O614" i="7"/>
  <c r="N614" i="7"/>
  <c r="H614" i="7"/>
  <c r="G614" i="7"/>
  <c r="O613" i="7"/>
  <c r="N613" i="7"/>
  <c r="H613" i="7"/>
  <c r="G613" i="7"/>
  <c r="O612" i="7"/>
  <c r="N612" i="7"/>
  <c r="H612" i="7"/>
  <c r="G612" i="7"/>
  <c r="O611" i="7"/>
  <c r="N611" i="7"/>
  <c r="H611" i="7"/>
  <c r="G611" i="7"/>
  <c r="O610" i="7"/>
  <c r="N610" i="7"/>
  <c r="H610" i="7"/>
  <c r="G610" i="7"/>
  <c r="O609" i="7"/>
  <c r="N609" i="7"/>
  <c r="H609" i="7"/>
  <c r="G609" i="7"/>
  <c r="O608" i="7"/>
  <c r="N608" i="7"/>
  <c r="H608" i="7"/>
  <c r="G608" i="7"/>
  <c r="O607" i="7"/>
  <c r="N607" i="7"/>
  <c r="H607" i="7"/>
  <c r="G607" i="7"/>
  <c r="O606" i="7"/>
  <c r="N606" i="7"/>
  <c r="H606" i="7"/>
  <c r="G606" i="7"/>
  <c r="O605" i="7"/>
  <c r="N605" i="7"/>
  <c r="H605" i="7"/>
  <c r="G605" i="7"/>
  <c r="O604" i="7"/>
  <c r="N604" i="7"/>
  <c r="H604" i="7"/>
  <c r="G604" i="7"/>
  <c r="O603" i="7"/>
  <c r="N603" i="7"/>
  <c r="H603" i="7"/>
  <c r="G603" i="7"/>
  <c r="O602" i="7"/>
  <c r="N602" i="7"/>
  <c r="H602" i="7"/>
  <c r="G602" i="7"/>
  <c r="O601" i="7"/>
  <c r="N601" i="7"/>
  <c r="H601" i="7"/>
  <c r="G601" i="7"/>
  <c r="O600" i="7"/>
  <c r="N600" i="7"/>
  <c r="H600" i="7"/>
  <c r="G600" i="7"/>
  <c r="O599" i="7"/>
  <c r="N599" i="7"/>
  <c r="H599" i="7"/>
  <c r="G599" i="7"/>
  <c r="O598" i="7"/>
  <c r="N598" i="7"/>
  <c r="H598" i="7"/>
  <c r="G598" i="7"/>
  <c r="O597" i="7"/>
  <c r="N597" i="7"/>
  <c r="H597" i="7"/>
  <c r="G597" i="7"/>
  <c r="O596" i="7"/>
  <c r="N596" i="7"/>
  <c r="H596" i="7"/>
  <c r="G596" i="7"/>
  <c r="O595" i="7"/>
  <c r="N595" i="7"/>
  <c r="H595" i="7"/>
  <c r="G595" i="7"/>
  <c r="O594" i="7"/>
  <c r="N594" i="7"/>
  <c r="H594" i="7"/>
  <c r="G594" i="7"/>
  <c r="O593" i="7"/>
  <c r="N593" i="7"/>
  <c r="H593" i="7"/>
  <c r="G593" i="7"/>
  <c r="O592" i="7"/>
  <c r="N592" i="7"/>
  <c r="H592" i="7"/>
  <c r="G592" i="7"/>
  <c r="O591" i="7"/>
  <c r="N591" i="7"/>
  <c r="H591" i="7"/>
  <c r="G591" i="7"/>
  <c r="O590" i="7"/>
  <c r="N590" i="7"/>
  <c r="H590" i="7"/>
  <c r="G590" i="7"/>
  <c r="O589" i="7"/>
  <c r="N589" i="7"/>
  <c r="H589" i="7"/>
  <c r="G589" i="7"/>
  <c r="O588" i="7"/>
  <c r="N588" i="7"/>
  <c r="H588" i="7"/>
  <c r="G588" i="7"/>
  <c r="O587" i="7"/>
  <c r="N587" i="7"/>
  <c r="H587" i="7"/>
  <c r="G587" i="7"/>
  <c r="O586" i="7"/>
  <c r="N586" i="7"/>
  <c r="H586" i="7"/>
  <c r="G586" i="7"/>
  <c r="O585" i="7"/>
  <c r="N585" i="7"/>
  <c r="H585" i="7"/>
  <c r="G585" i="7"/>
  <c r="O584" i="7"/>
  <c r="N584" i="7"/>
  <c r="H584" i="7"/>
  <c r="G584" i="7"/>
  <c r="O583" i="7"/>
  <c r="N583" i="7"/>
  <c r="H583" i="7"/>
  <c r="G583" i="7"/>
  <c r="O582" i="7"/>
  <c r="N582" i="7"/>
  <c r="H582" i="7"/>
  <c r="G582" i="7"/>
  <c r="O581" i="7"/>
  <c r="N581" i="7"/>
  <c r="H581" i="7"/>
  <c r="G581" i="7"/>
  <c r="O580" i="7"/>
  <c r="N580" i="7"/>
  <c r="H580" i="7"/>
  <c r="G580" i="7"/>
  <c r="O579" i="7"/>
  <c r="N579" i="7"/>
  <c r="H579" i="7"/>
  <c r="G579" i="7"/>
  <c r="O578" i="7"/>
  <c r="N578" i="7"/>
  <c r="H578" i="7"/>
  <c r="G578" i="7"/>
  <c r="O577" i="7"/>
  <c r="N577" i="7"/>
  <c r="H577" i="7"/>
  <c r="G577" i="7"/>
  <c r="O576" i="7"/>
  <c r="N576" i="7"/>
  <c r="H576" i="7"/>
  <c r="G576" i="7"/>
  <c r="O575" i="7"/>
  <c r="N575" i="7"/>
  <c r="H575" i="7"/>
  <c r="G575" i="7"/>
  <c r="O574" i="7"/>
  <c r="N574" i="7"/>
  <c r="H574" i="7"/>
  <c r="G574" i="7"/>
  <c r="O573" i="7"/>
  <c r="N573" i="7"/>
  <c r="H573" i="7"/>
  <c r="G573" i="7"/>
  <c r="O572" i="7"/>
  <c r="N572" i="7"/>
  <c r="H572" i="7"/>
  <c r="G572" i="7"/>
  <c r="O571" i="7"/>
  <c r="N571" i="7"/>
  <c r="H571" i="7"/>
  <c r="G571" i="7"/>
  <c r="O570" i="7"/>
  <c r="N570" i="7"/>
  <c r="H570" i="7"/>
  <c r="G570" i="7"/>
  <c r="O569" i="7"/>
  <c r="N569" i="7"/>
  <c r="H569" i="7"/>
  <c r="G569" i="7"/>
  <c r="O568" i="7"/>
  <c r="N568" i="7"/>
  <c r="H568" i="7"/>
  <c r="G568" i="7"/>
  <c r="O567" i="7"/>
  <c r="N567" i="7"/>
  <c r="H567" i="7"/>
  <c r="G567" i="7"/>
  <c r="O566" i="7"/>
  <c r="N566" i="7"/>
  <c r="H566" i="7"/>
  <c r="G566" i="7"/>
  <c r="O565" i="7"/>
  <c r="N565" i="7"/>
  <c r="H565" i="7"/>
  <c r="G565" i="7"/>
  <c r="O564" i="7"/>
  <c r="N564" i="7"/>
  <c r="H564" i="7"/>
  <c r="G564" i="7"/>
  <c r="O563" i="7"/>
  <c r="N563" i="7"/>
  <c r="H563" i="7"/>
  <c r="G563" i="7"/>
  <c r="O562" i="7"/>
  <c r="N562" i="7"/>
  <c r="H562" i="7"/>
  <c r="G562" i="7"/>
  <c r="O561" i="7"/>
  <c r="N561" i="7"/>
  <c r="H561" i="7"/>
  <c r="G561" i="7"/>
  <c r="O560" i="7"/>
  <c r="N560" i="7"/>
  <c r="H560" i="7"/>
  <c r="G560" i="7"/>
  <c r="O559" i="7"/>
  <c r="N559" i="7"/>
  <c r="H559" i="7"/>
  <c r="G559" i="7"/>
  <c r="O558" i="7"/>
  <c r="N558" i="7"/>
  <c r="H558" i="7"/>
  <c r="G558" i="7"/>
  <c r="O557" i="7"/>
  <c r="N557" i="7"/>
  <c r="H557" i="7"/>
  <c r="G557" i="7"/>
  <c r="O556" i="7"/>
  <c r="N556" i="7"/>
  <c r="H556" i="7"/>
  <c r="G556" i="7"/>
  <c r="O555" i="7"/>
  <c r="N555" i="7"/>
  <c r="H555" i="7"/>
  <c r="G555" i="7"/>
  <c r="O554" i="7"/>
  <c r="N554" i="7"/>
  <c r="H554" i="7"/>
  <c r="G554" i="7"/>
  <c r="O553" i="7"/>
  <c r="N553" i="7"/>
  <c r="H553" i="7"/>
  <c r="G553" i="7"/>
  <c r="O552" i="7"/>
  <c r="N552" i="7"/>
  <c r="H552" i="7"/>
  <c r="G552" i="7"/>
  <c r="O551" i="7"/>
  <c r="N551" i="7"/>
  <c r="H551" i="7"/>
  <c r="G551" i="7"/>
  <c r="O550" i="7"/>
  <c r="N550" i="7"/>
  <c r="H550" i="7"/>
  <c r="G550" i="7"/>
  <c r="O549" i="7"/>
  <c r="N549" i="7"/>
  <c r="H549" i="7"/>
  <c r="G549" i="7"/>
  <c r="O548" i="7"/>
  <c r="N548" i="7"/>
  <c r="H548" i="7"/>
  <c r="G548" i="7"/>
  <c r="O547" i="7"/>
  <c r="N547" i="7"/>
  <c r="H547" i="7"/>
  <c r="G547" i="7"/>
  <c r="O546" i="7"/>
  <c r="N546" i="7"/>
  <c r="H546" i="7"/>
  <c r="G546" i="7"/>
  <c r="O545" i="7"/>
  <c r="N545" i="7"/>
  <c r="H545" i="7"/>
  <c r="G545" i="7"/>
  <c r="O544" i="7"/>
  <c r="N544" i="7"/>
  <c r="H544" i="7"/>
  <c r="G544" i="7"/>
  <c r="O543" i="7"/>
  <c r="N543" i="7"/>
  <c r="H543" i="7"/>
  <c r="G543" i="7"/>
  <c r="O542" i="7"/>
  <c r="N542" i="7"/>
  <c r="H542" i="7"/>
  <c r="G542" i="7"/>
  <c r="O541" i="7"/>
  <c r="N541" i="7"/>
  <c r="H541" i="7"/>
  <c r="G541" i="7"/>
  <c r="O540" i="7"/>
  <c r="N540" i="7"/>
  <c r="H540" i="7"/>
  <c r="G540" i="7"/>
  <c r="O539" i="7"/>
  <c r="N539" i="7"/>
  <c r="H539" i="7"/>
  <c r="G539" i="7"/>
  <c r="O538" i="7"/>
  <c r="N538" i="7"/>
  <c r="H538" i="7"/>
  <c r="G538" i="7"/>
  <c r="O537" i="7"/>
  <c r="N537" i="7"/>
  <c r="H537" i="7"/>
  <c r="G537" i="7"/>
  <c r="O536" i="7"/>
  <c r="N536" i="7"/>
  <c r="H536" i="7"/>
  <c r="G536" i="7"/>
  <c r="O535" i="7"/>
  <c r="N535" i="7"/>
  <c r="H535" i="7"/>
  <c r="G535" i="7"/>
  <c r="O534" i="7"/>
  <c r="N534" i="7"/>
  <c r="H534" i="7"/>
  <c r="G534" i="7"/>
  <c r="O533" i="7"/>
  <c r="N533" i="7"/>
  <c r="H533" i="7"/>
  <c r="G533" i="7"/>
  <c r="O532" i="7"/>
  <c r="N532" i="7"/>
  <c r="H532" i="7"/>
  <c r="G532" i="7"/>
  <c r="O531" i="7"/>
  <c r="N531" i="7"/>
  <c r="H531" i="7"/>
  <c r="G531" i="7"/>
  <c r="O530" i="7"/>
  <c r="N530" i="7"/>
  <c r="H530" i="7"/>
  <c r="G530" i="7"/>
  <c r="O529" i="7"/>
  <c r="N529" i="7"/>
  <c r="H529" i="7"/>
  <c r="G529" i="7"/>
  <c r="O528" i="7"/>
  <c r="N528" i="7"/>
  <c r="H528" i="7"/>
  <c r="G528" i="7"/>
  <c r="O527" i="7"/>
  <c r="N527" i="7"/>
  <c r="H527" i="7"/>
  <c r="G527" i="7"/>
  <c r="O526" i="7"/>
  <c r="N526" i="7"/>
  <c r="H526" i="7"/>
  <c r="G526" i="7"/>
  <c r="O525" i="7"/>
  <c r="N525" i="7"/>
  <c r="H525" i="7"/>
  <c r="G525" i="7"/>
  <c r="O524" i="7"/>
  <c r="N524" i="7"/>
  <c r="H524" i="7"/>
  <c r="G524" i="7"/>
  <c r="O523" i="7"/>
  <c r="N523" i="7"/>
  <c r="H523" i="7"/>
  <c r="G523" i="7"/>
  <c r="O522" i="7"/>
  <c r="N522" i="7"/>
  <c r="H522" i="7"/>
  <c r="G522" i="7"/>
  <c r="O521" i="7"/>
  <c r="N521" i="7"/>
  <c r="H521" i="7"/>
  <c r="G521" i="7"/>
  <c r="O520" i="7"/>
  <c r="N520" i="7"/>
  <c r="H520" i="7"/>
  <c r="G520" i="7"/>
  <c r="O519" i="7"/>
  <c r="N519" i="7"/>
  <c r="H519" i="7"/>
  <c r="G519" i="7"/>
  <c r="O518" i="7"/>
  <c r="N518" i="7"/>
  <c r="H518" i="7"/>
  <c r="G518" i="7"/>
  <c r="O517" i="7"/>
  <c r="N517" i="7"/>
  <c r="H517" i="7"/>
  <c r="G517" i="7"/>
  <c r="O516" i="7"/>
  <c r="N516" i="7"/>
  <c r="H516" i="7"/>
  <c r="G516" i="7"/>
  <c r="O515" i="7"/>
  <c r="N515" i="7"/>
  <c r="H515" i="7"/>
  <c r="G515" i="7"/>
  <c r="O514" i="7"/>
  <c r="N514" i="7"/>
  <c r="H514" i="7"/>
  <c r="G514" i="7"/>
  <c r="O513" i="7"/>
  <c r="N513" i="7"/>
  <c r="H513" i="7"/>
  <c r="G513" i="7"/>
  <c r="O512" i="7"/>
  <c r="N512" i="7"/>
  <c r="H512" i="7"/>
  <c r="G512" i="7"/>
  <c r="O511" i="7"/>
  <c r="N511" i="7"/>
  <c r="H511" i="7"/>
  <c r="G511" i="7"/>
  <c r="O510" i="7"/>
  <c r="N510" i="7"/>
  <c r="H510" i="7"/>
  <c r="G510" i="7"/>
  <c r="O509" i="7"/>
  <c r="N509" i="7"/>
  <c r="H509" i="7"/>
  <c r="G509" i="7"/>
  <c r="O508" i="7"/>
  <c r="N508" i="7"/>
  <c r="H508" i="7"/>
  <c r="G508" i="7"/>
  <c r="O507" i="7"/>
  <c r="N507" i="7"/>
  <c r="H507" i="7"/>
  <c r="G507" i="7"/>
  <c r="O506" i="7"/>
  <c r="N506" i="7"/>
  <c r="H506" i="7"/>
  <c r="G506" i="7"/>
  <c r="O505" i="7"/>
  <c r="N505" i="7"/>
  <c r="H505" i="7"/>
  <c r="G505" i="7"/>
  <c r="O504" i="7"/>
  <c r="N504" i="7"/>
  <c r="H504" i="7"/>
  <c r="G504" i="7"/>
  <c r="O503" i="7"/>
  <c r="N503" i="7"/>
  <c r="H503" i="7"/>
  <c r="G503" i="7"/>
  <c r="O502" i="7"/>
  <c r="N502" i="7"/>
  <c r="H502" i="7"/>
  <c r="G502" i="7"/>
  <c r="O501" i="7"/>
  <c r="N501" i="7"/>
  <c r="H501" i="7"/>
  <c r="G501" i="7"/>
  <c r="O500" i="7"/>
  <c r="N500" i="7"/>
  <c r="H500" i="7"/>
  <c r="G500" i="7"/>
  <c r="O499" i="7"/>
  <c r="N499" i="7"/>
  <c r="H499" i="7"/>
  <c r="G499" i="7"/>
  <c r="O498" i="7"/>
  <c r="N498" i="7"/>
  <c r="H498" i="7"/>
  <c r="G498" i="7"/>
  <c r="O497" i="7"/>
  <c r="N497" i="7"/>
  <c r="H497" i="7"/>
  <c r="G497" i="7"/>
  <c r="O496" i="7"/>
  <c r="N496" i="7"/>
  <c r="H496" i="7"/>
  <c r="G496" i="7"/>
  <c r="O495" i="7"/>
  <c r="N495" i="7"/>
  <c r="H495" i="7"/>
  <c r="G495" i="7"/>
  <c r="O494" i="7"/>
  <c r="N494" i="7"/>
  <c r="H494" i="7"/>
  <c r="G494" i="7"/>
  <c r="O493" i="7"/>
  <c r="N493" i="7"/>
  <c r="H493" i="7"/>
  <c r="G493" i="7"/>
  <c r="O492" i="7"/>
  <c r="N492" i="7"/>
  <c r="H492" i="7"/>
  <c r="G492" i="7"/>
  <c r="O491" i="7"/>
  <c r="N491" i="7"/>
  <c r="H491" i="7"/>
  <c r="G491" i="7"/>
  <c r="O490" i="7"/>
  <c r="N490" i="7"/>
  <c r="H490" i="7"/>
  <c r="G490" i="7"/>
  <c r="O489" i="7"/>
  <c r="N489" i="7"/>
  <c r="H489" i="7"/>
  <c r="G489" i="7"/>
  <c r="O488" i="7"/>
  <c r="N488" i="7"/>
  <c r="H488" i="7"/>
  <c r="G488" i="7"/>
  <c r="O487" i="7"/>
  <c r="N487" i="7"/>
  <c r="H487" i="7"/>
  <c r="G487" i="7"/>
  <c r="O486" i="7"/>
  <c r="N486" i="7"/>
  <c r="H486" i="7"/>
  <c r="G486" i="7"/>
  <c r="O485" i="7"/>
  <c r="N485" i="7"/>
  <c r="H485" i="7"/>
  <c r="G485" i="7"/>
  <c r="O484" i="7"/>
  <c r="N484" i="7"/>
  <c r="H484" i="7"/>
  <c r="G484" i="7"/>
  <c r="O483" i="7"/>
  <c r="N483" i="7"/>
  <c r="H483" i="7"/>
  <c r="G483" i="7"/>
  <c r="O482" i="7"/>
  <c r="N482" i="7"/>
  <c r="H482" i="7"/>
  <c r="G482" i="7"/>
  <c r="O481" i="7"/>
  <c r="N481" i="7"/>
  <c r="H481" i="7"/>
  <c r="G481" i="7"/>
  <c r="O480" i="7"/>
  <c r="N480" i="7"/>
  <c r="H480" i="7"/>
  <c r="G480" i="7"/>
  <c r="O479" i="7"/>
  <c r="N479" i="7"/>
  <c r="H479" i="7"/>
  <c r="G479" i="7"/>
  <c r="O478" i="7"/>
  <c r="N478" i="7"/>
  <c r="H478" i="7"/>
  <c r="G478" i="7"/>
  <c r="O477" i="7"/>
  <c r="N477" i="7"/>
  <c r="H477" i="7"/>
  <c r="G477" i="7"/>
  <c r="O476" i="7"/>
  <c r="N476" i="7"/>
  <c r="H476" i="7"/>
  <c r="G476" i="7"/>
  <c r="O475" i="7"/>
  <c r="N475" i="7"/>
  <c r="H475" i="7"/>
  <c r="G475" i="7"/>
  <c r="O474" i="7"/>
  <c r="N474" i="7"/>
  <c r="H474" i="7"/>
  <c r="G474" i="7"/>
  <c r="O473" i="7"/>
  <c r="N473" i="7"/>
  <c r="H473" i="7"/>
  <c r="G473" i="7"/>
  <c r="O472" i="7"/>
  <c r="N472" i="7"/>
  <c r="H472" i="7"/>
  <c r="G472" i="7"/>
  <c r="O471" i="7"/>
  <c r="N471" i="7"/>
  <c r="H471" i="7"/>
  <c r="G471" i="7"/>
  <c r="O470" i="7"/>
  <c r="N470" i="7"/>
  <c r="H470" i="7"/>
  <c r="G470" i="7"/>
  <c r="O469" i="7"/>
  <c r="N469" i="7"/>
  <c r="H469" i="7"/>
  <c r="G469" i="7"/>
  <c r="O468" i="7"/>
  <c r="N468" i="7"/>
  <c r="H468" i="7"/>
  <c r="G468" i="7"/>
  <c r="O467" i="7"/>
  <c r="N467" i="7"/>
  <c r="H467" i="7"/>
  <c r="G467" i="7"/>
  <c r="O466" i="7"/>
  <c r="N466" i="7"/>
  <c r="H466" i="7"/>
  <c r="G466" i="7"/>
  <c r="O465" i="7"/>
  <c r="N465" i="7"/>
  <c r="H465" i="7"/>
  <c r="G465" i="7"/>
  <c r="O464" i="7"/>
  <c r="N464" i="7"/>
  <c r="H464" i="7"/>
  <c r="G464" i="7"/>
  <c r="O463" i="7"/>
  <c r="N463" i="7"/>
  <c r="H463" i="7"/>
  <c r="G463" i="7"/>
  <c r="O462" i="7"/>
  <c r="N462" i="7"/>
  <c r="H462" i="7"/>
  <c r="G462" i="7"/>
  <c r="O461" i="7"/>
  <c r="N461" i="7"/>
  <c r="H461" i="7"/>
  <c r="G461" i="7"/>
  <c r="O460" i="7"/>
  <c r="N460" i="7"/>
  <c r="H460" i="7"/>
  <c r="G460" i="7"/>
  <c r="O459" i="7"/>
  <c r="N459" i="7"/>
  <c r="H459" i="7"/>
  <c r="G459" i="7"/>
  <c r="O458" i="7"/>
  <c r="N458" i="7"/>
  <c r="H458" i="7"/>
  <c r="G458" i="7"/>
  <c r="O457" i="7"/>
  <c r="N457" i="7"/>
  <c r="H457" i="7"/>
  <c r="G457" i="7"/>
  <c r="O456" i="7"/>
  <c r="N456" i="7"/>
  <c r="H456" i="7"/>
  <c r="G456" i="7"/>
  <c r="O455" i="7"/>
  <c r="N455" i="7"/>
  <c r="H455" i="7"/>
  <c r="G455" i="7"/>
  <c r="O454" i="7"/>
  <c r="N454" i="7"/>
  <c r="H454" i="7"/>
  <c r="G454" i="7"/>
  <c r="O453" i="7"/>
  <c r="N453" i="7"/>
  <c r="H453" i="7"/>
  <c r="G453" i="7"/>
  <c r="O452" i="7"/>
  <c r="N452" i="7"/>
  <c r="H452" i="7"/>
  <c r="G452" i="7"/>
  <c r="O451" i="7"/>
  <c r="N451" i="7"/>
  <c r="H451" i="7"/>
  <c r="G451" i="7"/>
  <c r="O450" i="7"/>
  <c r="N450" i="7"/>
  <c r="H450" i="7"/>
  <c r="G450" i="7"/>
  <c r="O449" i="7"/>
  <c r="N449" i="7"/>
  <c r="H449" i="7"/>
  <c r="G449" i="7"/>
  <c r="O448" i="7"/>
  <c r="N448" i="7"/>
  <c r="H448" i="7"/>
  <c r="G448" i="7"/>
  <c r="O447" i="7"/>
  <c r="N447" i="7"/>
  <c r="H447" i="7"/>
  <c r="G447" i="7"/>
  <c r="O446" i="7"/>
  <c r="N446" i="7"/>
  <c r="H446" i="7"/>
  <c r="G446" i="7"/>
  <c r="O445" i="7"/>
  <c r="N445" i="7"/>
  <c r="H445" i="7"/>
  <c r="G445" i="7"/>
  <c r="O444" i="7"/>
  <c r="N444" i="7"/>
  <c r="H444" i="7"/>
  <c r="G444" i="7"/>
  <c r="O443" i="7"/>
  <c r="N443" i="7"/>
  <c r="H443" i="7"/>
  <c r="G443" i="7"/>
  <c r="O442" i="7"/>
  <c r="N442" i="7"/>
  <c r="H442" i="7"/>
  <c r="G442" i="7"/>
  <c r="O441" i="7"/>
  <c r="N441" i="7"/>
  <c r="H441" i="7"/>
  <c r="G441" i="7"/>
  <c r="O440" i="7"/>
  <c r="N440" i="7"/>
  <c r="H440" i="7"/>
  <c r="G440" i="7"/>
  <c r="O439" i="7"/>
  <c r="N439" i="7"/>
  <c r="H439" i="7"/>
  <c r="G439" i="7"/>
  <c r="O438" i="7"/>
  <c r="N438" i="7"/>
  <c r="H438" i="7"/>
  <c r="G438" i="7"/>
  <c r="O437" i="7"/>
  <c r="N437" i="7"/>
  <c r="H437" i="7"/>
  <c r="G437" i="7"/>
  <c r="O436" i="7"/>
  <c r="N436" i="7"/>
  <c r="H436" i="7"/>
  <c r="G436" i="7"/>
  <c r="O435" i="7"/>
  <c r="N435" i="7"/>
  <c r="H435" i="7"/>
  <c r="G435" i="7"/>
  <c r="O434" i="7"/>
  <c r="N434" i="7"/>
  <c r="H434" i="7"/>
  <c r="G434" i="7"/>
  <c r="O433" i="7"/>
  <c r="N433" i="7"/>
  <c r="H433" i="7"/>
  <c r="G433" i="7"/>
  <c r="O432" i="7"/>
  <c r="N432" i="7"/>
  <c r="H432" i="7"/>
  <c r="G432" i="7"/>
  <c r="O431" i="7"/>
  <c r="N431" i="7"/>
  <c r="H431" i="7"/>
  <c r="G431" i="7"/>
  <c r="O430" i="7"/>
  <c r="N430" i="7"/>
  <c r="H430" i="7"/>
  <c r="G430" i="7"/>
  <c r="O429" i="7"/>
  <c r="N429" i="7"/>
  <c r="H429" i="7"/>
  <c r="G429" i="7"/>
  <c r="O428" i="7"/>
  <c r="N428" i="7"/>
  <c r="H428" i="7"/>
  <c r="G428" i="7"/>
  <c r="O427" i="7"/>
  <c r="N427" i="7"/>
  <c r="H427" i="7"/>
  <c r="G427" i="7"/>
  <c r="O426" i="7"/>
  <c r="N426" i="7"/>
  <c r="H426" i="7"/>
  <c r="G426" i="7"/>
  <c r="O425" i="7"/>
  <c r="N425" i="7"/>
  <c r="H425" i="7"/>
  <c r="G425" i="7"/>
  <c r="O424" i="7"/>
  <c r="N424" i="7"/>
  <c r="H424" i="7"/>
  <c r="G424" i="7"/>
  <c r="O423" i="7"/>
  <c r="N423" i="7"/>
  <c r="H423" i="7"/>
  <c r="G423" i="7"/>
  <c r="O422" i="7"/>
  <c r="N422" i="7"/>
  <c r="H422" i="7"/>
  <c r="G422" i="7"/>
  <c r="O421" i="7"/>
  <c r="N421" i="7"/>
  <c r="H421" i="7"/>
  <c r="G421" i="7"/>
  <c r="O420" i="7"/>
  <c r="N420" i="7"/>
  <c r="H420" i="7"/>
  <c r="G420" i="7"/>
  <c r="O419" i="7"/>
  <c r="N419" i="7"/>
  <c r="H419" i="7"/>
  <c r="G419" i="7"/>
  <c r="O418" i="7"/>
  <c r="N418" i="7"/>
  <c r="H418" i="7"/>
  <c r="G418" i="7"/>
  <c r="O417" i="7"/>
  <c r="N417" i="7"/>
  <c r="H417" i="7"/>
  <c r="G417" i="7"/>
  <c r="O416" i="7"/>
  <c r="N416" i="7"/>
  <c r="H416" i="7"/>
  <c r="G416" i="7"/>
  <c r="O415" i="7"/>
  <c r="N415" i="7"/>
  <c r="H415" i="7"/>
  <c r="G415" i="7"/>
  <c r="O414" i="7"/>
  <c r="N414" i="7"/>
  <c r="H414" i="7"/>
  <c r="G414" i="7"/>
  <c r="O413" i="7"/>
  <c r="N413" i="7"/>
  <c r="H413" i="7"/>
  <c r="G413" i="7"/>
  <c r="O412" i="7"/>
  <c r="N412" i="7"/>
  <c r="H412" i="7"/>
  <c r="G412" i="7"/>
  <c r="O411" i="7"/>
  <c r="N411" i="7"/>
  <c r="H411" i="7"/>
  <c r="G411" i="7"/>
  <c r="O410" i="7"/>
  <c r="N410" i="7"/>
  <c r="H410" i="7"/>
  <c r="G410" i="7"/>
  <c r="O409" i="7"/>
  <c r="N409" i="7"/>
  <c r="H409" i="7"/>
  <c r="G409" i="7"/>
  <c r="O408" i="7"/>
  <c r="N408" i="7"/>
  <c r="H408" i="7"/>
  <c r="G408" i="7"/>
  <c r="O407" i="7"/>
  <c r="N407" i="7"/>
  <c r="H407" i="7"/>
  <c r="G407" i="7"/>
  <c r="O406" i="7"/>
  <c r="N406" i="7"/>
  <c r="H406" i="7"/>
  <c r="G406" i="7"/>
  <c r="O405" i="7"/>
  <c r="N405" i="7"/>
  <c r="H405" i="7"/>
  <c r="G405" i="7"/>
  <c r="O404" i="7"/>
  <c r="N404" i="7"/>
  <c r="H404" i="7"/>
  <c r="G404" i="7"/>
  <c r="O403" i="7"/>
  <c r="N403" i="7"/>
  <c r="H403" i="7"/>
  <c r="G403" i="7"/>
  <c r="O402" i="7"/>
  <c r="N402" i="7"/>
  <c r="H402" i="7"/>
  <c r="G402" i="7"/>
  <c r="O401" i="7"/>
  <c r="N401" i="7"/>
  <c r="H401" i="7"/>
  <c r="G401" i="7"/>
  <c r="O400" i="7"/>
  <c r="N400" i="7"/>
  <c r="H400" i="7"/>
  <c r="G400" i="7"/>
  <c r="O399" i="7"/>
  <c r="N399" i="7"/>
  <c r="H399" i="7"/>
  <c r="G399" i="7"/>
  <c r="O398" i="7"/>
  <c r="N398" i="7"/>
  <c r="H398" i="7"/>
  <c r="G398" i="7"/>
  <c r="O397" i="7"/>
  <c r="N397" i="7"/>
  <c r="H397" i="7"/>
  <c r="G397" i="7"/>
  <c r="O396" i="7"/>
  <c r="N396" i="7"/>
  <c r="H396" i="7"/>
  <c r="G396" i="7"/>
  <c r="O395" i="7"/>
  <c r="N395" i="7"/>
  <c r="H395" i="7"/>
  <c r="G395" i="7"/>
  <c r="O394" i="7"/>
  <c r="N394" i="7"/>
  <c r="H394" i="7"/>
  <c r="G394" i="7"/>
  <c r="O393" i="7"/>
  <c r="N393" i="7"/>
  <c r="H393" i="7"/>
  <c r="G393" i="7"/>
  <c r="O392" i="7"/>
  <c r="N392" i="7"/>
  <c r="H392" i="7"/>
  <c r="G392" i="7"/>
  <c r="O391" i="7"/>
  <c r="N391" i="7"/>
  <c r="H391" i="7"/>
  <c r="G391" i="7"/>
  <c r="O390" i="7"/>
  <c r="N390" i="7"/>
  <c r="H390" i="7"/>
  <c r="G390" i="7"/>
  <c r="O389" i="7"/>
  <c r="N389" i="7"/>
  <c r="H389" i="7"/>
  <c r="G389" i="7"/>
  <c r="O388" i="7"/>
  <c r="N388" i="7"/>
  <c r="H388" i="7"/>
  <c r="G388" i="7"/>
  <c r="O387" i="7"/>
  <c r="N387" i="7"/>
  <c r="H387" i="7"/>
  <c r="G387" i="7"/>
  <c r="O386" i="7"/>
  <c r="N386" i="7"/>
  <c r="H386" i="7"/>
  <c r="G386" i="7"/>
  <c r="O385" i="7"/>
  <c r="N385" i="7"/>
  <c r="H385" i="7"/>
  <c r="G385" i="7"/>
  <c r="O384" i="7"/>
  <c r="N384" i="7"/>
  <c r="H384" i="7"/>
  <c r="G384" i="7"/>
  <c r="O383" i="7"/>
  <c r="N383" i="7"/>
  <c r="H383" i="7"/>
  <c r="G383" i="7"/>
  <c r="O382" i="7"/>
  <c r="N382" i="7"/>
  <c r="H382" i="7"/>
  <c r="G382" i="7"/>
  <c r="O381" i="7"/>
  <c r="N381" i="7"/>
  <c r="H381" i="7"/>
  <c r="G381" i="7"/>
  <c r="O380" i="7"/>
  <c r="N380" i="7"/>
  <c r="H380" i="7"/>
  <c r="G380" i="7"/>
  <c r="O379" i="7"/>
  <c r="N379" i="7"/>
  <c r="H379" i="7"/>
  <c r="G379" i="7"/>
  <c r="O378" i="7"/>
  <c r="N378" i="7"/>
  <c r="H378" i="7"/>
  <c r="G378" i="7"/>
  <c r="O377" i="7"/>
  <c r="N377" i="7"/>
  <c r="H377" i="7"/>
  <c r="G377" i="7"/>
  <c r="O376" i="7"/>
  <c r="N376" i="7"/>
  <c r="H376" i="7"/>
  <c r="G376" i="7"/>
  <c r="O375" i="7"/>
  <c r="N375" i="7"/>
  <c r="H375" i="7"/>
  <c r="G375" i="7"/>
  <c r="O374" i="7"/>
  <c r="N374" i="7"/>
  <c r="H374" i="7"/>
  <c r="G374" i="7"/>
  <c r="O373" i="7"/>
  <c r="N373" i="7"/>
  <c r="H373" i="7"/>
  <c r="G373" i="7"/>
  <c r="O372" i="7"/>
  <c r="N372" i="7"/>
  <c r="H372" i="7"/>
  <c r="G372" i="7"/>
  <c r="O371" i="7"/>
  <c r="N371" i="7"/>
  <c r="H371" i="7"/>
  <c r="G371" i="7"/>
  <c r="O370" i="7"/>
  <c r="N370" i="7"/>
  <c r="H370" i="7"/>
  <c r="G370" i="7"/>
  <c r="O369" i="7"/>
  <c r="N369" i="7"/>
  <c r="H369" i="7"/>
  <c r="G369" i="7"/>
  <c r="O368" i="7"/>
  <c r="N368" i="7"/>
  <c r="H368" i="7"/>
  <c r="G368" i="7"/>
  <c r="O367" i="7"/>
  <c r="N367" i="7"/>
  <c r="H367" i="7"/>
  <c r="G367" i="7"/>
  <c r="O366" i="7"/>
  <c r="N366" i="7"/>
  <c r="H366" i="7"/>
  <c r="G366" i="7"/>
  <c r="O365" i="7"/>
  <c r="N365" i="7"/>
  <c r="H365" i="7"/>
  <c r="G365" i="7"/>
  <c r="O364" i="7"/>
  <c r="N364" i="7"/>
  <c r="H364" i="7"/>
  <c r="G364" i="7"/>
  <c r="O363" i="7"/>
  <c r="N363" i="7"/>
  <c r="H363" i="7"/>
  <c r="G363" i="7"/>
  <c r="O362" i="7"/>
  <c r="N362" i="7"/>
  <c r="H362" i="7"/>
  <c r="G362" i="7"/>
  <c r="O361" i="7"/>
  <c r="N361" i="7"/>
  <c r="H361" i="7"/>
  <c r="G361" i="7"/>
  <c r="O360" i="7"/>
  <c r="N360" i="7"/>
  <c r="H360" i="7"/>
  <c r="G360" i="7"/>
  <c r="O359" i="7"/>
  <c r="N359" i="7"/>
  <c r="H359" i="7"/>
  <c r="G359" i="7"/>
  <c r="O358" i="7"/>
  <c r="N358" i="7"/>
  <c r="H358" i="7"/>
  <c r="G358" i="7"/>
  <c r="O357" i="7"/>
  <c r="N357" i="7"/>
  <c r="H357" i="7"/>
  <c r="G357" i="7"/>
  <c r="O356" i="7"/>
  <c r="N356" i="7"/>
  <c r="H356" i="7"/>
  <c r="G356" i="7"/>
  <c r="O355" i="7"/>
  <c r="N355" i="7"/>
  <c r="H355" i="7"/>
  <c r="G355" i="7"/>
  <c r="O354" i="7"/>
  <c r="N354" i="7"/>
  <c r="H354" i="7"/>
  <c r="G354" i="7"/>
  <c r="O353" i="7"/>
  <c r="N353" i="7"/>
  <c r="H353" i="7"/>
  <c r="G353" i="7"/>
  <c r="O352" i="7"/>
  <c r="N352" i="7"/>
  <c r="H352" i="7"/>
  <c r="G352" i="7"/>
  <c r="O351" i="7"/>
  <c r="N351" i="7"/>
  <c r="H351" i="7"/>
  <c r="G351" i="7"/>
  <c r="O350" i="7"/>
  <c r="N350" i="7"/>
  <c r="H350" i="7"/>
  <c r="G350" i="7"/>
  <c r="O349" i="7"/>
  <c r="N349" i="7"/>
  <c r="H349" i="7"/>
  <c r="G349" i="7"/>
  <c r="O348" i="7"/>
  <c r="N348" i="7"/>
  <c r="H348" i="7"/>
  <c r="G348" i="7"/>
  <c r="O347" i="7"/>
  <c r="N347" i="7"/>
  <c r="H347" i="7"/>
  <c r="G347" i="7"/>
  <c r="O346" i="7"/>
  <c r="N346" i="7"/>
  <c r="H346" i="7"/>
  <c r="G346" i="7"/>
  <c r="O345" i="7"/>
  <c r="N345" i="7"/>
  <c r="H345" i="7"/>
  <c r="G345" i="7"/>
  <c r="O344" i="7"/>
  <c r="N344" i="7"/>
  <c r="H344" i="7"/>
  <c r="G344" i="7"/>
  <c r="O343" i="7"/>
  <c r="N343" i="7"/>
  <c r="H343" i="7"/>
  <c r="G343" i="7"/>
  <c r="O342" i="7"/>
  <c r="N342" i="7"/>
  <c r="H342" i="7"/>
  <c r="G342" i="7"/>
  <c r="O341" i="7"/>
  <c r="N341" i="7"/>
  <c r="H341" i="7"/>
  <c r="G341" i="7"/>
  <c r="O340" i="7"/>
  <c r="N340" i="7"/>
  <c r="H340" i="7"/>
  <c r="G340" i="7"/>
  <c r="O339" i="7"/>
  <c r="N339" i="7"/>
  <c r="H339" i="7"/>
  <c r="G339" i="7"/>
  <c r="O338" i="7"/>
  <c r="N338" i="7"/>
  <c r="H338" i="7"/>
  <c r="G338" i="7"/>
  <c r="O337" i="7"/>
  <c r="N337" i="7"/>
  <c r="H337" i="7"/>
  <c r="G337" i="7"/>
  <c r="O336" i="7"/>
  <c r="N336" i="7"/>
  <c r="H336" i="7"/>
  <c r="G336" i="7"/>
  <c r="O335" i="7"/>
  <c r="N335" i="7"/>
  <c r="H335" i="7"/>
  <c r="G335" i="7"/>
  <c r="O334" i="7"/>
  <c r="N334" i="7"/>
  <c r="H334" i="7"/>
  <c r="G334" i="7"/>
  <c r="O333" i="7"/>
  <c r="N333" i="7"/>
  <c r="H333" i="7"/>
  <c r="G333" i="7"/>
  <c r="O332" i="7"/>
  <c r="N332" i="7"/>
  <c r="H332" i="7"/>
  <c r="G332" i="7"/>
  <c r="O331" i="7"/>
  <c r="N331" i="7"/>
  <c r="H331" i="7"/>
  <c r="G331" i="7"/>
  <c r="O330" i="7"/>
  <c r="N330" i="7"/>
  <c r="H330" i="7"/>
  <c r="G330" i="7"/>
  <c r="O329" i="7"/>
  <c r="N329" i="7"/>
  <c r="H329" i="7"/>
  <c r="G329" i="7"/>
  <c r="O328" i="7"/>
  <c r="N328" i="7"/>
  <c r="H328" i="7"/>
  <c r="G328" i="7"/>
  <c r="O327" i="7"/>
  <c r="N327" i="7"/>
  <c r="H327" i="7"/>
  <c r="G327" i="7"/>
  <c r="O326" i="7"/>
  <c r="N326" i="7"/>
  <c r="H326" i="7"/>
  <c r="G326" i="7"/>
  <c r="O325" i="7"/>
  <c r="N325" i="7"/>
  <c r="H325" i="7"/>
  <c r="G325" i="7"/>
  <c r="O324" i="7"/>
  <c r="N324" i="7"/>
  <c r="H324" i="7"/>
  <c r="G324" i="7"/>
  <c r="O323" i="7"/>
  <c r="N323" i="7"/>
  <c r="H323" i="7"/>
  <c r="G323" i="7"/>
  <c r="O322" i="7"/>
  <c r="N322" i="7"/>
  <c r="H322" i="7"/>
  <c r="G322" i="7"/>
  <c r="O321" i="7"/>
  <c r="N321" i="7"/>
  <c r="H321" i="7"/>
  <c r="G321" i="7"/>
  <c r="O320" i="7"/>
  <c r="N320" i="7"/>
  <c r="H320" i="7"/>
  <c r="G320" i="7"/>
  <c r="O319" i="7"/>
  <c r="N319" i="7"/>
  <c r="H319" i="7"/>
  <c r="G319" i="7"/>
  <c r="O318" i="7"/>
  <c r="N318" i="7"/>
  <c r="H318" i="7"/>
  <c r="G318" i="7"/>
  <c r="O317" i="7"/>
  <c r="N317" i="7"/>
  <c r="H317" i="7"/>
  <c r="G317" i="7"/>
  <c r="O316" i="7"/>
  <c r="N316" i="7"/>
  <c r="H316" i="7"/>
  <c r="G316" i="7"/>
  <c r="O315" i="7"/>
  <c r="N315" i="7"/>
  <c r="H315" i="7"/>
  <c r="G315" i="7"/>
  <c r="O314" i="7"/>
  <c r="N314" i="7"/>
  <c r="H314" i="7"/>
  <c r="G314" i="7"/>
  <c r="O313" i="7"/>
  <c r="N313" i="7"/>
  <c r="H313" i="7"/>
  <c r="G313" i="7"/>
  <c r="O312" i="7"/>
  <c r="N312" i="7"/>
  <c r="H312" i="7"/>
  <c r="G312" i="7"/>
  <c r="O311" i="7"/>
  <c r="N311" i="7"/>
  <c r="H311" i="7"/>
  <c r="G311" i="7"/>
  <c r="O310" i="7"/>
  <c r="N310" i="7"/>
  <c r="H310" i="7"/>
  <c r="G310" i="7"/>
  <c r="O309" i="7"/>
  <c r="N309" i="7"/>
  <c r="H309" i="7"/>
  <c r="G309" i="7"/>
  <c r="O308" i="7"/>
  <c r="N308" i="7"/>
  <c r="H308" i="7"/>
  <c r="G308" i="7"/>
  <c r="O307" i="7"/>
  <c r="N307" i="7"/>
  <c r="H307" i="7"/>
  <c r="G307" i="7"/>
  <c r="O306" i="7"/>
  <c r="N306" i="7"/>
  <c r="H306" i="7"/>
  <c r="G306" i="7"/>
  <c r="O305" i="7"/>
  <c r="N305" i="7"/>
  <c r="H305" i="7"/>
  <c r="G305" i="7"/>
  <c r="O304" i="7"/>
  <c r="N304" i="7"/>
  <c r="H304" i="7"/>
  <c r="G304" i="7"/>
  <c r="O303" i="7"/>
  <c r="N303" i="7"/>
  <c r="H303" i="7"/>
  <c r="G303" i="7"/>
  <c r="O302" i="7"/>
  <c r="N302" i="7"/>
  <c r="H302" i="7"/>
  <c r="G302" i="7"/>
  <c r="O301" i="7"/>
  <c r="N301" i="7"/>
  <c r="H301" i="7"/>
  <c r="G301" i="7"/>
  <c r="O300" i="7"/>
  <c r="N300" i="7"/>
  <c r="H300" i="7"/>
  <c r="G300" i="7"/>
  <c r="O299" i="7"/>
  <c r="N299" i="7"/>
  <c r="H299" i="7"/>
  <c r="G299" i="7"/>
  <c r="O298" i="7"/>
  <c r="N298" i="7"/>
  <c r="H298" i="7"/>
  <c r="G298" i="7"/>
  <c r="O297" i="7"/>
  <c r="N297" i="7"/>
  <c r="H297" i="7"/>
  <c r="G297" i="7"/>
  <c r="O296" i="7"/>
  <c r="N296" i="7"/>
  <c r="H296" i="7"/>
  <c r="G296" i="7"/>
  <c r="O295" i="7"/>
  <c r="N295" i="7"/>
  <c r="H295" i="7"/>
  <c r="G295" i="7"/>
  <c r="O294" i="7"/>
  <c r="N294" i="7"/>
  <c r="H294" i="7"/>
  <c r="G294" i="7"/>
  <c r="O293" i="7"/>
  <c r="N293" i="7"/>
  <c r="H293" i="7"/>
  <c r="G293" i="7"/>
  <c r="O292" i="7"/>
  <c r="N292" i="7"/>
  <c r="H292" i="7"/>
  <c r="G292" i="7"/>
  <c r="O291" i="7"/>
  <c r="N291" i="7"/>
  <c r="H291" i="7"/>
  <c r="G291" i="7"/>
  <c r="O290" i="7"/>
  <c r="N290" i="7"/>
  <c r="H290" i="7"/>
  <c r="G290" i="7"/>
  <c r="O289" i="7"/>
  <c r="N289" i="7"/>
  <c r="H289" i="7"/>
  <c r="G289" i="7"/>
  <c r="O288" i="7"/>
  <c r="N288" i="7"/>
  <c r="H288" i="7"/>
  <c r="G288" i="7"/>
  <c r="O287" i="7"/>
  <c r="N287" i="7"/>
  <c r="H287" i="7"/>
  <c r="G287" i="7"/>
  <c r="O286" i="7"/>
  <c r="N286" i="7"/>
  <c r="H286" i="7"/>
  <c r="G286" i="7"/>
  <c r="O285" i="7"/>
  <c r="N285" i="7"/>
  <c r="H285" i="7"/>
  <c r="G285" i="7"/>
  <c r="O284" i="7"/>
  <c r="N284" i="7"/>
  <c r="H284" i="7"/>
  <c r="G284" i="7"/>
  <c r="O283" i="7"/>
  <c r="N283" i="7"/>
  <c r="H283" i="7"/>
  <c r="G283" i="7"/>
  <c r="O282" i="7"/>
  <c r="N282" i="7"/>
  <c r="H282" i="7"/>
  <c r="G282" i="7"/>
  <c r="O281" i="7"/>
  <c r="N281" i="7"/>
  <c r="H281" i="7"/>
  <c r="G281" i="7"/>
  <c r="O280" i="7"/>
  <c r="N280" i="7"/>
  <c r="H280" i="7"/>
  <c r="G280" i="7"/>
  <c r="O279" i="7"/>
  <c r="N279" i="7"/>
  <c r="H279" i="7"/>
  <c r="G279" i="7"/>
  <c r="O278" i="7"/>
  <c r="N278" i="7"/>
  <c r="H278" i="7"/>
  <c r="G278" i="7"/>
  <c r="O277" i="7"/>
  <c r="N277" i="7"/>
  <c r="H277" i="7"/>
  <c r="G277" i="7"/>
  <c r="O276" i="7"/>
  <c r="N276" i="7"/>
  <c r="H276" i="7"/>
  <c r="G276" i="7"/>
  <c r="O275" i="7"/>
  <c r="N275" i="7"/>
  <c r="H275" i="7"/>
  <c r="G275" i="7"/>
  <c r="O274" i="7"/>
  <c r="N274" i="7"/>
  <c r="H274" i="7"/>
  <c r="G274" i="7"/>
  <c r="O273" i="7"/>
  <c r="N273" i="7"/>
  <c r="H273" i="7"/>
  <c r="G273" i="7"/>
  <c r="O272" i="7"/>
  <c r="N272" i="7"/>
  <c r="H272" i="7"/>
  <c r="G272" i="7"/>
  <c r="O271" i="7"/>
  <c r="N271" i="7"/>
  <c r="H271" i="7"/>
  <c r="G271" i="7"/>
  <c r="O270" i="7"/>
  <c r="N270" i="7"/>
  <c r="H270" i="7"/>
  <c r="G270" i="7"/>
  <c r="O269" i="7"/>
  <c r="N269" i="7"/>
  <c r="H269" i="7"/>
  <c r="G269" i="7"/>
  <c r="O268" i="7"/>
  <c r="N268" i="7"/>
  <c r="H268" i="7"/>
  <c r="G268" i="7"/>
  <c r="O267" i="7"/>
  <c r="N267" i="7"/>
  <c r="H267" i="7"/>
  <c r="G267" i="7"/>
  <c r="O266" i="7"/>
  <c r="N266" i="7"/>
  <c r="H266" i="7"/>
  <c r="G266" i="7"/>
  <c r="O265" i="7"/>
  <c r="N265" i="7"/>
  <c r="H265" i="7"/>
  <c r="G265" i="7"/>
  <c r="O264" i="7"/>
  <c r="N264" i="7"/>
  <c r="H264" i="7"/>
  <c r="G264" i="7"/>
  <c r="O263" i="7"/>
  <c r="N263" i="7"/>
  <c r="H263" i="7"/>
  <c r="G263" i="7"/>
  <c r="O262" i="7"/>
  <c r="N262" i="7"/>
  <c r="H262" i="7"/>
  <c r="G262" i="7"/>
  <c r="O261" i="7"/>
  <c r="N261" i="7"/>
  <c r="H261" i="7"/>
  <c r="G261" i="7"/>
  <c r="O260" i="7"/>
  <c r="N260" i="7"/>
  <c r="H260" i="7"/>
  <c r="G260" i="7"/>
  <c r="O259" i="7"/>
  <c r="N259" i="7"/>
  <c r="H259" i="7"/>
  <c r="G259" i="7"/>
  <c r="O258" i="7"/>
  <c r="N258" i="7"/>
  <c r="H258" i="7"/>
  <c r="G258" i="7"/>
  <c r="O257" i="7"/>
  <c r="N257" i="7"/>
  <c r="H257" i="7"/>
  <c r="G257" i="7"/>
  <c r="O256" i="7"/>
  <c r="N256" i="7"/>
  <c r="H256" i="7"/>
  <c r="G256" i="7"/>
  <c r="O255" i="7"/>
  <c r="N255" i="7"/>
  <c r="H255" i="7"/>
  <c r="G255" i="7"/>
  <c r="O254" i="7"/>
  <c r="N254" i="7"/>
  <c r="H254" i="7"/>
  <c r="G254" i="7"/>
  <c r="O253" i="7"/>
  <c r="N253" i="7"/>
  <c r="H253" i="7"/>
  <c r="G253" i="7"/>
  <c r="O252" i="7"/>
  <c r="N252" i="7"/>
  <c r="H252" i="7"/>
  <c r="G252" i="7"/>
  <c r="O251" i="7"/>
  <c r="N251" i="7"/>
  <c r="H251" i="7"/>
  <c r="G251" i="7"/>
  <c r="O250" i="7"/>
  <c r="N250" i="7"/>
  <c r="H250" i="7"/>
  <c r="G250" i="7"/>
  <c r="O249" i="7"/>
  <c r="N249" i="7"/>
  <c r="H249" i="7"/>
  <c r="G249" i="7"/>
  <c r="O248" i="7"/>
  <c r="N248" i="7"/>
  <c r="H248" i="7"/>
  <c r="G248" i="7"/>
  <c r="O247" i="7"/>
  <c r="N247" i="7"/>
  <c r="H247" i="7"/>
  <c r="G247" i="7"/>
  <c r="O246" i="7"/>
  <c r="N246" i="7"/>
  <c r="H246" i="7"/>
  <c r="G246" i="7"/>
  <c r="O245" i="7"/>
  <c r="N245" i="7"/>
  <c r="H245" i="7"/>
  <c r="G245" i="7"/>
  <c r="O244" i="7"/>
  <c r="N244" i="7"/>
  <c r="H244" i="7"/>
  <c r="G244" i="7"/>
  <c r="O243" i="7"/>
  <c r="N243" i="7"/>
  <c r="H243" i="7"/>
  <c r="G243" i="7"/>
  <c r="O242" i="7"/>
  <c r="N242" i="7"/>
  <c r="H242" i="7"/>
  <c r="G242" i="7"/>
  <c r="O241" i="7"/>
  <c r="N241" i="7"/>
  <c r="H241" i="7"/>
  <c r="G241" i="7"/>
  <c r="O240" i="7"/>
  <c r="N240" i="7"/>
  <c r="H240" i="7"/>
  <c r="G240" i="7"/>
  <c r="O239" i="7"/>
  <c r="N239" i="7"/>
  <c r="H239" i="7"/>
  <c r="G239" i="7"/>
  <c r="O238" i="7"/>
  <c r="N238" i="7"/>
  <c r="H238" i="7"/>
  <c r="G238" i="7"/>
  <c r="O237" i="7"/>
  <c r="N237" i="7"/>
  <c r="H237" i="7"/>
  <c r="G237" i="7"/>
  <c r="O236" i="7"/>
  <c r="N236" i="7"/>
  <c r="H236" i="7"/>
  <c r="G236" i="7"/>
  <c r="O235" i="7"/>
  <c r="N235" i="7"/>
  <c r="H235" i="7"/>
  <c r="G235" i="7"/>
  <c r="O234" i="7"/>
  <c r="N234" i="7"/>
  <c r="H234" i="7"/>
  <c r="G234" i="7"/>
  <c r="O233" i="7"/>
  <c r="N233" i="7"/>
  <c r="H233" i="7"/>
  <c r="G233" i="7"/>
  <c r="O232" i="7"/>
  <c r="N232" i="7"/>
  <c r="H232" i="7"/>
  <c r="G232" i="7"/>
  <c r="O231" i="7"/>
  <c r="N231" i="7"/>
  <c r="H231" i="7"/>
  <c r="G231" i="7"/>
  <c r="O230" i="7"/>
  <c r="N230" i="7"/>
  <c r="H230" i="7"/>
  <c r="G230" i="7"/>
  <c r="O229" i="7"/>
  <c r="N229" i="7"/>
  <c r="H229" i="7"/>
  <c r="G229" i="7"/>
  <c r="O228" i="7"/>
  <c r="N228" i="7"/>
  <c r="H228" i="7"/>
  <c r="G228" i="7"/>
  <c r="O227" i="7"/>
  <c r="N227" i="7"/>
  <c r="H227" i="7"/>
  <c r="G227" i="7"/>
  <c r="O226" i="7"/>
  <c r="N226" i="7"/>
  <c r="H226" i="7"/>
  <c r="G226" i="7"/>
  <c r="O225" i="7"/>
  <c r="N225" i="7"/>
  <c r="H225" i="7"/>
  <c r="G225" i="7"/>
  <c r="O224" i="7"/>
  <c r="N224" i="7"/>
  <c r="H224" i="7"/>
  <c r="G224" i="7"/>
  <c r="O223" i="7"/>
  <c r="N223" i="7"/>
  <c r="H223" i="7"/>
  <c r="G223" i="7"/>
  <c r="O222" i="7"/>
  <c r="N222" i="7"/>
  <c r="H222" i="7"/>
  <c r="G222" i="7"/>
  <c r="O221" i="7"/>
  <c r="N221" i="7"/>
  <c r="H221" i="7"/>
  <c r="G221" i="7"/>
  <c r="O220" i="7"/>
  <c r="N220" i="7"/>
  <c r="H220" i="7"/>
  <c r="G220" i="7"/>
  <c r="O219" i="7"/>
  <c r="N219" i="7"/>
  <c r="H219" i="7"/>
  <c r="G219" i="7"/>
  <c r="O218" i="7"/>
  <c r="N218" i="7"/>
  <c r="H218" i="7"/>
  <c r="G218" i="7"/>
  <c r="O217" i="7"/>
  <c r="N217" i="7"/>
  <c r="H217" i="7"/>
  <c r="G217" i="7"/>
  <c r="O216" i="7"/>
  <c r="N216" i="7"/>
  <c r="H216" i="7"/>
  <c r="G216" i="7"/>
  <c r="O215" i="7"/>
  <c r="N215" i="7"/>
  <c r="H215" i="7"/>
  <c r="G215" i="7"/>
  <c r="O214" i="7"/>
  <c r="N214" i="7"/>
  <c r="H214" i="7"/>
  <c r="G214" i="7"/>
  <c r="O213" i="7"/>
  <c r="N213" i="7"/>
  <c r="H213" i="7"/>
  <c r="G213" i="7"/>
  <c r="O212" i="7"/>
  <c r="N212" i="7"/>
  <c r="H212" i="7"/>
  <c r="G212" i="7"/>
  <c r="O211" i="7"/>
  <c r="N211" i="7"/>
  <c r="H211" i="7"/>
  <c r="G211" i="7"/>
  <c r="O210" i="7"/>
  <c r="N210" i="7"/>
  <c r="H210" i="7"/>
  <c r="G210" i="7"/>
  <c r="O209" i="7"/>
  <c r="N209" i="7"/>
  <c r="H209" i="7"/>
  <c r="G209" i="7"/>
  <c r="O208" i="7"/>
  <c r="N208" i="7"/>
  <c r="H208" i="7"/>
  <c r="G208" i="7"/>
  <c r="O207" i="7"/>
  <c r="N207" i="7"/>
  <c r="H207" i="7"/>
  <c r="G207" i="7"/>
  <c r="O206" i="7"/>
  <c r="N206" i="7"/>
  <c r="H206" i="7"/>
  <c r="G206" i="7"/>
  <c r="O205" i="7"/>
  <c r="N205" i="7"/>
  <c r="H205" i="7"/>
  <c r="G205" i="7"/>
  <c r="O204" i="7"/>
  <c r="N204" i="7"/>
  <c r="H204" i="7"/>
  <c r="G204" i="7"/>
  <c r="O203" i="7"/>
  <c r="N203" i="7"/>
  <c r="H203" i="7"/>
  <c r="G203" i="7"/>
  <c r="O202" i="7"/>
  <c r="N202" i="7"/>
  <c r="H202" i="7"/>
  <c r="G202" i="7"/>
  <c r="O201" i="7"/>
  <c r="N201" i="7"/>
  <c r="H201" i="7"/>
  <c r="G201" i="7"/>
  <c r="O200" i="7"/>
  <c r="N200" i="7"/>
  <c r="H200" i="7"/>
  <c r="G200" i="7"/>
  <c r="O199" i="7"/>
  <c r="N199" i="7"/>
  <c r="H199" i="7"/>
  <c r="G199" i="7"/>
  <c r="O198" i="7"/>
  <c r="N198" i="7"/>
  <c r="H198" i="7"/>
  <c r="G198" i="7"/>
  <c r="O197" i="7"/>
  <c r="N197" i="7"/>
  <c r="H197" i="7"/>
  <c r="G197" i="7"/>
  <c r="O196" i="7"/>
  <c r="N196" i="7"/>
  <c r="H196" i="7"/>
  <c r="G196" i="7"/>
  <c r="O195" i="7"/>
  <c r="N195" i="7"/>
  <c r="H195" i="7"/>
  <c r="G195" i="7"/>
  <c r="O194" i="7"/>
  <c r="N194" i="7"/>
  <c r="H194" i="7"/>
  <c r="G194" i="7"/>
  <c r="O193" i="7"/>
  <c r="N193" i="7"/>
  <c r="H193" i="7"/>
  <c r="G193" i="7"/>
  <c r="O192" i="7"/>
  <c r="N192" i="7"/>
  <c r="H192" i="7"/>
  <c r="G192" i="7"/>
  <c r="O191" i="7"/>
  <c r="N191" i="7"/>
  <c r="H191" i="7"/>
  <c r="G191" i="7"/>
  <c r="O190" i="7"/>
  <c r="N190" i="7"/>
  <c r="H190" i="7"/>
  <c r="G190" i="7"/>
  <c r="O189" i="7"/>
  <c r="N189" i="7"/>
  <c r="H189" i="7"/>
  <c r="G189" i="7"/>
  <c r="O188" i="7"/>
  <c r="N188" i="7"/>
  <c r="H188" i="7"/>
  <c r="G188" i="7"/>
  <c r="O187" i="7"/>
  <c r="N187" i="7"/>
  <c r="H187" i="7"/>
  <c r="G187" i="7"/>
  <c r="O186" i="7"/>
  <c r="N186" i="7"/>
  <c r="H186" i="7"/>
  <c r="G186" i="7"/>
  <c r="O185" i="7"/>
  <c r="N185" i="7"/>
  <c r="H185" i="7"/>
  <c r="G185" i="7"/>
  <c r="O184" i="7"/>
  <c r="N184" i="7"/>
  <c r="H184" i="7"/>
  <c r="G184" i="7"/>
  <c r="O183" i="7"/>
  <c r="N183" i="7"/>
  <c r="H183" i="7"/>
  <c r="G183" i="7"/>
  <c r="O182" i="7"/>
  <c r="N182" i="7"/>
  <c r="H182" i="7"/>
  <c r="G182" i="7"/>
  <c r="O181" i="7"/>
  <c r="N181" i="7"/>
  <c r="H181" i="7"/>
  <c r="G181" i="7"/>
  <c r="O180" i="7"/>
  <c r="N180" i="7"/>
  <c r="H180" i="7"/>
  <c r="G180" i="7"/>
  <c r="O179" i="7"/>
  <c r="N179" i="7"/>
  <c r="H179" i="7"/>
  <c r="G179" i="7"/>
  <c r="O178" i="7"/>
  <c r="N178" i="7"/>
  <c r="H178" i="7"/>
  <c r="G178" i="7"/>
  <c r="O177" i="7"/>
  <c r="N177" i="7"/>
  <c r="H177" i="7"/>
  <c r="G177" i="7"/>
  <c r="O176" i="7"/>
  <c r="N176" i="7"/>
  <c r="H176" i="7"/>
  <c r="G176" i="7"/>
  <c r="O175" i="7"/>
  <c r="N175" i="7"/>
  <c r="H175" i="7"/>
  <c r="G175" i="7"/>
  <c r="O174" i="7"/>
  <c r="N174" i="7"/>
  <c r="H174" i="7"/>
  <c r="G174" i="7"/>
  <c r="O173" i="7"/>
  <c r="N173" i="7"/>
  <c r="H173" i="7"/>
  <c r="G173" i="7"/>
  <c r="O172" i="7"/>
  <c r="N172" i="7"/>
  <c r="H172" i="7"/>
  <c r="G172" i="7"/>
  <c r="O171" i="7"/>
  <c r="N171" i="7"/>
  <c r="H171" i="7"/>
  <c r="G171" i="7"/>
  <c r="O170" i="7"/>
  <c r="N170" i="7"/>
  <c r="H170" i="7"/>
  <c r="G170" i="7"/>
  <c r="O169" i="7"/>
  <c r="N169" i="7"/>
  <c r="H169" i="7"/>
  <c r="G169" i="7"/>
  <c r="O168" i="7"/>
  <c r="N168" i="7"/>
  <c r="H168" i="7"/>
  <c r="G168" i="7"/>
  <c r="O167" i="7"/>
  <c r="N167" i="7"/>
  <c r="H167" i="7"/>
  <c r="G167" i="7"/>
  <c r="O166" i="7"/>
  <c r="N166" i="7"/>
  <c r="H166" i="7"/>
  <c r="G166" i="7"/>
  <c r="O165" i="7"/>
  <c r="N165" i="7"/>
  <c r="H165" i="7"/>
  <c r="G165" i="7"/>
  <c r="O164" i="7"/>
  <c r="N164" i="7"/>
  <c r="H164" i="7"/>
  <c r="G164" i="7"/>
  <c r="O163" i="7"/>
  <c r="N163" i="7"/>
  <c r="H163" i="7"/>
  <c r="G163" i="7"/>
  <c r="O162" i="7"/>
  <c r="N162" i="7"/>
  <c r="H162" i="7"/>
  <c r="G162" i="7"/>
  <c r="O161" i="7"/>
  <c r="N161" i="7"/>
  <c r="H161" i="7"/>
  <c r="G161" i="7"/>
  <c r="O160" i="7"/>
  <c r="N160" i="7"/>
  <c r="H160" i="7"/>
  <c r="G160" i="7"/>
  <c r="O159" i="7"/>
  <c r="N159" i="7"/>
  <c r="H159" i="7"/>
  <c r="G159" i="7"/>
  <c r="O158" i="7"/>
  <c r="N158" i="7"/>
  <c r="H158" i="7"/>
  <c r="G158" i="7"/>
  <c r="O157" i="7"/>
  <c r="N157" i="7"/>
  <c r="H157" i="7"/>
  <c r="G157" i="7"/>
  <c r="O156" i="7"/>
  <c r="N156" i="7"/>
  <c r="H156" i="7"/>
  <c r="G156" i="7"/>
  <c r="O155" i="7"/>
  <c r="N155" i="7"/>
  <c r="H155" i="7"/>
  <c r="G155" i="7"/>
  <c r="O154" i="7"/>
  <c r="N154" i="7"/>
  <c r="H154" i="7"/>
  <c r="G154" i="7"/>
  <c r="O153" i="7"/>
  <c r="N153" i="7"/>
  <c r="H153" i="7"/>
  <c r="G153" i="7"/>
  <c r="O152" i="7"/>
  <c r="N152" i="7"/>
  <c r="H152" i="7"/>
  <c r="G152" i="7"/>
  <c r="O151" i="7"/>
  <c r="N151" i="7"/>
  <c r="H151" i="7"/>
  <c r="G151" i="7"/>
  <c r="O150" i="7"/>
  <c r="N150" i="7"/>
  <c r="H150" i="7"/>
  <c r="G150" i="7"/>
  <c r="O149" i="7"/>
  <c r="N149" i="7"/>
  <c r="H149" i="7"/>
  <c r="G149" i="7"/>
  <c r="O148" i="7"/>
  <c r="N148" i="7"/>
  <c r="H148" i="7"/>
  <c r="G148" i="7"/>
  <c r="O147" i="7"/>
  <c r="N147" i="7"/>
  <c r="H147" i="7"/>
  <c r="G147" i="7"/>
  <c r="O146" i="7"/>
  <c r="N146" i="7"/>
  <c r="H146" i="7"/>
  <c r="G146" i="7"/>
  <c r="O145" i="7"/>
  <c r="N145" i="7"/>
  <c r="H145" i="7"/>
  <c r="G145" i="7"/>
  <c r="O144" i="7"/>
  <c r="N144" i="7"/>
  <c r="H144" i="7"/>
  <c r="G144" i="7"/>
  <c r="O143" i="7"/>
  <c r="N143" i="7"/>
  <c r="H143" i="7"/>
  <c r="G143" i="7"/>
  <c r="O142" i="7"/>
  <c r="N142" i="7"/>
  <c r="H142" i="7"/>
  <c r="G142" i="7"/>
  <c r="O141" i="7"/>
  <c r="N141" i="7"/>
  <c r="H141" i="7"/>
  <c r="G141" i="7"/>
  <c r="O140" i="7"/>
  <c r="N140" i="7"/>
  <c r="H140" i="7"/>
  <c r="G140" i="7"/>
  <c r="O139" i="7"/>
  <c r="N139" i="7"/>
  <c r="H139" i="7"/>
  <c r="G139" i="7"/>
  <c r="O138" i="7"/>
  <c r="N138" i="7"/>
  <c r="H138" i="7"/>
  <c r="G138" i="7"/>
  <c r="O137" i="7"/>
  <c r="N137" i="7"/>
  <c r="H137" i="7"/>
  <c r="G137" i="7"/>
  <c r="O136" i="7"/>
  <c r="N136" i="7"/>
  <c r="H136" i="7"/>
  <c r="G136" i="7"/>
  <c r="O135" i="7"/>
  <c r="N135" i="7"/>
  <c r="H135" i="7"/>
  <c r="G135" i="7"/>
  <c r="O134" i="7"/>
  <c r="N134" i="7"/>
  <c r="H134" i="7"/>
  <c r="G134" i="7"/>
  <c r="O133" i="7"/>
  <c r="N133" i="7"/>
  <c r="H133" i="7"/>
  <c r="G133" i="7"/>
  <c r="O132" i="7"/>
  <c r="N132" i="7"/>
  <c r="H132" i="7"/>
  <c r="G132" i="7"/>
  <c r="O131" i="7"/>
  <c r="N131" i="7"/>
  <c r="H131" i="7"/>
  <c r="G131" i="7"/>
  <c r="O130" i="7"/>
  <c r="N130" i="7"/>
  <c r="H130" i="7"/>
  <c r="G130" i="7"/>
  <c r="O129" i="7"/>
  <c r="N129" i="7"/>
  <c r="H129" i="7"/>
  <c r="G129" i="7"/>
  <c r="O128" i="7"/>
  <c r="N128" i="7"/>
  <c r="H128" i="7"/>
  <c r="G128" i="7"/>
  <c r="O127" i="7"/>
  <c r="N127" i="7"/>
  <c r="H127" i="7"/>
  <c r="G127" i="7"/>
  <c r="O126" i="7"/>
  <c r="N126" i="7"/>
  <c r="H126" i="7"/>
  <c r="G126" i="7"/>
  <c r="O125" i="7"/>
  <c r="N125" i="7"/>
  <c r="H125" i="7"/>
  <c r="G125" i="7"/>
  <c r="O124" i="7"/>
  <c r="N124" i="7"/>
  <c r="H124" i="7"/>
  <c r="G124" i="7"/>
  <c r="O123" i="7"/>
  <c r="N123" i="7"/>
  <c r="H123" i="7"/>
  <c r="G123" i="7"/>
  <c r="O122" i="7"/>
  <c r="N122" i="7"/>
  <c r="H122" i="7"/>
  <c r="G122" i="7"/>
  <c r="O121" i="7"/>
  <c r="N121" i="7"/>
  <c r="H121" i="7"/>
  <c r="G121" i="7"/>
  <c r="O120" i="7"/>
  <c r="N120" i="7"/>
  <c r="H120" i="7"/>
  <c r="G120" i="7"/>
  <c r="O119" i="7"/>
  <c r="N119" i="7"/>
  <c r="H119" i="7"/>
  <c r="G119" i="7"/>
  <c r="O118" i="7"/>
  <c r="N118" i="7"/>
  <c r="H118" i="7"/>
  <c r="G118" i="7"/>
  <c r="O117" i="7"/>
  <c r="N117" i="7"/>
  <c r="H117" i="7"/>
  <c r="G117" i="7"/>
  <c r="O116" i="7"/>
  <c r="N116" i="7"/>
  <c r="H116" i="7"/>
  <c r="G116" i="7"/>
  <c r="O115" i="7"/>
  <c r="N115" i="7"/>
  <c r="H115" i="7"/>
  <c r="G115" i="7"/>
  <c r="O114" i="7"/>
  <c r="N114" i="7"/>
  <c r="H114" i="7"/>
  <c r="G114" i="7"/>
  <c r="O113" i="7"/>
  <c r="N113" i="7"/>
  <c r="H113" i="7"/>
  <c r="G113" i="7"/>
  <c r="O112" i="7"/>
  <c r="N112" i="7"/>
  <c r="H112" i="7"/>
  <c r="G112" i="7"/>
  <c r="O111" i="7"/>
  <c r="N111" i="7"/>
  <c r="H111" i="7"/>
  <c r="G111" i="7"/>
  <c r="O110" i="7"/>
  <c r="N110" i="7"/>
  <c r="H110" i="7"/>
  <c r="G110" i="7"/>
  <c r="O109" i="7"/>
  <c r="N109" i="7"/>
  <c r="H109" i="7"/>
  <c r="G109" i="7"/>
  <c r="O108" i="7"/>
  <c r="N108" i="7"/>
  <c r="H108" i="7"/>
  <c r="G108" i="7"/>
  <c r="O107" i="7"/>
  <c r="N107" i="7"/>
  <c r="H107" i="7"/>
  <c r="G107" i="7"/>
  <c r="O106" i="7"/>
  <c r="N106" i="7"/>
  <c r="H106" i="7"/>
  <c r="G106" i="7"/>
  <c r="O105" i="7"/>
  <c r="N105" i="7"/>
  <c r="H105" i="7"/>
  <c r="G105" i="7"/>
  <c r="O104" i="7"/>
  <c r="N104" i="7"/>
  <c r="H104" i="7"/>
  <c r="G104" i="7"/>
  <c r="O103" i="7"/>
  <c r="N103" i="7"/>
  <c r="H103" i="7"/>
  <c r="G103" i="7"/>
  <c r="O102" i="7"/>
  <c r="N102" i="7"/>
  <c r="H102" i="7"/>
  <c r="G102" i="7"/>
  <c r="O101" i="7"/>
  <c r="N101" i="7"/>
  <c r="H101" i="7"/>
  <c r="G101" i="7"/>
  <c r="O100" i="7"/>
  <c r="N100" i="7"/>
  <c r="H100" i="7"/>
  <c r="G100" i="7"/>
  <c r="O99" i="7"/>
  <c r="N99" i="7"/>
  <c r="H99" i="7"/>
  <c r="G99" i="7"/>
  <c r="O98" i="7"/>
  <c r="N98" i="7"/>
  <c r="H98" i="7"/>
  <c r="G98" i="7"/>
  <c r="O97" i="7"/>
  <c r="N97" i="7"/>
  <c r="H97" i="7"/>
  <c r="G97" i="7"/>
  <c r="O96" i="7"/>
  <c r="N96" i="7"/>
  <c r="H96" i="7"/>
  <c r="G96" i="7"/>
  <c r="O95" i="7"/>
  <c r="N95" i="7"/>
  <c r="H95" i="7"/>
  <c r="G95" i="7"/>
  <c r="O94" i="7"/>
  <c r="N94" i="7"/>
  <c r="H94" i="7"/>
  <c r="G94" i="7"/>
  <c r="O93" i="7"/>
  <c r="N93" i="7"/>
  <c r="H93" i="7"/>
  <c r="G93" i="7"/>
  <c r="O92" i="7"/>
  <c r="N92" i="7"/>
  <c r="H92" i="7"/>
  <c r="G92" i="7"/>
  <c r="O91" i="7"/>
  <c r="N91" i="7"/>
  <c r="H91" i="7"/>
  <c r="G91" i="7"/>
  <c r="O90" i="7"/>
  <c r="N90" i="7"/>
  <c r="H90" i="7"/>
  <c r="G90" i="7"/>
  <c r="O89" i="7"/>
  <c r="N89" i="7"/>
  <c r="H89" i="7"/>
  <c r="G89" i="7"/>
  <c r="O88" i="7"/>
  <c r="N88" i="7"/>
  <c r="H88" i="7"/>
  <c r="G88" i="7"/>
  <c r="O87" i="7"/>
  <c r="N87" i="7"/>
  <c r="H87" i="7"/>
  <c r="G87" i="7"/>
  <c r="O86" i="7"/>
  <c r="N86" i="7"/>
  <c r="H86" i="7"/>
  <c r="G86" i="7"/>
  <c r="O85" i="7"/>
  <c r="N85" i="7"/>
  <c r="H85" i="7"/>
  <c r="G85" i="7"/>
  <c r="O84" i="7"/>
  <c r="N84" i="7"/>
  <c r="H84" i="7"/>
  <c r="G84" i="7"/>
  <c r="O83" i="7"/>
  <c r="N83" i="7"/>
  <c r="H83" i="7"/>
  <c r="G83" i="7"/>
  <c r="O82" i="7"/>
  <c r="N82" i="7"/>
  <c r="H82" i="7"/>
  <c r="G82" i="7"/>
  <c r="O81" i="7"/>
  <c r="N81" i="7"/>
  <c r="H81" i="7"/>
  <c r="G81" i="7"/>
  <c r="O80" i="7"/>
  <c r="N80" i="7"/>
  <c r="H80" i="7"/>
  <c r="G80" i="7"/>
  <c r="O79" i="7"/>
  <c r="N79" i="7"/>
  <c r="H79" i="7"/>
  <c r="G79" i="7"/>
  <c r="O78" i="7"/>
  <c r="N78" i="7"/>
  <c r="H78" i="7"/>
  <c r="G78" i="7"/>
  <c r="O77" i="7"/>
  <c r="N77" i="7"/>
  <c r="H77" i="7"/>
  <c r="G77" i="7"/>
  <c r="O76" i="7"/>
  <c r="N76" i="7"/>
  <c r="H76" i="7"/>
  <c r="G76" i="7"/>
  <c r="O75" i="7"/>
  <c r="N75" i="7"/>
  <c r="H75" i="7"/>
  <c r="G75" i="7"/>
  <c r="O74" i="7"/>
  <c r="N74" i="7"/>
  <c r="H74" i="7"/>
  <c r="G74" i="7"/>
  <c r="O73" i="7"/>
  <c r="N73" i="7"/>
  <c r="H73" i="7"/>
  <c r="G73" i="7"/>
  <c r="O72" i="7"/>
  <c r="N72" i="7"/>
  <c r="H72" i="7"/>
  <c r="G72" i="7"/>
  <c r="O71" i="7"/>
  <c r="N71" i="7"/>
  <c r="H71" i="7"/>
  <c r="G71" i="7"/>
  <c r="O70" i="7"/>
  <c r="N70" i="7"/>
  <c r="H70" i="7"/>
  <c r="G70" i="7"/>
  <c r="O69" i="7"/>
  <c r="N69" i="7"/>
  <c r="H69" i="7"/>
  <c r="G69" i="7"/>
  <c r="O68" i="7"/>
  <c r="N68" i="7"/>
  <c r="H68" i="7"/>
  <c r="G68" i="7"/>
  <c r="O67" i="7"/>
  <c r="N67" i="7"/>
  <c r="H67" i="7"/>
  <c r="G67" i="7"/>
  <c r="O66" i="7"/>
  <c r="N66" i="7"/>
  <c r="H66" i="7"/>
  <c r="G66" i="7"/>
  <c r="O65" i="7"/>
  <c r="N65" i="7"/>
  <c r="H65" i="7"/>
  <c r="G65" i="7"/>
  <c r="O64" i="7"/>
  <c r="N64" i="7"/>
  <c r="H64" i="7"/>
  <c r="G64" i="7"/>
  <c r="O63" i="7"/>
  <c r="N63" i="7"/>
  <c r="H63" i="7"/>
  <c r="G63" i="7"/>
  <c r="O62" i="7"/>
  <c r="N62" i="7"/>
  <c r="H62" i="7"/>
  <c r="G62" i="7"/>
  <c r="O61" i="7"/>
  <c r="N61" i="7"/>
  <c r="H61" i="7"/>
  <c r="G61" i="7"/>
  <c r="O60" i="7"/>
  <c r="N60" i="7"/>
  <c r="H60" i="7"/>
  <c r="G60" i="7"/>
  <c r="O59" i="7"/>
  <c r="N59" i="7"/>
  <c r="H59" i="7"/>
  <c r="G59" i="7"/>
  <c r="O58" i="7"/>
  <c r="N58" i="7"/>
  <c r="H58" i="7"/>
  <c r="G58" i="7"/>
  <c r="O57" i="7"/>
  <c r="N57" i="7"/>
  <c r="H57" i="7"/>
  <c r="G57" i="7"/>
  <c r="O56" i="7"/>
  <c r="N56" i="7"/>
  <c r="H56" i="7"/>
  <c r="G56" i="7"/>
  <c r="O55" i="7"/>
  <c r="N55" i="7"/>
  <c r="H55" i="7"/>
  <c r="G55" i="7"/>
  <c r="O54" i="7"/>
  <c r="N54" i="7"/>
  <c r="H54" i="7"/>
  <c r="G54" i="7"/>
  <c r="O53" i="7"/>
  <c r="N53" i="7"/>
  <c r="H53" i="7"/>
  <c r="G53" i="7"/>
  <c r="O52" i="7"/>
  <c r="N52" i="7"/>
  <c r="H52" i="7"/>
  <c r="G52" i="7"/>
  <c r="O51" i="7"/>
  <c r="N51" i="7"/>
  <c r="H51" i="7"/>
  <c r="G51" i="7"/>
  <c r="O50" i="7"/>
  <c r="N50" i="7"/>
  <c r="H50" i="7"/>
  <c r="G50" i="7"/>
  <c r="O49" i="7"/>
  <c r="N49" i="7"/>
  <c r="H49" i="7"/>
  <c r="G49" i="7"/>
  <c r="O48" i="7"/>
  <c r="N48" i="7"/>
  <c r="H48" i="7"/>
  <c r="G48" i="7"/>
  <c r="O47" i="7"/>
  <c r="N47" i="7"/>
  <c r="H47" i="7"/>
  <c r="G47" i="7"/>
  <c r="O46" i="7"/>
  <c r="N46" i="7"/>
  <c r="H46" i="7"/>
  <c r="G46" i="7"/>
  <c r="O45" i="7"/>
  <c r="N45" i="7"/>
  <c r="H45" i="7"/>
  <c r="G45" i="7"/>
  <c r="O44" i="7"/>
  <c r="N44" i="7"/>
  <c r="H44" i="7"/>
  <c r="G44" i="7"/>
  <c r="O43" i="7"/>
  <c r="N43" i="7"/>
  <c r="H43" i="7"/>
  <c r="G43" i="7"/>
  <c r="O42" i="7"/>
  <c r="N42" i="7"/>
  <c r="H42" i="7"/>
  <c r="G42" i="7"/>
  <c r="O41" i="7"/>
  <c r="N41" i="7"/>
  <c r="H41" i="7"/>
  <c r="G41" i="7"/>
  <c r="O40" i="7"/>
  <c r="N40" i="7"/>
  <c r="H40" i="7"/>
  <c r="G40" i="7"/>
  <c r="O39" i="7"/>
  <c r="N39" i="7"/>
  <c r="H39" i="7"/>
  <c r="G39" i="7"/>
  <c r="O38" i="7"/>
  <c r="N38" i="7"/>
  <c r="H38" i="7"/>
  <c r="G38" i="7"/>
  <c r="O37" i="7"/>
  <c r="N37" i="7"/>
  <c r="H37" i="7"/>
  <c r="G37" i="7"/>
  <c r="O36" i="7"/>
  <c r="N36" i="7"/>
  <c r="H36" i="7"/>
  <c r="G36" i="7"/>
  <c r="O35" i="7"/>
  <c r="N35" i="7"/>
  <c r="H35" i="7"/>
  <c r="G35" i="7"/>
  <c r="O34" i="7"/>
  <c r="N34" i="7"/>
  <c r="H34" i="7"/>
  <c r="G34" i="7"/>
  <c r="O33" i="7"/>
  <c r="N33" i="7"/>
  <c r="H33" i="7"/>
  <c r="G33" i="7"/>
  <c r="O32" i="7"/>
  <c r="N32" i="7"/>
  <c r="H32" i="7"/>
  <c r="G32" i="7"/>
  <c r="O31" i="7"/>
  <c r="N31" i="7"/>
  <c r="H31" i="7"/>
  <c r="G31" i="7"/>
  <c r="O30" i="7"/>
  <c r="N30" i="7"/>
  <c r="H30" i="7"/>
  <c r="G30" i="7"/>
  <c r="O29" i="7"/>
  <c r="N29" i="7"/>
  <c r="H29" i="7"/>
  <c r="G29" i="7"/>
  <c r="O28" i="7"/>
  <c r="N28" i="7"/>
  <c r="H28" i="7"/>
  <c r="G28" i="7"/>
  <c r="O27" i="7"/>
  <c r="N27" i="7"/>
  <c r="H27" i="7"/>
  <c r="G27" i="7"/>
  <c r="O26" i="7"/>
  <c r="N26" i="7"/>
  <c r="H26" i="7"/>
  <c r="G26" i="7"/>
  <c r="O25" i="7"/>
  <c r="N25" i="7"/>
  <c r="H25" i="7"/>
  <c r="G25" i="7"/>
  <c r="O24" i="7"/>
  <c r="N24" i="7"/>
  <c r="H24" i="7"/>
  <c r="G24" i="7"/>
  <c r="O23" i="7"/>
  <c r="N23" i="7"/>
  <c r="H23" i="7"/>
  <c r="G23" i="7"/>
  <c r="O22" i="7"/>
  <c r="N22" i="7"/>
  <c r="H22" i="7"/>
  <c r="G22" i="7"/>
  <c r="O21" i="7"/>
  <c r="N21" i="7"/>
  <c r="H21" i="7"/>
  <c r="G21" i="7"/>
  <c r="O20" i="7"/>
  <c r="N20" i="7"/>
  <c r="H20" i="7"/>
  <c r="G20" i="7"/>
  <c r="O19" i="7"/>
  <c r="N19" i="7"/>
  <c r="H19" i="7"/>
  <c r="G19" i="7"/>
  <c r="O18" i="7"/>
  <c r="N18" i="7"/>
  <c r="H18" i="7"/>
  <c r="G18" i="7"/>
  <c r="O17" i="7"/>
  <c r="N17" i="7"/>
  <c r="H17" i="7"/>
  <c r="G17" i="7"/>
  <c r="O16" i="7"/>
  <c r="N16" i="7"/>
  <c r="H16" i="7"/>
  <c r="G16" i="7"/>
  <c r="O15" i="7"/>
  <c r="N15" i="7"/>
  <c r="H15" i="7"/>
  <c r="G15" i="7"/>
  <c r="O14" i="7"/>
  <c r="N14" i="7"/>
  <c r="H14" i="7"/>
  <c r="G14" i="7"/>
  <c r="O13" i="7"/>
  <c r="N13" i="7"/>
  <c r="H13" i="7"/>
  <c r="G13" i="7"/>
  <c r="O12" i="7"/>
  <c r="N12" i="7"/>
  <c r="H12" i="7"/>
  <c r="G12" i="7"/>
  <c r="O11" i="7"/>
  <c r="N11" i="7"/>
  <c r="H11" i="7"/>
  <c r="G11" i="7"/>
  <c r="O10" i="7"/>
  <c r="N10" i="7"/>
  <c r="H10" i="7"/>
  <c r="G10" i="7"/>
  <c r="O9" i="7"/>
  <c r="N9" i="7"/>
  <c r="H9" i="7"/>
  <c r="G9" i="7"/>
  <c r="O8" i="7"/>
  <c r="N8" i="7"/>
  <c r="H8" i="7"/>
  <c r="G8" i="7"/>
  <c r="O7" i="7"/>
  <c r="N7" i="7"/>
  <c r="H7" i="7"/>
  <c r="G7" i="7"/>
  <c r="O6" i="7"/>
  <c r="N6" i="7"/>
  <c r="H6" i="7"/>
  <c r="G6" i="7"/>
  <c r="O5" i="7"/>
  <c r="D46" i="4" s="1"/>
  <c r="N5" i="7"/>
  <c r="H5" i="7"/>
  <c r="G5" i="7"/>
  <c r="O4" i="7"/>
  <c r="N4" i="7"/>
  <c r="H4" i="7"/>
  <c r="G4" i="7"/>
  <c r="O3" i="7"/>
  <c r="E46" i="4" s="1"/>
  <c r="N3" i="7"/>
  <c r="H3" i="7"/>
  <c r="G3" i="7"/>
  <c r="O2" i="7"/>
  <c r="C45" i="4" s="1"/>
  <c r="N2" i="7"/>
  <c r="H2" i="7"/>
  <c r="G2" i="7"/>
  <c r="C47" i="4"/>
  <c r="D44" i="4"/>
  <c r="G44" i="4" s="1"/>
  <c r="E36" i="4"/>
  <c r="D36" i="4"/>
  <c r="F36" i="4" s="1"/>
  <c r="C36" i="4"/>
  <c r="F35" i="4"/>
  <c r="E35" i="4"/>
  <c r="D35" i="4"/>
  <c r="C35" i="4"/>
  <c r="E34" i="4"/>
  <c r="D34" i="4"/>
  <c r="F34" i="4" s="1"/>
  <c r="C34" i="4"/>
  <c r="E25" i="4"/>
  <c r="D25" i="4"/>
  <c r="F25" i="4" s="1"/>
  <c r="C25" i="4"/>
  <c r="E24" i="4"/>
  <c r="D24" i="4"/>
  <c r="F24" i="4" s="1"/>
  <c r="C24" i="4"/>
  <c r="E23" i="4"/>
  <c r="D23" i="4"/>
  <c r="F23" i="4" s="1"/>
  <c r="C23" i="4"/>
  <c r="E22" i="4"/>
  <c r="D22" i="4"/>
  <c r="F22" i="4" s="1"/>
  <c r="C22" i="4"/>
  <c r="E21" i="4"/>
  <c r="D21" i="4"/>
  <c r="F21" i="4" s="1"/>
  <c r="C21" i="4"/>
  <c r="E20" i="4"/>
  <c r="E26" i="4" s="1"/>
  <c r="D20" i="4"/>
  <c r="D26" i="4" s="1"/>
  <c r="C20" i="4"/>
  <c r="C26" i="4" s="1"/>
  <c r="C14" i="4"/>
  <c r="C13" i="4"/>
  <c r="C12" i="4"/>
  <c r="C11" i="4"/>
  <c r="C10" i="4"/>
  <c r="C9" i="4"/>
  <c r="D22" i="3"/>
  <c r="D21" i="3"/>
  <c r="D19" i="3"/>
  <c r="F19" i="3" s="1"/>
  <c r="D18" i="3"/>
  <c r="F18" i="3" s="1"/>
  <c r="D17" i="3"/>
  <c r="F17" i="3" s="1"/>
  <c r="F16" i="3"/>
  <c r="E16" i="3"/>
  <c r="D16" i="3"/>
  <c r="D15" i="3"/>
  <c r="F15" i="3" s="1"/>
  <c r="D14" i="3"/>
  <c r="E14" i="3" s="1"/>
  <c r="F13" i="3"/>
  <c r="D13" i="3"/>
  <c r="E13" i="3" s="1"/>
  <c r="F12" i="3"/>
  <c r="E12" i="3"/>
  <c r="D12" i="3"/>
  <c r="D11" i="3"/>
  <c r="F11" i="3" s="1"/>
  <c r="D10" i="3"/>
  <c r="E10" i="3" s="1"/>
  <c r="F9" i="3"/>
  <c r="D9" i="3"/>
  <c r="D20" i="3" s="1"/>
  <c r="C13" i="1"/>
  <c r="C12" i="1"/>
  <c r="C11" i="1"/>
  <c r="C10" i="1"/>
  <c r="C9" i="1"/>
  <c r="C8" i="1"/>
  <c r="C7" i="1"/>
  <c r="F26" i="4" l="1"/>
  <c r="G46" i="4"/>
  <c r="D47" i="4"/>
  <c r="E47" i="4"/>
  <c r="F14" i="3"/>
  <c r="C14" i="1"/>
  <c r="E15" i="3"/>
  <c r="E9" i="3"/>
  <c r="C44" i="4"/>
  <c r="F44" i="4" s="1"/>
  <c r="E44" i="4"/>
  <c r="F10" i="3"/>
  <c r="E17" i="3"/>
  <c r="F20" i="4"/>
  <c r="D45" i="4"/>
  <c r="E11" i="3"/>
  <c r="E18" i="3"/>
  <c r="E45" i="4"/>
  <c r="E19" i="3"/>
  <c r="C46" i="4"/>
  <c r="F46" i="4" s="1"/>
  <c r="G45" i="4" l="1"/>
  <c r="F45" i="4"/>
  <c r="G47" i="4"/>
  <c r="F47" i="4"/>
</calcChain>
</file>

<file path=xl/sharedStrings.xml><?xml version="1.0" encoding="utf-8"?>
<sst xmlns="http://schemas.openxmlformats.org/spreadsheetml/2006/main" count="30345" uniqueCount="2866">
  <si>
    <t>Refund Root-Cause Analysis - Executive Summary</t>
  </si>
  <si>
    <t>The cohort in numbers</t>
  </si>
  <si>
    <t>Total learners (Academy Intake X)</t>
  </si>
  <si>
    <t>Total refund requests</t>
  </si>
  <si>
    <t>Refunds processed (Refunded? = Yes)</t>
  </si>
  <si>
    <t>Overall refund rate</t>
  </si>
  <si>
    <t>Avg attendance: refunders</t>
  </si>
  <si>
    <t>Avg attendance: non-refunders</t>
  </si>
  <si>
    <t>% of refunders who skipped DBWT</t>
  </si>
  <si>
    <t>% of refunders in Critical risk segment</t>
  </si>
  <si>
    <t>The three takeaways</t>
  </si>
  <si>
    <t>Q1 - Why learners refund</t>
  </si>
  <si>
    <t>Three buckets cover roughly two-thirds of refund cases: Personal/Family/Medical (~26% of recorded reasons), Career events like new job or relocation (~14%), and Financial difficulty including loan rejection (~21%). The remaining third is operational: course expectation mismatch, time/work pressure, and sales process failures. The operational third is where the lever sits.</t>
  </si>
  <si>
    <t>Q2 - Can we reduce refund %</t>
  </si>
  <si>
    <t>Yes, meaningfully. The strongest predictor is whether a learner did the Dashboard Walkthrough: doers refund at ~12%, skippers refund at ~43%. Combined with no Week 0 attendance, refund rate hits ~74%. About 58% of all refunders show one or both early-disengagement signals before they request a refund, which means a precise outreach trigger could touch a small share of the cohort and reach a large share of refunders.</t>
  </si>
  <si>
    <t>Q3 - What else to dig into</t>
  </si>
  <si>
    <t>Eight hypotheses listed in the Q3 tab, of which three feel highest-priority: PS/SP rep-level performance as a hidden driver, financial pre-qualification before down payment collection, and learners from non-development backgrounds being under-screened at sales.</t>
  </si>
  <si>
    <t>How this workbook is organised</t>
  </si>
  <si>
    <t>Executive Summary</t>
  </si>
  <si>
    <t>This page</t>
  </si>
  <si>
    <t>Q1 - Refund Reasons</t>
  </si>
  <si>
    <t>Categorised refund-reason breakdown plus sub-themes</t>
  </si>
  <si>
    <t>Q2 - Reduce Refund %</t>
  </si>
  <si>
    <t>Engagement-vs-refund analysis and the strategies it points to</t>
  </si>
  <si>
    <t>Q3 - Additional Hypotheses</t>
  </si>
  <si>
    <t>Open questions that warrant follow-up data</t>
  </si>
  <si>
    <t>Categorised Reasons</t>
  </si>
  <si>
    <t>All 304 refund records with my primary-reason tag (data tab)</t>
  </si>
  <si>
    <t>Master Learner Profile</t>
  </si>
  <si>
    <t>All 1,649 learners with engagement signals merged + risk segment</t>
  </si>
  <si>
    <t>Original sheets</t>
  </si>
  <si>
    <t>Problem Statement, Learner IDs, Comms Tracker, Week 0 Attendance, Overall Attendance, Dashboard Walkthrough, Refund Team Tracker, Mentor Sessions - left untouched</t>
  </si>
  <si>
    <t>Problem Statement: Find the root cause for refunds and generate so-whats</t>
  </si>
  <si>
    <t>Output Expectation: A clean, formatted .xlsx file answering the questions below</t>
  </si>
  <si>
    <t>Questions to answer:</t>
  </si>
  <si>
    <t>1/ What are the primary reasons our learners request refunds?</t>
  </si>
  <si>
    <t>2/ Is there potential to reduce our refund percentage in future intakes? If so, what data-driven strategies can we implement to achieve this reduction?</t>
  </si>
  <si>
    <t>3/ Are there any additional hypotheses that would be valuable to explore?</t>
  </si>
  <si>
    <t>Context on the Problem Statement: https://www.loom.com/share/27fcbbbd010545d9b6a5e423db33815d?sid=88512954-f12c-4315-ab5a-ef89e93c0818</t>
  </si>
  <si>
    <t>Scaler Context for sheet navigation: https://www.loom.com/share/32019552f04a431bba6d76b92178a9ae?sid=5e280baa-6d8d-48cc-a39f-e31a24b8f00c</t>
  </si>
  <si>
    <t xml:space="preserve">Workbook Overview: </t>
  </si>
  <si>
    <t>Tab Name</t>
  </si>
  <si>
    <t>Description</t>
  </si>
  <si>
    <t>Learner IDs</t>
  </si>
  <si>
    <t xml:space="preserve">List of all learners in the batch with a tag of learners who requested for a refund </t>
  </si>
  <si>
    <t>Comms Tracker</t>
  </si>
  <si>
    <t>Tracker for the communications shared to a learner between the day they enrolled and the start of the program</t>
  </si>
  <si>
    <t>Week 0 Attendance</t>
  </si>
  <si>
    <t>Introductory week classes with their attendance (Slug = indication of the type of meeting)</t>
  </si>
  <si>
    <t>Overall Attendance</t>
  </si>
  <si>
    <t>Attendance of the learners for their classes (Week 0+1+2)</t>
  </si>
  <si>
    <t>Dashboard Walkthrough</t>
  </si>
  <si>
    <t>Tracker for the walkthrough of the dashboard/scaler's internal platform given to a learner before the learners start their classes</t>
  </si>
  <si>
    <t>Refund Team Tracker</t>
  </si>
  <si>
    <t>Refund tracker maintained the teams who try to retain the learner with their detailed comments on refund reasons</t>
  </si>
  <si>
    <t>Mentor Sessions</t>
  </si>
  <si>
    <t>Mentor sessions tracker for the learners for the few two weeks (booking the session is recommended but optional for the first two weeks)</t>
  </si>
  <si>
    <t>Additional Instructions:</t>
  </si>
  <si>
    <t>1/ Please ensure data hygiene while performing the analysis</t>
  </si>
  <si>
    <t xml:space="preserve">2/ Use formulas wherever possible so that we can trace back your solutions and analysis </t>
  </si>
  <si>
    <t>Q1: What are the primary reasons our learners request refunds?</t>
  </si>
  <si>
    <t>Approach: I read all 281 free-text refund notes from the Refund Team Tracker, categorised each one into a primary driver based on keyword scoring, and then rolled them up. The full categorised list lives in the "Categorised Reasons" tab.</t>
  </si>
  <si>
    <t>1.1 Refund Reasons by Primary Driver (formula-driven from Categorised Reasons tab)</t>
  </si>
  <si>
    <t>#</t>
  </si>
  <si>
    <t>Primary Reason</t>
  </si>
  <si>
    <t>Count</t>
  </si>
  <si>
    <t>% of 281</t>
  </si>
  <si>
    <t>% of 304 reqs</t>
  </si>
  <si>
    <t>Refund Rate Impact</t>
  </si>
  <si>
    <t>What the notes typically say</t>
  </si>
  <si>
    <t>Personal / Family / Medical</t>
  </si>
  <si>
    <t>Drives refunds</t>
  </si>
  <si>
    <t>Health emergencies, family illness, deaths, marriages, pregnancies, parents not supporting, vague "personal issues"</t>
  </si>
  <si>
    <t>New Job / Career Change / Relocation</t>
  </si>
  <si>
    <t>Got a new job, promotion, onsite project abroad, leaving for US/UK/Germany/Canada, switching domain</t>
  </si>
  <si>
    <t>Financial Difficulty / Affordability</t>
  </si>
  <si>
    <t>Sole earner, low salary, lost job, already has loans, can't afford EMI even after enrolling</t>
  </si>
  <si>
    <t>Course Expectation / Curriculum Mismatch</t>
  </si>
  <si>
    <t>Wrong fit (QA / testing / non-IT / Project Manager bg), expected ML not DSA, wanted morning batch, said could self-learn</t>
  </si>
  <si>
    <t>Time / Work Pressure</t>
  </si>
  <si>
    <t>12-13 hour workdays, multiple projects, can't carve out 9-12 hrs/week for live classes</t>
  </si>
  <si>
    <t>Loan / NBFC / Financing Issue</t>
  </si>
  <si>
    <t>Loan rejected by NBFC partners (low CIBIL, no co-applicant, low banking, short credit history)</t>
  </si>
  <si>
    <t>Sales / Service Process Issue</t>
  </si>
  <si>
    <t>Delay in revert from PS/SP, wrong information at sales, alumni feedback negative, BDA inactive in system</t>
  </si>
  <si>
    <t>Higher Studies / Govt Career</t>
  </si>
  <si>
    <t>Cleared UPSC, going for Masters abroad, joining army</t>
  </si>
  <si>
    <t>Pricing / Value Concern</t>
  </si>
  <si>
    <t>Felt course not worth the price, others got it cheaper, asking too much for what is offered</t>
  </si>
  <si>
    <t>Other / Unclear</t>
  </si>
  <si>
    <t>Vague, mixed, or unclear notes that don't cluster into one driver</t>
  </si>
  <si>
    <t>Not Recorded</t>
  </si>
  <si>
    <t>Refund row exists but no detailed reason field was filled in by the team</t>
  </si>
  <si>
    <t>TOTAL</t>
  </si>
  <si>
    <t>Total with reason text:</t>
  </si>
  <si>
    <t>Total refund requests:</t>
  </si>
  <si>
    <t>1.2 Headline insight</t>
  </si>
  <si>
    <t>Roughly two thirds of refund requests cluster into three buckets: Personal/Family/Medical (~26% of cases with a recorded reason), Career-related events like a new job or relocation (~14%), and Financial Difficulty including loan rejections (~21% combined when you add Loan/NBFC + Affordability). What is striking is that the remaining third splits into reasons Scaler can actually act on: course expectation mismatch (~11%), time/work pressure (~11%), and sales process issues (~5%). These three are the operational levers worth pulling, because a learner whose father is in hospital is hard to retain, but a learner who thought the course was 3 hours a week and discovered it is 9 is a fixable problem.</t>
  </si>
  <si>
    <t>1.3 Sub-themes within the major buckets (qualitative)</t>
  </si>
  <si>
    <t>Bucket</t>
  </si>
  <si>
    <t>Recurring sub-themes I saw in the notes</t>
  </si>
  <si>
    <t>Family member hospitalised (father, grandmother, parent), own surgery or medical condition, pregnancy, newly married, family pressure or parents not supportive of upskilling. Often paired with a "will rejoin in 3-6 months" intent.</t>
  </si>
  <si>
    <t>Got placed mid-program, onsite project to US/UK/Germany/Sweden/Mexico/Vietnam, L1 visa, Canada PR approved, or moving for spouse. A subset is "switching domain" where the learner decides development is not their long-term path after a few classes.</t>
  </si>
  <si>
    <t>Financial / Loan</t>
  </si>
  <si>
    <t>Loan rejected by NBFC partners (low CIBIL, no co-applicant, salary too low, AQBB norms), or learner is sole earner / lost job / already has 2-3 loans. Several mention they paid down-payment expecting loan approval and got blindsided.</t>
  </si>
  <si>
    <t>Course Expectation Mismatch</t>
  </si>
  <si>
    <t>"I thought it was 3-4 hrs/week, it is 9", "I thought class size was 100, it is 220", wanted morning batch, came from QA / testing / digital marketing / project management and felt the dev focus was wrong, expected DSML but got DSA, expected job guarantee.</t>
  </si>
  <si>
    <t>12-13 hour work days, multiple parallel projects assigned, overlapping IST/EST/PST shifts, newly added team responsibilities, internal courses pushed by employer competing for time.</t>
  </si>
  <si>
    <t>Sales / Service Process</t>
  </si>
  <si>
    <t>Delay in revert from PS or SP after refund request raised (multiple cases say "transferred due to breach in timelines, reason unknown"), wrong information at the sales stage, alumni gave bad feedback when the learner cross-checked, BDA inactive in system.</t>
  </si>
  <si>
    <t>Q2: Can we reduce refund % in future intakes? What strategies?</t>
  </si>
  <si>
    <t>Approach: I joined every learner's engagement signal (comms opens, Week 0 attendance, Dashboard Walkthrough completion, overall attendance, mentor sessions) onto the master roster of 1,649 learners and split refund rate by each signal. The full merged data lives in "Master Learner Profile" tab. All counts below are formulas pointing at that tab so they update if the underlying data changes.</t>
  </si>
  <si>
    <t>2.1 The headline numbers</t>
  </si>
  <si>
    <t>Metric</t>
  </si>
  <si>
    <t>Value</t>
  </si>
  <si>
    <t>Formula source</t>
  </si>
  <si>
    <t>Total learners in batch</t>
  </si>
  <si>
    <t>COUNTA of Learner ID column</t>
  </si>
  <si>
    <t>Total refunds</t>
  </si>
  <si>
    <t>COUNTIF Refunded? = Yes</t>
  </si>
  <si>
    <t>Refunds / Total</t>
  </si>
  <si>
    <t>Refunders avg overall attendance</t>
  </si>
  <si>
    <t>AVERAGEIFS on Overall Attendance where Refunded=Yes</t>
  </si>
  <si>
    <t>Non-refunders avg overall attendance</t>
  </si>
  <si>
    <t>AVERAGEIFS on Overall Attendance where Refunded=No</t>
  </si>
  <si>
    <t>Gap (non-refund minus refund)</t>
  </si>
  <si>
    <t>Difference of the two means</t>
  </si>
  <si>
    <t>2.2 Refund rate by Overall Attendance bucket</t>
  </si>
  <si>
    <t>Attendance bucket</t>
  </si>
  <si>
    <t>Total learners</t>
  </si>
  <si>
    <t>Refunders</t>
  </si>
  <si>
    <t>Non-refunders</t>
  </si>
  <si>
    <t>Refund rate %</t>
  </si>
  <si>
    <t>0% (no shows)</t>
  </si>
  <si>
    <t>1% to 25%</t>
  </si>
  <si>
    <t>25% to 50%</t>
  </si>
  <si>
    <t>50% to 75%</t>
  </si>
  <si>
    <t>75% to 90%</t>
  </si>
  <si>
    <t>90% to 100%</t>
  </si>
  <si>
    <t>Insight: Attendance and refund are almost perfectly inversely correlated. Above 90% attendance the refund rate collapses to under 1%. Below 25% attendance more than half of learners ask for a refund. This is not just because refunders stop attending after deciding to leave, the timing data shows most refund requests are raised within the first 14 days, before attendance has had time to decay much. So low Week 0 to Week 2 attendance is a real leading indicator, not a lagging one.</t>
  </si>
  <si>
    <t>2.3 Refund rate by Dashboard Walkthrough (DBWT) completion</t>
  </si>
  <si>
    <t>DBWT status</t>
  </si>
  <si>
    <t>Read note</t>
  </si>
  <si>
    <t>Yes (DBWT done)</t>
  </si>
  <si>
    <t>Did the dashboard walkthrough</t>
  </si>
  <si>
    <t>No (DBWT not done)</t>
  </si>
  <si>
    <t>Walkthrough scheduled but did not show / declined</t>
  </si>
  <si>
    <t>Not Tracked (no DBWT row)</t>
  </si>
  <si>
    <t>Did not appear in DBWT sheet at all</t>
  </si>
  <si>
    <t>Insight: Skipping the Dashboard Walkthrough is the single strongest pre-class signal we have. Learners who skipped it refunded at roughly 3 to 4 times the rate of those who attended. Note also that the small group "Not Tracked" has effectively no refunds, which suggests these are likely late enrollees or learners onboarded outside the standard flow. Worth confirming with the ops team.</t>
  </si>
  <si>
    <t>2.4 Refund rate by combined Risk Segment</t>
  </si>
  <si>
    <t>Risk segment combines two signals: (a) did the learner do the Dashboard Walkthrough, and (b) did they attend any Week 0 session. The segment is computed in column O of Master Learner Profile.</t>
  </si>
  <si>
    <t>Risk Segment</t>
  </si>
  <si>
    <t>% of all refunders</t>
  </si>
  <si>
    <t>1: Critical (No DBWT + No Wk0)</t>
  </si>
  <si>
    <t>2: High (No DBWT)</t>
  </si>
  <si>
    <t>3: Elevated (No Wk0)</t>
  </si>
  <si>
    <t>4: Engaged Early</t>
  </si>
  <si>
    <t>2.5 Data-driven strategies to reduce refund %</t>
  </si>
  <si>
    <t>Strategy</t>
  </si>
  <si>
    <t>Why it works (data trail)</t>
  </si>
  <si>
    <t>Make Dashboard Walkthrough effectively non-skippable</t>
  </si>
  <si>
    <t>Learners who did DBWT refunded at ~12% versus ~43% for those who skipped. That gap is too large to be coincidence. Make it required for class access (or delay first live class invite until DBWT is done), and have a sales-side call-back loop kicked off if DBWT remains undone within 48 hours of enrollment.</t>
  </si>
  <si>
    <t>Build an early-warning trigger for "Critical" risk segment</t>
  </si>
  <si>
    <t>76 learners fell into the No-DBWT-and-No-Week0 bucket. 56 of them (~74%) refunded. That is an extremely tight predictor. A simple rule that fires a personal outreach call within 72 hours of batch start for anyone in this segment would touch only ~5% of the cohort but cover ~20% of all refunders.</t>
  </si>
  <si>
    <t>Tighten financial qualification at sales</t>
  </si>
  <si>
    <t>21% of recorded refund reasons trace back to loan rejection or post-enrollment affordability shock. These are people we accepted into the program despite financial constraints we could have seen. A pre-enrollment soft credit pull, plus a "you must have a co-applicant on file" rule before DP is collected, would catch most of these before they become refund cases.</t>
  </si>
  <si>
    <t>Fix expectation gaps at the sales pitch</t>
  </si>
  <si>
    <t>Course expectation mismatch covers ~11-15% of refund reasons, and the recurring complaints are very specific: "told it was 3-4 hrs, it is 9", "told class size 100, it is 220", "I am from QA / project management, this is too dev-heavy", "I wanted morning batch". A standardised pre-enrollment fact sheet plus a 5-minute role-fit screen at sales would prevent almost all of these.</t>
  </si>
  <si>
    <t>Service-level commitment for refund-flag escalations</t>
  </si>
  <si>
    <t>The notes contain a distinct sub-pattern of "no revert from SP/PS, hence had to transfer due to delay in timelines, full refund approved by HP". These are refunds that were process failures, not learner failures. A 24-hour SLA on retention call-backs, with auto-escalation to a manager if missed, would recover the ~5% of refunds that fall in this bucket.</t>
  </si>
  <si>
    <t>Course-pause defaulting</t>
  </si>
  <si>
    <t>Many notes show learners ask for a refund when life happens (medical, marriage, work crunch) and say "I will rejoin in 3-6 months". The pause feature exists but is being offered late or as a fallback. Default to "pause first, refund only if pause is declined" in the retention script. This converts some share of the 25% Personal/Family bucket from refunds to deferred enrollments.</t>
  </si>
  <si>
    <t>Mentor-session nudge in Week 0</t>
  </si>
  <si>
    <t>Mentor sessions are technically optional in the first two weeks, and only ~10% of learners book one. The booked group does not refund less than the unbooked group at the aggregate, so this is not a blanket lever, but a targeted nudge to learners showing low engagement in Week 0 (and where finances or expectations were unclear at enrollment) could create the human-touch moment that retention usually requires.</t>
  </si>
  <si>
    <t>Q3: Additional hypotheses worth exploring</t>
  </si>
  <si>
    <t>These are hypotheses I could not fully resolve with the data shared, but the patterns were strong enough that they are worth investigating in a follow-up cut. Each one identifies the data that would be needed to confirm or kill it.</t>
  </si>
  <si>
    <t>Hypothesis</t>
  </si>
  <si>
    <t>What I see in the data and why I think it matters</t>
  </si>
  <si>
    <t>How to test it</t>
  </si>
  <si>
    <t>Likely lever if true</t>
  </si>
  <si>
    <t>PS or SP rep performance is a hidden driver</t>
  </si>
  <si>
    <t>A handful of PS / SP names recur across delayed-revert refund notes: cases where the refund reason ends up being "no response from SP, transferred due to breach in timelines". Some reps might also be over-promising at the sales stage. There is also a cluster of cases where the BDA who originally signed the learner is described as "not active in the system anymore".</t>
  </si>
  <si>
    <t>Tag every refund record with the SP/PS/BDA who owned it. Compute refund rate by rep. Look for reps with refund rates more than 1.5x the cohort average. Cross-check with average response time from the comms tracker.</t>
  </si>
  <si>
    <t>Targeted coaching, SLA enforcement, BDA handover process</t>
  </si>
  <si>
    <t>Learners enrolled within 7 days of batch start are higher risk</t>
  </si>
  <si>
    <t>The Comms Tracker has a "Week" column going from T-4 (4 weeks before start) to T-1 (1 week before). Learners with comms only at T-1 had less time to do DBWT, attend Week 0, or even read the welcome sequence. Worth testing whether late enrollees refund at a higher rate.</t>
  </si>
  <si>
    <t>Use the comms T-week minimum per learner as a proxy for enrollment-to-start lead time. Bucket the cohort by lead time and compute refund rate per bucket.</t>
  </si>
  <si>
    <t>Cap late enrollments, or auto-defer to next batch</t>
  </si>
  <si>
    <t>Learners from non-development backgrounds (QA, testing, project management, digital marketing, older non-IT professionals) refund at higher rates</t>
  </si>
  <si>
    <t>The free-text notes contain repeated mentions of QA, testing, project manager with 16 yrs exp, digital marketing background, sole proprietor of a petrol pump for 17 years, etc. A meaningful chunk of refunders had a fundamental fit problem that should have been caught at sales.</t>
  </si>
  <si>
    <t>Capture self-declared current role / years of experience at enrollment. Refund rate by background segment will tell us whether sales is qualifying these learners well enough.</t>
  </si>
  <si>
    <t>Better pre-sales fit screening, separate cohorts for non-dev backgrounds</t>
  </si>
  <si>
    <t>Loan rejection causes both direct refunds AND a hidden retention drag</t>
  </si>
  <si>
    <t>Direct loan-rejection refunds are about 8% of cases. But the underlying issue (down payment paid, then loan rejected) probably causes anxiety even in learners who eventually do find a way to pay. Some financial-difficulty refunds may originate from a stressful loan saga.</t>
  </si>
  <si>
    <t>Tag every learner with whether their loan went through cleanly, was approved late, or was rejected and the gap was filled differently. Compare refund rate and engagement across the three groups.</t>
  </si>
  <si>
    <t>Pre-qualify loan eligibility before DP collection</t>
  </si>
  <si>
    <t>Refund decision is largely made by Day 7-10, regardless of when it is filed</t>
  </si>
  <si>
    <t>Refund requests cluster heavily in days 7-14 after batch start. But the engagement collapse (no DBWT, no Week 0) happens before that. The decision is probably formed in the first week, and the request is filed once the learner is sure.</t>
  </si>
  <si>
    <t>Time-stamp the engagement signals and check the gap between "first signal of disengagement" (missed first class, missed DBWT) and "refund request filed". If average gap is more than 5 days we have a recoverable retention window we are not using.</t>
  </si>
  <si>
    <t>Day-3 and Day-7 personal outreach for at-risk learners</t>
  </si>
  <si>
    <t>Comms open rate is not predictive but comms click rate might be</t>
  </si>
  <si>
    <t>Aggregate open rates are nearly identical for refunders (~68%) and non-refunders (~70%). Click rates are slightly lower for refunders (~14% vs ~16%). Opens are noisy (auto-pixel-loading inflates them), clicks are a much stronger intent signal.</t>
  </si>
  <si>
    <t>Look at click rate distribution by refund status. Test whether learners with zero clicks across the entire pre-batch comms cycle have elevated refund rates.</t>
  </si>
  <si>
    <t>Use zero-click learners as an additional risk flag</t>
  </si>
  <si>
    <t>Pricing inconsistency erodes trust</t>
  </si>
  <si>
    <t>At least one note explicitly says "I got the course for 2.9L while my batchmates got it for 2.1L, so I lost interest". This is anecdotal here but could be a wider issue if discount structures are inconsistent.</t>
  </si>
  <si>
    <t>Look at fee paid distribution within the same batch. If standard deviation is high, that is a signal. Survey learners who heard about peers paying less.</t>
  </si>
  <si>
    <t>Standardised pricing or transparent discount tiers</t>
  </si>
  <si>
    <t>Mentor sessions could be retention-positive if mandatory rather than optional</t>
  </si>
  <si>
    <t>Mentor sessions are described as recommended-but-optional for the first two weeks. Booking rate is low (~10%) and refund rate among bookers is barely different from non-bookers. But that may just be self-selection: the bookers were already engaged. A mandatory first mentor session in Week 1 might pull at-risk learners into a human conversation.</t>
  </si>
  <si>
    <t>Run an A/B in the next intake: half the cohort gets a scheduled-by-default mentor session in Week 1, half does not. Compare refund rates.</t>
  </si>
  <si>
    <t>Mandatory week-1 mentor session</t>
  </si>
  <si>
    <t>Learner ID</t>
  </si>
  <si>
    <t>Refund Request Date</t>
  </si>
  <si>
    <t>Stage</t>
  </si>
  <si>
    <t>Within Refund Window</t>
  </si>
  <si>
    <t>Days from Batch Start</t>
  </si>
  <si>
    <t>Detailed Reason</t>
  </si>
  <si>
    <t>Refund Type</t>
  </si>
  <si>
    <t>AIX11549</t>
  </si>
  <si>
    <t>Retained</t>
  </si>
  <si>
    <t>Within Refund window</t>
  </si>
  <si>
    <t>AIX11402</t>
  </si>
  <si>
    <t>The learner does not see the value in the program and believes he can achieve the outcomes on his own as he has people in the industry he knows being a developer for 4 yrs.
He appreciated the quality of the program but says its not up to the monetary value. Informed by SP Mr. Varun Awasthi</t>
  </si>
  <si>
    <t>Full Refund</t>
  </si>
  <si>
    <t>AIX10761</t>
  </si>
  <si>
    <t>AIX10413</t>
  </si>
  <si>
    <t>AIX11026</t>
  </si>
  <si>
    <t>AIX10998</t>
  </si>
  <si>
    <t>AIX11170</t>
  </si>
  <si>
    <t>AIX11541</t>
  </si>
  <si>
    <t>AIX10749</t>
  </si>
  <si>
    <t>AIX10070</t>
  </si>
  <si>
    <t>AIX11647</t>
  </si>
  <si>
    <t>AIX10397</t>
  </si>
  <si>
    <t>AIX11191</t>
  </si>
  <si>
    <t>AIX11230</t>
  </si>
  <si>
    <t>AIX11197</t>
  </si>
  <si>
    <t>AIX11074</t>
  </si>
  <si>
    <t>AIX11104</t>
  </si>
  <si>
    <t>AIX11065</t>
  </si>
  <si>
    <t>AIX10889</t>
  </si>
  <si>
    <t>AIX11044</t>
  </si>
  <si>
    <t>AIX11619</t>
  </si>
  <si>
    <t>Refund Closed</t>
  </si>
  <si>
    <t>The learner has many interviews lined up and doesn't have time to attend classes.</t>
  </si>
  <si>
    <t>AIX10179</t>
  </si>
  <si>
    <t>AIX11582</t>
  </si>
  <si>
    <t>AIX11544</t>
  </si>
  <si>
    <t>DB to be Deactived</t>
  </si>
  <si>
    <t>The learner has some personal issues and hence wants to go ahead with the refund, this was initially retained from SPs but the cx was adamant for a refund</t>
  </si>
  <si>
    <t>AIX11627</t>
  </si>
  <si>
    <t>His CC is not listed in no cost EMI and he doesn't want to go for the loan. Informed by Ms. Annu Kumari</t>
  </si>
  <si>
    <t>AIX10256</t>
  </si>
  <si>
    <t>This learner has some personal issues due to which he does not want to continue with us</t>
  </si>
  <si>
    <t>AIX10097</t>
  </si>
  <si>
    <t>This learner has family issues due to which he cannot continue with us</t>
  </si>
  <si>
    <t>AIX10010</t>
  </si>
  <si>
    <t>His loan is not getting sanctioned and he doesn't have any co applicant to give</t>
  </si>
  <si>
    <t>AIX10665</t>
  </si>
  <si>
    <t>No update from PS nor SP despite multiple reminder, this learner was initially retained by SP Mr. Kuppa Nagarjuna but later the cx followed up for a refund and hence had to be processed as request is wrp</t>
  </si>
  <si>
    <t>AIX10031</t>
  </si>
  <si>
    <t>This learner doesnt want to go ahead with loan process as his family members are not supporting.</t>
  </si>
  <si>
    <t>AIX10222</t>
  </si>
  <si>
    <t>This learner is going through some financial emergency at his end at the moment so he will not be able to go ahead currently. Informed by SP</t>
  </si>
  <si>
    <t>AIX10007</t>
  </si>
  <si>
    <t>This learner has some personal major issues due to which he could not proceed further.</t>
  </si>
  <si>
    <t>AIX10012</t>
  </si>
  <si>
    <t>There was no proper update from the sales team regarding this cx. The learner kept following up and hence had to push further to finance team</t>
  </si>
  <si>
    <t>AIX10109</t>
  </si>
  <si>
    <t>The learner has some family issue currently,  her mental state is not fine. She needs a break and might join after few months.</t>
  </si>
  <si>
    <t>AIX11547</t>
  </si>
  <si>
    <t xml:space="preserve">The learner was never interested in the course.  We changed his class timings and addressed whatever complains he had. We worked on that now he comes up with another reason saying instructor is less experienced than his experience. He doesn't want the course. Informed by PS Ms. Sonam Thakur
</t>
  </si>
  <si>
    <t>AIX10675</t>
  </si>
  <si>
    <t>The learner's workload got increased due to some project, hence refund</t>
  </si>
  <si>
    <t>AIX10019</t>
  </si>
  <si>
    <t>Learner has is MVP reday to launch his start up, since his business mentor told him to invest more time in launching prod, he wants to get transist off.</t>
  </si>
  <si>
    <t>AIX10170</t>
  </si>
  <si>
    <t>The learner is working as a Project Manager having 16 years of work experience, the learner thought much about this course and finally decided this course is not suitable for me as it is totally technical course in depth. And as a project manager, he needs knowledge of DS but not in-depth as a developer.The learner decided to go for some management-related certifications to grow my career.</t>
  </si>
  <si>
    <t>AIX10879</t>
  </si>
  <si>
    <t>Forwarded to finance</t>
  </si>
  <si>
    <t>He's not happy with the course and he thinks he can learn this on his own. He didn't find the sessions useful. There was significant delay in approval from SP or PS team. Hence full refund approved by HP over email due to delay in timelines</t>
  </si>
  <si>
    <t>AIX10350</t>
  </si>
  <si>
    <t>This learner recently got an offer letter from the govt. of Odhisa in the electrical engg dept. hence refund</t>
  </si>
  <si>
    <t>AIX11391</t>
  </si>
  <si>
    <t>The learner needs validation on what better this program can offer to him as he is already sitting at a package of 40 LPA in 2 years.
Therefore, he believes it is easy for him to crack the Tier - 1 PBC without the help of the platform. He is mainly inclined toward Google &amp; Microsoft. The learner can be retained if he sees what we have to offer him in the trial period.
But he does not want to go for a loan or want to pay the remaining amount until the trial ends.
Hence, he initiated the refund. Informed by SP Suman Panda</t>
  </si>
  <si>
    <t>AIX10270</t>
  </si>
  <si>
    <t>No update from SP nor PS. Hence reason unclear. Transferred due to delay in timelines.</t>
  </si>
  <si>
    <t>AIX10090</t>
  </si>
  <si>
    <t>he has joined a new company and is not able to find time to give it to our course.</t>
  </si>
  <si>
    <t>AIX10122</t>
  </si>
  <si>
    <t xml:space="preserve">The learner is unwilling to go ahead for the course as he is not interested in taking the loan . The financial situation is also unwell and is considering joining back for the course when the amount is available .
</t>
  </si>
  <si>
    <t>AIX10121</t>
  </si>
  <si>
    <t>Cx cannot continue because his grandmother is hospitalized</t>
  </si>
  <si>
    <t>AIX10005</t>
  </si>
  <si>
    <t>Please initiate the refund as soon as possible as he is saying some really objectionable things to me which is unacceptable.</t>
  </si>
  <si>
    <t>AIX10081</t>
  </si>
  <si>
    <t>Abhijeet has genuine problems crop up at his end, father being hospitalized,</t>
  </si>
  <si>
    <t>AIX10043</t>
  </si>
  <si>
    <t>The cx is relocating to UK and hence cannot continue with us owing to time issues</t>
  </si>
  <si>
    <t>AIX10471</t>
  </si>
  <si>
    <t>The following cx is not able to give time to the Scaler program because of work pressure and family responsibilities, He wants to go for a refund</t>
  </si>
  <si>
    <t>AIX10065</t>
  </si>
  <si>
    <t>The learner has financial issues due to his house construction, hence refund</t>
  </si>
  <si>
    <t>AIX10453</t>
  </si>
  <si>
    <t>The learner's loan is not getting approved by any of our EMI partners as Anas has a 13k monthly salary. He tried arranging a co-applicant but I guess it is a difficult scenario for him. Informed by SP Mr. Swapnil Gupta</t>
  </si>
  <si>
    <t>AIX10233</t>
  </si>
  <si>
    <t>Already had a conversation regarding the refund part, the learner is saying that due to some personal issues he won't be able to proceed further,and that's why requested a refund.
Kindly initiate the process for the same. Informed by SP</t>
  </si>
  <si>
    <t>AIX10044</t>
  </si>
  <si>
    <t>This learner has some medical emergency as informed by SP Mr. Ujjwal Saini.</t>
  </si>
  <si>
    <t>AIX10119</t>
  </si>
  <si>
    <t>This learner feels the company policies are not that fair, the learner feels he was pressurized by the SPs to pay the amount. The learner felt extremely harassed for a whole day by constant calls from every direction to join and to pay right now. The learner just wants to get out of this course asap. Hence refund</t>
  </si>
  <si>
    <t>AIX11356</t>
  </si>
  <si>
    <t>This learner does not want any third party loan</t>
  </si>
  <si>
    <t>AIX10261</t>
  </si>
  <si>
    <t>This learner got an offer from a different organization, next day after her enrolment. Hence refund</t>
  </si>
  <si>
    <t>UTR Details to be shared to candidate</t>
  </si>
  <si>
    <t>Duplicate entry</t>
  </si>
  <si>
    <t>AIX11468</t>
  </si>
  <si>
    <t>personal reason</t>
  </si>
  <si>
    <t>AIX10018</t>
  </si>
  <si>
    <t>The learner's father passed away and she is not in a state to move ahead.</t>
  </si>
  <si>
    <t>AIX10112</t>
  </si>
  <si>
    <t>This learner has financial issues going on in his family, hence refund</t>
  </si>
  <si>
    <t>AIX10215</t>
  </si>
  <si>
    <t>cx is really adamant for a refund.informed by SP</t>
  </si>
  <si>
    <t>AIX10245</t>
  </si>
  <si>
    <t>The learner said he has financial issues right now plus other commitments where in he cannot adjust</t>
  </si>
  <si>
    <t>AIX10263</t>
  </si>
  <si>
    <t>PS Ms. Bandna Pathania informed that the cx is unwilling to make the rest of the payment citing personal issues, hence refund</t>
  </si>
  <si>
    <t>AIX10110</t>
  </si>
  <si>
    <t xml:space="preserve">The learner will not be able to pay the loan as he already has an education loan going on. Also, he is the only person earning for the family whereas his family is even banking upon him for a house loan. 
He doesn't think it is the right time for him to start with another liability as he isn't ready for it. </t>
  </si>
  <si>
    <t>AIX10257</t>
  </si>
  <si>
    <t>AIX10196</t>
  </si>
  <si>
    <t>AIX10067</t>
  </si>
  <si>
    <t>This learner is always complaining as per SP Mr. Lakshaya Sharma. This learner has a very casual attitude and is very unprofessional.</t>
  </si>
  <si>
    <t>AIX10198</t>
  </si>
  <si>
    <t>she is having a lot of additional work from the company and she won't be able to invest time into the same.</t>
  </si>
  <si>
    <t>AIX10214</t>
  </si>
  <si>
    <t>Cx  occupied for this whole year and won't be able to continue with the course.</t>
  </si>
  <si>
    <t>AIX11306</t>
  </si>
  <si>
    <t>The learner got placed into jio at very good salary and wants to join after a year or two. He likes course but for now want to focus on new team and job.</t>
  </si>
  <si>
    <t>AIX11600</t>
  </si>
  <si>
    <t>1) He has resigned his current employment - looking for a new job. Is on his notice period
2) What if he is not able to pay his EMI since he might take a few more months to get employed.
3) I work in cyber security, therefore I can't really relate to the themes.
4) 3 lakh is a lot of money, and I want to devote myself fully.
5) want to work on projects first - which we do it in the last so that he gets the Job</t>
  </si>
  <si>
    <t>AIX10006</t>
  </si>
  <si>
    <t>There is a mandatory  training that he needs to take at his work place and he can't manage time to attend the classes. Tried convincing him for a pause but he feels even after 2-3 month he has to reconsider his decision of joining back.He wants to continue only when he can manage proper time.  Also tried convincing for a ACS before taking up a final decision but he doesn't think that will help because he liked the classes he has attended.It's just that he doesn't want to do the course right now. Informed by PS Ms. Deepti Nair</t>
  </si>
  <si>
    <t>AIX10219</t>
  </si>
  <si>
    <t>This learner has some personal issues which he did not discuss with anyone, neither SP nor pS</t>
  </si>
  <si>
    <t>AIX10169</t>
  </si>
  <si>
    <t>This learner has some serious medical issues as informed by Ms. Preethi Sasikumar, hence refund</t>
  </si>
  <si>
    <t>AIX10037</t>
  </si>
  <si>
    <t>due to time restrictions and his 12- to 13-hour workdays</t>
  </si>
  <si>
    <t>AIX11361</t>
  </si>
  <si>
    <t>The learner has requested refund because due to Low Cibil Score &amp; unavailability of Co-aaplicant we couldn't process the Loan Amount of INR 244000.</t>
  </si>
  <si>
    <t>AIX10237</t>
  </si>
  <si>
    <t>Learner has health issues and is not in a position to go ahead with the program due to the financial instability to handle medical bills, school fees for her kid and cannot be retained on the longer run to pay the remaining loan balance as well.</t>
  </si>
  <si>
    <t>AIX10029</t>
  </si>
  <si>
    <t>This learner has an uncontrollable situation so understanding this we should refund this, informed by SP</t>
  </si>
  <si>
    <t>AIX10419</t>
  </si>
  <si>
    <t>he has some serious financial issues at the moment and will not be able to proceed with the course.</t>
  </si>
  <si>
    <t>AIX11511</t>
  </si>
  <si>
    <t>AIX10124</t>
  </si>
  <si>
    <t>This particular sale got closed in the call itself . After paying downpayment , next day all of a sudden learner started asking for refund and did not get convinced even after having multiple discussions .</t>
  </si>
  <si>
    <t>AIX10231</t>
  </si>
  <si>
    <t>AIX10045</t>
  </si>
  <si>
    <t>due to financial issues he withdraw from the scalar program</t>
  </si>
  <si>
    <t>AIX10014</t>
  </si>
  <si>
    <t xml:space="preserve">The lead Harish was having issues with the Loan Procedure only, and did not have any issues with the Programme.
After many discussions with the lead and his family, they are not ready to go ahead with any loan process, or for an One Shot Payment. 
</t>
  </si>
  <si>
    <t>AIX10209</t>
  </si>
  <si>
    <t>Significant delay in revert from SPs. The reason is unknown</t>
  </si>
  <si>
    <t>AIX10297</t>
  </si>
  <si>
    <t>The learner  is looking for a morning Python batch. She opted out of the course as she is unable to attend classes in the evening.
PS tried retaining her by talking about the JAWA batch for Morning and recordings of python but she was not interested in that</t>
  </si>
  <si>
    <t>AIX10208</t>
  </si>
  <si>
    <t>He is facing some personal issues due to which he won't be able to continue in the course.</t>
  </si>
  <si>
    <t>AIX10154</t>
  </si>
  <si>
    <t>The learner has left her job and the EMI is not getting approved</t>
  </si>
  <si>
    <t>AIX11399</t>
  </si>
  <si>
    <t>The learner is not looking for upskilling or devoting time for learning, and not even transitioning his career. He had more of a casual approach and hence not looking for a serious training program like this</t>
  </si>
  <si>
    <t>AIX10128</t>
  </si>
  <si>
    <t>The learner has time constraints. PS Ms. Deepti Nair requested him to pause the course but he says he already had all this discussion and he would like to join later.At this point of time he has decided to opt out</t>
  </si>
  <si>
    <t>AIX10071</t>
  </si>
  <si>
    <t>Learner does not want to do loan process</t>
  </si>
  <si>
    <t>AIX10224</t>
  </si>
  <si>
    <t>NBFC request could not be completed</t>
  </si>
  <si>
    <t>AIX11145</t>
  </si>
  <si>
    <t>Significant delay in revert from SP Mr. Vishwas Nagaria. The reason was not stated by him nor the cx</t>
  </si>
  <si>
    <t>AIX10088</t>
  </si>
  <si>
    <t>The learner has some financial problems at home due to which he wants to go for the course after 3 months.</t>
  </si>
  <si>
    <t>AIX10050</t>
  </si>
  <si>
    <t xml:space="preserve">Could not connect with learner on call as the number was going out of coverage, so had conversation on whatsapp learner says he has financial issue and he would not be able to take the loan as he already has 3 loans on him.
</t>
  </si>
  <si>
    <t>AIX10137</t>
  </si>
  <si>
    <t>Cx current company is providing an ML course. So he decided to drop from the same.</t>
  </si>
  <si>
    <t>AIX10178</t>
  </si>
  <si>
    <t>The learner’s wife is facing some medical complications while they are expecting a baby because of which he cannot move ahead with the program</t>
  </si>
  <si>
    <t>AIX10220</t>
  </si>
  <si>
    <t>PS Mr. Charudatta Raut had a word with this learner on 29/06/2022 and 14 /07/2022, learner said that he decided not to go with the course after paying the down payment, he is not sure whether he will be able to do it not he wants time he doesn't want to rush because he has a medical emergency at his family so he said he would need 2- 6 months of time and then he will rejoin,  tried explaining him the importance of the course, he have no issues with the course but he is firm on his decision not to continue as of now.</t>
  </si>
  <si>
    <t>AIX10206</t>
  </si>
  <si>
    <t>This learner is not able to get his loan processed. The learner is unemployed and was very eager to enroll with scaler - he had borrowed money from all his friends for the DP as well.</t>
  </si>
  <si>
    <t>AIX10442</t>
  </si>
  <si>
    <t>some personal reasons cx not continue so he wants refund</t>
  </si>
  <si>
    <t>AIX10156</t>
  </si>
  <si>
    <t>He has some inevitable personal issues.</t>
  </si>
  <si>
    <t>AIX11305</t>
  </si>
  <si>
    <t>She can manage to enhance skills using the free online materials/courses and also currently learner  also pursing other certifications and  she won't be able to give my full attention to this program.</t>
  </si>
  <si>
    <t>AIX11396</t>
  </si>
  <si>
    <t>This learner is certain about his decision to quit from the program owing to personal issues</t>
  </si>
  <si>
    <t>AIX10038</t>
  </si>
  <si>
    <t>No revert from SP nor PS for this learner. Hence refund due to breach in timelines</t>
  </si>
  <si>
    <t>AIX10622</t>
  </si>
  <si>
    <t>The learner is unable to focus for the next 6 months due to some personal committments</t>
  </si>
  <si>
    <t>AIX10152</t>
  </si>
  <si>
    <t>due to some medical issues I will not be able to join the classes</t>
  </si>
  <si>
    <t>AIX11174</t>
  </si>
  <si>
    <t>The learner was not satisfied with the curriculum, so PS Mr. Chinmoy Paul explained the outcomes and things that he can expect here. PS invited him for a Dashboard Walkthrough so that they could have a detailed conversation regarding the same. The learner was convinced initially, but the next day onwards he stopped picking up PS calls, didn't turn up for Dashboard Walkthrough, and till today not even a single call of mine the learner didn't receive. Even the BDA's calls he is not receiving</t>
  </si>
  <si>
    <t>AIX10259</t>
  </si>
  <si>
    <t>The learner informed me that he could not concentrate for about 5 months as he is having some financial issues and personal issues.
informed him about the pause option as well but he doesn't want to go with it.
He would like to go for a refund only.</t>
  </si>
  <si>
    <t>AIX11140</t>
  </si>
  <si>
    <t>The learner is saying that she is not able to manage the work and the family at the time as her family is not supporting her to do so.
Informed about the pause option as well but she said she won't be able to upskill herself for a couple of years because of her kid.
she wanted to go with a refund only.</t>
  </si>
  <si>
    <t>AIX10001</t>
  </si>
  <si>
    <t>AIX10255</t>
  </si>
  <si>
    <t>Currently no fixed timing is there and therefore cx struggling in managing time for my extra learning.</t>
  </si>
  <si>
    <t>AIX10135</t>
  </si>
  <si>
    <t>The learner is facing some health emergency at home and won't be able to focus on the program for next 4-5months</t>
  </si>
  <si>
    <t>AIX10457</t>
  </si>
  <si>
    <t>The cx just dropped a text to PS Ms. Anamika A that she cannot continue with the program</t>
  </si>
  <si>
    <t>AIX10094</t>
  </si>
  <si>
    <t>Had conversation with learner informed that she wants a job guarantee which can not be given, and explained that if she puts in the effort she will definitely get opportunities but wants confirmation. told her will make you connect with team how can explain you better on placement doesnt want that as well. Informed by PS Ms. Sonam Thakur</t>
  </si>
  <si>
    <t>AIX10573</t>
  </si>
  <si>
    <t>NBFC Closure approval pending</t>
  </si>
  <si>
    <t>Cx want refund due to financial issues I will be joining next time.</t>
  </si>
  <si>
    <t>AIX10150</t>
  </si>
  <si>
    <t>personal reasons</t>
  </si>
  <si>
    <t>AIX10569</t>
  </si>
  <si>
    <t>This learner is unable to cope up with this course. The learner have continued for a week with the advice of siddarth (SP) and still he is unable to continue and cope up with course.</t>
  </si>
  <si>
    <t>AIX10048</t>
  </si>
  <si>
    <t>The learner is going through a family emergency due to which he will not be able to put any time or financial commitment to something like this.</t>
  </si>
  <si>
    <t>AIX10002</t>
  </si>
  <si>
    <t>Discussed in detail with him, he is like he tried to analyse but he can not spare time to go with the classes, guided him in and out but he needs at least 4-5 months time to complete his stuff and then he wants to move forward</t>
  </si>
  <si>
    <t>AIX10377</t>
  </si>
  <si>
    <t>The learner likes to continue his career in the software administration role and not interested in the development role. Hence refund</t>
  </si>
  <si>
    <t>AIX10092</t>
  </si>
  <si>
    <t>Learner is very skeptical regarding the loan proceedings and wanted to do this program with upfront payment later . Tried to counsel him and his parents but it didn't help</t>
  </si>
  <si>
    <t>AIX10077</t>
  </si>
  <si>
    <t>There was no timely revert from SPs on this. Transferred due to delay in timelines</t>
  </si>
  <si>
    <t>AIX10919</t>
  </si>
  <si>
    <t>Learner is from a testing background &amp; is now not aligned with the idea of our program, rather he wants to pursue cloud certification</t>
  </si>
  <si>
    <t>AIX10588</t>
  </si>
  <si>
    <t>The learner is not into development side and hence said that this course will not be beneficial for him atm</t>
  </si>
  <si>
    <t>AIX10380</t>
  </si>
  <si>
    <t>He is packed with upcoming projects, hence cannot proceed</t>
  </si>
  <si>
    <t>AIX11027</t>
  </si>
  <si>
    <t>He is very skeptical about the program and is lacking confidence. He told that due to office timings, he is not able to concentrate, but that's an excuse because PS Mr. Chinmoy Paul gave him several ways to proceed with the course, but he still wants refund. BDA is also trying to call him, but he doesn't respond to her calls.</t>
  </si>
  <si>
    <t>AIX10424</t>
  </si>
  <si>
    <t>This learner's father recently left them, this learner has financial issues and hence cannot afford the course as he also has to take care of his family</t>
  </si>
  <si>
    <t>AIX10411</t>
  </si>
  <si>
    <t>The learner is the sole earner of the family hence he will not be able to pay the EMIs as of now. He cannot afford the fees as of now , The learner earns only 20K per month. The learner plans to rejoin once he can afford this program, the learner is looking for the new job now.</t>
  </si>
  <si>
    <t>AIX10262</t>
  </si>
  <si>
    <t xml:space="preserve">After several month of wait, my Canada PR is finally approved and I’m planning to move to Canada by this year end. Hence, I have to save a lot of money and cut down on expense in order to be able move to Canada properly. Informed by Cx
</t>
  </si>
  <si>
    <t>AIX10139</t>
  </si>
  <si>
    <t>The learner says he is not comfortable with coding as future domain to pursue. Informed by SP</t>
  </si>
  <si>
    <t>AIX11137</t>
  </si>
  <si>
    <t>he has a challenge in attending live lectures as he has been called to office where he has to give a lot of time due to a new project</t>
  </si>
  <si>
    <t>AIX10921</t>
  </si>
  <si>
    <t>Unfortunately, this learner has already made up his mind to not continue with the course at this time. He is earning 4LPA and is the only earning member plus is fixated on one tool to work upon and make a career in that.
Tried showing him the bigger picture and his career graph but doesn't want to go ahead with it</t>
  </si>
  <si>
    <t>AIX10127</t>
  </si>
  <si>
    <t>The learner has his own marriage next month and he will not be able to take out time for the program, we were looking for a course pause for him</t>
  </si>
  <si>
    <t>AIX10129</t>
  </si>
  <si>
    <t>The learner's parents are opposing it in a major way and not letting him continue in this. There is no chance of retaining</t>
  </si>
  <si>
    <t>AIX10204</t>
  </si>
  <si>
    <t>The learner is facing some time management issues with some personal issues which he can't mention.
He also mentioned having a different learning program with him, PS Mr. Kushagra yadav tried to explain the features and flexibility which he could use but he seems to be very sure of his decision.
He would not continue with this course</t>
  </si>
  <si>
    <t>AIX10217</t>
  </si>
  <si>
    <t>No timely revert from SP or PS. Hence had to transfer due to delay in timelines</t>
  </si>
  <si>
    <t>AIX10166</t>
  </si>
  <si>
    <t>The learner had overdue in lakhs retaining him will not be possible</t>
  </si>
  <si>
    <t>AIX10768</t>
  </si>
  <si>
    <t>he has some personal family issues so wants refund</t>
  </si>
  <si>
    <t>AIX10207</t>
  </si>
  <si>
    <t>This learner has time issues and hence cannot proceed with us, hence refund</t>
  </si>
  <si>
    <t>AIX11395</t>
  </si>
  <si>
    <t>He is invested in his own satart-up
Not getting time to invest here, informed by SP</t>
  </si>
  <si>
    <t>AIX10216</t>
  </si>
  <si>
    <t>The learner is shifting to the US for an onsite job. He said he will be shifting in a month. Then he said he wants to opt-out of the course of now.PS tried retaining him by talking about his motive for joining a scaler to skill up himself and to join a MANG company. Also, PS gave him the option to pause it for 3 months and then start from the beginning after shifting to the US, but he said he will be joining after 1 year and as of now wants to quit the course.</t>
  </si>
  <si>
    <t>AIX10487</t>
  </si>
  <si>
    <t>The learner has some family problems where he needs the money now, he's ready to be pushed to the next batch but because the loan was carried forward, he has to take the refund as nothing can be done. He will be joining again in the next batch. If the emi options can be put on hold, we can push him to the next batch immediately or else the refund has to be processed</t>
  </si>
  <si>
    <t>AIX10744</t>
  </si>
  <si>
    <t>The learner said that a member of his team has left and now the workload on him has increased and he is not able to manage time even on weekends. I gave him an option to pause the batch, but he said that he will join again later once the workload is minimized.</t>
  </si>
  <si>
    <t>AIX11602</t>
  </si>
  <si>
    <t>he doesn't feel like core development is something that he has to pursue in his career anymore and that's why he wants to opt out</t>
  </si>
  <si>
    <t>AIX10248</t>
  </si>
  <si>
    <t>This learner has multiple projects at his office due to which he cannot proceed further. Hence refund</t>
  </si>
  <si>
    <t>AIX11360</t>
  </si>
  <si>
    <t>The learner is having  financial constraints , family issues  and time constraints. The learner wishes to continue with the course but he says if he continues he won't be able to support his family , PS Charudatta Raut gave him an option of course pause but says it won't work where he will not be able to support his family. The earner says will join the program after 4-5 months</t>
  </si>
  <si>
    <t>AIX10200</t>
  </si>
  <si>
    <t>the learner is unemployed right now 
he wants to join a job on immediate basis and he said he will be focusing over there more and will try to join scaler after 2-3 months
he is not ready to be retained , informed by PS Mr. Mihir Kumar</t>
  </si>
  <si>
    <t>AIX10182</t>
  </si>
  <si>
    <t>The learner's loan could not be approved, hence refund</t>
  </si>
  <si>
    <t>AIX10218</t>
  </si>
  <si>
    <t>This cx can't be retained due to his time constraint, he is doing 4 jobs altogether and not getting time to pursue this course. And when PS Ms. Anjali Singh suggested ACs connect, he said he has good time management skills, That's why he is managing 4 jobs together. The learner doesn't need any alumni to suggest to him on time issues, and till 6 months he will be highly occupied, which made his mind drop out from the course.</t>
  </si>
  <si>
    <t>AIX10312</t>
  </si>
  <si>
    <t>The learnner is stubborn and stated that class is too fast since he is not comfortable in English so much and got a different onsite opportunity.</t>
  </si>
  <si>
    <t>AIX10004</t>
  </si>
  <si>
    <t>The learner is having heavy work schedule, hence refund</t>
  </si>
  <si>
    <t>AIX10267</t>
  </si>
  <si>
    <t>This learner is facing some medical issues and it is difficult for him to take the steps further to kindly initiate his refund as soon as possible.</t>
  </si>
  <si>
    <t>AIX10176</t>
  </si>
  <si>
    <t>the learner is not able to make time for the classes</t>
  </si>
  <si>
    <t>AIX10246</t>
  </si>
  <si>
    <t>learner not able to join scaler academy due to some personal reasons.</t>
  </si>
  <si>
    <t>AIX10317</t>
  </si>
  <si>
    <t>No response from SP or PS. Hence the reason for the refund is unknown</t>
  </si>
  <si>
    <t>AIX10172</t>
  </si>
  <si>
    <t xml:space="preserve">this learner has some issues regarding the loan and will not be able to apply for it. 
He said he would like to enroll for the next batch. Informed by Ms. Vaishnavi Kamat (sales poc) </t>
  </si>
  <si>
    <t>AIX10600</t>
  </si>
  <si>
    <t>No proper response from SP or PS, had to transfer due to delay in timelines</t>
  </si>
  <si>
    <t>AIX11096</t>
  </si>
  <si>
    <t>Learner is stringent on his decision of self preparation and is wanting a refund at any cost</t>
  </si>
  <si>
    <t>AIX10046</t>
  </si>
  <si>
    <t>Learner was onboarded for July batch but did not complete the finance process as he wanted to start classes from sept/oct &amp; wanted EMI to start from oct itself.
learner has 20k downpayment &amp; wants EMI to start from oct month. So i have suggested him to go for refund &amp; enroll again in sept, then we can ensure his EMI will also start from oct. Learner is interested but has genuine reason to start from sept as he is already taking teamcenter customization course. 
Please proceed with refund &amp; will enrol the learner again when EMI can start from oct month.</t>
  </si>
  <si>
    <t>AIX11591</t>
  </si>
  <si>
    <t xml:space="preserve">1) She has a personal loan of 10 Lacs and will not be able to take up any other loan for now.
2) She comes from a QA background, and she feels that the course is primarily for people in development roles. As she has no future plans of switching to a development role, she does not find herself suitable for the program. She enrolled with us on a trial basis.
3) She also added that the classes which are taking place during the trial period are not enough for her to make an informed decision as very basic concepts are being taught initially.
Therefore, she is adamant about opting out of the program.
</t>
  </si>
  <si>
    <t>AIX10336</t>
  </si>
  <si>
    <t>The lead is serving a notice period and says he cannot afford the EMI at this point in time</t>
  </si>
  <si>
    <t>AIX10033</t>
  </si>
  <si>
    <t>This learner is facing major issues to cope with the course as he is from Digital Marketing bg and after the classes, he is sure that he would not be able to continue in this IT field.</t>
  </si>
  <si>
    <t>AIX11294</t>
  </si>
  <si>
    <t>Due to some personal reason Cx not continue the course so he wants refund back</t>
  </si>
  <si>
    <t>AIX11178</t>
  </si>
  <si>
    <t>The learner is ignoring all calls. Please proceed for a refund. Informed by PS POC Ms. Sonam Thakur</t>
  </si>
  <si>
    <t>AIX10008</t>
  </si>
  <si>
    <t>This learner has to undergo some surgery, hence refund</t>
  </si>
  <si>
    <t>AIX10086</t>
  </si>
  <si>
    <t>The learner have got L1 visa from his current company</t>
  </si>
  <si>
    <t>AIX10075</t>
  </si>
  <si>
    <t>learner has time constraints she doing nights shifts all day she doesn't want to go to recorded classes told possible learner made up her mind</t>
  </si>
  <si>
    <t>AIX10648</t>
  </si>
  <si>
    <t>He was earlier planning to get the reimbursement from the company (Vmware) in August because for july, his company was out of budget. But now, he has plans to move to a different company for which he has to resign from his current company immediately. Since he cannot request for reimbursement now, he wants to postpone his plan to join</t>
  </si>
  <si>
    <t>AIX10266</t>
  </si>
  <si>
    <t>The learner has cleared his UPSC exam and wish to proceed with the interview preparation for the same and thus will not be able to pursue the course. Tried explaining him all the odds but is not ready to go ahead. Informed by SP Ms. Barkha verma</t>
  </si>
  <si>
    <t>AIX10439</t>
  </si>
  <si>
    <t>new shift timings made me financially unstable and at the same time can't able to match up with batch timings.</t>
  </si>
  <si>
    <t>AIX10498</t>
  </si>
  <si>
    <t>The learner raised a refund request because he is from the non-IT background and has 17yrs of exp and also holds a package of 15LPA as of now. He was expecting a raise of at least 30-35% after course completion. But he connected with Anshuman sir as well a mail from Abhimanyu sir not to have such an expectation. Max what can be offered is 8-10LPA. PS Ms. Deepti Nair still tried convincing and suggested connecting with an Alumni but he doesn't wish to connect and has made up his mind to opt-out.</t>
  </si>
  <si>
    <t>AIX10388</t>
  </si>
  <si>
    <t>The cx has recently lost his job and has no savings left to pay. Hence he is opting for a refund. Informed by PS Ms. Ramyasree Myadam</t>
  </si>
  <si>
    <t>AIX10130</t>
  </si>
  <si>
    <t>This learner has some personal issues. Informed by Manideep (SP)</t>
  </si>
  <si>
    <t>AIX10250</t>
  </si>
  <si>
    <t>Leaner is asking for the refund , as he is planning to shift out of the country, so he won't be able to attend the classes at present.</t>
  </si>
  <si>
    <t>AIX10318</t>
  </si>
  <si>
    <t>This learner has got some new job and he is like he is not able to manage time for that, that's how the call started, after asking further he mentioned that everything is fine, one concern is that he have been allotted the beginner batch in python and he can not understand that, one of the major concern but he is again later on the call came up with different excuses.</t>
  </si>
  <si>
    <t>AIX10082</t>
  </si>
  <si>
    <t>The learner is having some health issues so she would be on bed rest for next 2months, so she won't be able to continue with the training program.</t>
  </si>
  <si>
    <t>AIX10247</t>
  </si>
  <si>
    <t>No revert from SP nor PS. hence had to transfer due to breach in timelines</t>
  </si>
  <si>
    <t>AIX10367</t>
  </si>
  <si>
    <t>PS had words with the learner he said he has some family problems which cannot be disclosed and will not be able to give time to the course as of now.
PS tried retaining by talking about batch pause but he said he will be rejoining the course by 2023 and can't continue as of now.</t>
  </si>
  <si>
    <t>AIX10496</t>
  </si>
  <si>
    <t>He can not afford thr emi at this time, guided him all the way but he is the sole earner and only earns 18k, can not manage at this time</t>
  </si>
  <si>
    <t>AIX10298</t>
  </si>
  <si>
    <t>This learner has some personal issues which was not revealed by the sales POCs</t>
  </si>
  <si>
    <t>AIX10490</t>
  </si>
  <si>
    <t>She has lost her job and she doesn't have enough savings to continue the course</t>
  </si>
  <si>
    <t>AIX11532</t>
  </si>
  <si>
    <t>Learner is having financial issues she will not be able to go with the course as she will not be able to pay the EMIs .</t>
  </si>
  <si>
    <t>AIX10177</t>
  </si>
  <si>
    <t>she will join once she gets a stable job and CTC enough to be herself be able to join Scaler without any assistance or coapplicant ( as NBFC not approved).</t>
  </si>
  <si>
    <t>AIX10517</t>
  </si>
  <si>
    <t>We are not able to complete the loaning for the above learner, because of low banking and he does not have any co-applicant as well, Hence we will have to proceed further for refund.</t>
  </si>
  <si>
    <t>AIX10327</t>
  </si>
  <si>
    <t>Learner Anupama got enrolled for July Cohort &amp; was initially interested to learn. But due to some personal reasons, the learner doesn't want to continue with the program. Neither did the learner went ahead with the primer content, Did try to retain the learner a lot. 
Not just me but my reporting manager also tried to retain her but the learner was very much adamant about it &amp; refuse to continue the course. 
Kindly process with refund at the earliest. 
Also Learner most of the times contacted me on my personal phone where recording's doesn't happen. Informed by SP mr. Rohan Parewa</t>
  </si>
  <si>
    <t>AIX10091</t>
  </si>
  <si>
    <t>discussed him 3-4 times for last 4-5days, there are certain personal issues he have right now,someone died too in his family so he is not in the right situation to move with this.</t>
  </si>
  <si>
    <t>AIX10907</t>
  </si>
  <si>
    <t>The learner is moving to Germany for his Masters in the month of October. Since he will be moving to Germany on a student visa, at present it is not affordable for him to pay EMI's. He also added that he has no complaints regarding the program, but due to financial constraints it will not be possible for him to continue. He says once he is settled in Germany and gets a job there after 6 months, he would want to join back again in the future. 
PS Ms. Mousumi Maity tried retaining him by telling him about how he can get benefitted largely  coming  from a non CS background. He says he is aware about it, but it is only due to financial reasons he needs to opt out of the program.</t>
  </si>
  <si>
    <t>AIX11194</t>
  </si>
  <si>
    <t>The learner is not interested in continuing with the program as she is confused between career options. Already in middle of preparing for some other teaching job. She needs time to think about the career in software development and also get done with her previous commitments.</t>
  </si>
  <si>
    <t>AIX10294</t>
  </si>
  <si>
    <t>He changed his mind post the AMA session. He had enrolled for a 100% hike in his next job. He also mentioned that he was told in the AMA session that he would be getting entry level jobs in which he is already working as a project lead. The learner did not want to discuss it any further and was adamant about quitting.</t>
  </si>
  <si>
    <t>AIX10432</t>
  </si>
  <si>
    <t>Please move ahead with the refund. The learner has got a promotion recently and doesn't want to upskill. Informed by SP</t>
  </si>
  <si>
    <t>AIX11101</t>
  </si>
  <si>
    <t>He is facing time management issues with the curriculum and he is not able to manage his time with the course.</t>
  </si>
  <si>
    <t>AIX10957</t>
  </si>
  <si>
    <t>Cx wants go with refund since he has been aligned with different work and won't able to focus towards  scaler training ,he wants to join scaler after 6 months.</t>
  </si>
  <si>
    <t>AIX11458</t>
  </si>
  <si>
    <t>This learner is more inclined towards higher studies. This learner has no complaints about the program, even his mentor session went well as informed by Chandana Priya. Meanwhile, the learner mentioned that he wasn't ready to give the time commitment to the scaler classes yet and a few other reasons.
He said that after a few months when he is financially ready and can devote his time, he would return to scaler.</t>
  </si>
  <si>
    <t>AIX11131</t>
  </si>
  <si>
    <t>Discussed with him in details, he has some prior commitments and doesn't wants to move forward for the time being . Informed by SP Mr. Dhruv Singh Bana</t>
  </si>
  <si>
    <t>AIX11358</t>
  </si>
  <si>
    <t>Cx  is not getting time to attend sessions he needs to claim for a refund</t>
  </si>
  <si>
    <t>AIX10527</t>
  </si>
  <si>
    <t>The learner is facing financial constraints andthe SP and his team tried retaining the sale a lot but due to lack of loan bearing capacity the learner is not getting the loan. That is why the learner is asking for return. The learner has no issues related to the Program or the Product.</t>
  </si>
  <si>
    <t>AIX10702</t>
  </si>
  <si>
    <t>The learner's organisation is sponsoring a cloud computing certification program. Hence, he feels that he will not be able to manage both these courses together. PS Ms. Mousumi Maity tried retaining him by telling him about the pause option. Learner is quite adamant about opting out and did not want to discuss it further.</t>
  </si>
  <si>
    <t>AIX10485</t>
  </si>
  <si>
    <t>The learner is moving to the US  as he got a job opportunity there. He had initially enrolled with us thinking that he would want to switch to a different technology. But as of now, since he has got a job in the US he would like to continue in the same domain and hence he does not feel the need of the program anymore.</t>
  </si>
  <si>
    <t>AIX10307</t>
  </si>
  <si>
    <t>Due to my tight schedule. I can't give more time to classes.</t>
  </si>
  <si>
    <t>AIX11401</t>
  </si>
  <si>
    <t>the learner is leaving for the Netherlands for company work and the timings would not suit him. He says no idea when I am going to come back. It may take a year or so. so he thinks if he is investing money and not using it it wouldn't be justice to the course nor to him.  informed by Sonam Thakur</t>
  </si>
  <si>
    <t>AIX10101</t>
  </si>
  <si>
    <t>After taking down-payment loan was nit able to be processed on his name due to his lack of salary and lack of statements.</t>
  </si>
  <si>
    <t>AIX10083</t>
  </si>
  <si>
    <t>Undergoing surgery tomorrow. He says he already informed the BDA before enrollment that he has a medical issue and might not be able to continue. It will take months for him to recover.</t>
  </si>
  <si>
    <t>AIX10212</t>
  </si>
  <si>
    <t>This learner has some financial issues, went DNP went Gudipati Manasa from PS team tried for a retention call</t>
  </si>
  <si>
    <t>AIX10161</t>
  </si>
  <si>
    <t>This cx has requested for refund due to an immediate job role change in his current organisation, after which he won't be able to dedicate his time for this program, he stated. Informed by SP Ms. Priya Gupta</t>
  </si>
  <si>
    <t>AIX10249</t>
  </si>
  <si>
    <t>Learner would like to focus on his official commitments and that's the reason he is requesting a refund</t>
  </si>
  <si>
    <t>AIX10554</t>
  </si>
  <si>
    <t>The leaner has concerns with the EMI. He is thinking that he would not be able to pay the EMI so that unable to continue the course</t>
  </si>
  <si>
    <t>AIX10331</t>
  </si>
  <si>
    <t>This learner is in a very weak financial situation due to which his EMIs are not being approved. Even if BD team try to retain him, he will not be able to process the EMI as it has already been rejected by our NBFC partners</t>
  </si>
  <si>
    <t>AIX10253</t>
  </si>
  <si>
    <t>Currently he is not able to give time as he has his sister surgery and won't be able to go with a 3 month's pause option as well as he is not pretty sure it would be done in 3  months and has a lot of family stress.</t>
  </si>
  <si>
    <t>AIX11181</t>
  </si>
  <si>
    <t>he has some family related responsibilities due to which he is not able to give time to program and needs 4-5 months time to settle things down. Will join back again later</t>
  </si>
  <si>
    <t>AIX11158</t>
  </si>
  <si>
    <t>The learner has a few problems. There has been a severe escalation within the current organization, and he feels it is not appropriate to continue with the scaler until he has settled things</t>
  </si>
  <si>
    <t>AIX10069</t>
  </si>
  <si>
    <t>Cx loan too not completed as he informed about the situation to BD 3 days after the dp,</t>
  </si>
  <si>
    <t>AIX10644</t>
  </si>
  <si>
    <t>The learner newly got married and there are a lot of things that are going around in her personal life due to which she's unable to concentrate thus she feels this is not the right time to continue with us and would like to join at a later point of time.</t>
  </si>
  <si>
    <t>AIX10096</t>
  </si>
  <si>
    <t>the learner wants to go for army instead of going forward with the corporate jobs 
as he is having very less time he wants to solely focus on this thing on the other hand the learner 's family pressure is also there</t>
  </si>
  <si>
    <t>AIX10571</t>
  </si>
  <si>
    <t>The learner has been running a Petrol Pump for 17 years now. Now suddenly he enrolled in this program, so understanding the tech jargons is very hard for him. PS don't know about his sickness, but on Wednesday he called and asked about the refund procedure since he was not able to understand anything. PS told him to be patient as classes have just started, but his pain point was that it's too hard for him.</t>
  </si>
  <si>
    <t>AIX11618</t>
  </si>
  <si>
    <t>The learner is Looking for a refund due to unavailability and his non commitment to the course at the moment has taken the final decision for refund despite all efforts.</t>
  </si>
  <si>
    <t>AIX10093</t>
  </si>
  <si>
    <t>He says the fee is too high and also he spoke to a couple of alumni from his organization and they have given him bad feedback. With this he wishes to revoke. Informed by PS Ms. Ramyasree Myadam</t>
  </si>
  <si>
    <t>AIX11029</t>
  </si>
  <si>
    <t>The learner is waiting to make up her mind yes/no after the alumni session. The course is great but it doesn't align with the cx's long term goal</t>
  </si>
  <si>
    <t>AIX11060</t>
  </si>
  <si>
    <t>Father is in very critical condition.
Wants to take up another loan.
Unable to concentrate on studies and rest. Hence refund. Informed by SP Suman Panda</t>
  </si>
  <si>
    <t>AIX10173</t>
  </si>
  <si>
    <t>Cx opt out of the scaler course since he has some other urgent priorities with regard to his family</t>
  </si>
  <si>
    <t>AIX10340</t>
  </si>
  <si>
    <t>Please go ahead with refund. My BDA who signed this learner isn’t active in the system anymore. Informed by SP Mr. Jitesh Sharma</t>
  </si>
  <si>
    <t>AIX10489</t>
  </si>
  <si>
    <t>he don't think he would like to be an effective coder or a programmer so he wants refund</t>
  </si>
  <si>
    <t>AIX10929</t>
  </si>
  <si>
    <t>He says he's facing some personal issues due to which he is unable to focus on the classes or put in effort to solve the problems. He mentioned he doesn't want to describe about the issues that he is facing in his personal life but he likes the course and would like to join back later.
PS Ms. Deepti Nair tried convincing to opt for a course pause but he says he has already thought about it and this is his final decision.</t>
  </si>
  <si>
    <t>AIX10659</t>
  </si>
  <si>
    <t>The SP Mr. Ujjwal Saini informed that he was unable to speak with the learner and hence had to transfer it to finance due to already delay in timelines</t>
  </si>
  <si>
    <t>AIX10211</t>
  </si>
  <si>
    <t>The learner would like to go for a refund as she has a couple of reasons for that,one being that she feels the duration of the class is longer that she could not concentrate and another is that her current organisation did not approve the reimbursement of course fee.
Explained about all the options but she would like to go for a refund only. Informed by PS Ms. Gudipati manasa</t>
  </si>
  <si>
    <t>AIX10650</t>
  </si>
  <si>
    <t>The reason behind that is he want to avail the Teaching Assistance Program organization for which will be eligible after one year.</t>
  </si>
  <si>
    <t>AIX10264</t>
  </si>
  <si>
    <t>Due to some personal issue Cx unable to continue</t>
  </si>
  <si>
    <t>AIX10105</t>
  </si>
  <si>
    <t>This learner has travelling plans through this year due to his office works ,he will not be able to go with the program as he don't want to go with the recordings ,he wants to attend live session ,he thought on this for a month but he don't want to do this course half heartedly.
He will join us back once everything will finish so that he can attend the classes properly and can do this course properly without any obstacles</t>
  </si>
  <si>
    <t>AIX11359</t>
  </si>
  <si>
    <t>The learner is apparently suffering through a medical condition wherein he has to visit hospital every two days. Hence, he says at this point of time it is not possible for him to devote time to this course. Also he will be leaving for an onsite project in the month of September to Vietnam for which he needs to make sure that he is improving on his health before he leaves. Therefore, he has decided to drop out of the program. Informed by PS Ms. Mousumi Maity</t>
  </si>
  <si>
    <t>AIX11456</t>
  </si>
  <si>
    <t>The leaner will not be able to continue with the program . He is having time issues and financial commitments sue to which he cannot afford this right now. Informed by SP Mr. Monish S</t>
  </si>
  <si>
    <t>AIX11310</t>
  </si>
  <si>
    <t>The learner has major financial issues, hence refund</t>
  </si>
  <si>
    <t>AIX11206</t>
  </si>
  <si>
    <t>Due to some personal reason Cx  not ready to continue the course.</t>
  </si>
  <si>
    <t>AIX10724</t>
  </si>
  <si>
    <t>the learner has made a transition in his job role and thus, doesn't want to continue.</t>
  </si>
  <si>
    <t>AIX10796</t>
  </si>
  <si>
    <t>Not able to cope up with the course. Not in a mindset to learn and upscale. Informed by SP Suman Panda</t>
  </si>
  <si>
    <t>AIX11607</t>
  </si>
  <si>
    <t>He says that he is drained out now and is feeling tired, No motivation to learn post his working hours. Tried to pitch an ACS but no luck. He is adamant. Please proceed further. Informed by PS Ms. Ramyasree Myadam</t>
  </si>
  <si>
    <t>AIX10510</t>
  </si>
  <si>
    <t>learner joined beginner batch, not able to give time as her wife is having a baby , its getting difficult for her to manage time</t>
  </si>
  <si>
    <t>AIX10881</t>
  </si>
  <si>
    <t>The learner was informed that there will be a maximum of 3-4 hours of classes per week which in reality is around 9 hours. The learner will not be able to allocate the number of hours required for the program in his busy schedule. He was informed the class strength would be between 100-120 which in reality is around 200-220. The Mock interview process has been changed totally.
It would have been better if your team would have provided me with the right information before joining. Informed by cx.</t>
  </si>
  <si>
    <t>AIX10341</t>
  </si>
  <si>
    <t>Due to some personal reason cx not continue the course</t>
  </si>
  <si>
    <t>AIX11240</t>
  </si>
  <si>
    <t>He enrolled in the program just to try out the program in 2 weeks, which could be clearly understood from the conversation. Now he is citing reasons like financial &amp; time constraints. Moreover he can't afford EMIs now, and hence the loan process is incomplete. Informed by PS Ms. Chinmoy Paul</t>
  </si>
  <si>
    <t>AIX10116</t>
  </si>
  <si>
    <t>Learner has plans to defer the program for a month or two, he doesn't want to utilize his pause period, so asking for a refund.</t>
  </si>
  <si>
    <t>AIX10305</t>
  </si>
  <si>
    <t>He feels that it is not worth his money now and will join later in the future. Informed by PS Ms. Ramyasree Myadam</t>
  </si>
  <si>
    <t>AIX10872</t>
  </si>
  <si>
    <t>The learner doesn't want to continue due to bad health</t>
  </si>
  <si>
    <t>AIX10476</t>
  </si>
  <si>
    <t>Connected with the learner today for the first time and she is not interested in continuing with the program or even devoting time for the same. Wasn't able to attend any sessions or manage with the classes. Had time concerns before but wanted to check the trial period, and since she has got into a project now, is not at all interested in upskilling at the moment. Informed by PS Ms. Bandna Pathania</t>
  </si>
  <si>
    <t>AIX11460</t>
  </si>
  <si>
    <t>Final Closure mail to be shared</t>
  </si>
  <si>
    <t>Cx loan is not getting approved due to short credit history</t>
  </si>
  <si>
    <t>AIX11080</t>
  </si>
  <si>
    <t>SP spoke to the learner, his wife is pregnant now also he has got some new project, its difficult for him to manage time and give his 100%, so has decided to discontinue the program, but he gave assurance will come back sometime after October.</t>
  </si>
  <si>
    <t>AIX10223</t>
  </si>
  <si>
    <t>AIX10440</t>
  </si>
  <si>
    <t>Final closure mail to be shared</t>
  </si>
  <si>
    <t>Due to job requirements and onsite projects he needs to leave for mexico. he would not be going forward now.</t>
  </si>
  <si>
    <t>AIX10726</t>
  </si>
  <si>
    <t>Learner is moving to Sweden and hence, she feels she will not be able to manage timings. For that, PS Ms. Mousumi Maity suggested to her that she can take up the evening batches as Sweden is hardly 4 hours behind us. She then told PS that she is not able to concentrate in classes as the classes are going on for more than 2 hours. PS told her that it is a self paced program and she can watch the recordings too. Then she said that she only wants to learn python but we teach pseudo code. She has made up her mind about exiting the course and is adamant about it.</t>
  </si>
  <si>
    <t>AIX11501</t>
  </si>
  <si>
    <t>He is not interested in continuing. He wants to drop out as he has got another opportunity as well and wants to settle down in that company and then come back to upskilling. Willing to re-enroll but not pause. Informed by PS Ms. Bandna Pathania</t>
  </si>
  <si>
    <t>AIX10243</t>
  </si>
  <si>
    <t>The SP had a word with the learner she is serving notice period want to join a company then start with scaler</t>
  </si>
  <si>
    <t>AIX10874</t>
  </si>
  <si>
    <t>The learner spoke with BDA already yesterday, he is not willing to speak in detail again. He just mentioned that he wants to leave the IT domain &amp; start a business. He's not that enthusiastic about the course, and not willing to speak furthermore on the same. Informed by PS Mr. Chinmoy Paul</t>
  </si>
  <si>
    <t>AIX11293</t>
  </si>
  <si>
    <t>Cx job responsibilities are increased to take care of things in overlapping time zones between EST, PST and IST. And he is not able to figure out a solution to continue with programe</t>
  </si>
  <si>
    <t>AIX11061</t>
  </si>
  <si>
    <t>He is not starting the problem only, that ,what is the reason, only saying some family emergency is there can't attend classes and all for 1yr.</t>
  </si>
  <si>
    <t>AIX10080</t>
  </si>
  <si>
    <t>Has given ample amount of reasons to opt out. Financial problems, got a new job in testing role, in laws will not allow, got newly married, lot of responsibilties. Informed by PS Ms. Mousumi Maity</t>
  </si>
  <si>
    <t>AIX10308</t>
  </si>
  <si>
    <t>This learner has time constraints, he is not even able to complete the live lecture and he hardly has an hour to dedicate where he thinks is not at all enough for the course</t>
  </si>
  <si>
    <t>AIX11238</t>
  </si>
  <si>
    <t>Learner has some family commitments. So can't give time for learning and wants refund</t>
  </si>
  <si>
    <t>AIX10842</t>
  </si>
  <si>
    <t>The learner messaged SP today and had a conversation on WhatsApp where he expressed financial concerns due to some family reasons for the next 2-3 months. He has plans to re-enroll in 3-4 months.</t>
  </si>
  <si>
    <t>AIX10932</t>
  </si>
  <si>
    <t>This learner has family issues and hence cannot continue with us</t>
  </si>
  <si>
    <t>AIX11113</t>
  </si>
  <si>
    <t>This learner had to resign from his job due to some differences at his workplace, this learner cannot afford upcoming EMIs</t>
  </si>
  <si>
    <t>AIX10586</t>
  </si>
  <si>
    <t>Kindly proceed with the refund as we have already tried all three NBFC partners and the learner does not have a co applicant so we are unable to convert the rest of the amount into an EMI. Informed by SP Mr. Aaditya</t>
  </si>
  <si>
    <t>AIX10959</t>
  </si>
  <si>
    <t>PS Ms. Mousumi Maity had a conversation with the learner a few days back. The learner is moving to Germany with his family due to a new project. Due to time management issues he wishes to opt out of the program. He also added that he has got a 40 LPA offer there. I tried retaining him by explaining to him the pause option and the flexibility to change his batch timings. He did not agree to it.</t>
  </si>
  <si>
    <t>AIX10880</t>
  </si>
  <si>
    <t>Learner mentioned 3 reasons for cancellation 
1. not able to give time because of hectic work schedule 
2. has some internal courses which he has opted for &amp; needs to focus on that
3. has a child &amp; financial situation is not ideal to afford this.
Learner wants to come back to Scaler in next 6 months or so. For now he wants a refund &amp; not ready for any other option</t>
  </si>
  <si>
    <t>AIX10260</t>
  </si>
  <si>
    <t>The learner is the only bread owner of the family, and he says his marriage is planned by the start of next year probably February 2023. For the very same reason he has some construction work commencing after a few months at home and so feels that he cannot dedicate time to study right now.</t>
  </si>
  <si>
    <t>AIX10748</t>
  </si>
  <si>
    <t>He have been provided with 3 different projects from his current company to lead and he tried to manage the time by undergoing the trial period ut he still felt that he couldn't able to manage with the assignments and live sessions, so he wants to temporarily withdraw from the program and wants to join back after his projects are over.</t>
  </si>
  <si>
    <t>AIX10133</t>
  </si>
  <si>
    <t>loan not approved due to low cibil score</t>
  </si>
  <si>
    <t>AIX10515</t>
  </si>
  <si>
    <t>The learner cannot afford the course as he does not have a job until September</t>
  </si>
  <si>
    <t>AIX10213</t>
  </si>
  <si>
    <t>this learner wanted to continue , she tried convincing her  parents  but they are not allowing her to continue , she said when she enrolled her father was not aware and  now he dont want her to upskill  and want her take care of her health ,she said even if she continue without telling her parents they will get to know because they take care of all her finances even her salary account her father manages and wont be able to pay the EMIs . she is not letting us speak to her parents. Informed by PS Mr. Charudatta Raut</t>
  </si>
  <si>
    <t>AIX10239</t>
  </si>
  <si>
    <t>The learner is mentioning that he has got the course for 2.9 L whereas some of his other batchmates have got it for 2.1 L only.
so he has lost interest in the same thing and he doesn't want to attend the classes as well as he feels that the instructor is not answering his queries during the class and he doesn't want to use TA help as well.
He wants to go for a refund because of this reason and he is not comfortable saying any other information. Informed by PS</t>
  </si>
  <si>
    <t>AIX10405</t>
  </si>
  <si>
    <t>The learner's emi process got rejected due to cibil by Eduvanz and we have tried with the Co-applicant (His wife) as well, but case has been rejected basis AQBB norms not met and applicat paying high emi's as per the NBFC partners.
He's not having any other Co-Borrower and not able to pay upfront amount as well.</t>
  </si>
  <si>
    <t>AIX10605</t>
  </si>
  <si>
    <t>This learner is having time issues and concerns and hence cannot proceed further, informed by PS</t>
  </si>
  <si>
    <t>AIX10985</t>
  </si>
  <si>
    <t>Unable to manage because of timings issue. Asked to pause but is adamant about refund. Informed by Ms. Ramyasree Myadam</t>
  </si>
  <si>
    <t>AIX10626</t>
  </si>
  <si>
    <t>He won't be able to continue with the training program due to time constraints and also he is not able to manage classes and his work schedule properly.</t>
  </si>
  <si>
    <t>AIX10408</t>
  </si>
  <si>
    <t>The learner can't concentrate on classes at the moment due to work commitments and wants to join after 3-4months. Tried convincing for a pause but he doesn't want to waste his pause duration right now. Informed by PS POC Ms. Deepti Nair</t>
  </si>
  <si>
    <t>AIX10041</t>
  </si>
  <si>
    <t>This learner has some personal issues, this learner did not even attend 1 class</t>
  </si>
  <si>
    <t>AIX10683</t>
  </si>
  <si>
    <t>this learner had the wrong information and misconception about the course. He's looking for Machine learning and Artificial intelligence and he wants to shift to DSML. So please proceed with the refund because he wants to enroll to DSML this month itself and continue with the course. Informed by Ms. Dakshita Sudeep</t>
  </si>
  <si>
    <t>AIX10705</t>
  </si>
  <si>
    <t>learner not be able to manage my time along with this course</t>
  </si>
  <si>
    <t>AIX10410</t>
  </si>
  <si>
    <t>His dad is very sick and his funds need to be directed there. Informed by SP Mr. Jitesh Sharma</t>
  </si>
  <si>
    <t>AIX11117</t>
  </si>
  <si>
    <t>The learner is facing issues in managing time along with her job. Plus she has some personal commitments post her work hence she cannot take the program at least for the next 3-4 months.</t>
  </si>
  <si>
    <t>AIX10823</t>
  </si>
  <si>
    <t>The learner is going through some family problems at the moment and also planning to move out of Blr will not be able to go ahead with the course at the moment and continue for the course after 1 year or so</t>
  </si>
  <si>
    <t>AIX11022</t>
  </si>
  <si>
    <t>This learner has some personal issues which he is not ready to discuss, hence refund</t>
  </si>
  <si>
    <t>AIX10990</t>
  </si>
  <si>
    <t xml:space="preserve">The learner got an offer abroad India, so won't be able to continue with the course told him regarding the pause feature but he said that it won't work out.
</t>
  </si>
  <si>
    <t>AIX11054</t>
  </si>
  <si>
    <t>Due to personal financial commitments, he won't be able to continue.</t>
  </si>
  <si>
    <t>AIX10125</t>
  </si>
  <si>
    <t>She is facing issues with arranging a co applicant who can help us to proceed with the emi process .</t>
  </si>
  <si>
    <t>AIX10103</t>
  </si>
  <si>
    <t>Learner is going through  financial problems, some medical emergency in the family</t>
  </si>
  <si>
    <t>AIX10163</t>
  </si>
  <si>
    <t>The learner never joined the dashboard walkthrough session and ignored the PS calls. This learner has some medical emergencies due to which he cannot continue with us. The doctor has advised him complete bed rest</t>
  </si>
  <si>
    <t>AIX10577</t>
  </si>
  <si>
    <t>Cx is currently not able to adjust with the program, said will not be able to continue,</t>
  </si>
  <si>
    <t>AIX11628</t>
  </si>
  <si>
    <t>The Learner doesn't want to continue anymore since he got an offer recently</t>
  </si>
  <si>
    <t>AIX11639</t>
  </si>
  <si>
    <t>This learner is purchasing property and hence cannot continue further with us</t>
  </si>
  <si>
    <t>AIX11031</t>
  </si>
  <si>
    <t>There is no other option as the learner says he has been placed as a Product Manager @ 30LPA and says he doesn't need the course for that</t>
  </si>
  <si>
    <t>AIX11018</t>
  </si>
  <si>
    <t xml:space="preserve">learmer  unable to cope up with lectures plus got a new job where WFH is not an option.
</t>
  </si>
  <si>
    <t>AIX11431</t>
  </si>
  <si>
    <t>Due to some personal reason cx not continue the course same bd team try to retain her but she is not answering the calls</t>
  </si>
  <si>
    <t>AIX11481</t>
  </si>
  <si>
    <t>Due to some personal reason cx not continue the course and need refund back</t>
  </si>
  <si>
    <t>AIX10142</t>
  </si>
  <si>
    <t>Unfortunately this learner cannot be retained. His father in law has got some ascending paralysis and couple of other points as well. SP Dewesh Begwani already tried his best to provide a solution but at the moment he is not in the correct mindset to continue with Scaler.</t>
  </si>
  <si>
    <t>AIX10841</t>
  </si>
  <si>
    <t>She do not have enough bandwidth to dedicate ~12hrs a week she wants refund</t>
  </si>
  <si>
    <t>AIX10896</t>
  </si>
  <si>
    <t>Learner grandfather has diagnosed with stage 4 cancer and I can't be able to give time to work, family medical issues and scaler simultaneously.</t>
  </si>
  <si>
    <t>AIX10942</t>
  </si>
  <si>
    <t xml:space="preserve">Cx don't not want to continue with the course. he attended the classes but after careful consideration found that it's not for him.
</t>
  </si>
  <si>
    <t>AIX11466</t>
  </si>
  <si>
    <t>The loan was not approved by our NBFC</t>
  </si>
  <si>
    <t>AIX10291</t>
  </si>
  <si>
    <t>The learner was not sure before joining scaler , when she joined she realised that it didn't matched up to her expectations
she said she got less time to understand what scaler has planned up for her, i tried probing her for alum connect  so that we can help her a vision but she said it was earlier promised by her BDA  and never done and now she has taken  the final decision to take up the new job opportunity as Analyst  and not continue in the development role  and not continue with course as of now , she said she  will comeback  if she gets saturated at her new job</t>
  </si>
  <si>
    <t>AIX11648</t>
  </si>
  <si>
    <t>Outside refund window</t>
  </si>
  <si>
    <t>Cx attempted a couple of classes and hereby do not wish to continue with the course could not find the classes helpful enough to continue and thus he looking at other avenues for upskilling</t>
  </si>
  <si>
    <t>AIX10412</t>
  </si>
  <si>
    <t>This learner informed his SP wrp of his decision to withdraw from the program. This learner has time issues and feels he cannot devote 8-9 months for the program now.</t>
  </si>
  <si>
    <t>AIX11357</t>
  </si>
  <si>
    <t>This learner already informed her SP wrp on 26th July and also shared whatsapp screenshot of the same. This learner has time issues and hence has decided to back out from the program. There was also a delay in response from the PS team regarding this learner's retention call. This learner has time issues due to her office hours and some personal committments</t>
  </si>
  <si>
    <t>AIX11374</t>
  </si>
  <si>
    <t>This learner has time issues, he cannot attend the 2-3 hour lectures plus assignments which is an added load to him. This learner has also shifed to a new job due to which he says that he is planning on self preparation</t>
  </si>
  <si>
    <t>AIX11393</t>
  </si>
  <si>
    <t>The learner is finding it difficult to allocate enough time for learning the curriculum due to the work he is currently doing. On weekends also he is getting occupied with multiple tasks and he is not able to devote enough time to learning. This learner informed his POC about his difficulties which he is facing on July 21st, he shared the call logs and duration of the call time. Full refund approved by HP</t>
  </si>
  <si>
    <t>AIX11149</t>
  </si>
  <si>
    <t>He is saying he is finding maths difficult as he is coming from MCA background</t>
  </si>
  <si>
    <t>AIX11376</t>
  </si>
  <si>
    <t>This learner is planning for doing his masters program. This learner raised the refund request to support on 23rd july (wrp) but support assigned it to refund team on 29th July. This was approved for a full refund by HP</t>
  </si>
  <si>
    <t>Batch</t>
  </si>
  <si>
    <t>Refunded?</t>
  </si>
  <si>
    <t>Comms Delivered</t>
  </si>
  <si>
    <t>Comms Opened</t>
  </si>
  <si>
    <t>Comms Clicked</t>
  </si>
  <si>
    <t>Open Rate</t>
  </si>
  <si>
    <t>Click Rate</t>
  </si>
  <si>
    <t>Week 0 Sessions Attended</t>
  </si>
  <si>
    <t>Week 0 Avg Attendance</t>
  </si>
  <si>
    <t>Overall Attendance %</t>
  </si>
  <si>
    <t>Dashboard Walkthrough Done</t>
  </si>
  <si>
    <t>Mentor Sessions Booked</t>
  </si>
  <si>
    <t>Engagement Score</t>
  </si>
  <si>
    <t>Academy Intake X</t>
  </si>
  <si>
    <t>Yes</t>
  </si>
  <si>
    <t>No</t>
  </si>
  <si>
    <t>AIX10003</t>
  </si>
  <si>
    <t>AIX10009</t>
  </si>
  <si>
    <t>AIX10011</t>
  </si>
  <si>
    <t>AIX10013</t>
  </si>
  <si>
    <t>AIX10015</t>
  </si>
  <si>
    <t>AIX10016</t>
  </si>
  <si>
    <t>AIX10017</t>
  </si>
  <si>
    <t>AIX10020</t>
  </si>
  <si>
    <t>AIX10021</t>
  </si>
  <si>
    <t>AIX10022</t>
  </si>
  <si>
    <t>AIX10023</t>
  </si>
  <si>
    <t>AIX10024</t>
  </si>
  <si>
    <t>AIX10025</t>
  </si>
  <si>
    <t>Not Tracked</t>
  </si>
  <si>
    <t>AIX10026</t>
  </si>
  <si>
    <t>AIX10027</t>
  </si>
  <si>
    <t>AIX10028</t>
  </si>
  <si>
    <t>AIX10030</t>
  </si>
  <si>
    <t>AIX10032</t>
  </si>
  <si>
    <t>AIX10034</t>
  </si>
  <si>
    <t>AIX10035</t>
  </si>
  <si>
    <t>AIX10036</t>
  </si>
  <si>
    <t>AIX10039</t>
  </si>
  <si>
    <t>AIX10040</t>
  </si>
  <si>
    <t>AIX10042</t>
  </si>
  <si>
    <t>AIX10047</t>
  </si>
  <si>
    <t>AIX10049</t>
  </si>
  <si>
    <t>AIX10051</t>
  </si>
  <si>
    <t>AIX10052</t>
  </si>
  <si>
    <t>AIX10053</t>
  </si>
  <si>
    <t>AIX10054</t>
  </si>
  <si>
    <t>AIX10055</t>
  </si>
  <si>
    <t>AIX10056</t>
  </si>
  <si>
    <t>AIX10057</t>
  </si>
  <si>
    <t>AIX10058</t>
  </si>
  <si>
    <t>AIX10059</t>
  </si>
  <si>
    <t>AIX10060</t>
  </si>
  <si>
    <t>AIX10061</t>
  </si>
  <si>
    <t>AIX10062</t>
  </si>
  <si>
    <t>AIX10063</t>
  </si>
  <si>
    <t>AIX10064</t>
  </si>
  <si>
    <t>AIX10066</t>
  </si>
  <si>
    <t>AIX10068</t>
  </si>
  <si>
    <t>AIX10072</t>
  </si>
  <si>
    <t>AIX10073</t>
  </si>
  <si>
    <t>AIX10074</t>
  </si>
  <si>
    <t>AIX10076</t>
  </si>
  <si>
    <t>AIX10078</t>
  </si>
  <si>
    <t>AIX10079</t>
  </si>
  <si>
    <t>AIX10084</t>
  </si>
  <si>
    <t>AIX10085</t>
  </si>
  <si>
    <t>AIX10087</t>
  </si>
  <si>
    <t>AIX10089</t>
  </si>
  <si>
    <t>AIX10095</t>
  </si>
  <si>
    <t>AIX10098</t>
  </si>
  <si>
    <t>AIX10099</t>
  </si>
  <si>
    <t>AIX10100</t>
  </si>
  <si>
    <t>AIX10102</t>
  </si>
  <si>
    <t>AIX10104</t>
  </si>
  <si>
    <t>AIX10106</t>
  </si>
  <si>
    <t>AIX10107</t>
  </si>
  <si>
    <t>AIX10108</t>
  </si>
  <si>
    <t>AIX10111</t>
  </si>
  <si>
    <t>AIX10113</t>
  </si>
  <si>
    <t>AIX10114</t>
  </si>
  <si>
    <t>AIX10115</t>
  </si>
  <si>
    <t>AIX10117</t>
  </si>
  <si>
    <t>AIX10118</t>
  </si>
  <si>
    <t>AIX10120</t>
  </si>
  <si>
    <t>AIX10123</t>
  </si>
  <si>
    <t>AIX10126</t>
  </si>
  <si>
    <t>AIX10131</t>
  </si>
  <si>
    <t>AIX10132</t>
  </si>
  <si>
    <t>AIX10134</t>
  </si>
  <si>
    <t>AIX10136</t>
  </si>
  <si>
    <t>AIX10138</t>
  </si>
  <si>
    <t>AIX10140</t>
  </si>
  <si>
    <t>AIX10141</t>
  </si>
  <si>
    <t>AIX10143</t>
  </si>
  <si>
    <t>AIX10144</t>
  </si>
  <si>
    <t>AIX10145</t>
  </si>
  <si>
    <t>AIX10146</t>
  </si>
  <si>
    <t>AIX10147</t>
  </si>
  <si>
    <t>AIX10148</t>
  </si>
  <si>
    <t>AIX10149</t>
  </si>
  <si>
    <t>AIX10151</t>
  </si>
  <si>
    <t>AIX10153</t>
  </si>
  <si>
    <t>AIX10155</t>
  </si>
  <si>
    <t>AIX10157</t>
  </si>
  <si>
    <t>AIX10158</t>
  </si>
  <si>
    <t>AIX10159</t>
  </si>
  <si>
    <t>AIX10160</t>
  </si>
  <si>
    <t>AIX10162</t>
  </si>
  <si>
    <t>AIX10164</t>
  </si>
  <si>
    <t>AIX10165</t>
  </si>
  <si>
    <t>AIX10167</t>
  </si>
  <si>
    <t>AIX10168</t>
  </si>
  <si>
    <t>AIX10171</t>
  </si>
  <si>
    <t>AIX10174</t>
  </si>
  <si>
    <t>AIX10175</t>
  </si>
  <si>
    <t>AIX10180</t>
  </si>
  <si>
    <t>AIX10181</t>
  </si>
  <si>
    <t>AIX10183</t>
  </si>
  <si>
    <t>AIX10184</t>
  </si>
  <si>
    <t>AIX10185</t>
  </si>
  <si>
    <t>AIX10186</t>
  </si>
  <si>
    <t>AIX10187</t>
  </si>
  <si>
    <t>AIX10188</t>
  </si>
  <si>
    <t>AIX10189</t>
  </si>
  <si>
    <t>AIX10190</t>
  </si>
  <si>
    <t>AIX10191</t>
  </si>
  <si>
    <t>AIX10192</t>
  </si>
  <si>
    <t>AIX10193</t>
  </si>
  <si>
    <t>AIX10194</t>
  </si>
  <si>
    <t>AIX10195</t>
  </si>
  <si>
    <t>AIX10197</t>
  </si>
  <si>
    <t>AIX10199</t>
  </si>
  <si>
    <t>AIX10201</t>
  </si>
  <si>
    <t>AIX10202</t>
  </si>
  <si>
    <t>AIX10203</t>
  </si>
  <si>
    <t>AIX10205</t>
  </si>
  <si>
    <t>AIX10210</t>
  </si>
  <si>
    <t>AIX10221</t>
  </si>
  <si>
    <t>AIX10225</t>
  </si>
  <si>
    <t>AIX10226</t>
  </si>
  <si>
    <t>AIX10227</t>
  </si>
  <si>
    <t>AIX10228</t>
  </si>
  <si>
    <t>AIX10229</t>
  </si>
  <si>
    <t>AIX10230</t>
  </si>
  <si>
    <t>AIX10232</t>
  </si>
  <si>
    <t>AIX10234</t>
  </si>
  <si>
    <t>AIX10235</t>
  </si>
  <si>
    <t>AIX10236</t>
  </si>
  <si>
    <t>AIX10238</t>
  </si>
  <si>
    <t>AIX10240</t>
  </si>
  <si>
    <t>AIX10241</t>
  </si>
  <si>
    <t>AIX10242</t>
  </si>
  <si>
    <t>AIX10244</t>
  </si>
  <si>
    <t>AIX10251</t>
  </si>
  <si>
    <t>AIX10252</t>
  </si>
  <si>
    <t>AIX10254</t>
  </si>
  <si>
    <t>AIX10258</t>
  </si>
  <si>
    <t>AIX10265</t>
  </si>
  <si>
    <t>AIX10268</t>
  </si>
  <si>
    <t>AIX10269</t>
  </si>
  <si>
    <t>AIX10271</t>
  </si>
  <si>
    <t>AIX10272</t>
  </si>
  <si>
    <t>AIX10273</t>
  </si>
  <si>
    <t>AIX10274</t>
  </si>
  <si>
    <t>AIX10275</t>
  </si>
  <si>
    <t>AIX10276</t>
  </si>
  <si>
    <t>AIX10277</t>
  </si>
  <si>
    <t>AIX10278</t>
  </si>
  <si>
    <t>AIX10279</t>
  </si>
  <si>
    <t>AIX10280</t>
  </si>
  <si>
    <t>AIX10281</t>
  </si>
  <si>
    <t>AIX10282</t>
  </si>
  <si>
    <t>AIX10283</t>
  </si>
  <si>
    <t>AIX10284</t>
  </si>
  <si>
    <t>AIX10285</t>
  </si>
  <si>
    <t>AIX10286</t>
  </si>
  <si>
    <t>AIX10287</t>
  </si>
  <si>
    <t>AIX10288</t>
  </si>
  <si>
    <t>AIX10289</t>
  </si>
  <si>
    <t>AIX10290</t>
  </si>
  <si>
    <t>AIX10292</t>
  </si>
  <si>
    <t>AIX10293</t>
  </si>
  <si>
    <t>AIX10295</t>
  </si>
  <si>
    <t>AIX10296</t>
  </si>
  <si>
    <t>AIX10299</t>
  </si>
  <si>
    <t>AIX10300</t>
  </si>
  <si>
    <t>AIX10301</t>
  </si>
  <si>
    <t>AIX10302</t>
  </si>
  <si>
    <t>AIX10303</t>
  </si>
  <si>
    <t>AIX10304</t>
  </si>
  <si>
    <t>AIX10306</t>
  </si>
  <si>
    <t>AIX10309</t>
  </si>
  <si>
    <t>AIX10310</t>
  </si>
  <si>
    <t>AIX10311</t>
  </si>
  <si>
    <t>AIX10313</t>
  </si>
  <si>
    <t>AIX10314</t>
  </si>
  <si>
    <t>AIX10315</t>
  </si>
  <si>
    <t>AIX10316</t>
  </si>
  <si>
    <t>AIX10319</t>
  </si>
  <si>
    <t>AIX10320</t>
  </si>
  <si>
    <t>AIX10321</t>
  </si>
  <si>
    <t>AIX10322</t>
  </si>
  <si>
    <t>AIX10323</t>
  </si>
  <si>
    <t>AIX10324</t>
  </si>
  <si>
    <t>AIX10325</t>
  </si>
  <si>
    <t>AIX10326</t>
  </si>
  <si>
    <t>AIX10328</t>
  </si>
  <si>
    <t>AIX10329</t>
  </si>
  <si>
    <t>AIX10330</t>
  </si>
  <si>
    <t>AIX10332</t>
  </si>
  <si>
    <t>AIX10333</t>
  </si>
  <si>
    <t>AIX10334</t>
  </si>
  <si>
    <t>AIX10335</t>
  </si>
  <si>
    <t>AIX10337</t>
  </si>
  <si>
    <t>AIX10338</t>
  </si>
  <si>
    <t>AIX10339</t>
  </si>
  <si>
    <t>AIX10342</t>
  </si>
  <si>
    <t>AIX10343</t>
  </si>
  <si>
    <t>AIX10344</t>
  </si>
  <si>
    <t>AIX10345</t>
  </si>
  <si>
    <t>AIX10346</t>
  </si>
  <si>
    <t>AIX10347</t>
  </si>
  <si>
    <t>AIX10348</t>
  </si>
  <si>
    <t>AIX10349</t>
  </si>
  <si>
    <t>AIX10351</t>
  </si>
  <si>
    <t>AIX10352</t>
  </si>
  <si>
    <t>AIX10353</t>
  </si>
  <si>
    <t>AIX10354</t>
  </si>
  <si>
    <t>AIX10355</t>
  </si>
  <si>
    <t>AIX10356</t>
  </si>
  <si>
    <t>AIX10357</t>
  </si>
  <si>
    <t>AIX10358</t>
  </si>
  <si>
    <t>AIX10359</t>
  </si>
  <si>
    <t>AIX10360</t>
  </si>
  <si>
    <t>AIX10361</t>
  </si>
  <si>
    <t>AIX10362</t>
  </si>
  <si>
    <t>AIX10363</t>
  </si>
  <si>
    <t>AIX10364</t>
  </si>
  <si>
    <t>AIX10365</t>
  </si>
  <si>
    <t>AIX10366</t>
  </si>
  <si>
    <t>AIX10368</t>
  </si>
  <si>
    <t>AIX10369</t>
  </si>
  <si>
    <t>AIX10370</t>
  </si>
  <si>
    <t>AIX10371</t>
  </si>
  <si>
    <t>AIX10372</t>
  </si>
  <si>
    <t>AIX10373</t>
  </si>
  <si>
    <t>AIX10374</t>
  </si>
  <si>
    <t>AIX10375</t>
  </si>
  <si>
    <t>AIX10376</t>
  </si>
  <si>
    <t>AIX10378</t>
  </si>
  <si>
    <t>AIX10379</t>
  </si>
  <si>
    <t>AIX10381</t>
  </si>
  <si>
    <t>AIX10382</t>
  </si>
  <si>
    <t>AIX10383</t>
  </si>
  <si>
    <t>AIX10384</t>
  </si>
  <si>
    <t>AIX10385</t>
  </si>
  <si>
    <t>AIX10386</t>
  </si>
  <si>
    <t>AIX10387</t>
  </si>
  <si>
    <t>AIX10389</t>
  </si>
  <si>
    <t>AIX10390</t>
  </si>
  <si>
    <t>AIX10391</t>
  </si>
  <si>
    <t>AIX10392</t>
  </si>
  <si>
    <t>AIX10393</t>
  </si>
  <si>
    <t>AIX10394</t>
  </si>
  <si>
    <t>AIX10395</t>
  </si>
  <si>
    <t>AIX10396</t>
  </si>
  <si>
    <t>AIX10398</t>
  </si>
  <si>
    <t>AIX10399</t>
  </si>
  <si>
    <t>AIX10400</t>
  </si>
  <si>
    <t>AIX10401</t>
  </si>
  <si>
    <t>AIX10402</t>
  </si>
  <si>
    <t>AIX10403</t>
  </si>
  <si>
    <t>AIX10404</t>
  </si>
  <si>
    <t>AIX10406</t>
  </si>
  <si>
    <t>AIX10407</t>
  </si>
  <si>
    <t>AIX10409</t>
  </si>
  <si>
    <t>AIX10414</t>
  </si>
  <si>
    <t>AIX10415</t>
  </si>
  <si>
    <t>AIX10416</t>
  </si>
  <si>
    <t>AIX10417</t>
  </si>
  <si>
    <t>AIX10418</t>
  </si>
  <si>
    <t>AIX10420</t>
  </si>
  <si>
    <t>AIX10421</t>
  </si>
  <si>
    <t>AIX10422</t>
  </si>
  <si>
    <t>AIX10423</t>
  </si>
  <si>
    <t>AIX10425</t>
  </si>
  <si>
    <t>AIX10426</t>
  </si>
  <si>
    <t>AIX10427</t>
  </si>
  <si>
    <t>AIX10428</t>
  </si>
  <si>
    <t>AIX10429</t>
  </si>
  <si>
    <t>AIX10430</t>
  </si>
  <si>
    <t>AIX10431</t>
  </si>
  <si>
    <t>AIX10433</t>
  </si>
  <si>
    <t>AIX10434</t>
  </si>
  <si>
    <t>AIX10435</t>
  </si>
  <si>
    <t>AIX10436</t>
  </si>
  <si>
    <t>AIX10437</t>
  </si>
  <si>
    <t>AIX10438</t>
  </si>
  <si>
    <t>AIX10441</t>
  </si>
  <si>
    <t>AIX10443</t>
  </si>
  <si>
    <t>AIX10444</t>
  </si>
  <si>
    <t>AIX10445</t>
  </si>
  <si>
    <t>AIX10446</t>
  </si>
  <si>
    <t>AIX10447</t>
  </si>
  <si>
    <t>AIX10448</t>
  </si>
  <si>
    <t>AIX10449</t>
  </si>
  <si>
    <t>AIX10450</t>
  </si>
  <si>
    <t>AIX10451</t>
  </si>
  <si>
    <t>AIX10452</t>
  </si>
  <si>
    <t>AIX10454</t>
  </si>
  <si>
    <t>AIX10455</t>
  </si>
  <si>
    <t>AIX10456</t>
  </si>
  <si>
    <t>AIX10458</t>
  </si>
  <si>
    <t>AIX10459</t>
  </si>
  <si>
    <t>AIX10460</t>
  </si>
  <si>
    <t>AIX10461</t>
  </si>
  <si>
    <t>AIX10462</t>
  </si>
  <si>
    <t>AIX10463</t>
  </si>
  <si>
    <t>AIX10464</t>
  </si>
  <si>
    <t>AIX10465</t>
  </si>
  <si>
    <t>AIX10466</t>
  </si>
  <si>
    <t>AIX10467</t>
  </si>
  <si>
    <t>AIX10468</t>
  </si>
  <si>
    <t>AIX10469</t>
  </si>
  <si>
    <t>AIX10470</t>
  </si>
  <si>
    <t>AIX10472</t>
  </si>
  <si>
    <t>AIX10473</t>
  </si>
  <si>
    <t>AIX10474</t>
  </si>
  <si>
    <t>AIX10475</t>
  </si>
  <si>
    <t>AIX10477</t>
  </si>
  <si>
    <t>AIX10478</t>
  </si>
  <si>
    <t>AIX10479</t>
  </si>
  <si>
    <t>AIX10480</t>
  </si>
  <si>
    <t>AIX10481</t>
  </si>
  <si>
    <t>AIX10482</t>
  </si>
  <si>
    <t>AIX10483</t>
  </si>
  <si>
    <t>AIX10484</t>
  </si>
  <si>
    <t>AIX10486</t>
  </si>
  <si>
    <t>AIX10488</t>
  </si>
  <si>
    <t>AIX10491</t>
  </si>
  <si>
    <t>AIX10492</t>
  </si>
  <si>
    <t>AIX10493</t>
  </si>
  <si>
    <t>AIX10494</t>
  </si>
  <si>
    <t>AIX10495</t>
  </si>
  <si>
    <t>AIX10497</t>
  </si>
  <si>
    <t>AIX10499</t>
  </si>
  <si>
    <t>AIX10500</t>
  </si>
  <si>
    <t>AIX10501</t>
  </si>
  <si>
    <t>AIX10502</t>
  </si>
  <si>
    <t>AIX10503</t>
  </si>
  <si>
    <t>AIX10504</t>
  </si>
  <si>
    <t>AIX10505</t>
  </si>
  <si>
    <t>AIX10506</t>
  </si>
  <si>
    <t>AIX10507</t>
  </si>
  <si>
    <t>AIX10508</t>
  </si>
  <si>
    <t>AIX10509</t>
  </si>
  <si>
    <t>AIX10511</t>
  </si>
  <si>
    <t>AIX10512</t>
  </si>
  <si>
    <t>AIX10513</t>
  </si>
  <si>
    <t>AIX10514</t>
  </si>
  <si>
    <t>AIX10516</t>
  </si>
  <si>
    <t>AIX10518</t>
  </si>
  <si>
    <t>AIX10519</t>
  </si>
  <si>
    <t>AIX10520</t>
  </si>
  <si>
    <t>AIX10521</t>
  </si>
  <si>
    <t>AIX10522</t>
  </si>
  <si>
    <t>AIX10523</t>
  </si>
  <si>
    <t>AIX10524</t>
  </si>
  <si>
    <t>AIX10525</t>
  </si>
  <si>
    <t>AIX10526</t>
  </si>
  <si>
    <t>AIX10528</t>
  </si>
  <si>
    <t>AIX10529</t>
  </si>
  <si>
    <t>AIX10530</t>
  </si>
  <si>
    <t>AIX10531</t>
  </si>
  <si>
    <t>AIX10532</t>
  </si>
  <si>
    <t>AIX10533</t>
  </si>
  <si>
    <t>AIX10534</t>
  </si>
  <si>
    <t>AIX10535</t>
  </si>
  <si>
    <t>AIX10536</t>
  </si>
  <si>
    <t>AIX10537</t>
  </si>
  <si>
    <t>AIX10538</t>
  </si>
  <si>
    <t>AIX10539</t>
  </si>
  <si>
    <t>AIX10540</t>
  </si>
  <si>
    <t>AIX10541</t>
  </si>
  <si>
    <t>AIX10542</t>
  </si>
  <si>
    <t>AIX10543</t>
  </si>
  <si>
    <t>AIX10544</t>
  </si>
  <si>
    <t>AIX10545</t>
  </si>
  <si>
    <t>AIX10546</t>
  </si>
  <si>
    <t>AIX10547</t>
  </si>
  <si>
    <t>AIX10548</t>
  </si>
  <si>
    <t>AIX10549</t>
  </si>
  <si>
    <t>AIX10550</t>
  </si>
  <si>
    <t>AIX10551</t>
  </si>
  <si>
    <t>AIX10552</t>
  </si>
  <si>
    <t>AIX10553</t>
  </si>
  <si>
    <t>AIX10555</t>
  </si>
  <si>
    <t>AIX10556</t>
  </si>
  <si>
    <t>AIX10557</t>
  </si>
  <si>
    <t>AIX10558</t>
  </si>
  <si>
    <t>AIX10559</t>
  </si>
  <si>
    <t>AIX10560</t>
  </si>
  <si>
    <t>AIX10561</t>
  </si>
  <si>
    <t>AIX10562</t>
  </si>
  <si>
    <t>AIX10563</t>
  </si>
  <si>
    <t>AIX10564</t>
  </si>
  <si>
    <t>AIX10565</t>
  </si>
  <si>
    <t>AIX10566</t>
  </si>
  <si>
    <t>AIX10567</t>
  </si>
  <si>
    <t>AIX10568</t>
  </si>
  <si>
    <t>AIX10570</t>
  </si>
  <si>
    <t>AIX10572</t>
  </si>
  <si>
    <t>AIX10574</t>
  </si>
  <si>
    <t>AIX10575</t>
  </si>
  <si>
    <t>AIX10576</t>
  </si>
  <si>
    <t>AIX10578</t>
  </si>
  <si>
    <t>AIX10579</t>
  </si>
  <si>
    <t>AIX10580</t>
  </si>
  <si>
    <t>AIX10581</t>
  </si>
  <si>
    <t>AIX10582</t>
  </si>
  <si>
    <t>AIX10583</t>
  </si>
  <si>
    <t>AIX10584</t>
  </si>
  <si>
    <t>AIX10585</t>
  </si>
  <si>
    <t>AIX10587</t>
  </si>
  <si>
    <t>AIX10589</t>
  </si>
  <si>
    <t>AIX10590</t>
  </si>
  <si>
    <t>AIX10591</t>
  </si>
  <si>
    <t>AIX10592</t>
  </si>
  <si>
    <t>AIX10593</t>
  </si>
  <si>
    <t>AIX10594</t>
  </si>
  <si>
    <t>AIX10595</t>
  </si>
  <si>
    <t>AIX10596</t>
  </si>
  <si>
    <t>AIX10597</t>
  </si>
  <si>
    <t>AIX10598</t>
  </si>
  <si>
    <t>AIX10599</t>
  </si>
  <si>
    <t>AIX10601</t>
  </si>
  <si>
    <t>AIX10602</t>
  </si>
  <si>
    <t>AIX10603</t>
  </si>
  <si>
    <t>AIX10604</t>
  </si>
  <si>
    <t>AIX10606</t>
  </si>
  <si>
    <t>AIX10607</t>
  </si>
  <si>
    <t>AIX10608</t>
  </si>
  <si>
    <t>AIX10609</t>
  </si>
  <si>
    <t>AIX10610</t>
  </si>
  <si>
    <t>AIX10611</t>
  </si>
  <si>
    <t>AIX10612</t>
  </si>
  <si>
    <t>AIX10613</t>
  </si>
  <si>
    <t>AIX10614</t>
  </si>
  <si>
    <t>AIX10615</t>
  </si>
  <si>
    <t>AIX10616</t>
  </si>
  <si>
    <t>AIX10617</t>
  </si>
  <si>
    <t>AIX10618</t>
  </si>
  <si>
    <t>AIX10619</t>
  </si>
  <si>
    <t>AIX10620</t>
  </si>
  <si>
    <t>AIX10621</t>
  </si>
  <si>
    <t>AIX10623</t>
  </si>
  <si>
    <t>AIX10624</t>
  </si>
  <si>
    <t>AIX10625</t>
  </si>
  <si>
    <t>AIX10627</t>
  </si>
  <si>
    <t>AIX10628</t>
  </si>
  <si>
    <t>AIX10629</t>
  </si>
  <si>
    <t>AIX10630</t>
  </si>
  <si>
    <t>AIX10631</t>
  </si>
  <si>
    <t>AIX10632</t>
  </si>
  <si>
    <t>AIX10633</t>
  </si>
  <si>
    <t>AIX10634</t>
  </si>
  <si>
    <t>AIX10635</t>
  </si>
  <si>
    <t>AIX10636</t>
  </si>
  <si>
    <t>AIX10637</t>
  </si>
  <si>
    <t>AIX10638</t>
  </si>
  <si>
    <t>AIX10639</t>
  </si>
  <si>
    <t>AIX10640</t>
  </si>
  <si>
    <t>AIX10641</t>
  </si>
  <si>
    <t>AIX10642</t>
  </si>
  <si>
    <t>AIX10643</t>
  </si>
  <si>
    <t>AIX10645</t>
  </si>
  <si>
    <t>AIX10646</t>
  </si>
  <si>
    <t>AIX10647</t>
  </si>
  <si>
    <t>AIX10649</t>
  </si>
  <si>
    <t>AIX10651</t>
  </si>
  <si>
    <t>AIX10652</t>
  </si>
  <si>
    <t>AIX10653</t>
  </si>
  <si>
    <t>AIX10654</t>
  </si>
  <si>
    <t>AIX10655</t>
  </si>
  <si>
    <t>AIX10656</t>
  </si>
  <si>
    <t>AIX10657</t>
  </si>
  <si>
    <t>AIX10658</t>
  </si>
  <si>
    <t>AIX10660</t>
  </si>
  <si>
    <t>AIX10661</t>
  </si>
  <si>
    <t>AIX10662</t>
  </si>
  <si>
    <t>AIX10663</t>
  </si>
  <si>
    <t>AIX10664</t>
  </si>
  <si>
    <t>AIX10666</t>
  </si>
  <si>
    <t>AIX10667</t>
  </si>
  <si>
    <t>AIX10668</t>
  </si>
  <si>
    <t>AIX10669</t>
  </si>
  <si>
    <t>AIX10670</t>
  </si>
  <si>
    <t>AIX10671</t>
  </si>
  <si>
    <t>AIX10672</t>
  </si>
  <si>
    <t>AIX10673</t>
  </si>
  <si>
    <t>AIX10674</t>
  </si>
  <si>
    <t>AIX10676</t>
  </si>
  <si>
    <t>AIX10677</t>
  </si>
  <si>
    <t>AIX10678</t>
  </si>
  <si>
    <t>AIX10679</t>
  </si>
  <si>
    <t>AIX10680</t>
  </si>
  <si>
    <t>AIX10681</t>
  </si>
  <si>
    <t>AIX10682</t>
  </si>
  <si>
    <t>AIX10684</t>
  </si>
  <si>
    <t>AIX10685</t>
  </si>
  <si>
    <t>AIX10686</t>
  </si>
  <si>
    <t>AIX10687</t>
  </si>
  <si>
    <t>AIX10688</t>
  </si>
  <si>
    <t>AIX10689</t>
  </si>
  <si>
    <t>AIX10690</t>
  </si>
  <si>
    <t>AIX10691</t>
  </si>
  <si>
    <t>AIX10692</t>
  </si>
  <si>
    <t>AIX10693</t>
  </si>
  <si>
    <t>AIX10694</t>
  </si>
  <si>
    <t>AIX10695</t>
  </si>
  <si>
    <t>AIX10696</t>
  </si>
  <si>
    <t>AIX10697</t>
  </si>
  <si>
    <t>AIX10698</t>
  </si>
  <si>
    <t>AIX10699</t>
  </si>
  <si>
    <t>AIX10700</t>
  </si>
  <si>
    <t>AIX10701</t>
  </si>
  <si>
    <t>AIX10703</t>
  </si>
  <si>
    <t>AIX10704</t>
  </si>
  <si>
    <t>AIX10706</t>
  </si>
  <si>
    <t>AIX10707</t>
  </si>
  <si>
    <t>AIX10708</t>
  </si>
  <si>
    <t>AIX10709</t>
  </si>
  <si>
    <t>AIX10710</t>
  </si>
  <si>
    <t>AIX10711</t>
  </si>
  <si>
    <t>AIX10712</t>
  </si>
  <si>
    <t>AIX10713</t>
  </si>
  <si>
    <t>AIX10714</t>
  </si>
  <si>
    <t>AIX10715</t>
  </si>
  <si>
    <t>AIX10716</t>
  </si>
  <si>
    <t>AIX10717</t>
  </si>
  <si>
    <t>AIX10718</t>
  </si>
  <si>
    <t>AIX10719</t>
  </si>
  <si>
    <t>AIX10720</t>
  </si>
  <si>
    <t>AIX10721</t>
  </si>
  <si>
    <t>AIX10722</t>
  </si>
  <si>
    <t>AIX10723</t>
  </si>
  <si>
    <t>AIX10725</t>
  </si>
  <si>
    <t>AIX10727</t>
  </si>
  <si>
    <t>AIX10728</t>
  </si>
  <si>
    <t>AIX10729</t>
  </si>
  <si>
    <t>AIX10730</t>
  </si>
  <si>
    <t>AIX10731</t>
  </si>
  <si>
    <t>AIX10732</t>
  </si>
  <si>
    <t>AIX10733</t>
  </si>
  <si>
    <t>AIX10734</t>
  </si>
  <si>
    <t>AIX10735</t>
  </si>
  <si>
    <t>AIX10736</t>
  </si>
  <si>
    <t>AIX10737</t>
  </si>
  <si>
    <t>AIX10738</t>
  </si>
  <si>
    <t>AIX10739</t>
  </si>
  <si>
    <t>AIX10740</t>
  </si>
  <si>
    <t>AIX10741</t>
  </si>
  <si>
    <t>AIX10742</t>
  </si>
  <si>
    <t>AIX10743</t>
  </si>
  <si>
    <t>AIX10745</t>
  </si>
  <si>
    <t>AIX10746</t>
  </si>
  <si>
    <t>AIX10747</t>
  </si>
  <si>
    <t>AIX10750</t>
  </si>
  <si>
    <t>AIX10751</t>
  </si>
  <si>
    <t>AIX10752</t>
  </si>
  <si>
    <t>AIX10753</t>
  </si>
  <si>
    <t>AIX10754</t>
  </si>
  <si>
    <t>AIX10755</t>
  </si>
  <si>
    <t>AIX10756</t>
  </si>
  <si>
    <t>AIX10757</t>
  </si>
  <si>
    <t>AIX10758</t>
  </si>
  <si>
    <t>AIX10759</t>
  </si>
  <si>
    <t>AIX10760</t>
  </si>
  <si>
    <t>AIX10762</t>
  </si>
  <si>
    <t>AIX10763</t>
  </si>
  <si>
    <t>AIX10764</t>
  </si>
  <si>
    <t>AIX10765</t>
  </si>
  <si>
    <t>AIX10766</t>
  </si>
  <si>
    <t>AIX10767</t>
  </si>
  <si>
    <t>AIX10769</t>
  </si>
  <si>
    <t>AIX10770</t>
  </si>
  <si>
    <t>AIX10771</t>
  </si>
  <si>
    <t>AIX10772</t>
  </si>
  <si>
    <t>AIX10773</t>
  </si>
  <si>
    <t>AIX10774</t>
  </si>
  <si>
    <t>AIX10775</t>
  </si>
  <si>
    <t>AIX10776</t>
  </si>
  <si>
    <t>AIX10777</t>
  </si>
  <si>
    <t>AIX10778</t>
  </si>
  <si>
    <t>AIX10779</t>
  </si>
  <si>
    <t>AIX10780</t>
  </si>
  <si>
    <t>AIX10781</t>
  </si>
  <si>
    <t>AIX10782</t>
  </si>
  <si>
    <t>AIX10783</t>
  </si>
  <si>
    <t>AIX10784</t>
  </si>
  <si>
    <t>AIX10785</t>
  </si>
  <si>
    <t>AIX10786</t>
  </si>
  <si>
    <t>AIX10787</t>
  </si>
  <si>
    <t>AIX10788</t>
  </si>
  <si>
    <t>AIX10789</t>
  </si>
  <si>
    <t>AIX10790</t>
  </si>
  <si>
    <t>AIX10791</t>
  </si>
  <si>
    <t>AIX10792</t>
  </si>
  <si>
    <t>AIX10793</t>
  </si>
  <si>
    <t>AIX10794</t>
  </si>
  <si>
    <t>AIX10795</t>
  </si>
  <si>
    <t>AIX10797</t>
  </si>
  <si>
    <t>AIX10798</t>
  </si>
  <si>
    <t>AIX10799</t>
  </si>
  <si>
    <t>AIX10800</t>
  </si>
  <si>
    <t>AIX10801</t>
  </si>
  <si>
    <t>AIX10802</t>
  </si>
  <si>
    <t>AIX10803</t>
  </si>
  <si>
    <t>AIX10804</t>
  </si>
  <si>
    <t>AIX10805</t>
  </si>
  <si>
    <t>AIX10806</t>
  </si>
  <si>
    <t>AIX10807</t>
  </si>
  <si>
    <t>AIX10808</t>
  </si>
  <si>
    <t>AIX10809</t>
  </si>
  <si>
    <t>AIX10810</t>
  </si>
  <si>
    <t>AIX10811</t>
  </si>
  <si>
    <t>AIX10812</t>
  </si>
  <si>
    <t>AIX10813</t>
  </si>
  <si>
    <t>AIX10814</t>
  </si>
  <si>
    <t>AIX10815</t>
  </si>
  <si>
    <t>AIX10816</t>
  </si>
  <si>
    <t>AIX10817</t>
  </si>
  <si>
    <t>AIX10818</t>
  </si>
  <si>
    <t>AIX10819</t>
  </si>
  <si>
    <t>AIX10820</t>
  </si>
  <si>
    <t>AIX10821</t>
  </si>
  <si>
    <t>AIX10822</t>
  </si>
  <si>
    <t>AIX10824</t>
  </si>
  <si>
    <t>AIX10825</t>
  </si>
  <si>
    <t>AIX10826</t>
  </si>
  <si>
    <t>AIX10827</t>
  </si>
  <si>
    <t>AIX10828</t>
  </si>
  <si>
    <t>AIX10829</t>
  </si>
  <si>
    <t>AIX10830</t>
  </si>
  <si>
    <t>AIX10831</t>
  </si>
  <si>
    <t>AIX10832</t>
  </si>
  <si>
    <t>AIX10833</t>
  </si>
  <si>
    <t>AIX10834</t>
  </si>
  <si>
    <t>AIX10835</t>
  </si>
  <si>
    <t>AIX10836</t>
  </si>
  <si>
    <t>AIX10837</t>
  </si>
  <si>
    <t>AIX10838</t>
  </si>
  <si>
    <t>AIX10839</t>
  </si>
  <si>
    <t>AIX10840</t>
  </si>
  <si>
    <t>AIX10843</t>
  </si>
  <si>
    <t>AIX10844</t>
  </si>
  <si>
    <t>AIX10845</t>
  </si>
  <si>
    <t>AIX10846</t>
  </si>
  <si>
    <t>AIX10847</t>
  </si>
  <si>
    <t>AIX10848</t>
  </si>
  <si>
    <t>AIX10849</t>
  </si>
  <si>
    <t>AIX10850</t>
  </si>
  <si>
    <t>AIX10851</t>
  </si>
  <si>
    <t>AIX10852</t>
  </si>
  <si>
    <t>AIX10853</t>
  </si>
  <si>
    <t>AIX10854</t>
  </si>
  <si>
    <t>AIX10855</t>
  </si>
  <si>
    <t>AIX10856</t>
  </si>
  <si>
    <t>AIX10857</t>
  </si>
  <si>
    <t>AIX10858</t>
  </si>
  <si>
    <t>AIX10859</t>
  </si>
  <si>
    <t>AIX10860</t>
  </si>
  <si>
    <t>AIX10861</t>
  </si>
  <si>
    <t>AIX10862</t>
  </si>
  <si>
    <t>AIX10863</t>
  </si>
  <si>
    <t>AIX10864</t>
  </si>
  <si>
    <t>AIX10865</t>
  </si>
  <si>
    <t>AIX10866</t>
  </si>
  <si>
    <t>AIX10867</t>
  </si>
  <si>
    <t>AIX10868</t>
  </si>
  <si>
    <t>AIX10869</t>
  </si>
  <si>
    <t>AIX10870</t>
  </si>
  <si>
    <t>AIX10871</t>
  </si>
  <si>
    <t>AIX10873</t>
  </si>
  <si>
    <t>AIX10875</t>
  </si>
  <si>
    <t>AIX10876</t>
  </si>
  <si>
    <t>AIX10877</t>
  </si>
  <si>
    <t>AIX10878</t>
  </si>
  <si>
    <t>AIX10882</t>
  </si>
  <si>
    <t>AIX10883</t>
  </si>
  <si>
    <t>AIX10884</t>
  </si>
  <si>
    <t>AIX10885</t>
  </si>
  <si>
    <t>AIX10886</t>
  </si>
  <si>
    <t>AIX10887</t>
  </si>
  <si>
    <t>AIX10888</t>
  </si>
  <si>
    <t>AIX10890</t>
  </si>
  <si>
    <t>AIX10891</t>
  </si>
  <si>
    <t>AIX10892</t>
  </si>
  <si>
    <t>AIX10893</t>
  </si>
  <si>
    <t>AIX10894</t>
  </si>
  <si>
    <t>AIX10895</t>
  </si>
  <si>
    <t>AIX10897</t>
  </si>
  <si>
    <t>AIX10898</t>
  </si>
  <si>
    <t>AIX10899</t>
  </si>
  <si>
    <t>AIX10900</t>
  </si>
  <si>
    <t>AIX10901</t>
  </si>
  <si>
    <t>AIX10902</t>
  </si>
  <si>
    <t>AIX10903</t>
  </si>
  <si>
    <t>AIX10904</t>
  </si>
  <si>
    <t>AIX10905</t>
  </si>
  <si>
    <t>AIX10906</t>
  </si>
  <si>
    <t>AIX10908</t>
  </si>
  <si>
    <t>AIX10909</t>
  </si>
  <si>
    <t>AIX10910</t>
  </si>
  <si>
    <t>AIX10911</t>
  </si>
  <si>
    <t>AIX10912</t>
  </si>
  <si>
    <t>AIX10913</t>
  </si>
  <si>
    <t>AIX10914</t>
  </si>
  <si>
    <t>AIX10915</t>
  </si>
  <si>
    <t>AIX10916</t>
  </si>
  <si>
    <t>AIX10917</t>
  </si>
  <si>
    <t>AIX10918</t>
  </si>
  <si>
    <t>AIX10920</t>
  </si>
  <si>
    <t>AIX10922</t>
  </si>
  <si>
    <t>AIX10923</t>
  </si>
  <si>
    <t>AIX10924</t>
  </si>
  <si>
    <t>AIX10925</t>
  </si>
  <si>
    <t>AIX10926</t>
  </si>
  <si>
    <t>AIX10927</t>
  </si>
  <si>
    <t>AIX10928</t>
  </si>
  <si>
    <t>AIX10930</t>
  </si>
  <si>
    <t>AIX10931</t>
  </si>
  <si>
    <t>AIX10933</t>
  </si>
  <si>
    <t>AIX10934</t>
  </si>
  <si>
    <t>AIX10935</t>
  </si>
  <si>
    <t>AIX10936</t>
  </si>
  <si>
    <t>AIX10937</t>
  </si>
  <si>
    <t>AIX10938</t>
  </si>
  <si>
    <t>AIX10939</t>
  </si>
  <si>
    <t>AIX10940</t>
  </si>
  <si>
    <t>AIX10941</t>
  </si>
  <si>
    <t>AIX10943</t>
  </si>
  <si>
    <t>AIX10944</t>
  </si>
  <si>
    <t>AIX10945</t>
  </si>
  <si>
    <t>AIX10946</t>
  </si>
  <si>
    <t>AIX10947</t>
  </si>
  <si>
    <t>AIX10948</t>
  </si>
  <si>
    <t>AIX10949</t>
  </si>
  <si>
    <t>AIX10950</t>
  </si>
  <si>
    <t>AIX10951</t>
  </si>
  <si>
    <t>AIX10952</t>
  </si>
  <si>
    <t>AIX10953</t>
  </si>
  <si>
    <t>AIX10954</t>
  </si>
  <si>
    <t>AIX10955</t>
  </si>
  <si>
    <t>AIX10956</t>
  </si>
  <si>
    <t>AIX10958</t>
  </si>
  <si>
    <t>AIX10960</t>
  </si>
  <si>
    <t>AIX10961</t>
  </si>
  <si>
    <t>AIX10962</t>
  </si>
  <si>
    <t>AIX10963</t>
  </si>
  <si>
    <t>AIX10964</t>
  </si>
  <si>
    <t>AIX10965</t>
  </si>
  <si>
    <t>AIX10966</t>
  </si>
  <si>
    <t>AIX10967</t>
  </si>
  <si>
    <t>AIX10968</t>
  </si>
  <si>
    <t>AIX10969</t>
  </si>
  <si>
    <t>AIX10970</t>
  </si>
  <si>
    <t>AIX10971</t>
  </si>
  <si>
    <t>AIX10972</t>
  </si>
  <si>
    <t>AIX10973</t>
  </si>
  <si>
    <t>AIX10974</t>
  </si>
  <si>
    <t>AIX10975</t>
  </si>
  <si>
    <t>AIX10976</t>
  </si>
  <si>
    <t>AIX10977</t>
  </si>
  <si>
    <t>AIX10978</t>
  </si>
  <si>
    <t>AIX10979</t>
  </si>
  <si>
    <t>AIX10980</t>
  </si>
  <si>
    <t>AIX10981</t>
  </si>
  <si>
    <t>AIX10982</t>
  </si>
  <si>
    <t>AIX10983</t>
  </si>
  <si>
    <t>AIX10984</t>
  </si>
  <si>
    <t>AIX10986</t>
  </si>
  <si>
    <t>AIX10987</t>
  </si>
  <si>
    <t>AIX10988</t>
  </si>
  <si>
    <t>AIX10989</t>
  </si>
  <si>
    <t>AIX10991</t>
  </si>
  <si>
    <t>AIX10992</t>
  </si>
  <si>
    <t>AIX10993</t>
  </si>
  <si>
    <t>AIX10994</t>
  </si>
  <si>
    <t>AIX10995</t>
  </si>
  <si>
    <t>AIX10996</t>
  </si>
  <si>
    <t>AIX10997</t>
  </si>
  <si>
    <t>AIX10999</t>
  </si>
  <si>
    <t>AIX11000</t>
  </si>
  <si>
    <t>AIX11001</t>
  </si>
  <si>
    <t>AIX11002</t>
  </si>
  <si>
    <t>AIX11003</t>
  </si>
  <si>
    <t>AIX11004</t>
  </si>
  <si>
    <t>AIX11005</t>
  </si>
  <si>
    <t>AIX11006</t>
  </si>
  <si>
    <t>AIX11007</t>
  </si>
  <si>
    <t>AIX11008</t>
  </si>
  <si>
    <t>AIX11009</t>
  </si>
  <si>
    <t>AIX11010</t>
  </si>
  <si>
    <t>AIX11011</t>
  </si>
  <si>
    <t>AIX11012</t>
  </si>
  <si>
    <t>AIX11013</t>
  </si>
  <si>
    <t>AIX11014</t>
  </si>
  <si>
    <t>AIX11015</t>
  </si>
  <si>
    <t>AIX11016</t>
  </si>
  <si>
    <t>AIX11017</t>
  </si>
  <si>
    <t>AIX11019</t>
  </si>
  <si>
    <t>AIX11020</t>
  </si>
  <si>
    <t>AIX11021</t>
  </si>
  <si>
    <t>AIX11023</t>
  </si>
  <si>
    <t>AIX11024</t>
  </si>
  <si>
    <t>AIX11025</t>
  </si>
  <si>
    <t>AIX11028</t>
  </si>
  <si>
    <t>AIX11030</t>
  </si>
  <si>
    <t>AIX11032</t>
  </si>
  <si>
    <t>AIX11033</t>
  </si>
  <si>
    <t>AIX11034</t>
  </si>
  <si>
    <t>AIX11035</t>
  </si>
  <si>
    <t>AIX11036</t>
  </si>
  <si>
    <t>AIX11037</t>
  </si>
  <si>
    <t>AIX11038</t>
  </si>
  <si>
    <t>AIX11039</t>
  </si>
  <si>
    <t>AIX11040</t>
  </si>
  <si>
    <t>AIX11041</t>
  </si>
  <si>
    <t>AIX11042</t>
  </si>
  <si>
    <t>AIX11043</t>
  </si>
  <si>
    <t>AIX11045</t>
  </si>
  <si>
    <t>AIX11046</t>
  </si>
  <si>
    <t>AIX11047</t>
  </si>
  <si>
    <t>AIX11048</t>
  </si>
  <si>
    <t>AIX11049</t>
  </si>
  <si>
    <t>AIX11050</t>
  </si>
  <si>
    <t>AIX11051</t>
  </si>
  <si>
    <t>AIX11052</t>
  </si>
  <si>
    <t>AIX11053</t>
  </si>
  <si>
    <t>AIX11055</t>
  </si>
  <si>
    <t>AIX11056</t>
  </si>
  <si>
    <t>AIX11057</t>
  </si>
  <si>
    <t>AIX11058</t>
  </si>
  <si>
    <t>AIX11059</t>
  </si>
  <si>
    <t>AIX11062</t>
  </si>
  <si>
    <t>AIX11063</t>
  </si>
  <si>
    <t>AIX11064</t>
  </si>
  <si>
    <t>AIX11066</t>
  </si>
  <si>
    <t>AIX11067</t>
  </si>
  <si>
    <t>AIX11068</t>
  </si>
  <si>
    <t>AIX11069</t>
  </si>
  <si>
    <t>AIX11070</t>
  </si>
  <si>
    <t>AIX11071</t>
  </si>
  <si>
    <t>AIX11072</t>
  </si>
  <si>
    <t>AIX11073</t>
  </si>
  <si>
    <t>AIX11075</t>
  </si>
  <si>
    <t>AIX11076</t>
  </si>
  <si>
    <t>AIX11077</t>
  </si>
  <si>
    <t>AIX11078</t>
  </si>
  <si>
    <t>AIX11079</t>
  </si>
  <si>
    <t>AIX11081</t>
  </si>
  <si>
    <t>AIX11082</t>
  </si>
  <si>
    <t>AIX11083</t>
  </si>
  <si>
    <t>AIX11084</t>
  </si>
  <si>
    <t>AIX11085</t>
  </si>
  <si>
    <t>AIX11086</t>
  </si>
  <si>
    <t>AIX11087</t>
  </si>
  <si>
    <t>AIX11088</t>
  </si>
  <si>
    <t>AIX11089</t>
  </si>
  <si>
    <t>AIX11090</t>
  </si>
  <si>
    <t>AIX11091</t>
  </si>
  <si>
    <t>AIX11092</t>
  </si>
  <si>
    <t>AIX11093</t>
  </si>
  <si>
    <t>AIX11094</t>
  </si>
  <si>
    <t>AIX11095</t>
  </si>
  <si>
    <t>AIX11097</t>
  </si>
  <si>
    <t>AIX11098</t>
  </si>
  <si>
    <t>AIX11099</t>
  </si>
  <si>
    <t>AIX11100</t>
  </si>
  <si>
    <t>AIX11102</t>
  </si>
  <si>
    <t>AIX11103</t>
  </si>
  <si>
    <t>AIX11105</t>
  </si>
  <si>
    <t>AIX11106</t>
  </si>
  <si>
    <t>AIX11107</t>
  </si>
  <si>
    <t>AIX11108</t>
  </si>
  <si>
    <t>AIX11109</t>
  </si>
  <si>
    <t>AIX11110</t>
  </si>
  <si>
    <t>AIX11111</t>
  </si>
  <si>
    <t>AIX11112</t>
  </si>
  <si>
    <t>AIX11114</t>
  </si>
  <si>
    <t>AIX11115</t>
  </si>
  <si>
    <t>AIX11116</t>
  </si>
  <si>
    <t>AIX11118</t>
  </si>
  <si>
    <t>AIX11119</t>
  </si>
  <si>
    <t>AIX11120</t>
  </si>
  <si>
    <t>AIX11121</t>
  </si>
  <si>
    <t>AIX11122</t>
  </si>
  <si>
    <t>AIX11123</t>
  </si>
  <si>
    <t>AIX11124</t>
  </si>
  <si>
    <t>AIX11125</t>
  </si>
  <si>
    <t>AIX11126</t>
  </si>
  <si>
    <t>AIX11127</t>
  </si>
  <si>
    <t>AIX11128</t>
  </si>
  <si>
    <t>AIX11129</t>
  </si>
  <si>
    <t>AIX11130</t>
  </si>
  <si>
    <t>AIX11132</t>
  </si>
  <si>
    <t>AIX11133</t>
  </si>
  <si>
    <t>AIX11134</t>
  </si>
  <si>
    <t>AIX11135</t>
  </si>
  <si>
    <t>AIX11136</t>
  </si>
  <si>
    <t>AIX11138</t>
  </si>
  <si>
    <t>AIX11139</t>
  </si>
  <si>
    <t>AIX11141</t>
  </si>
  <si>
    <t>AIX11142</t>
  </si>
  <si>
    <t>AIX11143</t>
  </si>
  <si>
    <t>AIX11144</t>
  </si>
  <si>
    <t>AIX11146</t>
  </si>
  <si>
    <t>AIX11147</t>
  </si>
  <si>
    <t>AIX11148</t>
  </si>
  <si>
    <t>AIX11150</t>
  </si>
  <si>
    <t>AIX11151</t>
  </si>
  <si>
    <t>AIX11152</t>
  </si>
  <si>
    <t>AIX11153</t>
  </si>
  <si>
    <t>AIX11154</t>
  </si>
  <si>
    <t>AIX11155</t>
  </si>
  <si>
    <t>AIX11156</t>
  </si>
  <si>
    <t>AIX11157</t>
  </si>
  <si>
    <t>AIX11159</t>
  </si>
  <si>
    <t>AIX11160</t>
  </si>
  <si>
    <t>AIX11161</t>
  </si>
  <si>
    <t>AIX11162</t>
  </si>
  <si>
    <t>AIX11163</t>
  </si>
  <si>
    <t>AIX11164</t>
  </si>
  <si>
    <t>AIX11165</t>
  </si>
  <si>
    <t>AIX11166</t>
  </si>
  <si>
    <t>AIX11167</t>
  </si>
  <si>
    <t>AIX11168</t>
  </si>
  <si>
    <t>AIX11169</t>
  </si>
  <si>
    <t>AIX11171</t>
  </si>
  <si>
    <t>AIX11172</t>
  </si>
  <si>
    <t>AIX11173</t>
  </si>
  <si>
    <t>AIX11175</t>
  </si>
  <si>
    <t>AIX11176</t>
  </si>
  <si>
    <t>AIX11177</t>
  </si>
  <si>
    <t>AIX11179</t>
  </si>
  <si>
    <t>AIX11180</t>
  </si>
  <si>
    <t>AIX11182</t>
  </si>
  <si>
    <t>AIX11183</t>
  </si>
  <si>
    <t>AIX11184</t>
  </si>
  <si>
    <t>AIX11185</t>
  </si>
  <si>
    <t>AIX11186</t>
  </si>
  <si>
    <t>AIX11187</t>
  </si>
  <si>
    <t>AIX11188</t>
  </si>
  <si>
    <t>AIX11189</t>
  </si>
  <si>
    <t>AIX11190</t>
  </si>
  <si>
    <t>AIX11192</t>
  </si>
  <si>
    <t>AIX11193</t>
  </si>
  <si>
    <t>AIX11195</t>
  </si>
  <si>
    <t>AIX11196</t>
  </si>
  <si>
    <t>AIX11198</t>
  </si>
  <si>
    <t>AIX11199</t>
  </si>
  <si>
    <t>AIX11200</t>
  </si>
  <si>
    <t>AIX11201</t>
  </si>
  <si>
    <t>AIX11202</t>
  </si>
  <si>
    <t>AIX11203</t>
  </si>
  <si>
    <t>AIX11204</t>
  </si>
  <si>
    <t>AIX11205</t>
  </si>
  <si>
    <t>AIX11207</t>
  </si>
  <si>
    <t>AIX11208</t>
  </si>
  <si>
    <t>AIX11209</t>
  </si>
  <si>
    <t>AIX11210</t>
  </si>
  <si>
    <t>AIX11211</t>
  </si>
  <si>
    <t>AIX11212</t>
  </si>
  <si>
    <t>AIX11213</t>
  </si>
  <si>
    <t>AIX11214</t>
  </si>
  <si>
    <t>AIX11215</t>
  </si>
  <si>
    <t>AIX11216</t>
  </si>
  <si>
    <t>AIX11217</t>
  </si>
  <si>
    <t>AIX11218</t>
  </si>
  <si>
    <t>AIX11219</t>
  </si>
  <si>
    <t>AIX11220</t>
  </si>
  <si>
    <t>AIX11221</t>
  </si>
  <si>
    <t>AIX11222</t>
  </si>
  <si>
    <t>AIX11223</t>
  </si>
  <si>
    <t>AIX11224</t>
  </si>
  <si>
    <t>AIX11225</t>
  </si>
  <si>
    <t>AIX11226</t>
  </si>
  <si>
    <t>AIX11227</t>
  </si>
  <si>
    <t>AIX11228</t>
  </si>
  <si>
    <t>AIX11229</t>
  </si>
  <si>
    <t>AIX11231</t>
  </si>
  <si>
    <t>AIX11232</t>
  </si>
  <si>
    <t>AIX11233</t>
  </si>
  <si>
    <t>AIX11234</t>
  </si>
  <si>
    <t>AIX11235</t>
  </si>
  <si>
    <t>AIX11236</t>
  </si>
  <si>
    <t>AIX11237</t>
  </si>
  <si>
    <t>AIX11239</t>
  </si>
  <si>
    <t>AIX11241</t>
  </si>
  <si>
    <t>AIX11242</t>
  </si>
  <si>
    <t>AIX11243</t>
  </si>
  <si>
    <t>AIX11244</t>
  </si>
  <si>
    <t>AIX11245</t>
  </si>
  <si>
    <t>AIX11246</t>
  </si>
  <si>
    <t>AIX11247</t>
  </si>
  <si>
    <t>AIX11248</t>
  </si>
  <si>
    <t>AIX11249</t>
  </si>
  <si>
    <t>AIX11250</t>
  </si>
  <si>
    <t>AIX11251</t>
  </si>
  <si>
    <t>AIX11252</t>
  </si>
  <si>
    <t>AIX11253</t>
  </si>
  <si>
    <t>AIX11254</t>
  </si>
  <si>
    <t>AIX11255</t>
  </si>
  <si>
    <t>AIX11256</t>
  </si>
  <si>
    <t>AIX11257</t>
  </si>
  <si>
    <t>AIX11258</t>
  </si>
  <si>
    <t>AIX11259</t>
  </si>
  <si>
    <t>AIX11260</t>
  </si>
  <si>
    <t>AIX11261</t>
  </si>
  <si>
    <t>AIX11262</t>
  </si>
  <si>
    <t>AIX11263</t>
  </si>
  <si>
    <t>AIX11264</t>
  </si>
  <si>
    <t>AIX11265</t>
  </si>
  <si>
    <t>AIX11266</t>
  </si>
  <si>
    <t>AIX11267</t>
  </si>
  <si>
    <t>AIX11268</t>
  </si>
  <si>
    <t>AIX11269</t>
  </si>
  <si>
    <t>AIX11270</t>
  </si>
  <si>
    <t>AIX11271</t>
  </si>
  <si>
    <t>AIX11272</t>
  </si>
  <si>
    <t>AIX11273</t>
  </si>
  <si>
    <t>AIX11274</t>
  </si>
  <si>
    <t>AIX11275</t>
  </si>
  <si>
    <t>AIX11276</t>
  </si>
  <si>
    <t>AIX11277</t>
  </si>
  <si>
    <t>AIX11278</t>
  </si>
  <si>
    <t>AIX11279</t>
  </si>
  <si>
    <t>AIX11280</t>
  </si>
  <si>
    <t>AIX11281</t>
  </si>
  <si>
    <t>AIX11282</t>
  </si>
  <si>
    <t>AIX11283</t>
  </si>
  <si>
    <t>AIX11284</t>
  </si>
  <si>
    <t>AIX11285</t>
  </si>
  <si>
    <t>AIX11286</t>
  </si>
  <si>
    <t>AIX11287</t>
  </si>
  <si>
    <t>AIX11288</t>
  </si>
  <si>
    <t>AIX11289</t>
  </si>
  <si>
    <t>AIX11290</t>
  </si>
  <si>
    <t>AIX11291</t>
  </si>
  <si>
    <t>AIX11292</t>
  </si>
  <si>
    <t>AIX11295</t>
  </si>
  <si>
    <t>AIX11296</t>
  </si>
  <si>
    <t>AIX11297</t>
  </si>
  <si>
    <t>AIX11298</t>
  </si>
  <si>
    <t>AIX11299</t>
  </si>
  <si>
    <t>AIX11300</t>
  </si>
  <si>
    <t>AIX11301</t>
  </si>
  <si>
    <t>AIX11302</t>
  </si>
  <si>
    <t>AIX11303</t>
  </si>
  <si>
    <t>AIX11304</t>
  </si>
  <si>
    <t>AIX11307</t>
  </si>
  <si>
    <t>AIX11308</t>
  </si>
  <si>
    <t>AIX11309</t>
  </si>
  <si>
    <t>AIX11311</t>
  </si>
  <si>
    <t>AIX11312</t>
  </si>
  <si>
    <t>AIX11313</t>
  </si>
  <si>
    <t>AIX11314</t>
  </si>
  <si>
    <t>AIX11315</t>
  </si>
  <si>
    <t>AIX11316</t>
  </si>
  <si>
    <t>AIX11317</t>
  </si>
  <si>
    <t>AIX11318</t>
  </si>
  <si>
    <t>AIX11319</t>
  </si>
  <si>
    <t>AIX11320</t>
  </si>
  <si>
    <t>AIX11321</t>
  </si>
  <si>
    <t>AIX11322</t>
  </si>
  <si>
    <t>AIX11323</t>
  </si>
  <si>
    <t>AIX11324</t>
  </si>
  <si>
    <t>AIX11325</t>
  </si>
  <si>
    <t>AIX11326</t>
  </si>
  <si>
    <t>AIX11327</t>
  </si>
  <si>
    <t>AIX11328</t>
  </si>
  <si>
    <t>AIX11329</t>
  </si>
  <si>
    <t>AIX11330</t>
  </si>
  <si>
    <t>AIX11331</t>
  </si>
  <si>
    <t>AIX11332</t>
  </si>
  <si>
    <t>AIX11333</t>
  </si>
  <si>
    <t>AIX11334</t>
  </si>
  <si>
    <t>AIX11335</t>
  </si>
  <si>
    <t>AIX11336</t>
  </si>
  <si>
    <t>AIX11337</t>
  </si>
  <si>
    <t>AIX11338</t>
  </si>
  <si>
    <t>AIX11339</t>
  </si>
  <si>
    <t>AIX11340</t>
  </si>
  <si>
    <t>AIX11341</t>
  </si>
  <si>
    <t>AIX11342</t>
  </si>
  <si>
    <t>AIX11343</t>
  </si>
  <si>
    <t>AIX11344</t>
  </si>
  <si>
    <t>AIX11345</t>
  </si>
  <si>
    <t>AIX11346</t>
  </si>
  <si>
    <t>AIX11347</t>
  </si>
  <si>
    <t>AIX11348</t>
  </si>
  <si>
    <t>AIX11349</t>
  </si>
  <si>
    <t>AIX11350</t>
  </si>
  <si>
    <t>AIX11351</t>
  </si>
  <si>
    <t>AIX11352</t>
  </si>
  <si>
    <t>AIX11353</t>
  </si>
  <si>
    <t>AIX11354</t>
  </si>
  <si>
    <t>AIX11355</t>
  </si>
  <si>
    <t>AIX11362</t>
  </si>
  <si>
    <t>AIX11363</t>
  </si>
  <si>
    <t>AIX11364</t>
  </si>
  <si>
    <t>AIX11365</t>
  </si>
  <si>
    <t>AIX11366</t>
  </si>
  <si>
    <t>AIX11367</t>
  </si>
  <si>
    <t>AIX11368</t>
  </si>
  <si>
    <t>AIX11369</t>
  </si>
  <si>
    <t>AIX11370</t>
  </si>
  <si>
    <t>AIX11371</t>
  </si>
  <si>
    <t>AIX11372</t>
  </si>
  <si>
    <t>AIX11373</t>
  </si>
  <si>
    <t>AIX11375</t>
  </si>
  <si>
    <t>AIX11377</t>
  </si>
  <si>
    <t>AIX11378</t>
  </si>
  <si>
    <t>AIX11379</t>
  </si>
  <si>
    <t>AIX11380</t>
  </si>
  <si>
    <t>AIX11381</t>
  </si>
  <si>
    <t>AIX11382</t>
  </si>
  <si>
    <t>AIX11383</t>
  </si>
  <si>
    <t>AIX11384</t>
  </si>
  <si>
    <t>AIX11385</t>
  </si>
  <si>
    <t>AIX11386</t>
  </si>
  <si>
    <t>AIX11387</t>
  </si>
  <si>
    <t>AIX11388</t>
  </si>
  <si>
    <t>AIX11389</t>
  </si>
  <si>
    <t>AIX11390</t>
  </si>
  <si>
    <t>AIX11392</t>
  </si>
  <si>
    <t>AIX11394</t>
  </si>
  <si>
    <t>AIX11397</t>
  </si>
  <si>
    <t>AIX11398</t>
  </si>
  <si>
    <t>AIX11400</t>
  </si>
  <si>
    <t>AIX11403</t>
  </si>
  <si>
    <t>AIX11404</t>
  </si>
  <si>
    <t>AIX11405</t>
  </si>
  <si>
    <t>AIX11406</t>
  </si>
  <si>
    <t>AIX11407</t>
  </si>
  <si>
    <t>AIX11408</t>
  </si>
  <si>
    <t>AIX11409</t>
  </si>
  <si>
    <t>AIX11410</t>
  </si>
  <si>
    <t>AIX11411</t>
  </si>
  <si>
    <t>AIX11412</t>
  </si>
  <si>
    <t>AIX11413</t>
  </si>
  <si>
    <t>AIX11414</t>
  </si>
  <si>
    <t>AIX11415</t>
  </si>
  <si>
    <t>AIX11416</t>
  </si>
  <si>
    <t>AIX11417</t>
  </si>
  <si>
    <t>AIX11418</t>
  </si>
  <si>
    <t>AIX11419</t>
  </si>
  <si>
    <t>AIX11420</t>
  </si>
  <si>
    <t>AIX11421</t>
  </si>
  <si>
    <t>AIX11422</t>
  </si>
  <si>
    <t>AIX11423</t>
  </si>
  <si>
    <t>AIX11424</t>
  </si>
  <si>
    <t>AIX11425</t>
  </si>
  <si>
    <t>AIX11426</t>
  </si>
  <si>
    <t>AIX11427</t>
  </si>
  <si>
    <t>AIX11428</t>
  </si>
  <si>
    <t>AIX11429</t>
  </si>
  <si>
    <t>AIX11430</t>
  </si>
  <si>
    <t>AIX11432</t>
  </si>
  <si>
    <t>AIX11433</t>
  </si>
  <si>
    <t>AIX11434</t>
  </si>
  <si>
    <t>AIX11435</t>
  </si>
  <si>
    <t>AIX11436</t>
  </si>
  <si>
    <t>AIX11437</t>
  </si>
  <si>
    <t>AIX11438</t>
  </si>
  <si>
    <t>AIX11439</t>
  </si>
  <si>
    <t>AIX11440</t>
  </si>
  <si>
    <t>AIX11441</t>
  </si>
  <si>
    <t>AIX11442</t>
  </si>
  <si>
    <t>AIX11443</t>
  </si>
  <si>
    <t>AIX11444</t>
  </si>
  <si>
    <t>AIX11445</t>
  </si>
  <si>
    <t>AIX11446</t>
  </si>
  <si>
    <t>AIX11447</t>
  </si>
  <si>
    <t>AIX11448</t>
  </si>
  <si>
    <t>AIX11449</t>
  </si>
  <si>
    <t>AIX11450</t>
  </si>
  <si>
    <t>AIX11451</t>
  </si>
  <si>
    <t>AIX11452</t>
  </si>
  <si>
    <t>AIX11453</t>
  </si>
  <si>
    <t>AIX11454</t>
  </si>
  <si>
    <t>AIX11455</t>
  </si>
  <si>
    <t>AIX11457</t>
  </si>
  <si>
    <t>AIX11459</t>
  </si>
  <si>
    <t>AIX11461</t>
  </si>
  <si>
    <t>AIX11462</t>
  </si>
  <si>
    <t>AIX11463</t>
  </si>
  <si>
    <t>AIX11464</t>
  </si>
  <si>
    <t>AIX11465</t>
  </si>
  <si>
    <t>AIX11467</t>
  </si>
  <si>
    <t>AIX11469</t>
  </si>
  <si>
    <t>AIX11470</t>
  </si>
  <si>
    <t>AIX11471</t>
  </si>
  <si>
    <t>AIX11472</t>
  </si>
  <si>
    <t>AIX11473</t>
  </si>
  <si>
    <t>AIX11474</t>
  </si>
  <si>
    <t>AIX11475</t>
  </si>
  <si>
    <t>AIX11476</t>
  </si>
  <si>
    <t>AIX11477</t>
  </si>
  <si>
    <t>AIX11478</t>
  </si>
  <si>
    <t>AIX11479</t>
  </si>
  <si>
    <t>AIX11480</t>
  </si>
  <si>
    <t>AIX11482</t>
  </si>
  <si>
    <t>AIX11483</t>
  </si>
  <si>
    <t>AIX11484</t>
  </si>
  <si>
    <t>AIX11485</t>
  </si>
  <si>
    <t>AIX11486</t>
  </si>
  <si>
    <t>AIX11487</t>
  </si>
  <si>
    <t>AIX11488</t>
  </si>
  <si>
    <t>AIX11489</t>
  </si>
  <si>
    <t>AIX11490</t>
  </si>
  <si>
    <t>AIX11491</t>
  </si>
  <si>
    <t>AIX11492</t>
  </si>
  <si>
    <t>AIX11493</t>
  </si>
  <si>
    <t>AIX11494</t>
  </si>
  <si>
    <t>AIX11495</t>
  </si>
  <si>
    <t>AIX11496</t>
  </si>
  <si>
    <t>AIX11497</t>
  </si>
  <si>
    <t>AIX11498</t>
  </si>
  <si>
    <t>AIX11499</t>
  </si>
  <si>
    <t>AIX11500</t>
  </si>
  <si>
    <t>AIX11502</t>
  </si>
  <si>
    <t>AIX11503</t>
  </si>
  <si>
    <t>AIX11504</t>
  </si>
  <si>
    <t>AIX11505</t>
  </si>
  <si>
    <t>AIX11506</t>
  </si>
  <si>
    <t>AIX11507</t>
  </si>
  <si>
    <t>AIX11508</t>
  </si>
  <si>
    <t>AIX11509</t>
  </si>
  <si>
    <t>AIX11510</t>
  </si>
  <si>
    <t>AIX11512</t>
  </si>
  <si>
    <t>AIX11513</t>
  </si>
  <si>
    <t>AIX11514</t>
  </si>
  <si>
    <t>AIX11515</t>
  </si>
  <si>
    <t>AIX11516</t>
  </si>
  <si>
    <t>AIX11517</t>
  </si>
  <si>
    <t>AIX11518</t>
  </si>
  <si>
    <t>AIX11519</t>
  </si>
  <si>
    <t>AIX11520</t>
  </si>
  <si>
    <t>AIX11521</t>
  </si>
  <si>
    <t>AIX11522</t>
  </si>
  <si>
    <t>AIX11523</t>
  </si>
  <si>
    <t>AIX11524</t>
  </si>
  <si>
    <t>AIX11525</t>
  </si>
  <si>
    <t>AIX11526</t>
  </si>
  <si>
    <t>AIX11527</t>
  </si>
  <si>
    <t>AIX11528</t>
  </si>
  <si>
    <t>AIX11529</t>
  </si>
  <si>
    <t>AIX11530</t>
  </si>
  <si>
    <t>AIX11531</t>
  </si>
  <si>
    <t>AIX11533</t>
  </si>
  <si>
    <t>AIX11534</t>
  </si>
  <si>
    <t>AIX11535</t>
  </si>
  <si>
    <t>AIX11536</t>
  </si>
  <si>
    <t>AIX11537</t>
  </si>
  <si>
    <t>AIX11538</t>
  </si>
  <si>
    <t>AIX11539</t>
  </si>
  <si>
    <t>AIX11540</t>
  </si>
  <si>
    <t>AIX11542</t>
  </si>
  <si>
    <t>AIX11543</t>
  </si>
  <si>
    <t>AIX11545</t>
  </si>
  <si>
    <t>AIX11546</t>
  </si>
  <si>
    <t>AIX11548</t>
  </si>
  <si>
    <t>AIX11550</t>
  </si>
  <si>
    <t>AIX11551</t>
  </si>
  <si>
    <t>AIX11552</t>
  </si>
  <si>
    <t>AIX11553</t>
  </si>
  <si>
    <t>AIX11554</t>
  </si>
  <si>
    <t>AIX11555</t>
  </si>
  <si>
    <t>AIX11556</t>
  </si>
  <si>
    <t>AIX11557</t>
  </si>
  <si>
    <t>AIX11558</t>
  </si>
  <si>
    <t>AIX11559</t>
  </si>
  <si>
    <t>AIX11560</t>
  </si>
  <si>
    <t>AIX11561</t>
  </si>
  <si>
    <t>AIX11562</t>
  </si>
  <si>
    <t>AIX11563</t>
  </si>
  <si>
    <t>AIX11564</t>
  </si>
  <si>
    <t>AIX11565</t>
  </si>
  <si>
    <t>AIX11566</t>
  </si>
  <si>
    <t>AIX11567</t>
  </si>
  <si>
    <t>AIX11568</t>
  </si>
  <si>
    <t>AIX11569</t>
  </si>
  <si>
    <t>AIX11570</t>
  </si>
  <si>
    <t>AIX11571</t>
  </si>
  <si>
    <t>AIX11572</t>
  </si>
  <si>
    <t>AIX11573</t>
  </si>
  <si>
    <t>AIX11574</t>
  </si>
  <si>
    <t>AIX11575</t>
  </si>
  <si>
    <t>AIX11576</t>
  </si>
  <si>
    <t>AIX11577</t>
  </si>
  <si>
    <t>AIX11578</t>
  </si>
  <si>
    <t>AIX11579</t>
  </si>
  <si>
    <t>AIX11580</t>
  </si>
  <si>
    <t>AIX11581</t>
  </si>
  <si>
    <t>AIX11583</t>
  </si>
  <si>
    <t>AIX11584</t>
  </si>
  <si>
    <t>AIX11585</t>
  </si>
  <si>
    <t>AIX11586</t>
  </si>
  <si>
    <t>AIX11587</t>
  </si>
  <si>
    <t>AIX11588</t>
  </si>
  <si>
    <t>AIX11589</t>
  </si>
  <si>
    <t>AIX11590</t>
  </si>
  <si>
    <t>AIX11592</t>
  </si>
  <si>
    <t>AIX11593</t>
  </si>
  <si>
    <t>AIX11594</t>
  </si>
  <si>
    <t>AIX11595</t>
  </si>
  <si>
    <t>AIX11596</t>
  </si>
  <si>
    <t>AIX11597</t>
  </si>
  <si>
    <t>AIX11598</t>
  </si>
  <si>
    <t>AIX11599</t>
  </si>
  <si>
    <t>AIX11601</t>
  </si>
  <si>
    <t>AIX11603</t>
  </si>
  <si>
    <t>AIX11604</t>
  </si>
  <si>
    <t>AIX11605</t>
  </si>
  <si>
    <t>AIX11606</t>
  </si>
  <si>
    <t>AIX11608</t>
  </si>
  <si>
    <t>AIX11609</t>
  </si>
  <si>
    <t>AIX11610</t>
  </si>
  <si>
    <t>AIX11611</t>
  </si>
  <si>
    <t>AIX11612</t>
  </si>
  <si>
    <t>AIX11613</t>
  </si>
  <si>
    <t>AIX11614</t>
  </si>
  <si>
    <t>AIX11615</t>
  </si>
  <si>
    <t>AIX11616</t>
  </si>
  <si>
    <t>AIX11617</t>
  </si>
  <si>
    <t>AIX11620</t>
  </si>
  <si>
    <t>AIX11621</t>
  </si>
  <si>
    <t>AIX11622</t>
  </si>
  <si>
    <t>AIX11623</t>
  </si>
  <si>
    <t>AIX11624</t>
  </si>
  <si>
    <t>AIX11625</t>
  </si>
  <si>
    <t>AIX11626</t>
  </si>
  <si>
    <t>AIX11629</t>
  </si>
  <si>
    <t>AIX11630</t>
  </si>
  <si>
    <t>AIX11631</t>
  </si>
  <si>
    <t>AIX11632</t>
  </si>
  <si>
    <t>AIX11633</t>
  </si>
  <si>
    <t>AIX11634</t>
  </si>
  <si>
    <t>AIX11635</t>
  </si>
  <si>
    <t>AIX11636</t>
  </si>
  <si>
    <t>AIX11637</t>
  </si>
  <si>
    <t>AIX11638</t>
  </si>
  <si>
    <t>AIX11640</t>
  </si>
  <si>
    <t>AIX11641</t>
  </si>
  <si>
    <t>AIX11642</t>
  </si>
  <si>
    <t>AIX11643</t>
  </si>
  <si>
    <t>AIX11644</t>
  </si>
  <si>
    <t>AIX11645</t>
  </si>
  <si>
    <t>AIX11646</t>
  </si>
  <si>
    <t>AIX11649</t>
  </si>
  <si>
    <t>Delivered</t>
  </si>
  <si>
    <t>Opened / Read</t>
  </si>
  <si>
    <t>Clicked</t>
  </si>
  <si>
    <t>Week</t>
  </si>
  <si>
    <t>T-1</t>
  </si>
  <si>
    <t>T-2</t>
  </si>
  <si>
    <t>T-3</t>
  </si>
  <si>
    <t>T-4</t>
  </si>
  <si>
    <t>meeting slug</t>
  </si>
  <si>
    <t>attendance</t>
  </si>
  <si>
    <t>live_attendance</t>
  </si>
  <si>
    <t>passive_attendance</t>
  </si>
  <si>
    <t>build-the-problem-solving-mindset</t>
  </si>
  <si>
    <t>build-the-scaling-mindset-2</t>
  </si>
  <si>
    <t>meet-and-greet-25</t>
  </si>
  <si>
    <t>meet-and-greet-15</t>
  </si>
  <si>
    <t>meet-and-greet-27</t>
  </si>
  <si>
    <t>meet-and-greet-23</t>
  </si>
  <si>
    <t>meet-and-greet-18</t>
  </si>
  <si>
    <t>meet-and-greet-7</t>
  </si>
  <si>
    <t>meet-and-greet-4</t>
  </si>
  <si>
    <t>meet-and-greet-3</t>
  </si>
  <si>
    <t>meet-and-greet-21</t>
  </si>
  <si>
    <t>meet-and-greet</t>
  </si>
  <si>
    <t>overall_attendance</t>
  </si>
  <si>
    <t>Lead Punched</t>
  </si>
  <si>
    <t>DBWT completed</t>
  </si>
  <si>
    <t>26/06/22 16:46</t>
  </si>
  <si>
    <t>30/06/22 23:31</t>
  </si>
  <si>
    <t>30/06/22 23:23</t>
  </si>
  <si>
    <t>30/06/22 23:16</t>
  </si>
  <si>
    <t>30/06/22 23:05</t>
  </si>
  <si>
    <t>30/06/22 22:52</t>
  </si>
  <si>
    <t>30/06/22 22:50</t>
  </si>
  <si>
    <t>30/06/22 22:44</t>
  </si>
  <si>
    <t>30/06/22 22:07</t>
  </si>
  <si>
    <t>30/06/22 22:01</t>
  </si>
  <si>
    <t>30/06/22 21:56</t>
  </si>
  <si>
    <t>30/06/22 21:53</t>
  </si>
  <si>
    <t>30/06/22 21:33</t>
  </si>
  <si>
    <t>30/06/22 21:23</t>
  </si>
  <si>
    <t>30/06/22 20:12</t>
  </si>
  <si>
    <t>30/06/22 19:35</t>
  </si>
  <si>
    <t>30/06/22 19:10</t>
  </si>
  <si>
    <t>30/06/22 18:59</t>
  </si>
  <si>
    <t>30/06/22 18:56</t>
  </si>
  <si>
    <t>30/06/22 18:44</t>
  </si>
  <si>
    <t>30/06/22 18:33</t>
  </si>
  <si>
    <t>30/06/22 18:20</t>
  </si>
  <si>
    <t>30/06/22 18:06</t>
  </si>
  <si>
    <t>30/06/22 17:32</t>
  </si>
  <si>
    <t>30/06/22 17:15</t>
  </si>
  <si>
    <t>30/06/22 17:07</t>
  </si>
  <si>
    <t>30/06/22 16:59</t>
  </si>
  <si>
    <t>30/06/22 16:52</t>
  </si>
  <si>
    <t>30/06/22 16:49</t>
  </si>
  <si>
    <t>30/06/22 15:38</t>
  </si>
  <si>
    <t>30/06/22 15:22</t>
  </si>
  <si>
    <t>30/06/22 15:13</t>
  </si>
  <si>
    <t>30/06/22 14:43</t>
  </si>
  <si>
    <t>30/06/22 14:04</t>
  </si>
  <si>
    <t>30/06/22 13:56</t>
  </si>
  <si>
    <t>30/06/22 13:44</t>
  </si>
  <si>
    <t>30/06/22 13:03</t>
  </si>
  <si>
    <t>30/06/22 13:02</t>
  </si>
  <si>
    <t>30/06/22 13:01</t>
  </si>
  <si>
    <t>30/06/22 12:58</t>
  </si>
  <si>
    <t>30/06/22 12:54</t>
  </si>
  <si>
    <t>30/06/22 12:16</t>
  </si>
  <si>
    <t>30/06/22 11:55</t>
  </si>
  <si>
    <t>30/06/22 11:36</t>
  </si>
  <si>
    <t>30/06/22 11:24</t>
  </si>
  <si>
    <t>30/06/22 10:53</t>
  </si>
  <si>
    <t>30/06/22 0:00</t>
  </si>
  <si>
    <t>29/06/22 23:48</t>
  </si>
  <si>
    <t>29/06/22 22:52</t>
  </si>
  <si>
    <t>29/06/22 22:20</t>
  </si>
  <si>
    <t>29/06/22 21:48</t>
  </si>
  <si>
    <t>29/06/22 21:35</t>
  </si>
  <si>
    <t>29/06/22 21:33</t>
  </si>
  <si>
    <t>29/06/22 21:19</t>
  </si>
  <si>
    <t>29/06/22 21:17</t>
  </si>
  <si>
    <t>29/06/22 20:47</t>
  </si>
  <si>
    <t>29/06/22 20:11</t>
  </si>
  <si>
    <t>29/06/22 19:32</t>
  </si>
  <si>
    <t>29/06/22 19:31</t>
  </si>
  <si>
    <t>29/06/22 19:22</t>
  </si>
  <si>
    <t>29/06/22 19:11</t>
  </si>
  <si>
    <t>29/06/22 18:11</t>
  </si>
  <si>
    <t>29/06/22 17:36</t>
  </si>
  <si>
    <t>29/06/22 16:17</t>
  </si>
  <si>
    <t>29/06/22 16:16</t>
  </si>
  <si>
    <t>29/06/22 16:12</t>
  </si>
  <si>
    <t>29/06/22 16:03</t>
  </si>
  <si>
    <t>29/06/22 15:53</t>
  </si>
  <si>
    <t>29/06/22 15:44</t>
  </si>
  <si>
    <t>29/06/22 15:38</t>
  </si>
  <si>
    <t>29/06/22 14:54</t>
  </si>
  <si>
    <t>29/06/22 14:05</t>
  </si>
  <si>
    <t>29/06/22 13:08</t>
  </si>
  <si>
    <t>29/06/22 13:07</t>
  </si>
  <si>
    <t>29/06/22 13:02</t>
  </si>
  <si>
    <t>29/06/22 12:52</t>
  </si>
  <si>
    <t>29/06/22 12:28</t>
  </si>
  <si>
    <t>29/06/22 12:25</t>
  </si>
  <si>
    <t>29/06/22 12:15</t>
  </si>
  <si>
    <t>29/06/22 12:09</t>
  </si>
  <si>
    <t>29/06/22 12:07</t>
  </si>
  <si>
    <t>29/06/22 11:43</t>
  </si>
  <si>
    <t>29/06/22 10:56</t>
  </si>
  <si>
    <t>29/06/22 10:51</t>
  </si>
  <si>
    <t>29/06/22 10:50</t>
  </si>
  <si>
    <t>29/06/22 10:46</t>
  </si>
  <si>
    <t>29/06/22 9:36</t>
  </si>
  <si>
    <t>28/06/22 23:55</t>
  </si>
  <si>
    <t>28/06/22 23:17</t>
  </si>
  <si>
    <t>28/06/22 23:11</t>
  </si>
  <si>
    <t>28/06/22 22:30</t>
  </si>
  <si>
    <t>28/06/22 22:18</t>
  </si>
  <si>
    <t>28/06/22 22:17</t>
  </si>
  <si>
    <t>28/06/22 22:10</t>
  </si>
  <si>
    <t>28/06/22 22:03</t>
  </si>
  <si>
    <t>28/06/22 22:01</t>
  </si>
  <si>
    <t>28/06/22 21:19</t>
  </si>
  <si>
    <t>28/06/22 21:04</t>
  </si>
  <si>
    <t>28/06/22 20:52</t>
  </si>
  <si>
    <t>28/06/22 20:49</t>
  </si>
  <si>
    <t>28/06/22 20:43</t>
  </si>
  <si>
    <t>28/06/22 20:33</t>
  </si>
  <si>
    <t>28/06/22 19:56</t>
  </si>
  <si>
    <t>28/06/22 19:47</t>
  </si>
  <si>
    <t>28/06/22 18:42</t>
  </si>
  <si>
    <t>28/06/22 18:21</t>
  </si>
  <si>
    <t>28/06/22 18:07</t>
  </si>
  <si>
    <t>28/06/22 17:30</t>
  </si>
  <si>
    <t>28/06/22 17:22</t>
  </si>
  <si>
    <t>28/06/22 16:54</t>
  </si>
  <si>
    <t>28/06/22 16:27</t>
  </si>
  <si>
    <t>28/06/22 16:06</t>
  </si>
  <si>
    <t>28/06/22 16:01</t>
  </si>
  <si>
    <t>28/06/22 15:23</t>
  </si>
  <si>
    <t>28/06/22 15:14</t>
  </si>
  <si>
    <t>28/06/22 15:12</t>
  </si>
  <si>
    <t>28/06/22 13:10</t>
  </si>
  <si>
    <t>28/06/22 13:05</t>
  </si>
  <si>
    <t>28/06/22 12:18</t>
  </si>
  <si>
    <t>28/06/22 12:12</t>
  </si>
  <si>
    <t>28/06/22 12:10</t>
  </si>
  <si>
    <t>28/06/22 12:07</t>
  </si>
  <si>
    <t>28/06/22 11:48</t>
  </si>
  <si>
    <t>28/06/22 11:35</t>
  </si>
  <si>
    <t>27/06/22 23:35</t>
  </si>
  <si>
    <t>27/06/22 23:30</t>
  </si>
  <si>
    <t>27/06/22 22:53</t>
  </si>
  <si>
    <t>27/06/22 22:42</t>
  </si>
  <si>
    <t>27/06/22 22:31</t>
  </si>
  <si>
    <t>27/06/22 22:30</t>
  </si>
  <si>
    <t>27/06/22 22:16</t>
  </si>
  <si>
    <t>27/06/22 22:12</t>
  </si>
  <si>
    <t>27/06/22 21:56</t>
  </si>
  <si>
    <t>27/06/22 21:26</t>
  </si>
  <si>
    <t>27/06/22 21:00</t>
  </si>
  <si>
    <t>27/06/22 20:53</t>
  </si>
  <si>
    <t>27/06/22 20:29</t>
  </si>
  <si>
    <t>27/06/22 20:18</t>
  </si>
  <si>
    <t>27/06/22 20:16</t>
  </si>
  <si>
    <t>27/06/22 20:04</t>
  </si>
  <si>
    <t>27/06/22 19:25</t>
  </si>
  <si>
    <t>27/06/22 18:49</t>
  </si>
  <si>
    <t>27/06/22 18:22</t>
  </si>
  <si>
    <t>27/06/22 18:06</t>
  </si>
  <si>
    <t>27/06/22 17:50</t>
  </si>
  <si>
    <t>27/06/22 16:56</t>
  </si>
  <si>
    <t>27/06/22 15:30</t>
  </si>
  <si>
    <t>27/06/22 15:15</t>
  </si>
  <si>
    <t>27/06/22 14:56</t>
  </si>
  <si>
    <t>27/06/22 14:20</t>
  </si>
  <si>
    <t>27/06/22 14:02</t>
  </si>
  <si>
    <t>27/06/22 14:00</t>
  </si>
  <si>
    <t>27/06/22 13:49</t>
  </si>
  <si>
    <t>27/06/22 13:46</t>
  </si>
  <si>
    <t>27/06/22 13:44</t>
  </si>
  <si>
    <t>27/06/22 13:43</t>
  </si>
  <si>
    <t>27/06/22 13:21</t>
  </si>
  <si>
    <t>27/06/22 12:52</t>
  </si>
  <si>
    <t>27/06/22 11:59</t>
  </si>
  <si>
    <t>27/06/22 11:41</t>
  </si>
  <si>
    <t>27/06/22 11:11</t>
  </si>
  <si>
    <t>27/06/22 10:09</t>
  </si>
  <si>
    <t>27/06/22 9:42</t>
  </si>
  <si>
    <t>27/06/22 6:51</t>
  </si>
  <si>
    <t>27/06/22 1:16</t>
  </si>
  <si>
    <t>26/06/22 22:45</t>
  </si>
  <si>
    <t>26/06/22 22:41</t>
  </si>
  <si>
    <t>26/06/22 22:14</t>
  </si>
  <si>
    <t>26/06/22 22:09</t>
  </si>
  <si>
    <t>26/06/22 21:33</t>
  </si>
  <si>
    <t>26/06/22 21:24</t>
  </si>
  <si>
    <t>26/06/22 21:21</t>
  </si>
  <si>
    <t>26/06/22 21:16</t>
  </si>
  <si>
    <t>26/06/22 21:05</t>
  </si>
  <si>
    <t>26/06/22 21:03</t>
  </si>
  <si>
    <t>26/06/22 20:59</t>
  </si>
  <si>
    <t>26/06/22 20:48</t>
  </si>
  <si>
    <t>26/06/22 20:47</t>
  </si>
  <si>
    <t>26/06/22 20:34</t>
  </si>
  <si>
    <t>26/06/22 20:19</t>
  </si>
  <si>
    <t>26/06/22 19:53</t>
  </si>
  <si>
    <t>26/06/22 19:52</t>
  </si>
  <si>
    <t>26/06/22 19:46</t>
  </si>
  <si>
    <t>26/06/22 19:36</t>
  </si>
  <si>
    <t>26/06/22 19:17</t>
  </si>
  <si>
    <t>26/06/22 19:08</t>
  </si>
  <si>
    <t>26/06/22 19:07</t>
  </si>
  <si>
    <t>26/06/22 18:58</t>
  </si>
  <si>
    <t>26/06/22 18:16</t>
  </si>
  <si>
    <t>26/06/22 18:13</t>
  </si>
  <si>
    <t>26/06/22 18:04</t>
  </si>
  <si>
    <t>26/06/22 18:02</t>
  </si>
  <si>
    <t>26/06/22 17:52</t>
  </si>
  <si>
    <t>26/06/22 17:49</t>
  </si>
  <si>
    <t>26/06/22 17:46</t>
  </si>
  <si>
    <t>26/06/22 17:35</t>
  </si>
  <si>
    <t>26/06/22 17:15</t>
  </si>
  <si>
    <t>26/06/22 17:03</t>
  </si>
  <si>
    <t>26/06/22 16:23</t>
  </si>
  <si>
    <t>26/06/22 16:18</t>
  </si>
  <si>
    <t>26/06/22 15:56</t>
  </si>
  <si>
    <t>26/06/22 15:51</t>
  </si>
  <si>
    <t>26/06/22 15:35</t>
  </si>
  <si>
    <t>26/06/22 15:33</t>
  </si>
  <si>
    <t>26/06/22 15:31</t>
  </si>
  <si>
    <t>26/06/22 15:21</t>
  </si>
  <si>
    <t>26/06/22 15:12</t>
  </si>
  <si>
    <t>26/06/22 15:10</t>
  </si>
  <si>
    <t>26/06/22 15:04</t>
  </si>
  <si>
    <t>26/06/22 14:29</t>
  </si>
  <si>
    <t>26/06/22 14:15</t>
  </si>
  <si>
    <t>26/06/22 14:14</t>
  </si>
  <si>
    <t>26/06/22 13:51</t>
  </si>
  <si>
    <t>26/06/22 13:43</t>
  </si>
  <si>
    <t>26/06/22 13:24</t>
  </si>
  <si>
    <t>26/06/22 13:23</t>
  </si>
  <si>
    <t>26/06/22 13:22</t>
  </si>
  <si>
    <t>26/06/22 13:07</t>
  </si>
  <si>
    <t>26/06/22 13:06</t>
  </si>
  <si>
    <t>26/06/22 13:04</t>
  </si>
  <si>
    <t>26/06/22 12:52</t>
  </si>
  <si>
    <t>26/06/22 12:49</t>
  </si>
  <si>
    <t>26/06/22 12:44</t>
  </si>
  <si>
    <t>26/06/22 12:36</t>
  </si>
  <si>
    <t>26/06/22 12:30</t>
  </si>
  <si>
    <t>26/06/22 12:27</t>
  </si>
  <si>
    <t>26/06/22 12:25</t>
  </si>
  <si>
    <t>26/06/22 12:23</t>
  </si>
  <si>
    <t>26/06/22 12:15</t>
  </si>
  <si>
    <t>26/06/22 12:12</t>
  </si>
  <si>
    <t>26/06/22 12:00</t>
  </si>
  <si>
    <t>26/06/22 11:43</t>
  </si>
  <si>
    <t>26/06/22 11:42</t>
  </si>
  <si>
    <t>26/06/22 11:32</t>
  </si>
  <si>
    <t>26/06/22 11:21</t>
  </si>
  <si>
    <t>26/06/22 11:15</t>
  </si>
  <si>
    <t>26/06/22 11:14</t>
  </si>
  <si>
    <t>26/06/22 11:13</t>
  </si>
  <si>
    <t>26/06/22 11:04</t>
  </si>
  <si>
    <t>25/06/22 23:50</t>
  </si>
  <si>
    <t>25/06/22 22:36</t>
  </si>
  <si>
    <t>25/06/22 22:04</t>
  </si>
  <si>
    <t>25/06/22 22:00</t>
  </si>
  <si>
    <t>25/06/22 21:58</t>
  </si>
  <si>
    <t>25/06/22 21:39</t>
  </si>
  <si>
    <t>25/06/22 21:31</t>
  </si>
  <si>
    <t>25/06/22 21:04</t>
  </si>
  <si>
    <t>25/06/22 20:56</t>
  </si>
  <si>
    <t>25/06/22 20:48</t>
  </si>
  <si>
    <t>25/06/22 20:38</t>
  </si>
  <si>
    <t>25/06/22 20:28</t>
  </si>
  <si>
    <t>25/06/22 20:14</t>
  </si>
  <si>
    <t>25/06/22 20:02</t>
  </si>
  <si>
    <t>25/06/22 19:57</t>
  </si>
  <si>
    <t>25/06/22 19:46</t>
  </si>
  <si>
    <t>25/06/22 19:44</t>
  </si>
  <si>
    <t>25/06/22 19:34</t>
  </si>
  <si>
    <t>25/06/22 19:08</t>
  </si>
  <si>
    <t>25/06/22 19:04</t>
  </si>
  <si>
    <t>25/06/22 18:41</t>
  </si>
  <si>
    <t>25/06/22 18:37</t>
  </si>
  <si>
    <t>25/06/22 18:25</t>
  </si>
  <si>
    <t>25/06/22 18:15</t>
  </si>
  <si>
    <t>25/06/22 18:14</t>
  </si>
  <si>
    <t>25/06/22 17:26</t>
  </si>
  <si>
    <t>25/06/22 17:13</t>
  </si>
  <si>
    <t>25/06/22 17:09</t>
  </si>
  <si>
    <t>25/06/22 16:58</t>
  </si>
  <si>
    <t>25/06/22 16:56</t>
  </si>
  <si>
    <t>25/06/22 16:40</t>
  </si>
  <si>
    <t>25/06/22 16:22</t>
  </si>
  <si>
    <t>25/06/22 16:21</t>
  </si>
  <si>
    <t>25/06/22 15:56</t>
  </si>
  <si>
    <t>25/06/22 15:28</t>
  </si>
  <si>
    <t>25/06/22 15:19</t>
  </si>
  <si>
    <t>25/06/22 15:12</t>
  </si>
  <si>
    <t>25/06/22 15:00</t>
  </si>
  <si>
    <t>25/06/22 14:38</t>
  </si>
  <si>
    <t>25/06/22 14:27</t>
  </si>
  <si>
    <t>25/06/22 14:20</t>
  </si>
  <si>
    <t>25/06/22 14:14</t>
  </si>
  <si>
    <t>25/06/22 14:12</t>
  </si>
  <si>
    <t>25/06/22 14:08</t>
  </si>
  <si>
    <t>25/06/22 14:00</t>
  </si>
  <si>
    <t>25/06/22 13:57</t>
  </si>
  <si>
    <t>25/06/22 13:43</t>
  </si>
  <si>
    <t>25/06/22 13:40</t>
  </si>
  <si>
    <t>25/06/22 13:25</t>
  </si>
  <si>
    <t>25/06/22 13:22</t>
  </si>
  <si>
    <t>25/06/22 13:13</t>
  </si>
  <si>
    <t>25/06/22 13:12</t>
  </si>
  <si>
    <t>25/06/22 12:58</t>
  </si>
  <si>
    <t>25/06/22 12:56</t>
  </si>
  <si>
    <t>25/06/22 12:46</t>
  </si>
  <si>
    <t>25/06/22 12:43</t>
  </si>
  <si>
    <t>25/06/22 12:40</t>
  </si>
  <si>
    <t>25/06/22 12:38</t>
  </si>
  <si>
    <t>25/06/22 12:32</t>
  </si>
  <si>
    <t>25/06/22 12:14</t>
  </si>
  <si>
    <t>25/06/22 12:04</t>
  </si>
  <si>
    <t>25/06/22 11:58</t>
  </si>
  <si>
    <t>25/06/22 11:57</t>
  </si>
  <si>
    <t>25/06/22 11:39</t>
  </si>
  <si>
    <t>25/06/22 11:33</t>
  </si>
  <si>
    <t>25/06/22 10:00</t>
  </si>
  <si>
    <t>24/06/22 23:46</t>
  </si>
  <si>
    <t>24/06/22 21:34</t>
  </si>
  <si>
    <t>24/06/22 20:52</t>
  </si>
  <si>
    <t>24/06/22 20:49</t>
  </si>
  <si>
    <t>24/06/22 20:42</t>
  </si>
  <si>
    <t>24/06/22 20:34</t>
  </si>
  <si>
    <t>24/06/22 20:33</t>
  </si>
  <si>
    <t>24/06/22 20:29</t>
  </si>
  <si>
    <t>24/06/22 20:26</t>
  </si>
  <si>
    <t>24/06/22 20:24</t>
  </si>
  <si>
    <t>24/06/22 20:16</t>
  </si>
  <si>
    <t>24/06/22 20:01</t>
  </si>
  <si>
    <t>24/06/22 19:07</t>
  </si>
  <si>
    <t>24/06/22 18:51</t>
  </si>
  <si>
    <t>24/06/22 18:40</t>
  </si>
  <si>
    <t>24/06/22 18:32</t>
  </si>
  <si>
    <t>24/06/22 18:29</t>
  </si>
  <si>
    <t>24/06/22 17:48</t>
  </si>
  <si>
    <t>24/06/22 17:38</t>
  </si>
  <si>
    <t>24/06/22 17:12</t>
  </si>
  <si>
    <t>24/06/22 17:06</t>
  </si>
  <si>
    <t>24/06/22 16:21</t>
  </si>
  <si>
    <t>24/06/22 16:16</t>
  </si>
  <si>
    <t>24/06/22 16:06</t>
  </si>
  <si>
    <t>24/06/22 16:03</t>
  </si>
  <si>
    <t>24/06/22 15:35</t>
  </si>
  <si>
    <t>24/06/22 15:00</t>
  </si>
  <si>
    <t>24/06/22 14:50</t>
  </si>
  <si>
    <t>24/06/22 14:42</t>
  </si>
  <si>
    <t>24/06/22 14:40</t>
  </si>
  <si>
    <t>24/06/22 14:35</t>
  </si>
  <si>
    <t>24/06/22 14:34</t>
  </si>
  <si>
    <t>24/06/22 14:16</t>
  </si>
  <si>
    <t>24/06/22 14:13</t>
  </si>
  <si>
    <t>24/06/22 13:47</t>
  </si>
  <si>
    <t>24/06/22 13:46</t>
  </si>
  <si>
    <t>24/06/22 13:25</t>
  </si>
  <si>
    <t>24/06/22 13:19</t>
  </si>
  <si>
    <t>24/06/22 12:47</t>
  </si>
  <si>
    <t>24/06/22 12:44</t>
  </si>
  <si>
    <t>24/06/22 12:35</t>
  </si>
  <si>
    <t>24/06/22 12:34</t>
  </si>
  <si>
    <t>24/06/22 12:19</t>
  </si>
  <si>
    <t>24/06/22 12:04</t>
  </si>
  <si>
    <t>24/06/22 11:52</t>
  </si>
  <si>
    <t>24/06/22 11:47</t>
  </si>
  <si>
    <t>24/06/22 11:46</t>
  </si>
  <si>
    <t>24/06/22 11:45</t>
  </si>
  <si>
    <t>24/06/22 11:38</t>
  </si>
  <si>
    <t>24/06/22 11:34</t>
  </si>
  <si>
    <t>24/06/22 11:32</t>
  </si>
  <si>
    <t>24/06/22 11:31</t>
  </si>
  <si>
    <t>24/06/22 11:25</t>
  </si>
  <si>
    <t>24/06/22 11:16</t>
  </si>
  <si>
    <t>24/06/22 10:54</t>
  </si>
  <si>
    <t>24/06/22 9:10</t>
  </si>
  <si>
    <t>23/06/22 23:02</t>
  </si>
  <si>
    <t>23/06/22 22:54</t>
  </si>
  <si>
    <t>23/06/22 22:51</t>
  </si>
  <si>
    <t>23/06/22 22:49</t>
  </si>
  <si>
    <t>23/06/22 22:29</t>
  </si>
  <si>
    <t>23/06/22 22:13</t>
  </si>
  <si>
    <t>23/06/22 21:45</t>
  </si>
  <si>
    <t>23/06/22 21:39</t>
  </si>
  <si>
    <t>23/06/22 21:07</t>
  </si>
  <si>
    <t>23/06/22 21:04</t>
  </si>
  <si>
    <t>23/06/22 20:38</t>
  </si>
  <si>
    <t>23/06/22 20:27</t>
  </si>
  <si>
    <t>23/06/22 20:11</t>
  </si>
  <si>
    <t>23/06/22 20:09</t>
  </si>
  <si>
    <t>23/06/22 19:51</t>
  </si>
  <si>
    <t>23/06/22 19:28</t>
  </si>
  <si>
    <t>23/06/22 19:21</t>
  </si>
  <si>
    <t>23/06/22 19:15</t>
  </si>
  <si>
    <t>23/06/22 19:10</t>
  </si>
  <si>
    <t>23/06/22 18:51</t>
  </si>
  <si>
    <t>23/06/22 18:32</t>
  </si>
  <si>
    <t>23/06/22 17:50</t>
  </si>
  <si>
    <t>23/06/22 17:33</t>
  </si>
  <si>
    <t>23/06/22 16:40</t>
  </si>
  <si>
    <t>23/06/22 16:09</t>
  </si>
  <si>
    <t>23/06/22 16:07</t>
  </si>
  <si>
    <t>23/06/22 15:43</t>
  </si>
  <si>
    <t>23/06/22 15:26</t>
  </si>
  <si>
    <t>23/06/22 14:59</t>
  </si>
  <si>
    <t>23/06/22 14:19</t>
  </si>
  <si>
    <t>23/06/22 14:16</t>
  </si>
  <si>
    <t>23/06/22 13:38</t>
  </si>
  <si>
    <t>23/06/22 13:33</t>
  </si>
  <si>
    <t>23/06/22 13:32</t>
  </si>
  <si>
    <t>23/06/22 13:23</t>
  </si>
  <si>
    <t>23/06/22 12:51</t>
  </si>
  <si>
    <t>23/06/22 12:32</t>
  </si>
  <si>
    <t>23/06/22 12:02</t>
  </si>
  <si>
    <t>23/06/22 11:54</t>
  </si>
  <si>
    <t>23/06/22 11:46</t>
  </si>
  <si>
    <t>23/06/22 11:40</t>
  </si>
  <si>
    <t>23/06/22 11:16</t>
  </si>
  <si>
    <t>23/06/22 10:58</t>
  </si>
  <si>
    <t>23/06/22 10:46</t>
  </si>
  <si>
    <t>23/06/22 2:10</t>
  </si>
  <si>
    <t>22/06/22 23:19</t>
  </si>
  <si>
    <t>22/06/22 22:31</t>
  </si>
  <si>
    <t>22/06/22 22:03</t>
  </si>
  <si>
    <t>22/06/22 22:00</t>
  </si>
  <si>
    <t>22/06/22 21:59</t>
  </si>
  <si>
    <t>22/06/22 21:43</t>
  </si>
  <si>
    <t>22/06/22 21:27</t>
  </si>
  <si>
    <t>22/06/22 21:07</t>
  </si>
  <si>
    <t>22/06/22 20:49</t>
  </si>
  <si>
    <t>22/06/22 20:34</t>
  </si>
  <si>
    <t>22/06/22 20:32</t>
  </si>
  <si>
    <t>22/06/22 20:08</t>
  </si>
  <si>
    <t>22/06/22 20:00</t>
  </si>
  <si>
    <t>22/06/22 19:45</t>
  </si>
  <si>
    <t>22/06/22 19:39</t>
  </si>
  <si>
    <t>22/06/22 19:19</t>
  </si>
  <si>
    <t>22/06/22 19:06</t>
  </si>
  <si>
    <t>22/06/22 18:51</t>
  </si>
  <si>
    <t>22/06/22 18:32</t>
  </si>
  <si>
    <t>22/06/22 18:29</t>
  </si>
  <si>
    <t>22/06/22 17:56</t>
  </si>
  <si>
    <t>22/06/22 17:44</t>
  </si>
  <si>
    <t>22/06/22 17:28</t>
  </si>
  <si>
    <t>22/06/22 17:25</t>
  </si>
  <si>
    <t>22/06/22 17:13</t>
  </si>
  <si>
    <t>22/06/22 17:06</t>
  </si>
  <si>
    <t>22/06/22 16:50</t>
  </si>
  <si>
    <t>22/06/22 16:30</t>
  </si>
  <si>
    <t>22/06/22 16:10</t>
  </si>
  <si>
    <t>22/06/22 15:29</t>
  </si>
  <si>
    <t>22/06/22 15:26</t>
  </si>
  <si>
    <t>22/06/22 15:09</t>
  </si>
  <si>
    <t>22/06/22 14:55</t>
  </si>
  <si>
    <t>22/06/22 14:31</t>
  </si>
  <si>
    <t>22/06/22 14:03</t>
  </si>
  <si>
    <t>22/06/22 13:59</t>
  </si>
  <si>
    <t>22/06/22 13:40</t>
  </si>
  <si>
    <t>22/06/22 12:44</t>
  </si>
  <si>
    <t>22/06/22 11:56</t>
  </si>
  <si>
    <t>22/06/22 11:45</t>
  </si>
  <si>
    <t>22/06/22 11:30</t>
  </si>
  <si>
    <t>22/06/22 11:12</t>
  </si>
  <si>
    <t>22/06/22 11:06</t>
  </si>
  <si>
    <t>21/06/22 23:31</t>
  </si>
  <si>
    <t>21/06/22 22:59</t>
  </si>
  <si>
    <t>21/06/22 22:17</t>
  </si>
  <si>
    <t>21/06/22 21:41</t>
  </si>
  <si>
    <t>21/06/22 21:33</t>
  </si>
  <si>
    <t>21/06/22 21:26</t>
  </si>
  <si>
    <t>21/06/22 19:24</t>
  </si>
  <si>
    <t>21/06/22 14:11</t>
  </si>
  <si>
    <t>21/06/22 14:02</t>
  </si>
  <si>
    <t>21/06/22 13:40</t>
  </si>
  <si>
    <t>21/06/22 12:51</t>
  </si>
  <si>
    <t>21/06/22 11:32</t>
  </si>
  <si>
    <t>21/06/22 11:16</t>
  </si>
  <si>
    <t>21/06/22 10:42</t>
  </si>
  <si>
    <t>21/06/22 10:20</t>
  </si>
  <si>
    <t>21/06/22 9:52</t>
  </si>
  <si>
    <t>21/06/22 9:49</t>
  </si>
  <si>
    <t>21/06/22 9:47</t>
  </si>
  <si>
    <t>21/06/22 2:27</t>
  </si>
  <si>
    <t>21/06/22 2:14</t>
  </si>
  <si>
    <t>21/06/22 1:09</t>
  </si>
  <si>
    <t>20/06/22 22:28</t>
  </si>
  <si>
    <t>20/06/22 22:06</t>
  </si>
  <si>
    <t>20/06/22 21:55</t>
  </si>
  <si>
    <t>20/06/22 21:51</t>
  </si>
  <si>
    <t>20/06/22 21:46</t>
  </si>
  <si>
    <t>20/06/22 21:31</t>
  </si>
  <si>
    <t>20/06/22 21:09</t>
  </si>
  <si>
    <t>20/06/22 21:02</t>
  </si>
  <si>
    <t>20/06/22 20:43</t>
  </si>
  <si>
    <t>20/06/22 20:38</t>
  </si>
  <si>
    <t>20/06/22 20:27</t>
  </si>
  <si>
    <t>20/06/22 19:39</t>
  </si>
  <si>
    <t>20/06/22 19:33</t>
  </si>
  <si>
    <t>20/06/22 19:11</t>
  </si>
  <si>
    <t>20/06/22 18:31</t>
  </si>
  <si>
    <t>20/06/22 18:06</t>
  </si>
  <si>
    <t>20/06/22 17:37</t>
  </si>
  <si>
    <t>20/06/22 17:29</t>
  </si>
  <si>
    <t>20/06/22 16:42</t>
  </si>
  <si>
    <t>20/06/22 15:49</t>
  </si>
  <si>
    <t>20/06/22 15:41</t>
  </si>
  <si>
    <t>20/06/22 15:31</t>
  </si>
  <si>
    <t>20/06/22 15:30</t>
  </si>
  <si>
    <t>20/06/22 15:13</t>
  </si>
  <si>
    <t>20/06/22 15:02</t>
  </si>
  <si>
    <t>20/06/22 14:38</t>
  </si>
  <si>
    <t>20/06/22 14:37</t>
  </si>
  <si>
    <t>20/06/22 14:28</t>
  </si>
  <si>
    <t>20/06/22 13:42</t>
  </si>
  <si>
    <t>20/06/22 13:23</t>
  </si>
  <si>
    <t>20/06/22 12:18</t>
  </si>
  <si>
    <t>20/06/22 11:54</t>
  </si>
  <si>
    <t>20/06/22 11:00</t>
  </si>
  <si>
    <t>20/06/22 10:39</t>
  </si>
  <si>
    <t>20/06/22 8:14</t>
  </si>
  <si>
    <t>19/06/22 23:17</t>
  </si>
  <si>
    <t>19/06/22 23:16</t>
  </si>
  <si>
    <t>19/06/22 22:32</t>
  </si>
  <si>
    <t>19/06/22 22:19</t>
  </si>
  <si>
    <t>19/06/22 22:01</t>
  </si>
  <si>
    <t>19/06/22 21:17</t>
  </si>
  <si>
    <t>19/06/22 21:15</t>
  </si>
  <si>
    <t>19/06/22 21:12</t>
  </si>
  <si>
    <t>19/06/22 21:03</t>
  </si>
  <si>
    <t>19/06/22 20:49</t>
  </si>
  <si>
    <t>19/06/22 20:48</t>
  </si>
  <si>
    <t>19/06/22 20:46</t>
  </si>
  <si>
    <t>19/06/22 20:40</t>
  </si>
  <si>
    <t>19/06/22 20:36</t>
  </si>
  <si>
    <t>19/06/22 20:30</t>
  </si>
  <si>
    <t>19/06/22 20:17</t>
  </si>
  <si>
    <t>19/06/22 20:16</t>
  </si>
  <si>
    <t>19/06/22 20:10</t>
  </si>
  <si>
    <t>19/06/22 20:08</t>
  </si>
  <si>
    <t>19/06/22 19:54</t>
  </si>
  <si>
    <t>19/06/22 19:46</t>
  </si>
  <si>
    <t>19/06/22 19:36</t>
  </si>
  <si>
    <t>19/06/22 19:29</t>
  </si>
  <si>
    <t>19/06/22 19:10</t>
  </si>
  <si>
    <t>19/06/22 19:02</t>
  </si>
  <si>
    <t>19/06/22 18:30</t>
  </si>
  <si>
    <t>19/06/22 18:25</t>
  </si>
  <si>
    <t>19/06/22 18:22</t>
  </si>
  <si>
    <t>19/06/22 18:21</t>
  </si>
  <si>
    <t>19/06/22 18:19</t>
  </si>
  <si>
    <t>19/06/22 18:17</t>
  </si>
  <si>
    <t>19/06/22 18:02</t>
  </si>
  <si>
    <t>19/06/22 17:44</t>
  </si>
  <si>
    <t>19/06/22 17:37</t>
  </si>
  <si>
    <t>19/06/22 17:36</t>
  </si>
  <si>
    <t>19/06/22 17:24</t>
  </si>
  <si>
    <t>19/06/22 17:12</t>
  </si>
  <si>
    <t>19/06/22 16:55</t>
  </si>
  <si>
    <t>19/06/22 16:53</t>
  </si>
  <si>
    <t>19/06/22 16:49</t>
  </si>
  <si>
    <t>19/06/22 16:27</t>
  </si>
  <si>
    <t>19/06/22 16:25</t>
  </si>
  <si>
    <t>19/06/22 16:14</t>
  </si>
  <si>
    <t>19/06/22 16:11</t>
  </si>
  <si>
    <t>19/06/22 15:39</t>
  </si>
  <si>
    <t>19/06/22 15:34</t>
  </si>
  <si>
    <t>19/06/22 14:46</t>
  </si>
  <si>
    <t>19/06/22 14:33</t>
  </si>
  <si>
    <t>19/06/22 13:56</t>
  </si>
  <si>
    <t>19/06/22 13:23</t>
  </si>
  <si>
    <t>19/06/22 12:56</t>
  </si>
  <si>
    <t>19/06/22 12:53</t>
  </si>
  <si>
    <t>19/06/22 12:42</t>
  </si>
  <si>
    <t>19/06/22 12:37</t>
  </si>
  <si>
    <t>19/06/22 12:17</t>
  </si>
  <si>
    <t>19/06/22 12:12</t>
  </si>
  <si>
    <t>19/06/22 11:29</t>
  </si>
  <si>
    <t>18/06/22 22:57</t>
  </si>
  <si>
    <t>18/06/22 22:22</t>
  </si>
  <si>
    <t>18/06/22 21:27</t>
  </si>
  <si>
    <t>18/06/22 20:52</t>
  </si>
  <si>
    <t>18/06/22 20:24</t>
  </si>
  <si>
    <t>18/06/22 20:19</t>
  </si>
  <si>
    <t>18/06/22 20:14</t>
  </si>
  <si>
    <t>18/06/22 20:11</t>
  </si>
  <si>
    <t>18/06/22 20:02</t>
  </si>
  <si>
    <t>18/06/22 20:01</t>
  </si>
  <si>
    <t>18/06/22 19:52</t>
  </si>
  <si>
    <t>18/06/22 19:18</t>
  </si>
  <si>
    <t>18/06/22 19:11</t>
  </si>
  <si>
    <t>18/06/22 18:42</t>
  </si>
  <si>
    <t>18/06/22 18:41</t>
  </si>
  <si>
    <t>18/06/22 18:27</t>
  </si>
  <si>
    <t>18/06/22 18:17</t>
  </si>
  <si>
    <t>18/06/22 17:34</t>
  </si>
  <si>
    <t>18/06/22 17:24</t>
  </si>
  <si>
    <t>18/06/22 16:55</t>
  </si>
  <si>
    <t>18/06/22 16:51</t>
  </si>
  <si>
    <t>18/06/22 16:45</t>
  </si>
  <si>
    <t>18/06/22 16:43</t>
  </si>
  <si>
    <t>18/06/22 16:13</t>
  </si>
  <si>
    <t>18/06/22 15:41</t>
  </si>
  <si>
    <t>18/06/22 15:27</t>
  </si>
  <si>
    <t>18/06/22 15:19</t>
  </si>
  <si>
    <t>18/06/22 14:55</t>
  </si>
  <si>
    <t>18/06/22 13:53</t>
  </si>
  <si>
    <t>18/06/22 13:23</t>
  </si>
  <si>
    <t>18/06/22 12:58</t>
  </si>
  <si>
    <t>18/06/22 12:17</t>
  </si>
  <si>
    <t>18/06/22 11:56</t>
  </si>
  <si>
    <t>18/06/22 11:24</t>
  </si>
  <si>
    <t>18/06/22 10:39</t>
  </si>
  <si>
    <t>18/06/22 10:08</t>
  </si>
  <si>
    <t>18/06/22 7:18</t>
  </si>
  <si>
    <t>17/06/22 22:29</t>
  </si>
  <si>
    <t>17/06/22 22:21</t>
  </si>
  <si>
    <t>17/06/22 21:12</t>
  </si>
  <si>
    <t>17/06/22 20:34</t>
  </si>
  <si>
    <t>17/06/22 17:59</t>
  </si>
  <si>
    <t>17/06/22 17:27</t>
  </si>
  <si>
    <t>17/06/22 12:07</t>
  </si>
  <si>
    <t>16/06/22 23:23</t>
  </si>
  <si>
    <t>16/06/22 23:00</t>
  </si>
  <si>
    <t>16/06/22 21:57</t>
  </si>
  <si>
    <t>16/06/22 21:54</t>
  </si>
  <si>
    <t>16/06/22 21:53</t>
  </si>
  <si>
    <t>16/06/22 20:26</t>
  </si>
  <si>
    <t>16/06/22 20:12</t>
  </si>
  <si>
    <t>16/06/22 19:55</t>
  </si>
  <si>
    <t>16/06/22 19:26</t>
  </si>
  <si>
    <t>16/06/22 16:31</t>
  </si>
  <si>
    <t>16/06/22 15:39</t>
  </si>
  <si>
    <t>16/06/22 15:35</t>
  </si>
  <si>
    <t>15/06/22 18:21</t>
  </si>
  <si>
    <t>15/06/22 17:34</t>
  </si>
  <si>
    <t>Date on which the refund request was submitted by the candidate</t>
  </si>
  <si>
    <t>Ownership to Follow Up</t>
  </si>
  <si>
    <t>Within / Outside Refund period</t>
  </si>
  <si>
    <t>Was Refund intimated within the refund period to BDA/BDM previously</t>
  </si>
  <si>
    <t>Date of earliest intimation (if applicable)</t>
  </si>
  <si>
    <t>Whether Loan from NBFC obtained/approved</t>
  </si>
  <si>
    <t>Closed Sales as per BD</t>
  </si>
  <si>
    <t>Batch Start Date</t>
  </si>
  <si>
    <t>No. of days after/before batch start date the request was raised by the learner</t>
  </si>
  <si>
    <t>Date on which finance team is informed to make the payment</t>
  </si>
  <si>
    <t>Remark</t>
  </si>
  <si>
    <t>Detailed reason for the refund as communicated by the candidate</t>
  </si>
  <si>
    <t>Partial / Full Refund</t>
  </si>
  <si>
    <t>Probable to rejoin</t>
  </si>
  <si>
    <t>Unique Student ID</t>
  </si>
  <si>
    <t>Completed</t>
  </si>
  <si>
    <t>NA</t>
  </si>
  <si>
    <t>yes</t>
  </si>
  <si>
    <t>Ayush</t>
  </si>
  <si>
    <t>Full refund approved by Harshvardhan</t>
  </si>
  <si>
    <t>Finance</t>
  </si>
  <si>
    <t>Sudhish</t>
  </si>
  <si>
    <t>Unknown</t>
  </si>
  <si>
    <t>Approved by HP</t>
  </si>
  <si>
    <t>Full Approved by HP</t>
  </si>
  <si>
    <t>Session Title</t>
  </si>
  <si>
    <t>Session start time</t>
  </si>
  <si>
    <t>Session end time</t>
  </si>
  <si>
    <t>Session Status</t>
  </si>
  <si>
    <t>Call Duration (mins)</t>
  </si>
  <si>
    <t>session_rating_by_mentee</t>
  </si>
  <si>
    <t>grant_status</t>
  </si>
  <si>
    <t>Agenda: Career advice OR Career related doubt</t>
  </si>
  <si>
    <t>complete</t>
  </si>
  <si>
    <t>Session Ended</t>
  </si>
  <si>
    <t>didnt_happened</t>
  </si>
  <si>
    <t>Interviewee No Show</t>
  </si>
  <si>
    <t>Interviewer No Show</t>
  </si>
  <si>
    <t>Agenda: Resume review session</t>
  </si>
  <si>
    <t>Agenda: Help with coping up with the course</t>
  </si>
  <si>
    <t>Agenda: Help with the next career choice / offer negotiation</t>
  </si>
  <si>
    <t>Agenda: Help with communication skills</t>
  </si>
  <si>
    <t>Purohit</t>
  </si>
  <si>
    <t>https://www.scaler.com/interaction-sessions/e2b4fdbe/feedback/interviewer</t>
  </si>
  <si>
    <t>Interaction Session: Career advice OR Career related doubt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</si>
</sst>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
    <numFmt numFmtId="165" formatCode="0.0"/>
    <numFmt numFmtId="166" formatCode="yyyy\-mm\-dd\ h:mm:ss"/>
    <numFmt numFmtId="167" formatCode="0.000"/>
    <numFmt numFmtId="168" formatCode="mm/dd/yy\ h:mm"/>
    <numFmt numFmtId="169" formatCode="d\-mmm\-yyyy\ h:mm"/>
    <numFmt numFmtId="170" formatCode="dd\-mmm\-yyyy\ h:mm"/>
    <numFmt numFmtId="171" formatCode="mm\-dd\-yyyy"/>
    <numFmt numFmtId="172" formatCode="mm/dd/yyyy"/>
    <numFmt numFmtId="173" formatCode="yyyy\-mm\-dd"/>
  </numFmts>
  <fonts count="13" x14ac:knownFonts="1">
    <font>
      <sz val="10"/>
      <color rgb="FF000000"/>
      <name val="Roboto"/>
      <charset val="1"/>
    </font>
    <font>
      <b/>
      <sz val="20"/>
      <color rgb="FF1F4E78"/>
      <name val="Calibri"/>
      <charset val="1"/>
    </font>
    <font>
      <b/>
      <sz val="12"/>
      <color rgb="FF2E75B6"/>
      <name val="Calibri"/>
      <charset val="1"/>
    </font>
    <font>
      <b/>
      <sz val="13"/>
      <color rgb="FFFFFFFF"/>
      <name val="Calibri"/>
      <charset val="1"/>
    </font>
    <font>
      <b/>
      <sz val="11"/>
      <name val="Calibri"/>
      <charset val="1"/>
    </font>
    <font>
      <b/>
      <sz val="14"/>
      <color rgb="FF1F4E78"/>
      <name val="Calibri"/>
      <charset val="1"/>
    </font>
    <font>
      <sz val="11"/>
      <name val="Calibri"/>
      <charset val="1"/>
    </font>
    <font>
      <sz val="11"/>
      <color theme="1"/>
      <name val="Roboto"/>
      <charset val="1"/>
    </font>
    <font>
      <b/>
      <sz val="11"/>
      <color theme="1"/>
      <name val="Roboto"/>
      <charset val="1"/>
    </font>
    <font>
      <u/>
      <sz val="11"/>
      <color rgb="FF0000FF"/>
      <name val="Roboto"/>
      <charset val="1"/>
    </font>
    <font>
      <b/>
      <sz val="11"/>
      <color rgb="FFFFFFFF"/>
      <name val="Calibri"/>
      <charset val="1"/>
    </font>
    <font>
      <i/>
      <sz val="11"/>
      <color rgb="FF9C5700"/>
      <name val="Calibri"/>
      <charset val="1"/>
    </font>
    <font>
      <u/>
      <sz val="11"/>
      <color rgb="FF0000FF"/>
      <name val="Cambria"/>
      <charset val="1"/>
    </font>
  </fonts>
  <fills count="8">
    <fill>
      <patternFill patternType="none"/>
    </fill>
    <fill>
      <patternFill patternType="gray125"/>
    </fill>
    <fill>
      <patternFill patternType="solid">
        <fgColor rgb="FF2E75B6"/>
        <bgColor rgb="FF0066CC"/>
      </patternFill>
    </fill>
    <fill>
      <patternFill patternType="solid">
        <fgColor rgb="FFF2F2F2"/>
        <bgColor rgb="FFDDEBF7"/>
      </patternFill>
    </fill>
    <fill>
      <patternFill patternType="solid">
        <fgColor rgb="FFDDEBF7"/>
        <bgColor rgb="FFF2F2F2"/>
      </patternFill>
    </fill>
    <fill>
      <patternFill patternType="solid">
        <fgColor rgb="FFD9D9D9"/>
        <bgColor rgb="FFDDEBF7"/>
      </patternFill>
    </fill>
    <fill>
      <patternFill patternType="solid">
        <fgColor rgb="FF1F4E78"/>
        <bgColor rgb="FF003366"/>
      </patternFill>
    </fill>
    <fill>
      <patternFill patternType="solid">
        <fgColor rgb="FFFFF2CC"/>
        <bgColor rgb="FFF2F2F2"/>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76">
    <xf numFmtId="0" fontId="0" fillId="0" borderId="0" xfId="0"/>
    <xf numFmtId="0" fontId="6" fillId="0" borderId="1" xfId="0" applyFont="1" applyBorder="1" applyAlignment="1">
      <alignment vertical="top" wrapText="1"/>
    </xf>
    <xf numFmtId="0" fontId="6" fillId="3" borderId="1" xfId="0" applyFont="1" applyFill="1" applyBorder="1" applyAlignment="1">
      <alignment vertical="top" wrapText="1"/>
    </xf>
    <xf numFmtId="0" fontId="10" fillId="6" borderId="1" xfId="0" applyFont="1" applyFill="1" applyBorder="1" applyAlignment="1">
      <alignment horizontal="center" vertical="center" wrapText="1"/>
    </xf>
    <xf numFmtId="0" fontId="11" fillId="7" borderId="0" xfId="0" applyFont="1" applyFill="1" applyAlignment="1">
      <alignment vertical="top" wrapText="1"/>
    </xf>
    <xf numFmtId="0" fontId="6" fillId="0" borderId="0" xfId="0" applyFont="1" applyAlignment="1">
      <alignment vertical="top" wrapText="1"/>
    </xf>
    <xf numFmtId="0" fontId="6" fillId="0" borderId="1" xfId="0" applyFont="1" applyBorder="1" applyAlignment="1">
      <alignment vertical="center" wrapText="1" indent="1"/>
    </xf>
    <xf numFmtId="0" fontId="6" fillId="3" borderId="1" xfId="0" applyFont="1" applyFill="1" applyBorder="1" applyAlignment="1">
      <alignment vertical="center" wrapText="1" indent="1"/>
    </xf>
    <xf numFmtId="0" fontId="6" fillId="0" borderId="1" xfId="0" applyFont="1" applyBorder="1" applyAlignment="1">
      <alignment vertical="top" wrapText="1" indent="1"/>
    </xf>
    <xf numFmtId="0" fontId="3" fillId="2" borderId="0" xfId="0" applyFont="1" applyFill="1" applyAlignment="1">
      <alignment horizontal="left" vertical="center" indent="1"/>
    </xf>
    <xf numFmtId="0" fontId="2" fillId="0" borderId="0" xfId="0" applyFont="1" applyAlignment="1">
      <alignment vertical="center"/>
    </xf>
    <xf numFmtId="0" fontId="1" fillId="0" borderId="0" xfId="0" applyFont="1" applyAlignment="1">
      <alignment vertical="center"/>
    </xf>
    <xf numFmtId="0" fontId="4" fillId="3" borderId="1" xfId="0" applyFont="1" applyFill="1" applyBorder="1" applyAlignment="1">
      <alignment horizontal="left" vertical="center" indent="1"/>
    </xf>
    <xf numFmtId="3" fontId="5" fillId="3" borderId="1" xfId="0" applyNumberFormat="1" applyFont="1" applyFill="1" applyBorder="1" applyAlignment="1">
      <alignment horizontal="left" vertical="center" indent="1"/>
    </xf>
    <xf numFmtId="0" fontId="0" fillId="3" borderId="1" xfId="0" applyFill="1" applyBorder="1"/>
    <xf numFmtId="0" fontId="4" fillId="4" borderId="1" xfId="0" applyFont="1" applyFill="1" applyBorder="1" applyAlignment="1">
      <alignment horizontal="left" vertical="center" indent="1"/>
    </xf>
    <xf numFmtId="3" fontId="5" fillId="4" borderId="1" xfId="0" applyNumberFormat="1" applyFont="1" applyFill="1" applyBorder="1" applyAlignment="1">
      <alignment horizontal="left" vertical="center" indent="1"/>
    </xf>
    <xf numFmtId="0" fontId="0" fillId="4" borderId="1" xfId="0" applyFill="1" applyBorder="1"/>
    <xf numFmtId="164" fontId="5" fillId="4" borderId="1" xfId="0" applyNumberFormat="1" applyFont="1" applyFill="1" applyBorder="1" applyAlignment="1">
      <alignment horizontal="left" vertical="center" indent="1"/>
    </xf>
    <xf numFmtId="165" fontId="5" fillId="3" borderId="1" xfId="0" applyNumberFormat="1" applyFont="1" applyFill="1" applyBorder="1" applyAlignment="1">
      <alignment horizontal="left" vertical="center" indent="1"/>
    </xf>
    <xf numFmtId="165" fontId="5" fillId="4" borderId="1" xfId="0" applyNumberFormat="1" applyFont="1" applyFill="1" applyBorder="1" applyAlignment="1">
      <alignment horizontal="left" vertical="center" indent="1"/>
    </xf>
    <xf numFmtId="164" fontId="5" fillId="3" borderId="1" xfId="0" applyNumberFormat="1" applyFont="1" applyFill="1" applyBorder="1" applyAlignment="1">
      <alignment horizontal="left" vertical="center" indent="1"/>
    </xf>
    <xf numFmtId="0" fontId="2" fillId="0" borderId="1" xfId="0" applyFont="1" applyBorder="1" applyAlignment="1">
      <alignment horizontal="left" vertical="top" indent="1"/>
    </xf>
    <xf numFmtId="0" fontId="4" fillId="0" borderId="1" xfId="0" applyFont="1" applyBorder="1" applyAlignment="1">
      <alignment horizontal="left" vertical="center" indent="1"/>
    </xf>
    <xf numFmtId="0" fontId="7" fillId="0" borderId="0" xfId="0" applyFont="1"/>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xf numFmtId="0" fontId="8" fillId="5" borderId="2" xfId="0" applyFont="1" applyFill="1" applyBorder="1" applyAlignment="1">
      <alignment horizontal="center" vertical="center"/>
    </xf>
    <xf numFmtId="0" fontId="7" fillId="0" borderId="2" xfId="0" applyFont="1" applyBorder="1" applyAlignment="1">
      <alignment vertical="center"/>
    </xf>
    <xf numFmtId="0" fontId="10" fillId="6" borderId="1" xfId="0" applyFont="1" applyFill="1" applyBorder="1" applyAlignment="1">
      <alignment horizontal="center" vertical="center" wrapText="1"/>
    </xf>
    <xf numFmtId="0" fontId="6" fillId="3" borderId="1" xfId="0" applyFont="1" applyFill="1" applyBorder="1" applyAlignment="1">
      <alignment horizontal="center" vertical="center"/>
    </xf>
    <xf numFmtId="0" fontId="6" fillId="3" borderId="1" xfId="0" applyFont="1" applyFill="1" applyBorder="1" applyAlignment="1">
      <alignment horizontal="left" vertical="center" wrapText="1"/>
    </xf>
    <xf numFmtId="164" fontId="6" fillId="3" borderId="1" xfId="0" applyNumberFormat="1" applyFont="1" applyFill="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left" vertical="center" wrapText="1"/>
    </xf>
    <xf numFmtId="164" fontId="6" fillId="0" borderId="1" xfId="0" applyNumberFormat="1" applyFont="1" applyBorder="1" applyAlignment="1">
      <alignment horizontal="center" vertical="center"/>
    </xf>
    <xf numFmtId="0" fontId="0" fillId="6" borderId="0" xfId="0" applyFill="1"/>
    <xf numFmtId="0" fontId="10" fillId="6" borderId="0" xfId="0" applyFont="1" applyFill="1" applyAlignment="1">
      <alignment horizontal="left" vertical="center" indent="1"/>
    </xf>
    <xf numFmtId="0" fontId="10" fillId="6" borderId="1" xfId="0" applyFont="1" applyFill="1" applyBorder="1" applyAlignment="1">
      <alignment horizontal="center" vertical="center"/>
    </xf>
    <xf numFmtId="0" fontId="0" fillId="6" borderId="1" xfId="0" applyFill="1" applyBorder="1"/>
    <xf numFmtId="0" fontId="6" fillId="3" borderId="1" xfId="0" applyFont="1" applyFill="1" applyBorder="1" applyAlignment="1">
      <alignment vertical="top" wrapText="1"/>
    </xf>
    <xf numFmtId="0" fontId="6" fillId="0" borderId="1" xfId="0" applyFont="1" applyBorder="1" applyAlignment="1">
      <alignment vertical="top" wrapText="1"/>
    </xf>
    <xf numFmtId="0" fontId="4" fillId="0" borderId="1" xfId="0" applyFont="1" applyBorder="1"/>
    <xf numFmtId="3" fontId="6" fillId="0" borderId="1" xfId="0" applyNumberFormat="1" applyFont="1" applyBorder="1" applyAlignment="1">
      <alignment horizontal="center"/>
    </xf>
    <xf numFmtId="0" fontId="6" fillId="0" borderId="1" xfId="0" applyFont="1" applyBorder="1"/>
    <xf numFmtId="0" fontId="4" fillId="3" borderId="1" xfId="0" applyFont="1" applyFill="1" applyBorder="1"/>
    <xf numFmtId="3" fontId="6" fillId="3" borderId="1" xfId="0" applyNumberFormat="1" applyFont="1" applyFill="1" applyBorder="1" applyAlignment="1">
      <alignment horizontal="center"/>
    </xf>
    <xf numFmtId="0" fontId="6" fillId="3" borderId="1" xfId="0" applyFont="1" applyFill="1" applyBorder="1"/>
    <xf numFmtId="164" fontId="6" fillId="0" borderId="1" xfId="0" applyNumberFormat="1" applyFont="1" applyBorder="1" applyAlignment="1">
      <alignment horizontal="center"/>
    </xf>
    <xf numFmtId="165" fontId="6" fillId="3" borderId="1" xfId="0" applyNumberFormat="1" applyFont="1" applyFill="1" applyBorder="1" applyAlignment="1">
      <alignment horizontal="center"/>
    </xf>
    <xf numFmtId="165" fontId="6" fillId="0" borderId="1" xfId="0" applyNumberFormat="1" applyFont="1" applyBorder="1" applyAlignment="1">
      <alignment horizontal="center"/>
    </xf>
    <xf numFmtId="0" fontId="6" fillId="0" borderId="1" xfId="0" applyFont="1" applyBorder="1" applyAlignment="1">
      <alignment horizontal="left" vertical="center" indent="1"/>
    </xf>
    <xf numFmtId="3" fontId="6" fillId="0" borderId="1" xfId="0" applyNumberFormat="1" applyFont="1" applyBorder="1" applyAlignment="1">
      <alignment horizontal="center" vertical="center"/>
    </xf>
    <xf numFmtId="164" fontId="10" fillId="6" borderId="1" xfId="0" applyNumberFormat="1" applyFont="1" applyFill="1" applyBorder="1" applyAlignment="1">
      <alignment horizontal="center" vertical="center"/>
    </xf>
    <xf numFmtId="0" fontId="0" fillId="6" borderId="1" xfId="0" applyFill="1" applyBorder="1" applyAlignment="1">
      <alignment horizontal="center" vertical="center"/>
    </xf>
    <xf numFmtId="3" fontId="6" fillId="0" borderId="1" xfId="0" applyNumberFormat="1" applyFont="1" applyBorder="1" applyAlignment="1">
      <alignment horizontal="center" vertical="center" wrapText="1"/>
    </xf>
    <xf numFmtId="164" fontId="6" fillId="0" borderId="1" xfId="0" applyNumberFormat="1" applyFont="1" applyBorder="1" applyAlignment="1">
      <alignment horizontal="center" vertical="center" wrapText="1"/>
    </xf>
    <xf numFmtId="0" fontId="4" fillId="0" borderId="1" xfId="0" applyFont="1" applyBorder="1" applyAlignment="1">
      <alignment vertical="top" wrapText="1"/>
    </xf>
    <xf numFmtId="0" fontId="4" fillId="3" borderId="1" xfId="0" applyFont="1" applyFill="1" applyBorder="1" applyAlignment="1">
      <alignment vertical="top" wrapText="1"/>
    </xf>
    <xf numFmtId="0" fontId="6" fillId="0" borderId="1" xfId="0" applyFont="1" applyBorder="1" applyAlignment="1">
      <alignment vertical="top"/>
    </xf>
    <xf numFmtId="166" fontId="6" fillId="0" borderId="1" xfId="0" applyNumberFormat="1" applyFont="1" applyBorder="1" applyAlignment="1">
      <alignment vertical="top"/>
    </xf>
    <xf numFmtId="0" fontId="6" fillId="0" borderId="1" xfId="0" applyFont="1" applyBorder="1" applyAlignment="1">
      <alignment horizontal="left" vertical="center"/>
    </xf>
    <xf numFmtId="0" fontId="6" fillId="0" borderId="1" xfId="0" applyFont="1" applyBorder="1" applyAlignment="1">
      <alignment horizontal="right" vertical="center"/>
    </xf>
    <xf numFmtId="164" fontId="6" fillId="0" borderId="1" xfId="0" applyNumberFormat="1" applyFont="1" applyBorder="1" applyAlignment="1">
      <alignment horizontal="right" vertical="center"/>
    </xf>
    <xf numFmtId="165" fontId="6" fillId="0" borderId="1" xfId="0" applyNumberFormat="1" applyFont="1" applyBorder="1" applyAlignment="1">
      <alignment horizontal="right" vertical="center"/>
    </xf>
    <xf numFmtId="167" fontId="6" fillId="0" borderId="1" xfId="0" applyNumberFormat="1" applyFont="1" applyBorder="1" applyAlignment="1">
      <alignment horizontal="right" vertical="center"/>
    </xf>
    <xf numFmtId="168" fontId="7" fillId="0" borderId="0" xfId="0" applyNumberFormat="1" applyFont="1"/>
    <xf numFmtId="169" fontId="7" fillId="0" borderId="0" xfId="0" applyNumberFormat="1" applyFont="1"/>
    <xf numFmtId="170" fontId="7" fillId="0" borderId="0" xfId="0" applyNumberFormat="1" applyFont="1"/>
    <xf numFmtId="0" fontId="7" fillId="0" borderId="0" xfId="0" applyFont="1" applyAlignment="1">
      <alignment vertical="center" wrapText="1"/>
    </xf>
    <xf numFmtId="171" fontId="7" fillId="0" borderId="0" xfId="0" applyNumberFormat="1" applyFont="1" applyAlignment="1">
      <alignment vertical="center"/>
    </xf>
    <xf numFmtId="172" fontId="7" fillId="0" borderId="0" xfId="0" applyNumberFormat="1" applyFont="1" applyAlignment="1">
      <alignment vertical="center"/>
    </xf>
    <xf numFmtId="166" fontId="7" fillId="0" borderId="0" xfId="0" applyNumberFormat="1" applyFont="1"/>
    <xf numFmtId="173" fontId="7" fillId="0" borderId="0" xfId="0" applyNumberFormat="1" applyFont="1"/>
    <xf numFmtId="0" fontId="12"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5B9BD5"/>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70AD47"/>
      <rgbColor rgb="FF003366"/>
      <rgbColor rgb="FF339966"/>
      <rgbColor rgb="FF003300"/>
      <rgbColor rgb="FF333300"/>
      <rgbColor rgb="FF9C57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Roboto"/>
        <a:ea typeface="Roboto"/>
        <a:cs typeface="Roboto"/>
      </a:majorFont>
      <a:minorFont>
        <a:latin typeface="Roboto"/>
        <a:ea typeface="Roboto"/>
        <a:cs typeface="Roboto"/>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https://www.loom.com/share/32019552f04a431bba6d76b92178a9ae?sid=5e280baa-6d8d-48cc-a39f-e31a24b8f00c" TargetMode="External"/><Relationship Id="rId1" Type="http://schemas.openxmlformats.org/officeDocument/2006/relationships/hyperlink" Target="https://www.loom.com/share/27fcbbbd010545d9b6a5e423db33815d?sid=88512954-f12c-4315-ab5a-ef89e93c0818"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www.scaler.com/interaction-sessions/e2b4fdbe/feedback/interview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2:D32"/>
  <sheetViews>
    <sheetView showGridLines="0" tabSelected="1" topLeftCell="A8" zoomScaleNormal="100" workbookViewId="0">
      <selection activeCell="B3" sqref="B3:D3"/>
    </sheetView>
  </sheetViews>
  <sheetFormatPr defaultColWidth="8.6328125" defaultRowHeight="14.5" x14ac:dyDescent="0.4"/>
  <cols>
    <col min="1" max="1" width="4" customWidth="1"/>
    <col min="2" max="2" width="30" customWidth="1"/>
    <col min="3" max="3" width="60" customWidth="1"/>
    <col min="4" max="4" width="25" customWidth="1"/>
  </cols>
  <sheetData>
    <row r="2" spans="1:4" ht="31.5" customHeight="1" x14ac:dyDescent="0.4">
      <c r="B2" s="11" t="s">
        <v>0</v>
      </c>
      <c r="C2" s="11"/>
      <c r="D2" s="11"/>
    </row>
    <row r="3" spans="1:4" ht="21.75" customHeight="1" x14ac:dyDescent="0.4">
      <c r="B3" s="10"/>
      <c r="C3" s="10"/>
      <c r="D3" s="10"/>
    </row>
    <row r="5" spans="1:4" ht="24" customHeight="1" x14ac:dyDescent="0.4">
      <c r="A5" s="9" t="s">
        <v>1</v>
      </c>
      <c r="B5" s="9"/>
      <c r="C5" s="9"/>
      <c r="D5" s="9"/>
    </row>
    <row r="7" spans="1:4" ht="21.75" customHeight="1" x14ac:dyDescent="0.4">
      <c r="B7" s="12" t="s">
        <v>2</v>
      </c>
      <c r="C7" s="13">
        <f>COUNTA('Master Learner Profile'!B2:B1650)</f>
        <v>1649</v>
      </c>
      <c r="D7" s="14"/>
    </row>
    <row r="8" spans="1:4" ht="21.75" customHeight="1" x14ac:dyDescent="0.4">
      <c r="B8" s="15" t="s">
        <v>3</v>
      </c>
      <c r="C8" s="16">
        <f>COUNTA('Categorised Reasons'!A2:A1650)</f>
        <v>304</v>
      </c>
      <c r="D8" s="17"/>
    </row>
    <row r="9" spans="1:4" ht="21.75" customHeight="1" x14ac:dyDescent="0.4">
      <c r="B9" s="12" t="s">
        <v>4</v>
      </c>
      <c r="C9" s="13">
        <f>COUNTIF('Master Learner Profile'!C2:C1650,"Yes")</f>
        <v>281</v>
      </c>
      <c r="D9" s="14"/>
    </row>
    <row r="10" spans="1:4" ht="21.75" customHeight="1" x14ac:dyDescent="0.4">
      <c r="B10" s="15" t="s">
        <v>5</v>
      </c>
      <c r="C10" s="18">
        <f>COUNTIF('Master Learner Profile'!C2:C1650,"Yes")/COUNTA('Master Learner Profile'!B2:B1650)</f>
        <v>0.17040630685263797</v>
      </c>
      <c r="D10" s="17"/>
    </row>
    <row r="11" spans="1:4" ht="21.75" customHeight="1" x14ac:dyDescent="0.4">
      <c r="B11" s="12" t="s">
        <v>6</v>
      </c>
      <c r="C11" s="19">
        <f>AVERAGEIFS('Master Learner Profile'!K2:K1650,'Master Learner Profile'!C2:C1650,"Yes")</f>
        <v>24.574964285714287</v>
      </c>
      <c r="D11" s="14"/>
    </row>
    <row r="12" spans="1:4" ht="21.75" customHeight="1" x14ac:dyDescent="0.4">
      <c r="B12" s="15" t="s">
        <v>7</v>
      </c>
      <c r="C12" s="20">
        <f>AVERAGEIFS('Master Learner Profile'!K2:K1650,'Master Learner Profile'!C2:C1650,"No")</f>
        <v>82.645804093567364</v>
      </c>
      <c r="D12" s="17"/>
    </row>
    <row r="13" spans="1:4" ht="21.75" customHeight="1" x14ac:dyDescent="0.4">
      <c r="B13" s="12" t="s">
        <v>8</v>
      </c>
      <c r="C13" s="21">
        <f>COUNTIFS('Master Learner Profile'!L2:L1650,"No",'Master Learner Profile'!C2:C1650,"Yes")/COUNTIF('Master Learner Profile'!C2:C1650,"Yes")</f>
        <v>0.45195729537366547</v>
      </c>
      <c r="D13" s="14"/>
    </row>
    <row r="14" spans="1:4" ht="21.75" customHeight="1" x14ac:dyDescent="0.4">
      <c r="B14" s="15" t="s">
        <v>9</v>
      </c>
      <c r="C14" s="18">
        <f>COUNTIFS('Master Learner Profile'!O2:O1650,"1: Critical (No DBWT + No Wk0)",'Master Learner Profile'!C2:C1650,"Yes")/COUNTIF('Master Learner Profile'!C2:C1650,"Yes")</f>
        <v>0.199288256227758</v>
      </c>
      <c r="D14" s="17"/>
    </row>
    <row r="17" spans="1:4" ht="24" customHeight="1" x14ac:dyDescent="0.4">
      <c r="A17" s="9" t="s">
        <v>10</v>
      </c>
      <c r="B17" s="9"/>
      <c r="C17" s="9"/>
      <c r="D17" s="9"/>
    </row>
    <row r="19" spans="1:4" ht="79.5" customHeight="1" x14ac:dyDescent="0.4">
      <c r="B19" s="22" t="s">
        <v>11</v>
      </c>
      <c r="C19" s="8" t="s">
        <v>12</v>
      </c>
      <c r="D19" s="8"/>
    </row>
    <row r="20" spans="1:4" ht="79.5" customHeight="1" x14ac:dyDescent="0.4">
      <c r="B20" s="22" t="s">
        <v>13</v>
      </c>
      <c r="C20" s="8" t="s">
        <v>14</v>
      </c>
      <c r="D20" s="8"/>
    </row>
    <row r="21" spans="1:4" ht="79.5" customHeight="1" x14ac:dyDescent="0.4">
      <c r="B21" s="22" t="s">
        <v>15</v>
      </c>
      <c r="C21" s="8" t="s">
        <v>16</v>
      </c>
      <c r="D21" s="8"/>
    </row>
    <row r="24" spans="1:4" ht="24" customHeight="1" x14ac:dyDescent="0.4">
      <c r="A24" s="9" t="s">
        <v>17</v>
      </c>
      <c r="B24" s="9"/>
      <c r="C24" s="9"/>
      <c r="D24" s="9"/>
    </row>
    <row r="26" spans="1:4" ht="27.75" customHeight="1" x14ac:dyDescent="0.4">
      <c r="B26" s="12" t="s">
        <v>18</v>
      </c>
      <c r="C26" s="7" t="s">
        <v>19</v>
      </c>
      <c r="D26" s="7"/>
    </row>
    <row r="27" spans="1:4" ht="27.75" customHeight="1" x14ac:dyDescent="0.4">
      <c r="B27" s="23" t="s">
        <v>20</v>
      </c>
      <c r="C27" s="6" t="s">
        <v>21</v>
      </c>
      <c r="D27" s="6"/>
    </row>
    <row r="28" spans="1:4" ht="27.75" customHeight="1" x14ac:dyDescent="0.4">
      <c r="B28" s="12" t="s">
        <v>22</v>
      </c>
      <c r="C28" s="7" t="s">
        <v>23</v>
      </c>
      <c r="D28" s="7"/>
    </row>
    <row r="29" spans="1:4" ht="27.75" customHeight="1" x14ac:dyDescent="0.4">
      <c r="B29" s="23" t="s">
        <v>24</v>
      </c>
      <c r="C29" s="6" t="s">
        <v>25</v>
      </c>
      <c r="D29" s="6"/>
    </row>
    <row r="30" spans="1:4" ht="27.75" customHeight="1" x14ac:dyDescent="0.4">
      <c r="B30" s="12" t="s">
        <v>26</v>
      </c>
      <c r="C30" s="7" t="s">
        <v>27</v>
      </c>
      <c r="D30" s="7"/>
    </row>
    <row r="31" spans="1:4" ht="27.75" customHeight="1" x14ac:dyDescent="0.4">
      <c r="B31" s="23" t="s">
        <v>28</v>
      </c>
      <c r="C31" s="6" t="s">
        <v>29</v>
      </c>
      <c r="D31" s="6"/>
    </row>
    <row r="32" spans="1:4" ht="27.75" customHeight="1" x14ac:dyDescent="0.4">
      <c r="B32" s="12" t="s">
        <v>30</v>
      </c>
      <c r="C32" s="7" t="s">
        <v>31</v>
      </c>
      <c r="D32" s="7"/>
    </row>
  </sheetData>
  <mergeCells count="15">
    <mergeCell ref="C28:D28"/>
    <mergeCell ref="C29:D29"/>
    <mergeCell ref="C30:D30"/>
    <mergeCell ref="C31:D31"/>
    <mergeCell ref="C32:D32"/>
    <mergeCell ref="C20:D20"/>
    <mergeCell ref="C21:D21"/>
    <mergeCell ref="A24:D24"/>
    <mergeCell ref="C26:D26"/>
    <mergeCell ref="C27:D27"/>
    <mergeCell ref="B2:D2"/>
    <mergeCell ref="B3:D3"/>
    <mergeCell ref="A5:D5"/>
    <mergeCell ref="A17:D17"/>
    <mergeCell ref="C19:D19"/>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Z1008"/>
  <sheetViews>
    <sheetView showGridLines="0" zoomScaleNormal="100" workbookViewId="0"/>
  </sheetViews>
  <sheetFormatPr defaultColWidth="12.6328125" defaultRowHeight="14.5" x14ac:dyDescent="0.4"/>
  <cols>
    <col min="1" max="1" width="4.7265625" customWidth="1"/>
    <col min="2" max="2" width="20.90625" customWidth="1"/>
    <col min="3" max="3" width="107.26953125" customWidth="1"/>
  </cols>
  <sheetData>
    <row r="1" spans="1:26" ht="15.75" customHeight="1" x14ac:dyDescent="0.4">
      <c r="A1" s="24"/>
      <c r="B1" s="25"/>
      <c r="C1" s="24"/>
      <c r="D1" s="24"/>
      <c r="E1" s="24"/>
      <c r="F1" s="24"/>
      <c r="G1" s="24"/>
      <c r="H1" s="24"/>
      <c r="I1" s="24"/>
      <c r="J1" s="24"/>
      <c r="K1" s="24"/>
      <c r="L1" s="24"/>
      <c r="M1" s="24"/>
      <c r="N1" s="24"/>
      <c r="O1" s="24"/>
      <c r="P1" s="24"/>
      <c r="Q1" s="24"/>
      <c r="R1" s="24"/>
      <c r="S1" s="24"/>
      <c r="T1" s="24"/>
      <c r="U1" s="24"/>
      <c r="V1" s="24"/>
      <c r="W1" s="24"/>
      <c r="X1" s="24"/>
      <c r="Y1" s="24"/>
      <c r="Z1" s="24"/>
    </row>
    <row r="2" spans="1:26" ht="20.25" customHeight="1" x14ac:dyDescent="0.4">
      <c r="A2" s="25"/>
      <c r="B2" s="25" t="s">
        <v>32</v>
      </c>
      <c r="C2" s="25"/>
      <c r="D2" s="25"/>
      <c r="E2" s="25"/>
      <c r="F2" s="25"/>
      <c r="G2" s="25"/>
      <c r="H2" s="25"/>
      <c r="I2" s="25"/>
      <c r="J2" s="25"/>
      <c r="K2" s="25"/>
      <c r="L2" s="25"/>
      <c r="M2" s="25"/>
      <c r="N2" s="25"/>
      <c r="O2" s="25"/>
      <c r="P2" s="25"/>
      <c r="Q2" s="25"/>
      <c r="R2" s="25"/>
      <c r="S2" s="25"/>
      <c r="T2" s="25"/>
      <c r="U2" s="25"/>
      <c r="V2" s="25"/>
      <c r="W2" s="25"/>
      <c r="X2" s="25"/>
      <c r="Y2" s="25"/>
      <c r="Z2" s="25"/>
    </row>
    <row r="3" spans="1:26" ht="20.25" customHeight="1" x14ac:dyDescent="0.4">
      <c r="A3" s="25"/>
      <c r="B3" s="25" t="s">
        <v>33</v>
      </c>
      <c r="C3" s="25"/>
      <c r="D3" s="25"/>
      <c r="E3" s="25"/>
      <c r="F3" s="25"/>
      <c r="G3" s="25"/>
      <c r="H3" s="25"/>
      <c r="I3" s="25"/>
      <c r="J3" s="25"/>
      <c r="K3" s="25"/>
      <c r="L3" s="25"/>
      <c r="M3" s="25"/>
      <c r="N3" s="25"/>
      <c r="O3" s="25"/>
      <c r="P3" s="25"/>
      <c r="Q3" s="25"/>
      <c r="R3" s="25"/>
      <c r="S3" s="25"/>
      <c r="T3" s="25"/>
      <c r="U3" s="25"/>
      <c r="V3" s="25"/>
      <c r="W3" s="25"/>
      <c r="X3" s="25"/>
      <c r="Y3" s="25"/>
      <c r="Z3" s="25"/>
    </row>
    <row r="4" spans="1:26" ht="20.25" customHeight="1" x14ac:dyDescent="0.4">
      <c r="A4" s="24"/>
      <c r="B4" s="26" t="s">
        <v>34</v>
      </c>
      <c r="C4" s="24"/>
      <c r="D4" s="24"/>
      <c r="E4" s="24"/>
      <c r="F4" s="24"/>
      <c r="G4" s="24"/>
      <c r="H4" s="24"/>
      <c r="I4" s="24"/>
      <c r="J4" s="24"/>
      <c r="K4" s="24"/>
      <c r="L4" s="24"/>
      <c r="M4" s="24"/>
      <c r="N4" s="24"/>
      <c r="O4" s="24"/>
      <c r="P4" s="24"/>
      <c r="Q4" s="24"/>
      <c r="R4" s="24"/>
      <c r="S4" s="24"/>
      <c r="T4" s="24"/>
      <c r="U4" s="24"/>
      <c r="V4" s="24"/>
      <c r="W4" s="24"/>
      <c r="X4" s="24"/>
      <c r="Y4" s="24"/>
      <c r="Z4" s="24"/>
    </row>
    <row r="5" spans="1:26" ht="20.25" customHeight="1" x14ac:dyDescent="0.4">
      <c r="A5" s="24"/>
      <c r="B5" s="25" t="s">
        <v>35</v>
      </c>
      <c r="C5" s="24"/>
      <c r="D5" s="24"/>
      <c r="E5" s="24"/>
      <c r="F5" s="24"/>
      <c r="G5" s="24"/>
      <c r="H5" s="24"/>
      <c r="I5" s="24"/>
      <c r="J5" s="24"/>
      <c r="K5" s="24"/>
      <c r="L5" s="24"/>
      <c r="M5" s="24"/>
      <c r="N5" s="24"/>
      <c r="O5" s="24"/>
      <c r="P5" s="24"/>
      <c r="Q5" s="24"/>
      <c r="R5" s="24"/>
      <c r="S5" s="24"/>
      <c r="T5" s="24"/>
      <c r="U5" s="24"/>
      <c r="V5" s="24"/>
      <c r="W5" s="24"/>
      <c r="X5" s="24"/>
      <c r="Y5" s="24"/>
      <c r="Z5" s="24"/>
    </row>
    <row r="6" spans="1:26" ht="20.25" customHeight="1" x14ac:dyDescent="0.4">
      <c r="A6" s="24"/>
      <c r="B6" s="25" t="s">
        <v>36</v>
      </c>
      <c r="C6" s="24"/>
      <c r="D6" s="24"/>
      <c r="E6" s="24"/>
      <c r="F6" s="24"/>
      <c r="G6" s="24"/>
      <c r="H6" s="24"/>
      <c r="I6" s="24"/>
      <c r="J6" s="24"/>
      <c r="K6" s="24"/>
      <c r="L6" s="24"/>
      <c r="M6" s="24"/>
      <c r="N6" s="24"/>
      <c r="O6" s="24"/>
      <c r="P6" s="24"/>
      <c r="Q6" s="24"/>
      <c r="R6" s="24"/>
      <c r="S6" s="24"/>
      <c r="T6" s="24"/>
      <c r="U6" s="24"/>
      <c r="V6" s="24"/>
      <c r="W6" s="24"/>
      <c r="X6" s="24"/>
      <c r="Y6" s="24"/>
      <c r="Z6" s="24"/>
    </row>
    <row r="7" spans="1:26" ht="20.25" customHeight="1" x14ac:dyDescent="0.4">
      <c r="A7" s="24"/>
      <c r="B7" s="25" t="s">
        <v>37</v>
      </c>
      <c r="C7" s="24"/>
      <c r="D7" s="24"/>
      <c r="E7" s="24"/>
      <c r="F7" s="24"/>
      <c r="G7" s="24"/>
      <c r="H7" s="24"/>
      <c r="I7" s="24"/>
      <c r="J7" s="24"/>
      <c r="K7" s="24"/>
      <c r="L7" s="24"/>
      <c r="M7" s="24"/>
      <c r="N7" s="24"/>
      <c r="O7" s="24"/>
      <c r="P7" s="24"/>
      <c r="Q7" s="24"/>
      <c r="R7" s="24"/>
      <c r="S7" s="24"/>
      <c r="T7" s="24"/>
      <c r="U7" s="24"/>
      <c r="V7" s="24"/>
      <c r="W7" s="24"/>
      <c r="X7" s="24"/>
      <c r="Y7" s="24"/>
      <c r="Z7" s="24"/>
    </row>
    <row r="8" spans="1:26" ht="15.75" customHeight="1" x14ac:dyDescent="0.4">
      <c r="A8" s="24"/>
      <c r="B8" s="25"/>
      <c r="C8" s="24"/>
      <c r="D8" s="24"/>
      <c r="E8" s="24"/>
      <c r="F8" s="24"/>
      <c r="G8" s="24"/>
      <c r="H8" s="24"/>
      <c r="I8" s="24"/>
      <c r="J8" s="24"/>
      <c r="K8" s="24"/>
      <c r="L8" s="24"/>
      <c r="M8" s="24"/>
      <c r="N8" s="24"/>
      <c r="O8" s="24"/>
      <c r="P8" s="24"/>
      <c r="Q8" s="24"/>
      <c r="R8" s="24"/>
      <c r="S8" s="24"/>
      <c r="T8" s="24"/>
      <c r="U8" s="24"/>
      <c r="V8" s="24"/>
      <c r="W8" s="24"/>
      <c r="X8" s="24"/>
      <c r="Y8" s="24"/>
      <c r="Z8" s="24"/>
    </row>
    <row r="9" spans="1:26" ht="15.75" customHeight="1" x14ac:dyDescent="0.4">
      <c r="A9" s="24"/>
      <c r="B9" s="27" t="s">
        <v>38</v>
      </c>
      <c r="C9" s="24"/>
      <c r="D9" s="24"/>
      <c r="E9" s="24"/>
      <c r="F9" s="24"/>
      <c r="G9" s="24"/>
      <c r="H9" s="24"/>
      <c r="I9" s="24"/>
      <c r="J9" s="24"/>
      <c r="K9" s="24"/>
      <c r="L9" s="24"/>
      <c r="M9" s="24"/>
      <c r="N9" s="24"/>
      <c r="O9" s="24"/>
      <c r="P9" s="24"/>
      <c r="Q9" s="24"/>
      <c r="R9" s="24"/>
      <c r="S9" s="24"/>
      <c r="T9" s="24"/>
      <c r="U9" s="24"/>
      <c r="V9" s="24"/>
      <c r="W9" s="24"/>
      <c r="X9" s="24"/>
      <c r="Y9" s="24"/>
      <c r="Z9" s="24"/>
    </row>
    <row r="10" spans="1:26" ht="15.75" customHeight="1" x14ac:dyDescent="0.4">
      <c r="A10" s="24"/>
      <c r="B10" s="27" t="s">
        <v>39</v>
      </c>
      <c r="C10" s="24"/>
      <c r="D10" s="24"/>
      <c r="E10" s="24"/>
      <c r="F10" s="24"/>
      <c r="G10" s="24"/>
      <c r="H10" s="24"/>
      <c r="I10" s="24"/>
      <c r="J10" s="24"/>
      <c r="K10" s="24"/>
      <c r="L10" s="24"/>
      <c r="M10" s="24"/>
      <c r="N10" s="24"/>
      <c r="O10" s="24"/>
      <c r="P10" s="24"/>
      <c r="Q10" s="24"/>
      <c r="R10" s="24"/>
      <c r="S10" s="24"/>
      <c r="T10" s="24"/>
      <c r="U10" s="24"/>
      <c r="V10" s="24"/>
      <c r="W10" s="24"/>
      <c r="X10" s="24"/>
      <c r="Y10" s="24"/>
      <c r="Z10" s="24"/>
    </row>
    <row r="11" spans="1:26" ht="15.75" customHeight="1" x14ac:dyDescent="0.4">
      <c r="A11" s="24"/>
      <c r="B11" s="25"/>
      <c r="C11" s="24"/>
      <c r="D11" s="24"/>
      <c r="E11" s="24"/>
      <c r="F11" s="24"/>
      <c r="G11" s="24"/>
      <c r="H11" s="24"/>
      <c r="I11" s="24"/>
      <c r="J11" s="24"/>
      <c r="K11" s="24"/>
      <c r="L11" s="24"/>
      <c r="M11" s="24"/>
      <c r="N11" s="24"/>
      <c r="O11" s="24"/>
      <c r="P11" s="24"/>
      <c r="Q11" s="24"/>
      <c r="R11" s="24"/>
      <c r="S11" s="24"/>
      <c r="T11" s="24"/>
      <c r="U11" s="24"/>
      <c r="V11" s="24"/>
      <c r="W11" s="24"/>
      <c r="X11" s="24"/>
      <c r="Y11" s="24"/>
      <c r="Z11" s="24"/>
    </row>
    <row r="12" spans="1:26" ht="15.75" customHeight="1" x14ac:dyDescent="0.4">
      <c r="A12" s="24"/>
      <c r="B12" s="26" t="s">
        <v>40</v>
      </c>
      <c r="C12" s="24"/>
      <c r="D12" s="24"/>
      <c r="E12" s="24"/>
      <c r="F12" s="24"/>
      <c r="G12" s="24"/>
      <c r="H12" s="24"/>
      <c r="I12" s="24"/>
      <c r="J12" s="24"/>
      <c r="K12" s="24"/>
      <c r="L12" s="24"/>
      <c r="M12" s="24"/>
      <c r="N12" s="24"/>
      <c r="O12" s="24"/>
      <c r="P12" s="24"/>
      <c r="Q12" s="24"/>
      <c r="R12" s="24"/>
      <c r="S12" s="24"/>
      <c r="T12" s="24"/>
      <c r="U12" s="24"/>
      <c r="V12" s="24"/>
      <c r="W12" s="24"/>
      <c r="X12" s="24"/>
      <c r="Y12" s="24"/>
      <c r="Z12" s="24"/>
    </row>
    <row r="13" spans="1:26" ht="6" customHeight="1" x14ac:dyDescent="0.4">
      <c r="A13" s="24"/>
      <c r="B13" s="25"/>
      <c r="C13" s="24"/>
      <c r="D13" s="24"/>
      <c r="E13" s="24"/>
      <c r="F13" s="24"/>
      <c r="G13" s="24"/>
      <c r="H13" s="24"/>
      <c r="I13" s="24"/>
      <c r="J13" s="24"/>
      <c r="K13" s="24"/>
      <c r="L13" s="24"/>
      <c r="M13" s="24"/>
      <c r="N13" s="24"/>
      <c r="O13" s="24"/>
      <c r="P13" s="24"/>
      <c r="Q13" s="24"/>
      <c r="R13" s="24"/>
      <c r="S13" s="24"/>
      <c r="T13" s="24"/>
      <c r="U13" s="24"/>
      <c r="V13" s="24"/>
      <c r="W13" s="24"/>
      <c r="X13" s="24"/>
      <c r="Y13" s="24"/>
      <c r="Z13" s="24"/>
    </row>
    <row r="14" spans="1:26" ht="24" customHeight="1" x14ac:dyDescent="0.4">
      <c r="A14" s="25"/>
      <c r="B14" s="28" t="s">
        <v>41</v>
      </c>
      <c r="C14" s="28" t="s">
        <v>42</v>
      </c>
      <c r="D14" s="25"/>
      <c r="E14" s="25"/>
      <c r="F14" s="25"/>
      <c r="G14" s="25"/>
      <c r="H14" s="25"/>
      <c r="I14" s="25"/>
      <c r="J14" s="25"/>
      <c r="K14" s="25"/>
      <c r="L14" s="25"/>
      <c r="M14" s="25"/>
      <c r="N14" s="25"/>
      <c r="O14" s="25"/>
      <c r="P14" s="25"/>
      <c r="Q14" s="25"/>
      <c r="R14" s="25"/>
      <c r="S14" s="25"/>
      <c r="T14" s="25"/>
      <c r="U14" s="25"/>
      <c r="V14" s="25"/>
      <c r="W14" s="25"/>
      <c r="X14" s="25"/>
      <c r="Y14" s="25"/>
      <c r="Z14" s="25"/>
    </row>
    <row r="15" spans="1:26" ht="24" customHeight="1" x14ac:dyDescent="0.4">
      <c r="A15" s="25"/>
      <c r="B15" s="29" t="s">
        <v>43</v>
      </c>
      <c r="C15" s="29" t="s">
        <v>44</v>
      </c>
      <c r="D15" s="25"/>
      <c r="E15" s="25"/>
      <c r="F15" s="25"/>
      <c r="G15" s="25"/>
      <c r="H15" s="25"/>
      <c r="I15" s="25"/>
      <c r="J15" s="25"/>
      <c r="K15" s="25"/>
      <c r="L15" s="25"/>
      <c r="M15" s="25"/>
      <c r="N15" s="25"/>
      <c r="O15" s="25"/>
      <c r="P15" s="25"/>
      <c r="Q15" s="25"/>
      <c r="R15" s="25"/>
      <c r="S15" s="25"/>
      <c r="T15" s="25"/>
      <c r="U15" s="25"/>
      <c r="V15" s="25"/>
      <c r="W15" s="25"/>
      <c r="X15" s="25"/>
      <c r="Y15" s="25"/>
      <c r="Z15" s="25"/>
    </row>
    <row r="16" spans="1:26" ht="24" customHeight="1" x14ac:dyDescent="0.4">
      <c r="A16" s="25"/>
      <c r="B16" s="29" t="s">
        <v>45</v>
      </c>
      <c r="C16" s="29" t="s">
        <v>46</v>
      </c>
      <c r="D16" s="25"/>
      <c r="E16" s="25"/>
      <c r="F16" s="25"/>
      <c r="G16" s="25"/>
      <c r="H16" s="25"/>
      <c r="I16" s="25"/>
      <c r="J16" s="25"/>
      <c r="K16" s="25"/>
      <c r="L16" s="25"/>
      <c r="M16" s="25"/>
      <c r="N16" s="25"/>
      <c r="O16" s="25"/>
      <c r="P16" s="25"/>
      <c r="Q16" s="25"/>
      <c r="R16" s="25"/>
      <c r="S16" s="25"/>
      <c r="T16" s="25"/>
      <c r="U16" s="25"/>
      <c r="V16" s="25"/>
      <c r="W16" s="25"/>
      <c r="X16" s="25"/>
      <c r="Y16" s="25"/>
      <c r="Z16" s="25"/>
    </row>
    <row r="17" spans="1:26" ht="24" customHeight="1" x14ac:dyDescent="0.4">
      <c r="A17" s="25"/>
      <c r="B17" s="29" t="s">
        <v>47</v>
      </c>
      <c r="C17" s="29" t="s">
        <v>48</v>
      </c>
      <c r="D17" s="25"/>
      <c r="E17" s="25"/>
      <c r="F17" s="25"/>
      <c r="G17" s="25"/>
      <c r="H17" s="25"/>
      <c r="I17" s="25"/>
      <c r="J17" s="25"/>
      <c r="K17" s="25"/>
      <c r="L17" s="25"/>
      <c r="M17" s="25"/>
      <c r="N17" s="25"/>
      <c r="O17" s="25"/>
      <c r="P17" s="25"/>
      <c r="Q17" s="25"/>
      <c r="R17" s="25"/>
      <c r="S17" s="25"/>
      <c r="T17" s="25"/>
      <c r="U17" s="25"/>
      <c r="V17" s="25"/>
      <c r="W17" s="25"/>
      <c r="X17" s="25"/>
      <c r="Y17" s="25"/>
      <c r="Z17" s="25"/>
    </row>
    <row r="18" spans="1:26" ht="24" customHeight="1" x14ac:dyDescent="0.4">
      <c r="A18" s="25"/>
      <c r="B18" s="29" t="s">
        <v>49</v>
      </c>
      <c r="C18" s="29" t="s">
        <v>50</v>
      </c>
      <c r="D18" s="25"/>
      <c r="E18" s="25"/>
      <c r="F18" s="25"/>
      <c r="G18" s="25"/>
      <c r="H18" s="25"/>
      <c r="I18" s="25"/>
      <c r="J18" s="25"/>
      <c r="K18" s="25"/>
      <c r="L18" s="25"/>
      <c r="M18" s="25"/>
      <c r="N18" s="25"/>
      <c r="O18" s="25"/>
      <c r="P18" s="25"/>
      <c r="Q18" s="25"/>
      <c r="R18" s="25"/>
      <c r="S18" s="25"/>
      <c r="T18" s="25"/>
      <c r="U18" s="25"/>
      <c r="V18" s="25"/>
      <c r="W18" s="25"/>
      <c r="X18" s="25"/>
      <c r="Y18" s="25"/>
      <c r="Z18" s="25"/>
    </row>
    <row r="19" spans="1:26" ht="24" customHeight="1" x14ac:dyDescent="0.4">
      <c r="A19" s="25"/>
      <c r="B19" s="29" t="s">
        <v>51</v>
      </c>
      <c r="C19" s="29" t="s">
        <v>52</v>
      </c>
      <c r="D19" s="25"/>
      <c r="E19" s="25"/>
      <c r="F19" s="25"/>
      <c r="G19" s="25"/>
      <c r="H19" s="25"/>
      <c r="I19" s="25"/>
      <c r="J19" s="25"/>
      <c r="K19" s="25"/>
      <c r="L19" s="25"/>
      <c r="M19" s="25"/>
      <c r="N19" s="25"/>
      <c r="O19" s="25"/>
      <c r="P19" s="25"/>
      <c r="Q19" s="25"/>
      <c r="R19" s="25"/>
      <c r="S19" s="25"/>
      <c r="T19" s="25"/>
      <c r="U19" s="25"/>
      <c r="V19" s="25"/>
      <c r="W19" s="25"/>
      <c r="X19" s="25"/>
      <c r="Y19" s="25"/>
      <c r="Z19" s="25"/>
    </row>
    <row r="20" spans="1:26" ht="24" customHeight="1" x14ac:dyDescent="0.4">
      <c r="A20" s="25"/>
      <c r="B20" s="29" t="s">
        <v>53</v>
      </c>
      <c r="C20" s="29" t="s">
        <v>54</v>
      </c>
      <c r="D20" s="25"/>
      <c r="E20" s="25"/>
      <c r="F20" s="25"/>
      <c r="G20" s="25"/>
      <c r="H20" s="25"/>
      <c r="I20" s="25"/>
      <c r="J20" s="25"/>
      <c r="K20" s="25"/>
      <c r="L20" s="25"/>
      <c r="M20" s="25"/>
      <c r="N20" s="25"/>
      <c r="O20" s="25"/>
      <c r="P20" s="25"/>
      <c r="Q20" s="25"/>
      <c r="R20" s="25"/>
      <c r="S20" s="25"/>
      <c r="T20" s="25"/>
      <c r="U20" s="25"/>
      <c r="V20" s="25"/>
      <c r="W20" s="25"/>
      <c r="X20" s="25"/>
      <c r="Y20" s="25"/>
      <c r="Z20" s="25"/>
    </row>
    <row r="21" spans="1:26" ht="24" customHeight="1" x14ac:dyDescent="0.4">
      <c r="A21" s="25"/>
      <c r="B21" s="29" t="s">
        <v>55</v>
      </c>
      <c r="C21" s="29" t="s">
        <v>56</v>
      </c>
      <c r="D21" s="25"/>
      <c r="E21" s="25"/>
      <c r="F21" s="25"/>
      <c r="G21" s="25"/>
      <c r="H21" s="25"/>
      <c r="I21" s="25"/>
      <c r="J21" s="25"/>
      <c r="K21" s="25"/>
      <c r="L21" s="25"/>
      <c r="M21" s="25"/>
      <c r="N21" s="25"/>
      <c r="O21" s="25"/>
      <c r="P21" s="25"/>
      <c r="Q21" s="25"/>
      <c r="R21" s="25"/>
      <c r="S21" s="25"/>
      <c r="T21" s="25"/>
      <c r="U21" s="25"/>
      <c r="V21" s="25"/>
      <c r="W21" s="25"/>
      <c r="X21" s="25"/>
      <c r="Y21" s="25"/>
      <c r="Z21" s="25"/>
    </row>
    <row r="22" spans="1:26" ht="15.75" customHeight="1" x14ac:dyDescent="0.4">
      <c r="A22" s="24"/>
      <c r="B22" s="25"/>
      <c r="C22" s="24"/>
      <c r="D22" s="24"/>
      <c r="E22" s="24"/>
      <c r="F22" s="24"/>
      <c r="G22" s="24"/>
      <c r="H22" s="24"/>
      <c r="I22" s="24"/>
      <c r="J22" s="24"/>
      <c r="K22" s="24"/>
      <c r="L22" s="24"/>
      <c r="M22" s="24"/>
      <c r="N22" s="24"/>
      <c r="O22" s="24"/>
      <c r="P22" s="24"/>
      <c r="Q22" s="24"/>
      <c r="R22" s="24"/>
      <c r="S22" s="24"/>
      <c r="T22" s="24"/>
      <c r="U22" s="24"/>
      <c r="V22" s="24"/>
      <c r="W22" s="24"/>
      <c r="X22" s="24"/>
      <c r="Y22" s="24"/>
      <c r="Z22" s="24"/>
    </row>
    <row r="23" spans="1:26" ht="19.5" customHeight="1" x14ac:dyDescent="0.4">
      <c r="A23" s="25"/>
      <c r="B23" s="26" t="s">
        <v>57</v>
      </c>
      <c r="C23" s="25"/>
      <c r="D23" s="25"/>
      <c r="E23" s="25"/>
      <c r="F23" s="25"/>
      <c r="G23" s="25"/>
      <c r="H23" s="25"/>
      <c r="I23" s="25"/>
      <c r="J23" s="25"/>
      <c r="K23" s="25"/>
      <c r="L23" s="25"/>
      <c r="M23" s="25"/>
      <c r="N23" s="25"/>
      <c r="O23" s="25"/>
      <c r="P23" s="25"/>
      <c r="Q23" s="25"/>
      <c r="R23" s="25"/>
      <c r="S23" s="25"/>
      <c r="T23" s="25"/>
      <c r="U23" s="25"/>
      <c r="V23" s="25"/>
      <c r="W23" s="25"/>
      <c r="X23" s="25"/>
      <c r="Y23" s="25"/>
      <c r="Z23" s="25"/>
    </row>
    <row r="24" spans="1:26" ht="19.5" customHeight="1" x14ac:dyDescent="0.4">
      <c r="A24" s="25"/>
      <c r="B24" s="25" t="s">
        <v>58</v>
      </c>
      <c r="C24" s="25"/>
      <c r="D24" s="25"/>
      <c r="E24" s="25"/>
      <c r="F24" s="25"/>
      <c r="G24" s="25"/>
      <c r="H24" s="25"/>
      <c r="I24" s="25"/>
      <c r="J24" s="25"/>
      <c r="K24" s="25"/>
      <c r="L24" s="25"/>
      <c r="M24" s="25"/>
      <c r="N24" s="25"/>
      <c r="O24" s="25"/>
      <c r="P24" s="25"/>
      <c r="Q24" s="25"/>
      <c r="R24" s="25"/>
      <c r="S24" s="25"/>
      <c r="T24" s="25"/>
      <c r="U24" s="25"/>
      <c r="V24" s="25"/>
      <c r="W24" s="25"/>
      <c r="X24" s="25"/>
      <c r="Y24" s="25"/>
      <c r="Z24" s="25"/>
    </row>
    <row r="25" spans="1:26" ht="19.5" customHeight="1" x14ac:dyDescent="0.4">
      <c r="A25" s="25"/>
      <c r="B25" s="25" t="s">
        <v>59</v>
      </c>
      <c r="C25" s="25"/>
      <c r="D25" s="25"/>
      <c r="E25" s="25"/>
      <c r="F25" s="25"/>
      <c r="G25" s="25"/>
      <c r="H25" s="25"/>
      <c r="I25" s="25"/>
      <c r="J25" s="25"/>
      <c r="K25" s="25"/>
      <c r="L25" s="25"/>
      <c r="M25" s="25"/>
      <c r="N25" s="25"/>
      <c r="O25" s="25"/>
      <c r="P25" s="25"/>
      <c r="Q25" s="25"/>
      <c r="R25" s="25"/>
      <c r="S25" s="25"/>
      <c r="T25" s="25"/>
      <c r="U25" s="25"/>
      <c r="V25" s="25"/>
      <c r="W25" s="25"/>
      <c r="X25" s="25"/>
      <c r="Y25" s="25"/>
      <c r="Z25" s="25"/>
    </row>
    <row r="26" spans="1:26" ht="15.75" customHeight="1" x14ac:dyDescent="0.4">
      <c r="A26" s="24"/>
      <c r="B26" s="25"/>
      <c r="C26" s="24"/>
      <c r="D26" s="24"/>
      <c r="E26" s="24"/>
      <c r="F26" s="24"/>
      <c r="G26" s="24"/>
      <c r="H26" s="24"/>
      <c r="I26" s="24"/>
      <c r="J26" s="24"/>
      <c r="K26" s="24"/>
      <c r="L26" s="24"/>
      <c r="M26" s="24"/>
      <c r="N26" s="24"/>
      <c r="O26" s="24"/>
      <c r="P26" s="24"/>
      <c r="Q26" s="24"/>
      <c r="R26" s="24"/>
      <c r="S26" s="24"/>
      <c r="T26" s="24"/>
      <c r="U26" s="24"/>
      <c r="V26" s="24"/>
      <c r="W26" s="24"/>
      <c r="X26" s="24"/>
      <c r="Y26" s="24"/>
      <c r="Z26" s="24"/>
    </row>
    <row r="27" spans="1:26" ht="15.75" customHeight="1" x14ac:dyDescent="0.4">
      <c r="A27" s="24"/>
      <c r="B27" s="25"/>
      <c r="C27" s="24"/>
      <c r="D27" s="24"/>
      <c r="E27" s="24"/>
      <c r="F27" s="24"/>
      <c r="G27" s="24"/>
      <c r="H27" s="24"/>
      <c r="I27" s="24"/>
      <c r="J27" s="24"/>
      <c r="K27" s="24"/>
      <c r="L27" s="24"/>
      <c r="M27" s="24"/>
      <c r="N27" s="24"/>
      <c r="O27" s="24"/>
      <c r="P27" s="24"/>
      <c r="Q27" s="24"/>
      <c r="R27" s="24"/>
      <c r="S27" s="24"/>
      <c r="T27" s="24"/>
      <c r="U27" s="24"/>
      <c r="V27" s="24"/>
      <c r="W27" s="24"/>
      <c r="X27" s="24"/>
      <c r="Y27" s="24"/>
      <c r="Z27" s="24"/>
    </row>
    <row r="28" spans="1:26" ht="15.75" customHeight="1" x14ac:dyDescent="0.4">
      <c r="A28" s="24"/>
      <c r="B28" s="25"/>
      <c r="C28" s="24"/>
      <c r="D28" s="24"/>
      <c r="E28" s="24"/>
      <c r="F28" s="24"/>
      <c r="G28" s="24"/>
      <c r="H28" s="24"/>
      <c r="I28" s="24"/>
      <c r="J28" s="24"/>
      <c r="K28" s="24"/>
      <c r="L28" s="24"/>
      <c r="M28" s="24"/>
      <c r="N28" s="24"/>
      <c r="O28" s="24"/>
      <c r="P28" s="24"/>
      <c r="Q28" s="24"/>
      <c r="R28" s="24"/>
      <c r="S28" s="24"/>
      <c r="T28" s="24"/>
      <c r="U28" s="24"/>
      <c r="V28" s="24"/>
      <c r="W28" s="24"/>
      <c r="X28" s="24"/>
      <c r="Y28" s="24"/>
      <c r="Z28" s="24"/>
    </row>
    <row r="29" spans="1:26" ht="15.75" customHeight="1" x14ac:dyDescent="0.4">
      <c r="A29" s="24"/>
      <c r="B29" s="25"/>
      <c r="C29" s="24"/>
      <c r="D29" s="24"/>
      <c r="E29" s="24"/>
      <c r="F29" s="24"/>
      <c r="G29" s="24"/>
      <c r="H29" s="24"/>
      <c r="I29" s="24"/>
      <c r="J29" s="24"/>
      <c r="K29" s="24"/>
      <c r="L29" s="24"/>
      <c r="M29" s="24"/>
      <c r="N29" s="24"/>
      <c r="O29" s="24"/>
      <c r="P29" s="24"/>
      <c r="Q29" s="24"/>
      <c r="R29" s="24"/>
      <c r="S29" s="24"/>
      <c r="T29" s="24"/>
      <c r="U29" s="24"/>
      <c r="V29" s="24"/>
      <c r="W29" s="24"/>
      <c r="X29" s="24"/>
      <c r="Y29" s="24"/>
      <c r="Z29" s="24"/>
    </row>
    <row r="30" spans="1:26" ht="15.75" customHeight="1" x14ac:dyDescent="0.4">
      <c r="A30" s="24"/>
      <c r="B30" s="25"/>
      <c r="C30" s="24"/>
      <c r="D30" s="24"/>
      <c r="E30" s="24"/>
      <c r="F30" s="24"/>
      <c r="G30" s="24"/>
      <c r="H30" s="24"/>
      <c r="I30" s="24"/>
      <c r="J30" s="24"/>
      <c r="K30" s="24"/>
      <c r="L30" s="24"/>
      <c r="M30" s="24"/>
      <c r="N30" s="24"/>
      <c r="O30" s="24"/>
      <c r="P30" s="24"/>
      <c r="Q30" s="24"/>
      <c r="R30" s="24"/>
      <c r="S30" s="24"/>
      <c r="T30" s="24"/>
      <c r="U30" s="24"/>
      <c r="V30" s="24"/>
      <c r="W30" s="24"/>
      <c r="X30" s="24"/>
      <c r="Y30" s="24"/>
      <c r="Z30" s="24"/>
    </row>
    <row r="31" spans="1:26" ht="15.75" customHeight="1" x14ac:dyDescent="0.4">
      <c r="A31" s="24"/>
      <c r="B31" s="25"/>
      <c r="C31" s="24"/>
      <c r="D31" s="24"/>
      <c r="E31" s="24"/>
      <c r="F31" s="24"/>
      <c r="G31" s="24"/>
      <c r="H31" s="24"/>
      <c r="I31" s="24"/>
      <c r="J31" s="24"/>
      <c r="K31" s="24"/>
      <c r="L31" s="24"/>
      <c r="M31" s="24"/>
      <c r="N31" s="24"/>
      <c r="O31" s="24"/>
      <c r="P31" s="24"/>
      <c r="Q31" s="24"/>
      <c r="R31" s="24"/>
      <c r="S31" s="24"/>
      <c r="T31" s="24"/>
      <c r="U31" s="24"/>
      <c r="V31" s="24"/>
      <c r="W31" s="24"/>
      <c r="X31" s="24"/>
      <c r="Y31" s="24"/>
      <c r="Z31" s="24"/>
    </row>
    <row r="32" spans="1:26" ht="15.75" customHeight="1" x14ac:dyDescent="0.4">
      <c r="A32" s="24"/>
      <c r="B32" s="25"/>
      <c r="C32" s="24"/>
      <c r="D32" s="24"/>
      <c r="E32" s="24"/>
      <c r="F32" s="24"/>
      <c r="G32" s="24"/>
      <c r="H32" s="24"/>
      <c r="I32" s="24"/>
      <c r="J32" s="24"/>
      <c r="K32" s="24"/>
      <c r="L32" s="24"/>
      <c r="M32" s="24"/>
      <c r="N32" s="24"/>
      <c r="O32" s="24"/>
      <c r="P32" s="24"/>
      <c r="Q32" s="24"/>
      <c r="R32" s="24"/>
      <c r="S32" s="24"/>
      <c r="T32" s="24"/>
      <c r="U32" s="24"/>
      <c r="V32" s="24"/>
      <c r="W32" s="24"/>
      <c r="X32" s="24"/>
      <c r="Y32" s="24"/>
      <c r="Z32" s="24"/>
    </row>
    <row r="33" spans="1:26" ht="15.75" customHeight="1" x14ac:dyDescent="0.4">
      <c r="A33" s="24"/>
      <c r="B33" s="25"/>
      <c r="C33" s="24"/>
      <c r="D33" s="24"/>
      <c r="E33" s="24"/>
      <c r="F33" s="24"/>
      <c r="G33" s="24"/>
      <c r="H33" s="24"/>
      <c r="I33" s="24"/>
      <c r="J33" s="24"/>
      <c r="K33" s="24"/>
      <c r="L33" s="24"/>
      <c r="M33" s="24"/>
      <c r="N33" s="24"/>
      <c r="O33" s="24"/>
      <c r="P33" s="24"/>
      <c r="Q33" s="24"/>
      <c r="R33" s="24"/>
      <c r="S33" s="24"/>
      <c r="T33" s="24"/>
      <c r="U33" s="24"/>
      <c r="V33" s="24"/>
      <c r="W33" s="24"/>
      <c r="X33" s="24"/>
      <c r="Y33" s="24"/>
      <c r="Z33" s="24"/>
    </row>
    <row r="34" spans="1:26" ht="15.75" customHeight="1" x14ac:dyDescent="0.4">
      <c r="A34" s="24"/>
      <c r="B34" s="25"/>
      <c r="C34" s="24"/>
      <c r="D34" s="24"/>
      <c r="E34" s="24"/>
      <c r="F34" s="24"/>
      <c r="G34" s="24"/>
      <c r="H34" s="24"/>
      <c r="I34" s="24"/>
      <c r="J34" s="24"/>
      <c r="K34" s="24"/>
      <c r="L34" s="24"/>
      <c r="M34" s="24"/>
      <c r="N34" s="24"/>
      <c r="O34" s="24"/>
      <c r="P34" s="24"/>
      <c r="Q34" s="24"/>
      <c r="R34" s="24"/>
      <c r="S34" s="24"/>
      <c r="T34" s="24"/>
      <c r="U34" s="24"/>
      <c r="V34" s="24"/>
      <c r="W34" s="24"/>
      <c r="X34" s="24"/>
      <c r="Y34" s="24"/>
      <c r="Z34" s="24"/>
    </row>
    <row r="35" spans="1:26" ht="15.75" customHeight="1" x14ac:dyDescent="0.4">
      <c r="A35" s="24"/>
      <c r="B35" s="25"/>
      <c r="C35" s="24"/>
      <c r="D35" s="24"/>
      <c r="E35" s="24"/>
      <c r="F35" s="24"/>
      <c r="G35" s="24"/>
      <c r="H35" s="24"/>
      <c r="I35" s="24"/>
      <c r="J35" s="24"/>
      <c r="K35" s="24"/>
      <c r="L35" s="24"/>
      <c r="M35" s="24"/>
      <c r="N35" s="24"/>
      <c r="O35" s="24"/>
      <c r="P35" s="24"/>
      <c r="Q35" s="24"/>
      <c r="R35" s="24"/>
      <c r="S35" s="24"/>
      <c r="T35" s="24"/>
      <c r="U35" s="24"/>
      <c r="V35" s="24"/>
      <c r="W35" s="24"/>
      <c r="X35" s="24"/>
      <c r="Y35" s="24"/>
      <c r="Z35" s="24"/>
    </row>
    <row r="36" spans="1:26" ht="15.75" customHeight="1" x14ac:dyDescent="0.4">
      <c r="A36" s="24"/>
      <c r="B36" s="25"/>
      <c r="C36" s="24"/>
      <c r="D36" s="24"/>
      <c r="E36" s="24"/>
      <c r="F36" s="24"/>
      <c r="G36" s="24"/>
      <c r="H36" s="24"/>
      <c r="I36" s="24"/>
      <c r="J36" s="24"/>
      <c r="K36" s="24"/>
      <c r="L36" s="24"/>
      <c r="M36" s="24"/>
      <c r="N36" s="24"/>
      <c r="O36" s="24"/>
      <c r="P36" s="24"/>
      <c r="Q36" s="24"/>
      <c r="R36" s="24"/>
      <c r="S36" s="24"/>
      <c r="T36" s="24"/>
      <c r="U36" s="24"/>
      <c r="V36" s="24"/>
      <c r="W36" s="24"/>
      <c r="X36" s="24"/>
      <c r="Y36" s="24"/>
      <c r="Z36" s="24"/>
    </row>
    <row r="37" spans="1:26" ht="15.75" customHeight="1" x14ac:dyDescent="0.4">
      <c r="A37" s="24"/>
      <c r="B37" s="25"/>
      <c r="C37" s="24"/>
      <c r="D37" s="24"/>
      <c r="E37" s="24"/>
      <c r="F37" s="24"/>
      <c r="G37" s="24"/>
      <c r="H37" s="24"/>
      <c r="I37" s="24"/>
      <c r="J37" s="24"/>
      <c r="K37" s="24"/>
      <c r="L37" s="24"/>
      <c r="M37" s="24"/>
      <c r="N37" s="24"/>
      <c r="O37" s="24"/>
      <c r="P37" s="24"/>
      <c r="Q37" s="24"/>
      <c r="R37" s="24"/>
      <c r="S37" s="24"/>
      <c r="T37" s="24"/>
      <c r="U37" s="24"/>
      <c r="V37" s="24"/>
      <c r="W37" s="24"/>
      <c r="X37" s="24"/>
      <c r="Y37" s="24"/>
      <c r="Z37" s="24"/>
    </row>
    <row r="38" spans="1:26" ht="15.75" customHeight="1" x14ac:dyDescent="0.4">
      <c r="A38" s="24"/>
      <c r="B38" s="25"/>
      <c r="C38" s="24"/>
      <c r="D38" s="24"/>
      <c r="E38" s="24"/>
      <c r="F38" s="24"/>
      <c r="G38" s="24"/>
      <c r="H38" s="24"/>
      <c r="I38" s="24"/>
      <c r="J38" s="24"/>
      <c r="K38" s="24"/>
      <c r="L38" s="24"/>
      <c r="M38" s="24"/>
      <c r="N38" s="24"/>
      <c r="O38" s="24"/>
      <c r="P38" s="24"/>
      <c r="Q38" s="24"/>
      <c r="R38" s="24"/>
      <c r="S38" s="24"/>
      <c r="T38" s="24"/>
      <c r="U38" s="24"/>
      <c r="V38" s="24"/>
      <c r="W38" s="24"/>
      <c r="X38" s="24"/>
      <c r="Y38" s="24"/>
      <c r="Z38" s="24"/>
    </row>
    <row r="39" spans="1:26" ht="15.75" customHeight="1" x14ac:dyDescent="0.4">
      <c r="A39" s="24"/>
      <c r="B39" s="25"/>
      <c r="C39" s="24"/>
      <c r="D39" s="24"/>
      <c r="E39" s="24"/>
      <c r="F39" s="24"/>
      <c r="G39" s="24"/>
      <c r="H39" s="24"/>
      <c r="I39" s="24"/>
      <c r="J39" s="24"/>
      <c r="K39" s="24"/>
      <c r="L39" s="24"/>
      <c r="M39" s="24"/>
      <c r="N39" s="24"/>
      <c r="O39" s="24"/>
      <c r="P39" s="24"/>
      <c r="Q39" s="24"/>
      <c r="R39" s="24"/>
      <c r="S39" s="24"/>
      <c r="T39" s="24"/>
      <c r="U39" s="24"/>
      <c r="V39" s="24"/>
      <c r="W39" s="24"/>
      <c r="X39" s="24"/>
      <c r="Y39" s="24"/>
      <c r="Z39" s="24"/>
    </row>
    <row r="40" spans="1:26" ht="15.75" customHeight="1" x14ac:dyDescent="0.4">
      <c r="A40" s="24"/>
      <c r="B40" s="25"/>
      <c r="C40" s="24"/>
      <c r="D40" s="24"/>
      <c r="E40" s="24"/>
      <c r="F40" s="24"/>
      <c r="G40" s="24"/>
      <c r="H40" s="24"/>
      <c r="I40" s="24"/>
      <c r="J40" s="24"/>
      <c r="K40" s="24"/>
      <c r="L40" s="24"/>
      <c r="M40" s="24"/>
      <c r="N40" s="24"/>
      <c r="O40" s="24"/>
      <c r="P40" s="24"/>
      <c r="Q40" s="24"/>
      <c r="R40" s="24"/>
      <c r="S40" s="24"/>
      <c r="T40" s="24"/>
      <c r="U40" s="24"/>
      <c r="V40" s="24"/>
      <c r="W40" s="24"/>
      <c r="X40" s="24"/>
      <c r="Y40" s="24"/>
      <c r="Z40" s="24"/>
    </row>
    <row r="41" spans="1:26" ht="15.75" customHeight="1" x14ac:dyDescent="0.4">
      <c r="A41" s="24"/>
      <c r="B41" s="25"/>
      <c r="C41" s="24"/>
      <c r="D41" s="24"/>
      <c r="E41" s="24"/>
      <c r="F41" s="24"/>
      <c r="G41" s="24"/>
      <c r="H41" s="24"/>
      <c r="I41" s="24"/>
      <c r="J41" s="24"/>
      <c r="K41" s="24"/>
      <c r="L41" s="24"/>
      <c r="M41" s="24"/>
      <c r="N41" s="24"/>
      <c r="O41" s="24"/>
      <c r="P41" s="24"/>
      <c r="Q41" s="24"/>
      <c r="R41" s="24"/>
      <c r="S41" s="24"/>
      <c r="T41" s="24"/>
      <c r="U41" s="24"/>
      <c r="V41" s="24"/>
      <c r="W41" s="24"/>
      <c r="X41" s="24"/>
      <c r="Y41" s="24"/>
      <c r="Z41" s="24"/>
    </row>
    <row r="42" spans="1:26" ht="15.75" customHeight="1" x14ac:dyDescent="0.4">
      <c r="A42" s="24"/>
      <c r="B42" s="25"/>
      <c r="C42" s="24"/>
      <c r="D42" s="24"/>
      <c r="E42" s="24"/>
      <c r="F42" s="24"/>
      <c r="G42" s="24"/>
      <c r="H42" s="24"/>
      <c r="I42" s="24"/>
      <c r="J42" s="24"/>
      <c r="K42" s="24"/>
      <c r="L42" s="24"/>
      <c r="M42" s="24"/>
      <c r="N42" s="24"/>
      <c r="O42" s="24"/>
      <c r="P42" s="24"/>
      <c r="Q42" s="24"/>
      <c r="R42" s="24"/>
      <c r="S42" s="24"/>
      <c r="T42" s="24"/>
      <c r="U42" s="24"/>
      <c r="V42" s="24"/>
      <c r="W42" s="24"/>
      <c r="X42" s="24"/>
      <c r="Y42" s="24"/>
      <c r="Z42" s="24"/>
    </row>
    <row r="43" spans="1:26" ht="15.75" customHeight="1" x14ac:dyDescent="0.4">
      <c r="A43" s="24"/>
      <c r="B43" s="25"/>
      <c r="C43" s="24"/>
      <c r="D43" s="24"/>
      <c r="E43" s="24"/>
      <c r="F43" s="24"/>
      <c r="G43" s="24"/>
      <c r="H43" s="24"/>
      <c r="I43" s="24"/>
      <c r="J43" s="24"/>
      <c r="K43" s="24"/>
      <c r="L43" s="24"/>
      <c r="M43" s="24"/>
      <c r="N43" s="24"/>
      <c r="O43" s="24"/>
      <c r="P43" s="24"/>
      <c r="Q43" s="24"/>
      <c r="R43" s="24"/>
      <c r="S43" s="24"/>
      <c r="T43" s="24"/>
      <c r="U43" s="24"/>
      <c r="V43" s="24"/>
      <c r="W43" s="24"/>
      <c r="X43" s="24"/>
      <c r="Y43" s="24"/>
      <c r="Z43" s="24"/>
    </row>
    <row r="44" spans="1:26" ht="15.75" customHeight="1" x14ac:dyDescent="0.4">
      <c r="A44" s="24"/>
      <c r="B44" s="25"/>
      <c r="C44" s="24"/>
      <c r="D44" s="24"/>
      <c r="E44" s="24"/>
      <c r="F44" s="24"/>
      <c r="G44" s="24"/>
      <c r="H44" s="24"/>
      <c r="I44" s="24"/>
      <c r="J44" s="24"/>
      <c r="K44" s="24"/>
      <c r="L44" s="24"/>
      <c r="M44" s="24"/>
      <c r="N44" s="24"/>
      <c r="O44" s="24"/>
      <c r="P44" s="24"/>
      <c r="Q44" s="24"/>
      <c r="R44" s="24"/>
      <c r="S44" s="24"/>
      <c r="T44" s="24"/>
      <c r="U44" s="24"/>
      <c r="V44" s="24"/>
      <c r="W44" s="24"/>
      <c r="X44" s="24"/>
      <c r="Y44" s="24"/>
      <c r="Z44" s="24"/>
    </row>
    <row r="45" spans="1:26" ht="15.75" customHeight="1" x14ac:dyDescent="0.4">
      <c r="A45" s="24"/>
      <c r="B45" s="25"/>
      <c r="C45" s="24"/>
      <c r="D45" s="24"/>
      <c r="E45" s="24"/>
      <c r="F45" s="24"/>
      <c r="G45" s="24"/>
      <c r="H45" s="24"/>
      <c r="I45" s="24"/>
      <c r="J45" s="24"/>
      <c r="K45" s="24"/>
      <c r="L45" s="24"/>
      <c r="M45" s="24"/>
      <c r="N45" s="24"/>
      <c r="O45" s="24"/>
      <c r="P45" s="24"/>
      <c r="Q45" s="24"/>
      <c r="R45" s="24"/>
      <c r="S45" s="24"/>
      <c r="T45" s="24"/>
      <c r="U45" s="24"/>
      <c r="V45" s="24"/>
      <c r="W45" s="24"/>
      <c r="X45" s="24"/>
      <c r="Y45" s="24"/>
      <c r="Z45" s="24"/>
    </row>
    <row r="46" spans="1:26" ht="15.75" customHeight="1" x14ac:dyDescent="0.4">
      <c r="A46" s="24"/>
      <c r="B46" s="25"/>
      <c r="C46" s="24"/>
      <c r="D46" s="24"/>
      <c r="E46" s="24"/>
      <c r="F46" s="24"/>
      <c r="G46" s="24"/>
      <c r="H46" s="24"/>
      <c r="I46" s="24"/>
      <c r="J46" s="24"/>
      <c r="K46" s="24"/>
      <c r="L46" s="24"/>
      <c r="M46" s="24"/>
      <c r="N46" s="24"/>
      <c r="O46" s="24"/>
      <c r="P46" s="24"/>
      <c r="Q46" s="24"/>
      <c r="R46" s="24"/>
      <c r="S46" s="24"/>
      <c r="T46" s="24"/>
      <c r="U46" s="24"/>
      <c r="V46" s="24"/>
      <c r="W46" s="24"/>
      <c r="X46" s="24"/>
      <c r="Y46" s="24"/>
      <c r="Z46" s="24"/>
    </row>
    <row r="47" spans="1:26" ht="15.75" customHeight="1" x14ac:dyDescent="0.4">
      <c r="A47" s="24"/>
      <c r="B47" s="25"/>
      <c r="C47" s="24"/>
      <c r="D47" s="24"/>
      <c r="E47" s="24"/>
      <c r="F47" s="24"/>
      <c r="G47" s="24"/>
      <c r="H47" s="24"/>
      <c r="I47" s="24"/>
      <c r="J47" s="24"/>
      <c r="K47" s="24"/>
      <c r="L47" s="24"/>
      <c r="M47" s="24"/>
      <c r="N47" s="24"/>
      <c r="O47" s="24"/>
      <c r="P47" s="24"/>
      <c r="Q47" s="24"/>
      <c r="R47" s="24"/>
      <c r="S47" s="24"/>
      <c r="T47" s="24"/>
      <c r="U47" s="24"/>
      <c r="V47" s="24"/>
      <c r="W47" s="24"/>
      <c r="X47" s="24"/>
      <c r="Y47" s="24"/>
      <c r="Z47" s="24"/>
    </row>
    <row r="48" spans="1:26" ht="15.75" customHeight="1" x14ac:dyDescent="0.4">
      <c r="A48" s="24"/>
      <c r="B48" s="25"/>
      <c r="C48" s="24"/>
      <c r="D48" s="24"/>
      <c r="E48" s="24"/>
      <c r="F48" s="24"/>
      <c r="G48" s="24"/>
      <c r="H48" s="24"/>
      <c r="I48" s="24"/>
      <c r="J48" s="24"/>
      <c r="K48" s="24"/>
      <c r="L48" s="24"/>
      <c r="M48" s="24"/>
      <c r="N48" s="24"/>
      <c r="O48" s="24"/>
      <c r="P48" s="24"/>
      <c r="Q48" s="24"/>
      <c r="R48" s="24"/>
      <c r="S48" s="24"/>
      <c r="T48" s="24"/>
      <c r="U48" s="24"/>
      <c r="V48" s="24"/>
      <c r="W48" s="24"/>
      <c r="X48" s="24"/>
      <c r="Y48" s="24"/>
      <c r="Z48" s="24"/>
    </row>
    <row r="49" spans="1:26" ht="15.75" customHeight="1" x14ac:dyDescent="0.4">
      <c r="A49" s="24"/>
      <c r="B49" s="25"/>
      <c r="C49" s="24"/>
      <c r="D49" s="24"/>
      <c r="E49" s="24"/>
      <c r="F49" s="24"/>
      <c r="G49" s="24"/>
      <c r="H49" s="24"/>
      <c r="I49" s="24"/>
      <c r="J49" s="24"/>
      <c r="K49" s="24"/>
      <c r="L49" s="24"/>
      <c r="M49" s="24"/>
      <c r="N49" s="24"/>
      <c r="O49" s="24"/>
      <c r="P49" s="24"/>
      <c r="Q49" s="24"/>
      <c r="R49" s="24"/>
      <c r="S49" s="24"/>
      <c r="T49" s="24"/>
      <c r="U49" s="24"/>
      <c r="V49" s="24"/>
      <c r="W49" s="24"/>
      <c r="X49" s="24"/>
      <c r="Y49" s="24"/>
      <c r="Z49" s="24"/>
    </row>
    <row r="50" spans="1:26" ht="15.75" customHeight="1" x14ac:dyDescent="0.4">
      <c r="A50" s="24"/>
      <c r="B50" s="25"/>
      <c r="C50" s="24"/>
      <c r="D50" s="24"/>
      <c r="E50" s="24"/>
      <c r="F50" s="24"/>
      <c r="G50" s="24"/>
      <c r="H50" s="24"/>
      <c r="I50" s="24"/>
      <c r="J50" s="24"/>
      <c r="K50" s="24"/>
      <c r="L50" s="24"/>
      <c r="M50" s="24"/>
      <c r="N50" s="24"/>
      <c r="O50" s="24"/>
      <c r="P50" s="24"/>
      <c r="Q50" s="24"/>
      <c r="R50" s="24"/>
      <c r="S50" s="24"/>
      <c r="T50" s="24"/>
      <c r="U50" s="24"/>
      <c r="V50" s="24"/>
      <c r="W50" s="24"/>
      <c r="X50" s="24"/>
      <c r="Y50" s="24"/>
      <c r="Z50" s="24"/>
    </row>
    <row r="51" spans="1:26" ht="15.75" customHeight="1" x14ac:dyDescent="0.4">
      <c r="A51" s="24"/>
      <c r="B51" s="25"/>
      <c r="C51" s="24"/>
      <c r="D51" s="24"/>
      <c r="E51" s="24"/>
      <c r="F51" s="24"/>
      <c r="G51" s="24"/>
      <c r="H51" s="24"/>
      <c r="I51" s="24"/>
      <c r="J51" s="24"/>
      <c r="K51" s="24"/>
      <c r="L51" s="24"/>
      <c r="M51" s="24"/>
      <c r="N51" s="24"/>
      <c r="O51" s="24"/>
      <c r="P51" s="24"/>
      <c r="Q51" s="24"/>
      <c r="R51" s="24"/>
      <c r="S51" s="24"/>
      <c r="T51" s="24"/>
      <c r="U51" s="24"/>
      <c r="V51" s="24"/>
      <c r="W51" s="24"/>
      <c r="X51" s="24"/>
      <c r="Y51" s="24"/>
      <c r="Z51" s="24"/>
    </row>
    <row r="52" spans="1:26" ht="15.75" customHeight="1" x14ac:dyDescent="0.4">
      <c r="A52" s="24"/>
      <c r="B52" s="25"/>
      <c r="C52" s="24"/>
      <c r="D52" s="24"/>
      <c r="E52" s="24"/>
      <c r="F52" s="24"/>
      <c r="G52" s="24"/>
      <c r="H52" s="24"/>
      <c r="I52" s="24"/>
      <c r="J52" s="24"/>
      <c r="K52" s="24"/>
      <c r="L52" s="24"/>
      <c r="M52" s="24"/>
      <c r="N52" s="24"/>
      <c r="O52" s="24"/>
      <c r="P52" s="24"/>
      <c r="Q52" s="24"/>
      <c r="R52" s="24"/>
      <c r="S52" s="24"/>
      <c r="T52" s="24"/>
      <c r="U52" s="24"/>
      <c r="V52" s="24"/>
      <c r="W52" s="24"/>
      <c r="X52" s="24"/>
      <c r="Y52" s="24"/>
      <c r="Z52" s="24"/>
    </row>
    <row r="53" spans="1:26" ht="15.75" customHeight="1" x14ac:dyDescent="0.4">
      <c r="A53" s="24"/>
      <c r="B53" s="25"/>
      <c r="C53" s="24"/>
      <c r="D53" s="24"/>
      <c r="E53" s="24"/>
      <c r="F53" s="24"/>
      <c r="G53" s="24"/>
      <c r="H53" s="24"/>
      <c r="I53" s="24"/>
      <c r="J53" s="24"/>
      <c r="K53" s="24"/>
      <c r="L53" s="24"/>
      <c r="M53" s="24"/>
      <c r="N53" s="24"/>
      <c r="O53" s="24"/>
      <c r="P53" s="24"/>
      <c r="Q53" s="24"/>
      <c r="R53" s="24"/>
      <c r="S53" s="24"/>
      <c r="T53" s="24"/>
      <c r="U53" s="24"/>
      <c r="V53" s="24"/>
      <c r="W53" s="24"/>
      <c r="X53" s="24"/>
      <c r="Y53" s="24"/>
      <c r="Z53" s="24"/>
    </row>
    <row r="54" spans="1:26" ht="15.75" customHeight="1" x14ac:dyDescent="0.4">
      <c r="A54" s="24"/>
      <c r="B54" s="25"/>
      <c r="C54" s="24"/>
      <c r="D54" s="24"/>
      <c r="E54" s="24"/>
      <c r="F54" s="24"/>
      <c r="G54" s="24"/>
      <c r="H54" s="24"/>
      <c r="I54" s="24"/>
      <c r="J54" s="24"/>
      <c r="K54" s="24"/>
      <c r="L54" s="24"/>
      <c r="M54" s="24"/>
      <c r="N54" s="24"/>
      <c r="O54" s="24"/>
      <c r="P54" s="24"/>
      <c r="Q54" s="24"/>
      <c r="R54" s="24"/>
      <c r="S54" s="24"/>
      <c r="T54" s="24"/>
      <c r="U54" s="24"/>
      <c r="V54" s="24"/>
      <c r="W54" s="24"/>
      <c r="X54" s="24"/>
      <c r="Y54" s="24"/>
      <c r="Z54" s="24"/>
    </row>
    <row r="55" spans="1:26" ht="15.75" customHeight="1" x14ac:dyDescent="0.4">
      <c r="A55" s="24"/>
      <c r="B55" s="25"/>
      <c r="C55" s="24"/>
      <c r="D55" s="24"/>
      <c r="E55" s="24"/>
      <c r="F55" s="24"/>
      <c r="G55" s="24"/>
      <c r="H55" s="24"/>
      <c r="I55" s="24"/>
      <c r="J55" s="24"/>
      <c r="K55" s="24"/>
      <c r="L55" s="24"/>
      <c r="M55" s="24"/>
      <c r="N55" s="24"/>
      <c r="O55" s="24"/>
      <c r="P55" s="24"/>
      <c r="Q55" s="24"/>
      <c r="R55" s="24"/>
      <c r="S55" s="24"/>
      <c r="T55" s="24"/>
      <c r="U55" s="24"/>
      <c r="V55" s="24"/>
      <c r="W55" s="24"/>
      <c r="X55" s="24"/>
      <c r="Y55" s="24"/>
      <c r="Z55" s="24"/>
    </row>
    <row r="56" spans="1:26" ht="15.75" customHeight="1" x14ac:dyDescent="0.4">
      <c r="A56" s="24"/>
      <c r="B56" s="25"/>
      <c r="C56" s="24"/>
      <c r="D56" s="24"/>
      <c r="E56" s="24"/>
      <c r="F56" s="24"/>
      <c r="G56" s="24"/>
      <c r="H56" s="24"/>
      <c r="I56" s="24"/>
      <c r="J56" s="24"/>
      <c r="K56" s="24"/>
      <c r="L56" s="24"/>
      <c r="M56" s="24"/>
      <c r="N56" s="24"/>
      <c r="O56" s="24"/>
      <c r="P56" s="24"/>
      <c r="Q56" s="24"/>
      <c r="R56" s="24"/>
      <c r="S56" s="24"/>
      <c r="T56" s="24"/>
      <c r="U56" s="24"/>
      <c r="V56" s="24"/>
      <c r="W56" s="24"/>
      <c r="X56" s="24"/>
      <c r="Y56" s="24"/>
      <c r="Z56" s="24"/>
    </row>
    <row r="57" spans="1:26" ht="15.75" customHeight="1" x14ac:dyDescent="0.4">
      <c r="A57" s="24"/>
      <c r="B57" s="25"/>
      <c r="C57" s="24"/>
      <c r="D57" s="24"/>
      <c r="E57" s="24"/>
      <c r="F57" s="24"/>
      <c r="G57" s="24"/>
      <c r="H57" s="24"/>
      <c r="I57" s="24"/>
      <c r="J57" s="24"/>
      <c r="K57" s="24"/>
      <c r="L57" s="24"/>
      <c r="M57" s="24"/>
      <c r="N57" s="24"/>
      <c r="O57" s="24"/>
      <c r="P57" s="24"/>
      <c r="Q57" s="24"/>
      <c r="R57" s="24"/>
      <c r="S57" s="24"/>
      <c r="T57" s="24"/>
      <c r="U57" s="24"/>
      <c r="V57" s="24"/>
      <c r="W57" s="24"/>
      <c r="X57" s="24"/>
      <c r="Y57" s="24"/>
      <c r="Z57" s="24"/>
    </row>
    <row r="58" spans="1:26" ht="15.75" customHeight="1" x14ac:dyDescent="0.4">
      <c r="A58" s="24"/>
      <c r="B58" s="25"/>
      <c r="C58" s="24"/>
      <c r="D58" s="24"/>
      <c r="E58" s="24"/>
      <c r="F58" s="24"/>
      <c r="G58" s="24"/>
      <c r="H58" s="24"/>
      <c r="I58" s="24"/>
      <c r="J58" s="24"/>
      <c r="K58" s="24"/>
      <c r="L58" s="24"/>
      <c r="M58" s="24"/>
      <c r="N58" s="24"/>
      <c r="O58" s="24"/>
      <c r="P58" s="24"/>
      <c r="Q58" s="24"/>
      <c r="R58" s="24"/>
      <c r="S58" s="24"/>
      <c r="T58" s="24"/>
      <c r="U58" s="24"/>
      <c r="V58" s="24"/>
      <c r="W58" s="24"/>
      <c r="X58" s="24"/>
      <c r="Y58" s="24"/>
      <c r="Z58" s="24"/>
    </row>
    <row r="59" spans="1:26" ht="15.75" customHeight="1" x14ac:dyDescent="0.4">
      <c r="A59" s="24"/>
      <c r="B59" s="25"/>
      <c r="C59" s="24"/>
      <c r="D59" s="24"/>
      <c r="E59" s="24"/>
      <c r="F59" s="24"/>
      <c r="G59" s="24"/>
      <c r="H59" s="24"/>
      <c r="I59" s="24"/>
      <c r="J59" s="24"/>
      <c r="K59" s="24"/>
      <c r="L59" s="24"/>
      <c r="M59" s="24"/>
      <c r="N59" s="24"/>
      <c r="O59" s="24"/>
      <c r="P59" s="24"/>
      <c r="Q59" s="24"/>
      <c r="R59" s="24"/>
      <c r="S59" s="24"/>
      <c r="T59" s="24"/>
      <c r="U59" s="24"/>
      <c r="V59" s="24"/>
      <c r="W59" s="24"/>
      <c r="X59" s="24"/>
      <c r="Y59" s="24"/>
      <c r="Z59" s="24"/>
    </row>
    <row r="60" spans="1:26" ht="15.75" customHeight="1" x14ac:dyDescent="0.4">
      <c r="A60" s="24"/>
      <c r="B60" s="25"/>
      <c r="C60" s="24"/>
      <c r="D60" s="24"/>
      <c r="E60" s="24"/>
      <c r="F60" s="24"/>
      <c r="G60" s="24"/>
      <c r="H60" s="24"/>
      <c r="I60" s="24"/>
      <c r="J60" s="24"/>
      <c r="K60" s="24"/>
      <c r="L60" s="24"/>
      <c r="M60" s="24"/>
      <c r="N60" s="24"/>
      <c r="O60" s="24"/>
      <c r="P60" s="24"/>
      <c r="Q60" s="24"/>
      <c r="R60" s="24"/>
      <c r="S60" s="24"/>
      <c r="T60" s="24"/>
      <c r="U60" s="24"/>
      <c r="V60" s="24"/>
      <c r="W60" s="24"/>
      <c r="X60" s="24"/>
      <c r="Y60" s="24"/>
      <c r="Z60" s="24"/>
    </row>
    <row r="61" spans="1:26" ht="15.75" customHeight="1" x14ac:dyDescent="0.4">
      <c r="A61" s="24"/>
      <c r="B61" s="25"/>
      <c r="C61" s="24"/>
      <c r="D61" s="24"/>
      <c r="E61" s="24"/>
      <c r="F61" s="24"/>
      <c r="G61" s="24"/>
      <c r="H61" s="24"/>
      <c r="I61" s="24"/>
      <c r="J61" s="24"/>
      <c r="K61" s="24"/>
      <c r="L61" s="24"/>
      <c r="M61" s="24"/>
      <c r="N61" s="24"/>
      <c r="O61" s="24"/>
      <c r="P61" s="24"/>
      <c r="Q61" s="24"/>
      <c r="R61" s="24"/>
      <c r="S61" s="24"/>
      <c r="T61" s="24"/>
      <c r="U61" s="24"/>
      <c r="V61" s="24"/>
      <c r="W61" s="24"/>
      <c r="X61" s="24"/>
      <c r="Y61" s="24"/>
      <c r="Z61" s="24"/>
    </row>
    <row r="62" spans="1:26" ht="15.75" customHeight="1" x14ac:dyDescent="0.4">
      <c r="A62" s="24"/>
      <c r="B62" s="25"/>
      <c r="C62" s="24"/>
      <c r="D62" s="24"/>
      <c r="E62" s="24"/>
      <c r="F62" s="24"/>
      <c r="G62" s="24"/>
      <c r="H62" s="24"/>
      <c r="I62" s="24"/>
      <c r="J62" s="24"/>
      <c r="K62" s="24"/>
      <c r="L62" s="24"/>
      <c r="M62" s="24"/>
      <c r="N62" s="24"/>
      <c r="O62" s="24"/>
      <c r="P62" s="24"/>
      <c r="Q62" s="24"/>
      <c r="R62" s="24"/>
      <c r="S62" s="24"/>
      <c r="T62" s="24"/>
      <c r="U62" s="24"/>
      <c r="V62" s="24"/>
      <c r="W62" s="24"/>
      <c r="X62" s="24"/>
      <c r="Y62" s="24"/>
      <c r="Z62" s="24"/>
    </row>
    <row r="63" spans="1:26" ht="15.75" customHeight="1" x14ac:dyDescent="0.4">
      <c r="A63" s="24"/>
      <c r="B63" s="25"/>
      <c r="C63" s="24"/>
      <c r="D63" s="24"/>
      <c r="E63" s="24"/>
      <c r="F63" s="24"/>
      <c r="G63" s="24"/>
      <c r="H63" s="24"/>
      <c r="I63" s="24"/>
      <c r="J63" s="24"/>
      <c r="K63" s="24"/>
      <c r="L63" s="24"/>
      <c r="M63" s="24"/>
      <c r="N63" s="24"/>
      <c r="O63" s="24"/>
      <c r="P63" s="24"/>
      <c r="Q63" s="24"/>
      <c r="R63" s="24"/>
      <c r="S63" s="24"/>
      <c r="T63" s="24"/>
      <c r="U63" s="24"/>
      <c r="V63" s="24"/>
      <c r="W63" s="24"/>
      <c r="X63" s="24"/>
      <c r="Y63" s="24"/>
      <c r="Z63" s="24"/>
    </row>
    <row r="64" spans="1:26" ht="15.75" customHeight="1" x14ac:dyDescent="0.4">
      <c r="A64" s="24"/>
      <c r="B64" s="25"/>
      <c r="C64" s="24"/>
      <c r="D64" s="24"/>
      <c r="E64" s="24"/>
      <c r="F64" s="24"/>
      <c r="G64" s="24"/>
      <c r="H64" s="24"/>
      <c r="I64" s="24"/>
      <c r="J64" s="24"/>
      <c r="K64" s="24"/>
      <c r="L64" s="24"/>
      <c r="M64" s="24"/>
      <c r="N64" s="24"/>
      <c r="O64" s="24"/>
      <c r="P64" s="24"/>
      <c r="Q64" s="24"/>
      <c r="R64" s="24"/>
      <c r="S64" s="24"/>
      <c r="T64" s="24"/>
      <c r="U64" s="24"/>
      <c r="V64" s="24"/>
      <c r="W64" s="24"/>
      <c r="X64" s="24"/>
      <c r="Y64" s="24"/>
      <c r="Z64" s="24"/>
    </row>
    <row r="65" spans="1:26" ht="15.75" customHeight="1" x14ac:dyDescent="0.4">
      <c r="A65" s="24"/>
      <c r="B65" s="25"/>
      <c r="C65" s="24"/>
      <c r="D65" s="24"/>
      <c r="E65" s="24"/>
      <c r="F65" s="24"/>
      <c r="G65" s="24"/>
      <c r="H65" s="24"/>
      <c r="I65" s="24"/>
      <c r="J65" s="24"/>
      <c r="K65" s="24"/>
      <c r="L65" s="24"/>
      <c r="M65" s="24"/>
      <c r="N65" s="24"/>
      <c r="O65" s="24"/>
      <c r="P65" s="24"/>
      <c r="Q65" s="24"/>
      <c r="R65" s="24"/>
      <c r="S65" s="24"/>
      <c r="T65" s="24"/>
      <c r="U65" s="24"/>
      <c r="V65" s="24"/>
      <c r="W65" s="24"/>
      <c r="X65" s="24"/>
      <c r="Y65" s="24"/>
      <c r="Z65" s="24"/>
    </row>
    <row r="66" spans="1:26" ht="15.75" customHeight="1" x14ac:dyDescent="0.4">
      <c r="A66" s="24"/>
      <c r="B66" s="25"/>
      <c r="C66" s="24"/>
      <c r="D66" s="24"/>
      <c r="E66" s="24"/>
      <c r="F66" s="24"/>
      <c r="G66" s="24"/>
      <c r="H66" s="24"/>
      <c r="I66" s="24"/>
      <c r="J66" s="24"/>
      <c r="K66" s="24"/>
      <c r="L66" s="24"/>
      <c r="M66" s="24"/>
      <c r="N66" s="24"/>
      <c r="O66" s="24"/>
      <c r="P66" s="24"/>
      <c r="Q66" s="24"/>
      <c r="R66" s="24"/>
      <c r="S66" s="24"/>
      <c r="T66" s="24"/>
      <c r="U66" s="24"/>
      <c r="V66" s="24"/>
      <c r="W66" s="24"/>
      <c r="X66" s="24"/>
      <c r="Y66" s="24"/>
      <c r="Z66" s="24"/>
    </row>
    <row r="67" spans="1:26" ht="15.75" customHeight="1" x14ac:dyDescent="0.4">
      <c r="A67" s="24"/>
      <c r="B67" s="25"/>
      <c r="C67" s="24"/>
      <c r="D67" s="24"/>
      <c r="E67" s="24"/>
      <c r="F67" s="24"/>
      <c r="G67" s="24"/>
      <c r="H67" s="24"/>
      <c r="I67" s="24"/>
      <c r="J67" s="24"/>
      <c r="K67" s="24"/>
      <c r="L67" s="24"/>
      <c r="M67" s="24"/>
      <c r="N67" s="24"/>
      <c r="O67" s="24"/>
      <c r="P67" s="24"/>
      <c r="Q67" s="24"/>
      <c r="R67" s="24"/>
      <c r="S67" s="24"/>
      <c r="T67" s="24"/>
      <c r="U67" s="24"/>
      <c r="V67" s="24"/>
      <c r="W67" s="24"/>
      <c r="X67" s="24"/>
      <c r="Y67" s="24"/>
      <c r="Z67" s="24"/>
    </row>
    <row r="68" spans="1:26" ht="15.75" customHeight="1" x14ac:dyDescent="0.4">
      <c r="A68" s="24"/>
      <c r="B68" s="25"/>
      <c r="C68" s="24"/>
      <c r="D68" s="24"/>
      <c r="E68" s="24"/>
      <c r="F68" s="24"/>
      <c r="G68" s="24"/>
      <c r="H68" s="24"/>
      <c r="I68" s="24"/>
      <c r="J68" s="24"/>
      <c r="K68" s="24"/>
      <c r="L68" s="24"/>
      <c r="M68" s="24"/>
      <c r="N68" s="24"/>
      <c r="O68" s="24"/>
      <c r="P68" s="24"/>
      <c r="Q68" s="24"/>
      <c r="R68" s="24"/>
      <c r="S68" s="24"/>
      <c r="T68" s="24"/>
      <c r="U68" s="24"/>
      <c r="V68" s="24"/>
      <c r="W68" s="24"/>
      <c r="X68" s="24"/>
      <c r="Y68" s="24"/>
      <c r="Z68" s="24"/>
    </row>
    <row r="69" spans="1:26" ht="15.75" customHeight="1" x14ac:dyDescent="0.4">
      <c r="A69" s="24"/>
      <c r="B69" s="25"/>
      <c r="C69" s="24"/>
      <c r="D69" s="24"/>
      <c r="E69" s="24"/>
      <c r="F69" s="24"/>
      <c r="G69" s="24"/>
      <c r="H69" s="24"/>
      <c r="I69" s="24"/>
      <c r="J69" s="24"/>
      <c r="K69" s="24"/>
      <c r="L69" s="24"/>
      <c r="M69" s="24"/>
      <c r="N69" s="24"/>
      <c r="O69" s="24"/>
      <c r="P69" s="24"/>
      <c r="Q69" s="24"/>
      <c r="R69" s="24"/>
      <c r="S69" s="24"/>
      <c r="T69" s="24"/>
      <c r="U69" s="24"/>
      <c r="V69" s="24"/>
      <c r="W69" s="24"/>
      <c r="X69" s="24"/>
      <c r="Y69" s="24"/>
      <c r="Z69" s="24"/>
    </row>
    <row r="70" spans="1:26" ht="15.75" customHeight="1" x14ac:dyDescent="0.4">
      <c r="A70" s="24"/>
      <c r="B70" s="25"/>
      <c r="C70" s="24"/>
      <c r="D70" s="24"/>
      <c r="E70" s="24"/>
      <c r="F70" s="24"/>
      <c r="G70" s="24"/>
      <c r="H70" s="24"/>
      <c r="I70" s="24"/>
      <c r="J70" s="24"/>
      <c r="K70" s="24"/>
      <c r="L70" s="24"/>
      <c r="M70" s="24"/>
      <c r="N70" s="24"/>
      <c r="O70" s="24"/>
      <c r="P70" s="24"/>
      <c r="Q70" s="24"/>
      <c r="R70" s="24"/>
      <c r="S70" s="24"/>
      <c r="T70" s="24"/>
      <c r="U70" s="24"/>
      <c r="V70" s="24"/>
      <c r="W70" s="24"/>
      <c r="X70" s="24"/>
      <c r="Y70" s="24"/>
      <c r="Z70" s="24"/>
    </row>
    <row r="71" spans="1:26" ht="15.75" customHeight="1" x14ac:dyDescent="0.4">
      <c r="A71" s="24"/>
      <c r="B71" s="25"/>
      <c r="C71" s="24"/>
      <c r="D71" s="24"/>
      <c r="E71" s="24"/>
      <c r="F71" s="24"/>
      <c r="G71" s="24"/>
      <c r="H71" s="24"/>
      <c r="I71" s="24"/>
      <c r="J71" s="24"/>
      <c r="K71" s="24"/>
      <c r="L71" s="24"/>
      <c r="M71" s="24"/>
      <c r="N71" s="24"/>
      <c r="O71" s="24"/>
      <c r="P71" s="24"/>
      <c r="Q71" s="24"/>
      <c r="R71" s="24"/>
      <c r="S71" s="24"/>
      <c r="T71" s="24"/>
      <c r="U71" s="24"/>
      <c r="V71" s="24"/>
      <c r="W71" s="24"/>
      <c r="X71" s="24"/>
      <c r="Y71" s="24"/>
      <c r="Z71" s="24"/>
    </row>
    <row r="72" spans="1:26" ht="15.75" customHeight="1" x14ac:dyDescent="0.4">
      <c r="A72" s="24"/>
      <c r="B72" s="25"/>
      <c r="C72" s="24"/>
      <c r="D72" s="24"/>
      <c r="E72" s="24"/>
      <c r="F72" s="24"/>
      <c r="G72" s="24"/>
      <c r="H72" s="24"/>
      <c r="I72" s="24"/>
      <c r="J72" s="24"/>
      <c r="K72" s="24"/>
      <c r="L72" s="24"/>
      <c r="M72" s="24"/>
      <c r="N72" s="24"/>
      <c r="O72" s="24"/>
      <c r="P72" s="24"/>
      <c r="Q72" s="24"/>
      <c r="R72" s="24"/>
      <c r="S72" s="24"/>
      <c r="T72" s="24"/>
      <c r="U72" s="24"/>
      <c r="V72" s="24"/>
      <c r="W72" s="24"/>
      <c r="X72" s="24"/>
      <c r="Y72" s="24"/>
      <c r="Z72" s="24"/>
    </row>
    <row r="73" spans="1:26" ht="15.75" customHeight="1" x14ac:dyDescent="0.4">
      <c r="A73" s="24"/>
      <c r="B73" s="25"/>
      <c r="C73" s="24"/>
      <c r="D73" s="24"/>
      <c r="E73" s="24"/>
      <c r="F73" s="24"/>
      <c r="G73" s="24"/>
      <c r="H73" s="24"/>
      <c r="I73" s="24"/>
      <c r="J73" s="24"/>
      <c r="K73" s="24"/>
      <c r="L73" s="24"/>
      <c r="M73" s="24"/>
      <c r="N73" s="24"/>
      <c r="O73" s="24"/>
      <c r="P73" s="24"/>
      <c r="Q73" s="24"/>
      <c r="R73" s="24"/>
      <c r="S73" s="24"/>
      <c r="T73" s="24"/>
      <c r="U73" s="24"/>
      <c r="V73" s="24"/>
      <c r="W73" s="24"/>
      <c r="X73" s="24"/>
      <c r="Y73" s="24"/>
      <c r="Z73" s="24"/>
    </row>
    <row r="74" spans="1:26" ht="15.75" customHeight="1" x14ac:dyDescent="0.4">
      <c r="A74" s="24"/>
      <c r="B74" s="25"/>
      <c r="C74" s="24"/>
      <c r="D74" s="24"/>
      <c r="E74" s="24"/>
      <c r="F74" s="24"/>
      <c r="G74" s="24"/>
      <c r="H74" s="24"/>
      <c r="I74" s="24"/>
      <c r="J74" s="24"/>
      <c r="K74" s="24"/>
      <c r="L74" s="24"/>
      <c r="M74" s="24"/>
      <c r="N74" s="24"/>
      <c r="O74" s="24"/>
      <c r="P74" s="24"/>
      <c r="Q74" s="24"/>
      <c r="R74" s="24"/>
      <c r="S74" s="24"/>
      <c r="T74" s="24"/>
      <c r="U74" s="24"/>
      <c r="V74" s="24"/>
      <c r="W74" s="24"/>
      <c r="X74" s="24"/>
      <c r="Y74" s="24"/>
      <c r="Z74" s="24"/>
    </row>
    <row r="75" spans="1:26" ht="15.75" customHeight="1" x14ac:dyDescent="0.4">
      <c r="A75" s="24"/>
      <c r="B75" s="25"/>
      <c r="C75" s="24"/>
      <c r="D75" s="24"/>
      <c r="E75" s="24"/>
      <c r="F75" s="24"/>
      <c r="G75" s="24"/>
      <c r="H75" s="24"/>
      <c r="I75" s="24"/>
      <c r="J75" s="24"/>
      <c r="K75" s="24"/>
      <c r="L75" s="24"/>
      <c r="M75" s="24"/>
      <c r="N75" s="24"/>
      <c r="O75" s="24"/>
      <c r="P75" s="24"/>
      <c r="Q75" s="24"/>
      <c r="R75" s="24"/>
      <c r="S75" s="24"/>
      <c r="T75" s="24"/>
      <c r="U75" s="24"/>
      <c r="V75" s="24"/>
      <c r="W75" s="24"/>
      <c r="X75" s="24"/>
      <c r="Y75" s="24"/>
      <c r="Z75" s="24"/>
    </row>
    <row r="76" spans="1:26" ht="15.75" customHeight="1" x14ac:dyDescent="0.4">
      <c r="A76" s="24"/>
      <c r="B76" s="25"/>
      <c r="C76" s="24"/>
      <c r="D76" s="24"/>
      <c r="E76" s="24"/>
      <c r="F76" s="24"/>
      <c r="G76" s="24"/>
      <c r="H76" s="24"/>
      <c r="I76" s="24"/>
      <c r="J76" s="24"/>
      <c r="K76" s="24"/>
      <c r="L76" s="24"/>
      <c r="M76" s="24"/>
      <c r="N76" s="24"/>
      <c r="O76" s="24"/>
      <c r="P76" s="24"/>
      <c r="Q76" s="24"/>
      <c r="R76" s="24"/>
      <c r="S76" s="24"/>
      <c r="T76" s="24"/>
      <c r="U76" s="24"/>
      <c r="V76" s="24"/>
      <c r="W76" s="24"/>
      <c r="X76" s="24"/>
      <c r="Y76" s="24"/>
      <c r="Z76" s="24"/>
    </row>
    <row r="77" spans="1:26" ht="15.75" customHeight="1" x14ac:dyDescent="0.4">
      <c r="A77" s="24"/>
      <c r="B77" s="25"/>
      <c r="C77" s="24"/>
      <c r="D77" s="24"/>
      <c r="E77" s="24"/>
      <c r="F77" s="24"/>
      <c r="G77" s="24"/>
      <c r="H77" s="24"/>
      <c r="I77" s="24"/>
      <c r="J77" s="24"/>
      <c r="K77" s="24"/>
      <c r="L77" s="24"/>
      <c r="M77" s="24"/>
      <c r="N77" s="24"/>
      <c r="O77" s="24"/>
      <c r="P77" s="24"/>
      <c r="Q77" s="24"/>
      <c r="R77" s="24"/>
      <c r="S77" s="24"/>
      <c r="T77" s="24"/>
      <c r="U77" s="24"/>
      <c r="V77" s="24"/>
      <c r="W77" s="24"/>
      <c r="X77" s="24"/>
      <c r="Y77" s="24"/>
      <c r="Z77" s="24"/>
    </row>
    <row r="78" spans="1:26" ht="15.75" customHeight="1" x14ac:dyDescent="0.4">
      <c r="A78" s="24"/>
      <c r="B78" s="25"/>
      <c r="C78" s="24"/>
      <c r="D78" s="24"/>
      <c r="E78" s="24"/>
      <c r="F78" s="24"/>
      <c r="G78" s="24"/>
      <c r="H78" s="24"/>
      <c r="I78" s="24"/>
      <c r="J78" s="24"/>
      <c r="K78" s="24"/>
      <c r="L78" s="24"/>
      <c r="M78" s="24"/>
      <c r="N78" s="24"/>
      <c r="O78" s="24"/>
      <c r="P78" s="24"/>
      <c r="Q78" s="24"/>
      <c r="R78" s="24"/>
      <c r="S78" s="24"/>
      <c r="T78" s="24"/>
      <c r="U78" s="24"/>
      <c r="V78" s="24"/>
      <c r="W78" s="24"/>
      <c r="X78" s="24"/>
      <c r="Y78" s="24"/>
      <c r="Z78" s="24"/>
    </row>
    <row r="79" spans="1:26" ht="15.75" customHeight="1" x14ac:dyDescent="0.4">
      <c r="A79" s="24"/>
      <c r="B79" s="25"/>
      <c r="C79" s="24"/>
      <c r="D79" s="24"/>
      <c r="E79" s="24"/>
      <c r="F79" s="24"/>
      <c r="G79" s="24"/>
      <c r="H79" s="24"/>
      <c r="I79" s="24"/>
      <c r="J79" s="24"/>
      <c r="K79" s="24"/>
      <c r="L79" s="24"/>
      <c r="M79" s="24"/>
      <c r="N79" s="24"/>
      <c r="O79" s="24"/>
      <c r="P79" s="24"/>
      <c r="Q79" s="24"/>
      <c r="R79" s="24"/>
      <c r="S79" s="24"/>
      <c r="T79" s="24"/>
      <c r="U79" s="24"/>
      <c r="V79" s="24"/>
      <c r="W79" s="24"/>
      <c r="X79" s="24"/>
      <c r="Y79" s="24"/>
      <c r="Z79" s="24"/>
    </row>
    <row r="80" spans="1:26" ht="15.75" customHeight="1" x14ac:dyDescent="0.4">
      <c r="A80" s="24"/>
      <c r="B80" s="25"/>
      <c r="C80" s="24"/>
      <c r="D80" s="24"/>
      <c r="E80" s="24"/>
      <c r="F80" s="24"/>
      <c r="G80" s="24"/>
      <c r="H80" s="24"/>
      <c r="I80" s="24"/>
      <c r="J80" s="24"/>
      <c r="K80" s="24"/>
      <c r="L80" s="24"/>
      <c r="M80" s="24"/>
      <c r="N80" s="24"/>
      <c r="O80" s="24"/>
      <c r="P80" s="24"/>
      <c r="Q80" s="24"/>
      <c r="R80" s="24"/>
      <c r="S80" s="24"/>
      <c r="T80" s="24"/>
      <c r="U80" s="24"/>
      <c r="V80" s="24"/>
      <c r="W80" s="24"/>
      <c r="X80" s="24"/>
      <c r="Y80" s="24"/>
      <c r="Z80" s="24"/>
    </row>
    <row r="81" spans="1:26" ht="15.75" customHeight="1" x14ac:dyDescent="0.4">
      <c r="A81" s="24"/>
      <c r="B81" s="25"/>
      <c r="C81" s="24"/>
      <c r="D81" s="24"/>
      <c r="E81" s="24"/>
      <c r="F81" s="24"/>
      <c r="G81" s="24"/>
      <c r="H81" s="24"/>
      <c r="I81" s="24"/>
      <c r="J81" s="24"/>
      <c r="K81" s="24"/>
      <c r="L81" s="24"/>
      <c r="M81" s="24"/>
      <c r="N81" s="24"/>
      <c r="O81" s="24"/>
      <c r="P81" s="24"/>
      <c r="Q81" s="24"/>
      <c r="R81" s="24"/>
      <c r="S81" s="24"/>
      <c r="T81" s="24"/>
      <c r="U81" s="24"/>
      <c r="V81" s="24"/>
      <c r="W81" s="24"/>
      <c r="X81" s="24"/>
      <c r="Y81" s="24"/>
      <c r="Z81" s="24"/>
    </row>
    <row r="82" spans="1:26" ht="15.75" customHeight="1" x14ac:dyDescent="0.4">
      <c r="A82" s="24"/>
      <c r="B82" s="25"/>
      <c r="C82" s="24"/>
      <c r="D82" s="24"/>
      <c r="E82" s="24"/>
      <c r="F82" s="24"/>
      <c r="G82" s="24"/>
      <c r="H82" s="24"/>
      <c r="I82" s="24"/>
      <c r="J82" s="24"/>
      <c r="K82" s="24"/>
      <c r="L82" s="24"/>
      <c r="M82" s="24"/>
      <c r="N82" s="24"/>
      <c r="O82" s="24"/>
      <c r="P82" s="24"/>
      <c r="Q82" s="24"/>
      <c r="R82" s="24"/>
      <c r="S82" s="24"/>
      <c r="T82" s="24"/>
      <c r="U82" s="24"/>
      <c r="V82" s="24"/>
      <c r="W82" s="24"/>
      <c r="X82" s="24"/>
      <c r="Y82" s="24"/>
      <c r="Z82" s="24"/>
    </row>
    <row r="83" spans="1:26" ht="15.75" customHeight="1" x14ac:dyDescent="0.4">
      <c r="A83" s="24"/>
      <c r="B83" s="25"/>
      <c r="C83" s="24"/>
      <c r="D83" s="24"/>
      <c r="E83" s="24"/>
      <c r="F83" s="24"/>
      <c r="G83" s="24"/>
      <c r="H83" s="24"/>
      <c r="I83" s="24"/>
      <c r="J83" s="24"/>
      <c r="K83" s="24"/>
      <c r="L83" s="24"/>
      <c r="M83" s="24"/>
      <c r="N83" s="24"/>
      <c r="O83" s="24"/>
      <c r="P83" s="24"/>
      <c r="Q83" s="24"/>
      <c r="R83" s="24"/>
      <c r="S83" s="24"/>
      <c r="T83" s="24"/>
      <c r="U83" s="24"/>
      <c r="V83" s="24"/>
      <c r="W83" s="24"/>
      <c r="X83" s="24"/>
      <c r="Y83" s="24"/>
      <c r="Z83" s="24"/>
    </row>
    <row r="84" spans="1:26" ht="15.75" customHeight="1" x14ac:dyDescent="0.4">
      <c r="A84" s="24"/>
      <c r="B84" s="25"/>
      <c r="C84" s="24"/>
      <c r="D84" s="24"/>
      <c r="E84" s="24"/>
      <c r="F84" s="24"/>
      <c r="G84" s="24"/>
      <c r="H84" s="24"/>
      <c r="I84" s="24"/>
      <c r="J84" s="24"/>
      <c r="K84" s="24"/>
      <c r="L84" s="24"/>
      <c r="M84" s="24"/>
      <c r="N84" s="24"/>
      <c r="O84" s="24"/>
      <c r="P84" s="24"/>
      <c r="Q84" s="24"/>
      <c r="R84" s="24"/>
      <c r="S84" s="24"/>
      <c r="T84" s="24"/>
      <c r="U84" s="24"/>
      <c r="V84" s="24"/>
      <c r="W84" s="24"/>
      <c r="X84" s="24"/>
      <c r="Y84" s="24"/>
      <c r="Z84" s="24"/>
    </row>
    <row r="85" spans="1:26" ht="15.75" customHeight="1" x14ac:dyDescent="0.4">
      <c r="A85" s="24"/>
      <c r="B85" s="25"/>
      <c r="C85" s="24"/>
      <c r="D85" s="24"/>
      <c r="E85" s="24"/>
      <c r="F85" s="24"/>
      <c r="G85" s="24"/>
      <c r="H85" s="24"/>
      <c r="I85" s="24"/>
      <c r="J85" s="24"/>
      <c r="K85" s="24"/>
      <c r="L85" s="24"/>
      <c r="M85" s="24"/>
      <c r="N85" s="24"/>
      <c r="O85" s="24"/>
      <c r="P85" s="24"/>
      <c r="Q85" s="24"/>
      <c r="R85" s="24"/>
      <c r="S85" s="24"/>
      <c r="T85" s="24"/>
      <c r="U85" s="24"/>
      <c r="V85" s="24"/>
      <c r="W85" s="24"/>
      <c r="X85" s="24"/>
      <c r="Y85" s="24"/>
      <c r="Z85" s="24"/>
    </row>
    <row r="86" spans="1:26" ht="15.75" customHeight="1" x14ac:dyDescent="0.4">
      <c r="A86" s="24"/>
      <c r="B86" s="25"/>
      <c r="C86" s="24"/>
      <c r="D86" s="24"/>
      <c r="E86" s="24"/>
      <c r="F86" s="24"/>
      <c r="G86" s="24"/>
      <c r="H86" s="24"/>
      <c r="I86" s="24"/>
      <c r="J86" s="24"/>
      <c r="K86" s="24"/>
      <c r="L86" s="24"/>
      <c r="M86" s="24"/>
      <c r="N86" s="24"/>
      <c r="O86" s="24"/>
      <c r="P86" s="24"/>
      <c r="Q86" s="24"/>
      <c r="R86" s="24"/>
      <c r="S86" s="24"/>
      <c r="T86" s="24"/>
      <c r="U86" s="24"/>
      <c r="V86" s="24"/>
      <c r="W86" s="24"/>
      <c r="X86" s="24"/>
      <c r="Y86" s="24"/>
      <c r="Z86" s="24"/>
    </row>
    <row r="87" spans="1:26" ht="15.75" customHeight="1" x14ac:dyDescent="0.4">
      <c r="A87" s="24"/>
      <c r="B87" s="25"/>
      <c r="C87" s="24"/>
      <c r="D87" s="24"/>
      <c r="E87" s="24"/>
      <c r="F87" s="24"/>
      <c r="G87" s="24"/>
      <c r="H87" s="24"/>
      <c r="I87" s="24"/>
      <c r="J87" s="24"/>
      <c r="K87" s="24"/>
      <c r="L87" s="24"/>
      <c r="M87" s="24"/>
      <c r="N87" s="24"/>
      <c r="O87" s="24"/>
      <c r="P87" s="24"/>
      <c r="Q87" s="24"/>
      <c r="R87" s="24"/>
      <c r="S87" s="24"/>
      <c r="T87" s="24"/>
      <c r="U87" s="24"/>
      <c r="V87" s="24"/>
      <c r="W87" s="24"/>
      <c r="X87" s="24"/>
      <c r="Y87" s="24"/>
      <c r="Z87" s="24"/>
    </row>
    <row r="88" spans="1:26" ht="15.75" customHeight="1" x14ac:dyDescent="0.4">
      <c r="A88" s="24"/>
      <c r="B88" s="25"/>
      <c r="C88" s="24"/>
      <c r="D88" s="24"/>
      <c r="E88" s="24"/>
      <c r="F88" s="24"/>
      <c r="G88" s="24"/>
      <c r="H88" s="24"/>
      <c r="I88" s="24"/>
      <c r="J88" s="24"/>
      <c r="K88" s="24"/>
      <c r="L88" s="24"/>
      <c r="M88" s="24"/>
      <c r="N88" s="24"/>
      <c r="O88" s="24"/>
      <c r="P88" s="24"/>
      <c r="Q88" s="24"/>
      <c r="R88" s="24"/>
      <c r="S88" s="24"/>
      <c r="T88" s="24"/>
      <c r="U88" s="24"/>
      <c r="V88" s="24"/>
      <c r="W88" s="24"/>
      <c r="X88" s="24"/>
      <c r="Y88" s="24"/>
      <c r="Z88" s="24"/>
    </row>
    <row r="89" spans="1:26" ht="15.75" customHeight="1" x14ac:dyDescent="0.4">
      <c r="A89" s="24"/>
      <c r="B89" s="25"/>
      <c r="C89" s="24"/>
      <c r="D89" s="24"/>
      <c r="E89" s="24"/>
      <c r="F89" s="24"/>
      <c r="G89" s="24"/>
      <c r="H89" s="24"/>
      <c r="I89" s="24"/>
      <c r="J89" s="24"/>
      <c r="K89" s="24"/>
      <c r="L89" s="24"/>
      <c r="M89" s="24"/>
      <c r="N89" s="24"/>
      <c r="O89" s="24"/>
      <c r="P89" s="24"/>
      <c r="Q89" s="24"/>
      <c r="R89" s="24"/>
      <c r="S89" s="24"/>
      <c r="T89" s="24"/>
      <c r="U89" s="24"/>
      <c r="V89" s="24"/>
      <c r="W89" s="24"/>
      <c r="X89" s="24"/>
      <c r="Y89" s="24"/>
      <c r="Z89" s="24"/>
    </row>
    <row r="90" spans="1:26" ht="15.75" customHeight="1" x14ac:dyDescent="0.4">
      <c r="A90" s="24"/>
      <c r="B90" s="25"/>
      <c r="C90" s="24"/>
      <c r="D90" s="24"/>
      <c r="E90" s="24"/>
      <c r="F90" s="24"/>
      <c r="G90" s="24"/>
      <c r="H90" s="24"/>
      <c r="I90" s="24"/>
      <c r="J90" s="24"/>
      <c r="K90" s="24"/>
      <c r="L90" s="24"/>
      <c r="M90" s="24"/>
      <c r="N90" s="24"/>
      <c r="O90" s="24"/>
      <c r="P90" s="24"/>
      <c r="Q90" s="24"/>
      <c r="R90" s="24"/>
      <c r="S90" s="24"/>
      <c r="T90" s="24"/>
      <c r="U90" s="24"/>
      <c r="V90" s="24"/>
      <c r="W90" s="24"/>
      <c r="X90" s="24"/>
      <c r="Y90" s="24"/>
      <c r="Z90" s="24"/>
    </row>
    <row r="91" spans="1:26" ht="15.75" customHeight="1" x14ac:dyDescent="0.4">
      <c r="A91" s="24"/>
      <c r="B91" s="25"/>
      <c r="C91" s="24"/>
      <c r="D91" s="24"/>
      <c r="E91" s="24"/>
      <c r="F91" s="24"/>
      <c r="G91" s="24"/>
      <c r="H91" s="24"/>
      <c r="I91" s="24"/>
      <c r="J91" s="24"/>
      <c r="K91" s="24"/>
      <c r="L91" s="24"/>
      <c r="M91" s="24"/>
      <c r="N91" s="24"/>
      <c r="O91" s="24"/>
      <c r="P91" s="24"/>
      <c r="Q91" s="24"/>
      <c r="R91" s="24"/>
      <c r="S91" s="24"/>
      <c r="T91" s="24"/>
      <c r="U91" s="24"/>
      <c r="V91" s="24"/>
      <c r="W91" s="24"/>
      <c r="X91" s="24"/>
      <c r="Y91" s="24"/>
      <c r="Z91" s="24"/>
    </row>
    <row r="92" spans="1:26" ht="15.75" customHeight="1" x14ac:dyDescent="0.4">
      <c r="A92" s="24"/>
      <c r="B92" s="25"/>
      <c r="C92" s="24"/>
      <c r="D92" s="24"/>
      <c r="E92" s="24"/>
      <c r="F92" s="24"/>
      <c r="G92" s="24"/>
      <c r="H92" s="24"/>
      <c r="I92" s="24"/>
      <c r="J92" s="24"/>
      <c r="K92" s="24"/>
      <c r="L92" s="24"/>
      <c r="M92" s="24"/>
      <c r="N92" s="24"/>
      <c r="O92" s="24"/>
      <c r="P92" s="24"/>
      <c r="Q92" s="24"/>
      <c r="R92" s="24"/>
      <c r="S92" s="24"/>
      <c r="T92" s="24"/>
      <c r="U92" s="24"/>
      <c r="V92" s="24"/>
      <c r="W92" s="24"/>
      <c r="X92" s="24"/>
      <c r="Y92" s="24"/>
      <c r="Z92" s="24"/>
    </row>
    <row r="93" spans="1:26" ht="15.75" customHeight="1" x14ac:dyDescent="0.4">
      <c r="A93" s="24"/>
      <c r="B93" s="25"/>
      <c r="C93" s="24"/>
      <c r="D93" s="24"/>
      <c r="E93" s="24"/>
      <c r="F93" s="24"/>
      <c r="G93" s="24"/>
      <c r="H93" s="24"/>
      <c r="I93" s="24"/>
      <c r="J93" s="24"/>
      <c r="K93" s="24"/>
      <c r="L93" s="24"/>
      <c r="M93" s="24"/>
      <c r="N93" s="24"/>
      <c r="O93" s="24"/>
      <c r="P93" s="24"/>
      <c r="Q93" s="24"/>
      <c r="R93" s="24"/>
      <c r="S93" s="24"/>
      <c r="T93" s="24"/>
      <c r="U93" s="24"/>
      <c r="V93" s="24"/>
      <c r="W93" s="24"/>
      <c r="X93" s="24"/>
      <c r="Y93" s="24"/>
      <c r="Z93" s="24"/>
    </row>
    <row r="94" spans="1:26" ht="15.75" customHeight="1" x14ac:dyDescent="0.4">
      <c r="A94" s="24"/>
      <c r="B94" s="25"/>
      <c r="C94" s="24"/>
      <c r="D94" s="24"/>
      <c r="E94" s="24"/>
      <c r="F94" s="24"/>
      <c r="G94" s="24"/>
      <c r="H94" s="24"/>
      <c r="I94" s="24"/>
      <c r="J94" s="24"/>
      <c r="K94" s="24"/>
      <c r="L94" s="24"/>
      <c r="M94" s="24"/>
      <c r="N94" s="24"/>
      <c r="O94" s="24"/>
      <c r="P94" s="24"/>
      <c r="Q94" s="24"/>
      <c r="R94" s="24"/>
      <c r="S94" s="24"/>
      <c r="T94" s="24"/>
      <c r="U94" s="24"/>
      <c r="V94" s="24"/>
      <c r="W94" s="24"/>
      <c r="X94" s="24"/>
      <c r="Y94" s="24"/>
      <c r="Z94" s="24"/>
    </row>
    <row r="95" spans="1:26" ht="15.75" customHeight="1" x14ac:dyDescent="0.4">
      <c r="A95" s="24"/>
      <c r="B95" s="25"/>
      <c r="C95" s="24"/>
      <c r="D95" s="24"/>
      <c r="E95" s="24"/>
      <c r="F95" s="24"/>
      <c r="G95" s="24"/>
      <c r="H95" s="24"/>
      <c r="I95" s="24"/>
      <c r="J95" s="24"/>
      <c r="K95" s="24"/>
      <c r="L95" s="24"/>
      <c r="M95" s="24"/>
      <c r="N95" s="24"/>
      <c r="O95" s="24"/>
      <c r="P95" s="24"/>
      <c r="Q95" s="24"/>
      <c r="R95" s="24"/>
      <c r="S95" s="24"/>
      <c r="T95" s="24"/>
      <c r="U95" s="24"/>
      <c r="V95" s="24"/>
      <c r="W95" s="24"/>
      <c r="X95" s="24"/>
      <c r="Y95" s="24"/>
      <c r="Z95" s="24"/>
    </row>
    <row r="96" spans="1:26" ht="15.75" customHeight="1" x14ac:dyDescent="0.4">
      <c r="A96" s="24"/>
      <c r="B96" s="25"/>
      <c r="C96" s="24"/>
      <c r="D96" s="24"/>
      <c r="E96" s="24"/>
      <c r="F96" s="24"/>
      <c r="G96" s="24"/>
      <c r="H96" s="24"/>
      <c r="I96" s="24"/>
      <c r="J96" s="24"/>
      <c r="K96" s="24"/>
      <c r="L96" s="24"/>
      <c r="M96" s="24"/>
      <c r="N96" s="24"/>
      <c r="O96" s="24"/>
      <c r="P96" s="24"/>
      <c r="Q96" s="24"/>
      <c r="R96" s="24"/>
      <c r="S96" s="24"/>
      <c r="T96" s="24"/>
      <c r="U96" s="24"/>
      <c r="V96" s="24"/>
      <c r="W96" s="24"/>
      <c r="X96" s="24"/>
      <c r="Y96" s="24"/>
      <c r="Z96" s="24"/>
    </row>
    <row r="97" spans="1:26" ht="15.75" customHeight="1" x14ac:dyDescent="0.4">
      <c r="A97" s="24"/>
      <c r="B97" s="25"/>
      <c r="C97" s="24"/>
      <c r="D97" s="24"/>
      <c r="E97" s="24"/>
      <c r="F97" s="24"/>
      <c r="G97" s="24"/>
      <c r="H97" s="24"/>
      <c r="I97" s="24"/>
      <c r="J97" s="24"/>
      <c r="K97" s="24"/>
      <c r="L97" s="24"/>
      <c r="M97" s="24"/>
      <c r="N97" s="24"/>
      <c r="O97" s="24"/>
      <c r="P97" s="24"/>
      <c r="Q97" s="24"/>
      <c r="R97" s="24"/>
      <c r="S97" s="24"/>
      <c r="T97" s="24"/>
      <c r="U97" s="24"/>
      <c r="V97" s="24"/>
      <c r="W97" s="24"/>
      <c r="X97" s="24"/>
      <c r="Y97" s="24"/>
      <c r="Z97" s="24"/>
    </row>
    <row r="98" spans="1:26" ht="15.75" customHeight="1" x14ac:dyDescent="0.4">
      <c r="A98" s="24"/>
      <c r="B98" s="25"/>
      <c r="C98" s="24"/>
      <c r="D98" s="24"/>
      <c r="E98" s="24"/>
      <c r="F98" s="24"/>
      <c r="G98" s="24"/>
      <c r="H98" s="24"/>
      <c r="I98" s="24"/>
      <c r="J98" s="24"/>
      <c r="K98" s="24"/>
      <c r="L98" s="24"/>
      <c r="M98" s="24"/>
      <c r="N98" s="24"/>
      <c r="O98" s="24"/>
      <c r="P98" s="24"/>
      <c r="Q98" s="24"/>
      <c r="R98" s="24"/>
      <c r="S98" s="24"/>
      <c r="T98" s="24"/>
      <c r="U98" s="24"/>
      <c r="V98" s="24"/>
      <c r="W98" s="24"/>
      <c r="X98" s="24"/>
      <c r="Y98" s="24"/>
      <c r="Z98" s="24"/>
    </row>
    <row r="99" spans="1:26" ht="15.75" customHeight="1" x14ac:dyDescent="0.4">
      <c r="A99" s="24"/>
      <c r="B99" s="25"/>
      <c r="C99" s="24"/>
      <c r="D99" s="24"/>
      <c r="E99" s="24"/>
      <c r="F99" s="24"/>
      <c r="G99" s="24"/>
      <c r="H99" s="24"/>
      <c r="I99" s="24"/>
      <c r="J99" s="24"/>
      <c r="K99" s="24"/>
      <c r="L99" s="24"/>
      <c r="M99" s="24"/>
      <c r="N99" s="24"/>
      <c r="O99" s="24"/>
      <c r="P99" s="24"/>
      <c r="Q99" s="24"/>
      <c r="R99" s="24"/>
      <c r="S99" s="24"/>
      <c r="T99" s="24"/>
      <c r="U99" s="24"/>
      <c r="V99" s="24"/>
      <c r="W99" s="24"/>
      <c r="X99" s="24"/>
      <c r="Y99" s="24"/>
      <c r="Z99" s="24"/>
    </row>
    <row r="100" spans="1:26" ht="15.75" customHeight="1" x14ac:dyDescent="0.4">
      <c r="A100" s="24"/>
      <c r="B100" s="25"/>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spans="1:26" ht="15.75" customHeight="1" x14ac:dyDescent="0.4">
      <c r="A101" s="24"/>
      <c r="B101" s="25"/>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spans="1:26" ht="15.75" customHeight="1" x14ac:dyDescent="0.4">
      <c r="A102" s="24"/>
      <c r="B102" s="25"/>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spans="1:26" ht="15.75" customHeight="1" x14ac:dyDescent="0.4">
      <c r="A103" s="24"/>
      <c r="B103" s="25"/>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spans="1:26" ht="15.75" customHeight="1" x14ac:dyDescent="0.4">
      <c r="A104" s="24"/>
      <c r="B104" s="25"/>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spans="1:26" ht="15.75" customHeight="1" x14ac:dyDescent="0.4">
      <c r="A105" s="24"/>
      <c r="B105" s="25"/>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spans="1:26" ht="15.75" customHeight="1" x14ac:dyDescent="0.4">
      <c r="A106" s="24"/>
      <c r="B106" s="25"/>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spans="1:26" ht="15.75" customHeight="1" x14ac:dyDescent="0.4">
      <c r="A107" s="24"/>
      <c r="B107" s="25"/>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spans="1:26" ht="15.75" customHeight="1" x14ac:dyDescent="0.4">
      <c r="A108" s="24"/>
      <c r="B108" s="25"/>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spans="1:26" ht="15.75" customHeight="1" x14ac:dyDescent="0.4">
      <c r="A109" s="24"/>
      <c r="B109" s="25"/>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spans="1:26" ht="15.75" customHeight="1" x14ac:dyDescent="0.4">
      <c r="A110" s="24"/>
      <c r="B110" s="25"/>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spans="1:26" ht="15.75" customHeight="1" x14ac:dyDescent="0.4">
      <c r="A111" s="24"/>
      <c r="B111" s="25"/>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spans="1:26" ht="15.75" customHeight="1" x14ac:dyDescent="0.4">
      <c r="A112" s="24"/>
      <c r="B112" s="25"/>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spans="1:26" ht="15.75" customHeight="1" x14ac:dyDescent="0.4">
      <c r="A113" s="24"/>
      <c r="B113" s="25"/>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spans="1:26" ht="15.75" customHeight="1" x14ac:dyDescent="0.4">
      <c r="A114" s="24"/>
      <c r="B114" s="25"/>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spans="1:26" ht="15.75" customHeight="1" x14ac:dyDescent="0.4">
      <c r="A115" s="24"/>
      <c r="B115" s="25"/>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spans="1:26" ht="15.75" customHeight="1" x14ac:dyDescent="0.4">
      <c r="A116" s="24"/>
      <c r="B116" s="25"/>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spans="1:26" ht="15.75" customHeight="1" x14ac:dyDescent="0.4">
      <c r="A117" s="24"/>
      <c r="B117" s="25"/>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spans="1:26" ht="15.75" customHeight="1" x14ac:dyDescent="0.4">
      <c r="A118" s="24"/>
      <c r="B118" s="25"/>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spans="1:26" ht="15.75" customHeight="1" x14ac:dyDescent="0.4">
      <c r="A119" s="24"/>
      <c r="B119" s="25"/>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spans="1:26" ht="15.75" customHeight="1" x14ac:dyDescent="0.4">
      <c r="A120" s="24"/>
      <c r="B120" s="25"/>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spans="1:26" ht="15.75" customHeight="1" x14ac:dyDescent="0.4">
      <c r="A121" s="24"/>
      <c r="B121" s="25"/>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spans="1:26" ht="15.75" customHeight="1" x14ac:dyDescent="0.4">
      <c r="A122" s="24"/>
      <c r="B122" s="25"/>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spans="1:26" ht="15.75" customHeight="1" x14ac:dyDescent="0.4">
      <c r="A123" s="24"/>
      <c r="B123" s="25"/>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spans="1:26" ht="15.75" customHeight="1" x14ac:dyDescent="0.4">
      <c r="A124" s="24"/>
      <c r="B124" s="25"/>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spans="1:26" ht="15.75" customHeight="1" x14ac:dyDescent="0.4">
      <c r="A125" s="24"/>
      <c r="B125" s="25"/>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spans="1:26" ht="15.75" customHeight="1" x14ac:dyDescent="0.4">
      <c r="A126" s="24"/>
      <c r="B126" s="25"/>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spans="1:26" ht="15.75" customHeight="1" x14ac:dyDescent="0.4">
      <c r="A127" s="24"/>
      <c r="B127" s="25"/>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spans="1:26" ht="15.75" customHeight="1" x14ac:dyDescent="0.4">
      <c r="A128" s="24"/>
      <c r="B128" s="25"/>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spans="1:26" ht="15.75" customHeight="1" x14ac:dyDescent="0.4">
      <c r="A129" s="24"/>
      <c r="B129" s="25"/>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spans="1:26" ht="15.75" customHeight="1" x14ac:dyDescent="0.4">
      <c r="A130" s="24"/>
      <c r="B130" s="25"/>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spans="1:26" ht="15.75" customHeight="1" x14ac:dyDescent="0.4">
      <c r="A131" s="24"/>
      <c r="B131" s="25"/>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spans="1:26" ht="15.75" customHeight="1" x14ac:dyDescent="0.4">
      <c r="A132" s="24"/>
      <c r="B132" s="25"/>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spans="1:26" ht="15.75" customHeight="1" x14ac:dyDescent="0.4">
      <c r="A133" s="24"/>
      <c r="B133" s="25"/>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spans="1:26" ht="15.75" customHeight="1" x14ac:dyDescent="0.4">
      <c r="A134" s="24"/>
      <c r="B134" s="25"/>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spans="1:26" ht="15.75" customHeight="1" x14ac:dyDescent="0.4">
      <c r="A135" s="24"/>
      <c r="B135" s="25"/>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spans="1:26" ht="15.75" customHeight="1" x14ac:dyDescent="0.4">
      <c r="A136" s="24"/>
      <c r="B136" s="25"/>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spans="1:26" ht="15.75" customHeight="1" x14ac:dyDescent="0.4">
      <c r="A137" s="24"/>
      <c r="B137" s="25"/>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spans="1:26" ht="15.75" customHeight="1" x14ac:dyDescent="0.4">
      <c r="A138" s="24"/>
      <c r="B138" s="25"/>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spans="1:26" ht="15.75" customHeight="1" x14ac:dyDescent="0.4">
      <c r="A139" s="24"/>
      <c r="B139" s="25"/>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spans="1:26" ht="15.75" customHeight="1" x14ac:dyDescent="0.4">
      <c r="A140" s="24"/>
      <c r="B140" s="25"/>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spans="1:26" ht="15.75" customHeight="1" x14ac:dyDescent="0.4">
      <c r="A141" s="24"/>
      <c r="B141" s="25"/>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spans="1:26" ht="15.75" customHeight="1" x14ac:dyDescent="0.4">
      <c r="A142" s="24"/>
      <c r="B142" s="25"/>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spans="1:26" ht="15.75" customHeight="1" x14ac:dyDescent="0.4">
      <c r="A143" s="24"/>
      <c r="B143" s="25"/>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spans="1:26" ht="15.75" customHeight="1" x14ac:dyDescent="0.4">
      <c r="A144" s="24"/>
      <c r="B144" s="25"/>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spans="1:26" ht="15.75" customHeight="1" x14ac:dyDescent="0.4">
      <c r="A145" s="24"/>
      <c r="B145" s="25"/>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spans="1:26" ht="15.75" customHeight="1" x14ac:dyDescent="0.4">
      <c r="A146" s="24"/>
      <c r="B146" s="25"/>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spans="1:26" ht="15.75" customHeight="1" x14ac:dyDescent="0.4">
      <c r="A147" s="24"/>
      <c r="B147" s="25"/>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spans="1:26" ht="15.75" customHeight="1" x14ac:dyDescent="0.4">
      <c r="A148" s="24"/>
      <c r="B148" s="25"/>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spans="1:26" ht="15.75" customHeight="1" x14ac:dyDescent="0.4">
      <c r="A149" s="24"/>
      <c r="B149" s="25"/>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spans="1:26" ht="15.75" customHeight="1" x14ac:dyDescent="0.4">
      <c r="A150" s="24"/>
      <c r="B150" s="25"/>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spans="1:26" ht="15.75" customHeight="1" x14ac:dyDescent="0.4">
      <c r="A151" s="24"/>
      <c r="B151" s="25"/>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spans="1:26" ht="15.75" customHeight="1" x14ac:dyDescent="0.4">
      <c r="A152" s="24"/>
      <c r="B152" s="25"/>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spans="1:26" ht="15.75" customHeight="1" x14ac:dyDescent="0.4">
      <c r="A153" s="24"/>
      <c r="B153" s="25"/>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spans="1:26" ht="15.75" customHeight="1" x14ac:dyDescent="0.4">
      <c r="A154" s="24"/>
      <c r="B154" s="25"/>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spans="1:26" ht="15.75" customHeight="1" x14ac:dyDescent="0.4">
      <c r="A155" s="24"/>
      <c r="B155" s="25"/>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spans="1:26" ht="15.75" customHeight="1" x14ac:dyDescent="0.4">
      <c r="A156" s="24"/>
      <c r="B156" s="25"/>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spans="1:26" ht="15.75" customHeight="1" x14ac:dyDescent="0.4">
      <c r="A157" s="24"/>
      <c r="B157" s="25"/>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spans="1:26" ht="15.75" customHeight="1" x14ac:dyDescent="0.4">
      <c r="A158" s="24"/>
      <c r="B158" s="25"/>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spans="1:26" ht="15.75" customHeight="1" x14ac:dyDescent="0.4">
      <c r="A159" s="24"/>
      <c r="B159" s="25"/>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spans="1:26" ht="15.75" customHeight="1" x14ac:dyDescent="0.4">
      <c r="A160" s="24"/>
      <c r="B160" s="25"/>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spans="1:26" ht="15.75" customHeight="1" x14ac:dyDescent="0.4">
      <c r="A161" s="24"/>
      <c r="B161" s="25"/>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spans="1:26" ht="15.75" customHeight="1" x14ac:dyDescent="0.4">
      <c r="A162" s="24"/>
      <c r="B162" s="25"/>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spans="1:26" ht="15.75" customHeight="1" x14ac:dyDescent="0.4">
      <c r="A163" s="24"/>
      <c r="B163" s="25"/>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spans="1:26" ht="15.75" customHeight="1" x14ac:dyDescent="0.4">
      <c r="A164" s="24"/>
      <c r="B164" s="25"/>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spans="1:26" ht="15.75" customHeight="1" x14ac:dyDescent="0.4">
      <c r="A165" s="24"/>
      <c r="B165" s="25"/>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spans="1:26" ht="15.75" customHeight="1" x14ac:dyDescent="0.4">
      <c r="A166" s="24"/>
      <c r="B166" s="25"/>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spans="1:26" ht="15.75" customHeight="1" x14ac:dyDescent="0.4">
      <c r="A167" s="24"/>
      <c r="B167" s="25"/>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spans="1:26" ht="15.75" customHeight="1" x14ac:dyDescent="0.4">
      <c r="A168" s="24"/>
      <c r="B168" s="25"/>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spans="1:26" ht="15.75" customHeight="1" x14ac:dyDescent="0.4">
      <c r="A169" s="24"/>
      <c r="B169" s="25"/>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spans="1:26" ht="15.75" customHeight="1" x14ac:dyDescent="0.4">
      <c r="A170" s="24"/>
      <c r="B170" s="25"/>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spans="1:26" ht="15.75" customHeight="1" x14ac:dyDescent="0.4">
      <c r="A171" s="24"/>
      <c r="B171" s="25"/>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spans="1:26" ht="15.75" customHeight="1" x14ac:dyDescent="0.4">
      <c r="A172" s="24"/>
      <c r="B172" s="25"/>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spans="1:26" ht="15.75" customHeight="1" x14ac:dyDescent="0.4">
      <c r="A173" s="24"/>
      <c r="B173" s="25"/>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spans="1:26" ht="15.75" customHeight="1" x14ac:dyDescent="0.4">
      <c r="A174" s="24"/>
      <c r="B174" s="25"/>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spans="1:26" ht="15.75" customHeight="1" x14ac:dyDescent="0.4">
      <c r="A175" s="24"/>
      <c r="B175" s="25"/>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spans="1:26" ht="15.75" customHeight="1" x14ac:dyDescent="0.4">
      <c r="A176" s="24"/>
      <c r="B176" s="25"/>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spans="1:26" ht="15.75" customHeight="1" x14ac:dyDescent="0.4">
      <c r="A177" s="24"/>
      <c r="B177" s="25"/>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spans="1:26" ht="15.75" customHeight="1" x14ac:dyDescent="0.4">
      <c r="A178" s="24"/>
      <c r="B178" s="25"/>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spans="1:26" ht="15.75" customHeight="1" x14ac:dyDescent="0.4">
      <c r="A179" s="24"/>
      <c r="B179" s="25"/>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spans="1:26" ht="15.75" customHeight="1" x14ac:dyDescent="0.4">
      <c r="A180" s="24"/>
      <c r="B180" s="25"/>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spans="1:26" ht="15.75" customHeight="1" x14ac:dyDescent="0.4">
      <c r="A181" s="24"/>
      <c r="B181" s="25"/>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spans="1:26" ht="15.75" customHeight="1" x14ac:dyDescent="0.4">
      <c r="A182" s="24"/>
      <c r="B182" s="25"/>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spans="1:26" ht="15.75" customHeight="1" x14ac:dyDescent="0.4">
      <c r="A183" s="24"/>
      <c r="B183" s="25"/>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spans="1:26" ht="15.75" customHeight="1" x14ac:dyDescent="0.4">
      <c r="A184" s="24"/>
      <c r="B184" s="25"/>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spans="1:26" ht="15.75" customHeight="1" x14ac:dyDescent="0.4">
      <c r="A185" s="24"/>
      <c r="B185" s="25"/>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spans="1:26" ht="15.75" customHeight="1" x14ac:dyDescent="0.4">
      <c r="A186" s="24"/>
      <c r="B186" s="25"/>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spans="1:26" ht="15.75" customHeight="1" x14ac:dyDescent="0.4">
      <c r="A187" s="24"/>
      <c r="B187" s="25"/>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spans="1:26" ht="15.75" customHeight="1" x14ac:dyDescent="0.4">
      <c r="A188" s="24"/>
      <c r="B188" s="25"/>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spans="1:26" ht="15.75" customHeight="1" x14ac:dyDescent="0.4">
      <c r="A189" s="24"/>
      <c r="B189" s="25"/>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spans="1:26" ht="15.75" customHeight="1" x14ac:dyDescent="0.4">
      <c r="A190" s="24"/>
      <c r="B190" s="25"/>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spans="1:26" ht="15.75" customHeight="1" x14ac:dyDescent="0.4">
      <c r="A191" s="24"/>
      <c r="B191" s="25"/>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spans="1:26" ht="15.75" customHeight="1" x14ac:dyDescent="0.4">
      <c r="A192" s="24"/>
      <c r="B192" s="25"/>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spans="1:26" ht="15.75" customHeight="1" x14ac:dyDescent="0.4">
      <c r="A193" s="24"/>
      <c r="B193" s="25"/>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spans="1:26" ht="15.75" customHeight="1" x14ac:dyDescent="0.4">
      <c r="A194" s="24"/>
      <c r="B194" s="25"/>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spans="1:26" ht="15.75" customHeight="1" x14ac:dyDescent="0.4">
      <c r="A195" s="24"/>
      <c r="B195" s="25"/>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spans="1:26" ht="15.75" customHeight="1" x14ac:dyDescent="0.4">
      <c r="A196" s="24"/>
      <c r="B196" s="25"/>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spans="1:26" ht="15.75" customHeight="1" x14ac:dyDescent="0.4">
      <c r="A197" s="24"/>
      <c r="B197" s="25"/>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spans="1:26" ht="15.75" customHeight="1" x14ac:dyDescent="0.4">
      <c r="A198" s="24"/>
      <c r="B198" s="25"/>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spans="1:26" ht="15.75" customHeight="1" x14ac:dyDescent="0.4">
      <c r="A199" s="24"/>
      <c r="B199" s="25"/>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spans="1:26" ht="15.75" customHeight="1" x14ac:dyDescent="0.4">
      <c r="A200" s="24"/>
      <c r="B200" s="25"/>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spans="1:26" ht="15.75" customHeight="1" x14ac:dyDescent="0.4">
      <c r="A201" s="24"/>
      <c r="B201" s="25"/>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spans="1:26" ht="15.75" customHeight="1" x14ac:dyDescent="0.4">
      <c r="A202" s="24"/>
      <c r="B202" s="25"/>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spans="1:26" ht="15.75" customHeight="1" x14ac:dyDescent="0.4">
      <c r="A203" s="24"/>
      <c r="B203" s="25"/>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spans="1:26" ht="15.75" customHeight="1" x14ac:dyDescent="0.4">
      <c r="A204" s="24"/>
      <c r="B204" s="25"/>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spans="1:26" ht="15.75" customHeight="1" x14ac:dyDescent="0.4">
      <c r="A205" s="24"/>
      <c r="B205" s="25"/>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spans="1:26" ht="15.75" customHeight="1" x14ac:dyDescent="0.4">
      <c r="A206" s="24"/>
      <c r="B206" s="25"/>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spans="1:26" ht="15.75" customHeight="1" x14ac:dyDescent="0.4">
      <c r="A207" s="24"/>
      <c r="B207" s="25"/>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spans="1:26" ht="15.75" customHeight="1" x14ac:dyDescent="0.4">
      <c r="A208" s="24"/>
      <c r="B208" s="25"/>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spans="1:26" ht="15.75" customHeight="1" x14ac:dyDescent="0.4">
      <c r="A209" s="24"/>
      <c r="B209" s="25"/>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spans="1:26" ht="15.75" customHeight="1" x14ac:dyDescent="0.4">
      <c r="A210" s="24"/>
      <c r="B210" s="25"/>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spans="1:26" ht="15.75" customHeight="1" x14ac:dyDescent="0.4">
      <c r="A211" s="24"/>
      <c r="B211" s="25"/>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spans="1:26" ht="15.75" customHeight="1" x14ac:dyDescent="0.4">
      <c r="A212" s="24"/>
      <c r="B212" s="25"/>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spans="1:26" ht="15.75" customHeight="1" x14ac:dyDescent="0.4">
      <c r="A213" s="24"/>
      <c r="B213" s="25"/>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spans="1:26" ht="15.75" customHeight="1" x14ac:dyDescent="0.4">
      <c r="A214" s="24"/>
      <c r="B214" s="25"/>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spans="1:26" ht="15.75" customHeight="1" x14ac:dyDescent="0.4">
      <c r="A215" s="24"/>
      <c r="B215" s="25"/>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spans="1:26" ht="15.75" customHeight="1" x14ac:dyDescent="0.4">
      <c r="A216" s="24"/>
      <c r="B216" s="25"/>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spans="1:26" ht="15.75" customHeight="1" x14ac:dyDescent="0.4">
      <c r="A217" s="24"/>
      <c r="B217" s="25"/>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spans="1:26" ht="15.75" customHeight="1" x14ac:dyDescent="0.4">
      <c r="A218" s="24"/>
      <c r="B218" s="25"/>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spans="1:26" ht="15.75" customHeight="1" x14ac:dyDescent="0.4">
      <c r="A219" s="24"/>
      <c r="B219" s="25"/>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spans="1:26" ht="15.75" customHeight="1" x14ac:dyDescent="0.4">
      <c r="A220" s="24"/>
      <c r="B220" s="25"/>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spans="1:26" ht="15.75" customHeight="1" x14ac:dyDescent="0.4">
      <c r="A221" s="24"/>
      <c r="B221" s="25"/>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spans="1:26" ht="15.75" customHeight="1" x14ac:dyDescent="0.4">
      <c r="A222" s="24"/>
      <c r="B222" s="25"/>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spans="1:26" ht="15.75" customHeight="1" x14ac:dyDescent="0.4">
      <c r="A223" s="24"/>
      <c r="B223" s="25"/>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spans="1:26" ht="15.75" customHeight="1" x14ac:dyDescent="0.4">
      <c r="A224" s="24"/>
      <c r="B224" s="25"/>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spans="1:26" ht="15.75" customHeight="1" x14ac:dyDescent="0.4">
      <c r="A225" s="24"/>
      <c r="B225" s="25"/>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spans="1:26" ht="15.75" customHeight="1" x14ac:dyDescent="0.4">
      <c r="A226" s="24"/>
      <c r="B226" s="25"/>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spans="1:26" ht="15.75" customHeight="1" x14ac:dyDescent="0.4">
      <c r="A227" s="24"/>
      <c r="B227" s="25"/>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spans="1:26" ht="15.75" customHeight="1" x14ac:dyDescent="0.4">
      <c r="A228" s="24"/>
      <c r="B228" s="25"/>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spans="1:26" ht="15.75" customHeight="1" x14ac:dyDescent="0.4">
      <c r="A229" s="24"/>
      <c r="B229" s="25"/>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spans="1:26" ht="15.75" customHeight="1" x14ac:dyDescent="0.4">
      <c r="A230" s="24"/>
      <c r="B230" s="25"/>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spans="1:26" ht="15.75" customHeight="1" x14ac:dyDescent="0.4">
      <c r="A231" s="24"/>
      <c r="B231" s="25"/>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spans="1:26" ht="15.75" customHeight="1" x14ac:dyDescent="0.4">
      <c r="A232" s="24"/>
      <c r="B232" s="25"/>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spans="1:26" ht="15.75" customHeight="1" x14ac:dyDescent="0.4">
      <c r="A233" s="24"/>
      <c r="B233" s="25"/>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spans="1:26" ht="15.75" customHeight="1" x14ac:dyDescent="0.4">
      <c r="A234" s="24"/>
      <c r="B234" s="25"/>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spans="1:26" ht="15.75" customHeight="1" x14ac:dyDescent="0.4">
      <c r="A235" s="24"/>
      <c r="B235" s="25"/>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spans="1:26" ht="15.75" customHeight="1" x14ac:dyDescent="0.4">
      <c r="A236" s="24"/>
      <c r="B236" s="25"/>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spans="1:26" ht="15.75" customHeight="1" x14ac:dyDescent="0.4">
      <c r="A237" s="24"/>
      <c r="B237" s="25"/>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spans="1:26" ht="15.75" customHeight="1" x14ac:dyDescent="0.4">
      <c r="A238" s="24"/>
      <c r="B238" s="25"/>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spans="1:26" ht="15.75" customHeight="1" x14ac:dyDescent="0.4">
      <c r="A239" s="24"/>
      <c r="B239" s="25"/>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spans="1:26" ht="15.75" customHeight="1" x14ac:dyDescent="0.4">
      <c r="A240" s="24"/>
      <c r="B240" s="25"/>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spans="1:26" ht="15.75" customHeight="1" x14ac:dyDescent="0.4">
      <c r="A241" s="24"/>
      <c r="B241" s="25"/>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spans="1:26" ht="15.75" customHeight="1" x14ac:dyDescent="0.4">
      <c r="A242" s="24"/>
      <c r="B242" s="25"/>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spans="1:26" ht="15.75" customHeight="1" x14ac:dyDescent="0.4">
      <c r="A243" s="24"/>
      <c r="B243" s="25"/>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spans="1:26" ht="15.75" customHeight="1" x14ac:dyDescent="0.4">
      <c r="A244" s="24"/>
      <c r="B244" s="25"/>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spans="1:26" ht="15.75" customHeight="1" x14ac:dyDescent="0.4">
      <c r="A245" s="24"/>
      <c r="B245" s="25"/>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spans="1:26" ht="15.75" customHeight="1" x14ac:dyDescent="0.4">
      <c r="A246" s="24"/>
      <c r="B246" s="25"/>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spans="1:26" ht="15.75" customHeight="1" x14ac:dyDescent="0.4">
      <c r="A247" s="24"/>
      <c r="B247" s="25"/>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spans="1:26" ht="15.75" customHeight="1" x14ac:dyDescent="0.4">
      <c r="A248" s="24"/>
      <c r="B248" s="25"/>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spans="1:26" ht="15.75" customHeight="1" x14ac:dyDescent="0.4">
      <c r="A249" s="24"/>
      <c r="B249" s="25"/>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spans="1:26" ht="15.75" customHeight="1" x14ac:dyDescent="0.4">
      <c r="A250" s="24"/>
      <c r="B250" s="25"/>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spans="1:26" ht="15.75" customHeight="1" x14ac:dyDescent="0.4">
      <c r="A251" s="24"/>
      <c r="B251" s="25"/>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spans="1:26" ht="15.75" customHeight="1" x14ac:dyDescent="0.4">
      <c r="A252" s="24"/>
      <c r="B252" s="25"/>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spans="1:26" ht="15.75" customHeight="1" x14ac:dyDescent="0.4">
      <c r="A253" s="24"/>
      <c r="B253" s="25"/>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spans="1:26" ht="15.75" customHeight="1" x14ac:dyDescent="0.4">
      <c r="A254" s="24"/>
      <c r="B254" s="25"/>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spans="1:26" ht="15.75" customHeight="1" x14ac:dyDescent="0.4">
      <c r="A255" s="24"/>
      <c r="B255" s="25"/>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spans="1:26" ht="15.75" customHeight="1" x14ac:dyDescent="0.4">
      <c r="A256" s="24"/>
      <c r="B256" s="25"/>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spans="1:26" ht="15.75" customHeight="1" x14ac:dyDescent="0.4">
      <c r="A257" s="24"/>
      <c r="B257" s="25"/>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spans="1:26" ht="15.75" customHeight="1" x14ac:dyDescent="0.4">
      <c r="A258" s="24"/>
      <c r="B258" s="25"/>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spans="1:26" ht="15.75" customHeight="1" x14ac:dyDescent="0.4">
      <c r="A259" s="24"/>
      <c r="B259" s="25"/>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spans="1:26" ht="15.75" customHeight="1" x14ac:dyDescent="0.4">
      <c r="A260" s="24"/>
      <c r="B260" s="25"/>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spans="1:26" ht="15.75" customHeight="1" x14ac:dyDescent="0.4">
      <c r="A261" s="24"/>
      <c r="B261" s="25"/>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spans="1:26" ht="15.75" customHeight="1" x14ac:dyDescent="0.4">
      <c r="A262" s="24"/>
      <c r="B262" s="25"/>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spans="1:26" ht="15.75" customHeight="1" x14ac:dyDescent="0.4">
      <c r="A263" s="24"/>
      <c r="B263" s="25"/>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spans="1:26" ht="15.75" customHeight="1" x14ac:dyDescent="0.4">
      <c r="A264" s="24"/>
      <c r="B264" s="25"/>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spans="1:26" ht="15.75" customHeight="1" x14ac:dyDescent="0.4">
      <c r="A265" s="24"/>
      <c r="B265" s="25"/>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spans="1:26" ht="15.75" customHeight="1" x14ac:dyDescent="0.4">
      <c r="A266" s="24"/>
      <c r="B266" s="25"/>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spans="1:26" ht="15.75" customHeight="1" x14ac:dyDescent="0.4">
      <c r="A267" s="24"/>
      <c r="B267" s="25"/>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spans="1:26" ht="15.75" customHeight="1" x14ac:dyDescent="0.4">
      <c r="A268" s="24"/>
      <c r="B268" s="25"/>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spans="1:26" ht="15.75" customHeight="1" x14ac:dyDescent="0.4">
      <c r="A269" s="24"/>
      <c r="B269" s="25"/>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spans="1:26" ht="15.75" customHeight="1" x14ac:dyDescent="0.4">
      <c r="A270" s="24"/>
      <c r="B270" s="25"/>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spans="1:26" ht="15.75" customHeight="1" x14ac:dyDescent="0.4">
      <c r="A271" s="24"/>
      <c r="B271" s="25"/>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spans="1:26" ht="15.75" customHeight="1" x14ac:dyDescent="0.4">
      <c r="A272" s="24"/>
      <c r="B272" s="25"/>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spans="1:26" ht="15.75" customHeight="1" x14ac:dyDescent="0.4">
      <c r="A273" s="24"/>
      <c r="B273" s="25"/>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spans="1:26" ht="15.75" customHeight="1" x14ac:dyDescent="0.4">
      <c r="A274" s="24"/>
      <c r="B274" s="25"/>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spans="1:26" ht="15.75" customHeight="1" x14ac:dyDescent="0.4">
      <c r="A275" s="24"/>
      <c r="B275" s="25"/>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spans="1:26" ht="15.75" customHeight="1" x14ac:dyDescent="0.4">
      <c r="A276" s="24"/>
      <c r="B276" s="25"/>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spans="1:26" ht="15.75" customHeight="1" x14ac:dyDescent="0.4">
      <c r="A277" s="24"/>
      <c r="B277" s="25"/>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spans="1:26" ht="15.75" customHeight="1" x14ac:dyDescent="0.4">
      <c r="A278" s="24"/>
      <c r="B278" s="25"/>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spans="1:26" ht="15.75" customHeight="1" x14ac:dyDescent="0.4">
      <c r="A279" s="24"/>
      <c r="B279" s="25"/>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spans="1:26" ht="15.75" customHeight="1" x14ac:dyDescent="0.4">
      <c r="A280" s="24"/>
      <c r="B280" s="25"/>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spans="1:26" ht="15.75" customHeight="1" x14ac:dyDescent="0.4">
      <c r="A281" s="24"/>
      <c r="B281" s="25"/>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spans="1:26" ht="15.75" customHeight="1" x14ac:dyDescent="0.4">
      <c r="A282" s="24"/>
      <c r="B282" s="25"/>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spans="1:26" ht="15.75" customHeight="1" x14ac:dyDescent="0.4">
      <c r="A283" s="24"/>
      <c r="B283" s="25"/>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spans="1:26" ht="15.75" customHeight="1" x14ac:dyDescent="0.4">
      <c r="A284" s="24"/>
      <c r="B284" s="25"/>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spans="1:26" ht="15.75" customHeight="1" x14ac:dyDescent="0.4">
      <c r="A285" s="24"/>
      <c r="B285" s="25"/>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spans="1:26" ht="15.75" customHeight="1" x14ac:dyDescent="0.4">
      <c r="A286" s="24"/>
      <c r="B286" s="25"/>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spans="1:26" ht="15.75" customHeight="1" x14ac:dyDescent="0.4">
      <c r="A287" s="24"/>
      <c r="B287" s="25"/>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spans="1:26" ht="15.75" customHeight="1" x14ac:dyDescent="0.4">
      <c r="A288" s="24"/>
      <c r="B288" s="25"/>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spans="1:26" ht="15.75" customHeight="1" x14ac:dyDescent="0.4">
      <c r="A289" s="24"/>
      <c r="B289" s="25"/>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spans="1:26" ht="15.75" customHeight="1" x14ac:dyDescent="0.4">
      <c r="A290" s="24"/>
      <c r="B290" s="25"/>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spans="1:26" ht="15.75" customHeight="1" x14ac:dyDescent="0.4">
      <c r="A291" s="24"/>
      <c r="B291" s="25"/>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spans="1:26" ht="15.75" customHeight="1" x14ac:dyDescent="0.4">
      <c r="A292" s="24"/>
      <c r="B292" s="25"/>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spans="1:26" ht="15.75" customHeight="1" x14ac:dyDescent="0.4">
      <c r="A293" s="24"/>
      <c r="B293" s="25"/>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spans="1:26" ht="15.75" customHeight="1" x14ac:dyDescent="0.4">
      <c r="A294" s="24"/>
      <c r="B294" s="25"/>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spans="1:26" ht="15.75" customHeight="1" x14ac:dyDescent="0.4">
      <c r="A295" s="24"/>
      <c r="B295" s="25"/>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spans="1:26" ht="15.75" customHeight="1" x14ac:dyDescent="0.4">
      <c r="A296" s="24"/>
      <c r="B296" s="25"/>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spans="1:26" ht="15.75" customHeight="1" x14ac:dyDescent="0.4">
      <c r="A297" s="24"/>
      <c r="B297" s="25"/>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spans="1:26" ht="15.75" customHeight="1" x14ac:dyDescent="0.4">
      <c r="A298" s="24"/>
      <c r="B298" s="25"/>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spans="1:26" ht="15.75" customHeight="1" x14ac:dyDescent="0.4">
      <c r="A299" s="24"/>
      <c r="B299" s="25"/>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spans="1:26" ht="15.75" customHeight="1" x14ac:dyDescent="0.4">
      <c r="A300" s="24"/>
      <c r="B300" s="25"/>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spans="1:26" ht="15.75" customHeight="1" x14ac:dyDescent="0.4">
      <c r="A301" s="24"/>
      <c r="B301" s="25"/>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spans="1:26" ht="15.75" customHeight="1" x14ac:dyDescent="0.4">
      <c r="A302" s="24"/>
      <c r="B302" s="25"/>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spans="1:26" ht="15.75" customHeight="1" x14ac:dyDescent="0.4">
      <c r="A303" s="24"/>
      <c r="B303" s="25"/>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spans="1:26" ht="15.75" customHeight="1" x14ac:dyDescent="0.4">
      <c r="A304" s="24"/>
      <c r="B304" s="25"/>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spans="1:26" ht="15.75" customHeight="1" x14ac:dyDescent="0.4">
      <c r="A305" s="24"/>
      <c r="B305" s="25"/>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spans="1:26" ht="15.75" customHeight="1" x14ac:dyDescent="0.4">
      <c r="A306" s="24"/>
      <c r="B306" s="25"/>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spans="1:26" ht="15.75" customHeight="1" x14ac:dyDescent="0.4">
      <c r="A307" s="24"/>
      <c r="B307" s="25"/>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spans="1:26" ht="15.75" customHeight="1" x14ac:dyDescent="0.4">
      <c r="A308" s="24"/>
      <c r="B308" s="25"/>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spans="1:26" ht="15.75" customHeight="1" x14ac:dyDescent="0.4">
      <c r="A309" s="24"/>
      <c r="B309" s="25"/>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spans="1:26" ht="15.75" customHeight="1" x14ac:dyDescent="0.4">
      <c r="A310" s="24"/>
      <c r="B310" s="25"/>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spans="1:26" ht="15.75" customHeight="1" x14ac:dyDescent="0.4">
      <c r="A311" s="24"/>
      <c r="B311" s="25"/>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spans="1:26" ht="15.75" customHeight="1" x14ac:dyDescent="0.4">
      <c r="A312" s="24"/>
      <c r="B312" s="25"/>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spans="1:26" ht="15.75" customHeight="1" x14ac:dyDescent="0.4">
      <c r="A313" s="24"/>
      <c r="B313" s="25"/>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spans="1:26" ht="15.75" customHeight="1" x14ac:dyDescent="0.4">
      <c r="A314" s="24"/>
      <c r="B314" s="25"/>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spans="1:26" ht="15.75" customHeight="1" x14ac:dyDescent="0.4">
      <c r="A315" s="24"/>
      <c r="B315" s="25"/>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spans="1:26" ht="15.75" customHeight="1" x14ac:dyDescent="0.4">
      <c r="A316" s="24"/>
      <c r="B316" s="25"/>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spans="1:26" ht="15.75" customHeight="1" x14ac:dyDescent="0.4">
      <c r="A317" s="24"/>
      <c r="B317" s="25"/>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spans="1:26" ht="15.75" customHeight="1" x14ac:dyDescent="0.4">
      <c r="A318" s="24"/>
      <c r="B318" s="25"/>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spans="1:26" ht="15.75" customHeight="1" x14ac:dyDescent="0.4">
      <c r="A319" s="24"/>
      <c r="B319" s="25"/>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spans="1:26" ht="15.75" customHeight="1" x14ac:dyDescent="0.4">
      <c r="A320" s="24"/>
      <c r="B320" s="25"/>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spans="1:26" ht="15.75" customHeight="1" x14ac:dyDescent="0.4">
      <c r="A321" s="24"/>
      <c r="B321" s="25"/>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spans="1:26" ht="15.75" customHeight="1" x14ac:dyDescent="0.4">
      <c r="A322" s="24"/>
      <c r="B322" s="25"/>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spans="1:26" ht="15.75" customHeight="1" x14ac:dyDescent="0.4">
      <c r="A323" s="24"/>
      <c r="B323" s="25"/>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spans="1:26" ht="15.75" customHeight="1" x14ac:dyDescent="0.4">
      <c r="A324" s="24"/>
      <c r="B324" s="25"/>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spans="1:26" ht="15.75" customHeight="1" x14ac:dyDescent="0.4">
      <c r="A325" s="24"/>
      <c r="B325" s="25"/>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spans="1:26" ht="15.75" customHeight="1" x14ac:dyDescent="0.4">
      <c r="A326" s="24"/>
      <c r="B326" s="25"/>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spans="1:26" ht="15.75" customHeight="1" x14ac:dyDescent="0.4">
      <c r="A327" s="24"/>
      <c r="B327" s="25"/>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spans="1:26" ht="15.75" customHeight="1" x14ac:dyDescent="0.4">
      <c r="A328" s="24"/>
      <c r="B328" s="25"/>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spans="1:26" ht="15.75" customHeight="1" x14ac:dyDescent="0.4">
      <c r="A329" s="24"/>
      <c r="B329" s="25"/>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spans="1:26" ht="15.75" customHeight="1" x14ac:dyDescent="0.4">
      <c r="A330" s="24"/>
      <c r="B330" s="25"/>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spans="1:26" ht="15.75" customHeight="1" x14ac:dyDescent="0.4">
      <c r="A331" s="24"/>
      <c r="B331" s="25"/>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spans="1:26" ht="15.75" customHeight="1" x14ac:dyDescent="0.4">
      <c r="A332" s="24"/>
      <c r="B332" s="25"/>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spans="1:26" ht="15.75" customHeight="1" x14ac:dyDescent="0.4">
      <c r="A333" s="24"/>
      <c r="B333" s="25"/>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spans="1:26" ht="15.75" customHeight="1" x14ac:dyDescent="0.4">
      <c r="A334" s="24"/>
      <c r="B334" s="25"/>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spans="1:26" ht="15.75" customHeight="1" x14ac:dyDescent="0.4">
      <c r="A335" s="24"/>
      <c r="B335" s="25"/>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spans="1:26" ht="15.75" customHeight="1" x14ac:dyDescent="0.4">
      <c r="A336" s="24"/>
      <c r="B336" s="25"/>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spans="1:26" ht="15.75" customHeight="1" x14ac:dyDescent="0.4">
      <c r="A337" s="24"/>
      <c r="B337" s="25"/>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spans="1:26" ht="15.75" customHeight="1" x14ac:dyDescent="0.4">
      <c r="A338" s="24"/>
      <c r="B338" s="25"/>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spans="1:26" ht="15.75" customHeight="1" x14ac:dyDescent="0.4">
      <c r="A339" s="24"/>
      <c r="B339" s="25"/>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spans="1:26" ht="15.75" customHeight="1" x14ac:dyDescent="0.4">
      <c r="A340" s="24"/>
      <c r="B340" s="25"/>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spans="1:26" ht="15.75" customHeight="1" x14ac:dyDescent="0.4">
      <c r="A341" s="24"/>
      <c r="B341" s="25"/>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spans="1:26" ht="15.75" customHeight="1" x14ac:dyDescent="0.4">
      <c r="A342" s="24"/>
      <c r="B342" s="25"/>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spans="1:26" ht="15.75" customHeight="1" x14ac:dyDescent="0.4">
      <c r="A343" s="24"/>
      <c r="B343" s="25"/>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spans="1:26" ht="15.75" customHeight="1" x14ac:dyDescent="0.4">
      <c r="A344" s="24"/>
      <c r="B344" s="25"/>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spans="1:26" ht="15.75" customHeight="1" x14ac:dyDescent="0.4">
      <c r="A345" s="24"/>
      <c r="B345" s="25"/>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spans="1:26" ht="15.75" customHeight="1" x14ac:dyDescent="0.4">
      <c r="A346" s="24"/>
      <c r="B346" s="25"/>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spans="1:26" ht="15.75" customHeight="1" x14ac:dyDescent="0.4">
      <c r="A347" s="24"/>
      <c r="B347" s="25"/>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spans="1:26" ht="15.75" customHeight="1" x14ac:dyDescent="0.4">
      <c r="A348" s="24"/>
      <c r="B348" s="25"/>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spans="1:26" ht="15.75" customHeight="1" x14ac:dyDescent="0.4">
      <c r="A349" s="24"/>
      <c r="B349" s="25"/>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spans="1:26" ht="15.75" customHeight="1" x14ac:dyDescent="0.4">
      <c r="A350" s="24"/>
      <c r="B350" s="25"/>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spans="1:26" ht="15.75" customHeight="1" x14ac:dyDescent="0.4">
      <c r="A351" s="24"/>
      <c r="B351" s="25"/>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spans="1:26" ht="15.75" customHeight="1" x14ac:dyDescent="0.4">
      <c r="A352" s="24"/>
      <c r="B352" s="25"/>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spans="1:26" ht="15.75" customHeight="1" x14ac:dyDescent="0.4">
      <c r="A353" s="24"/>
      <c r="B353" s="25"/>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spans="1:26" ht="15.75" customHeight="1" x14ac:dyDescent="0.4">
      <c r="A354" s="24"/>
      <c r="B354" s="25"/>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spans="1:26" ht="15.75" customHeight="1" x14ac:dyDescent="0.4">
      <c r="A355" s="24"/>
      <c r="B355" s="25"/>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spans="1:26" ht="15.75" customHeight="1" x14ac:dyDescent="0.4">
      <c r="A356" s="24"/>
      <c r="B356" s="25"/>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spans="1:26" ht="15.75" customHeight="1" x14ac:dyDescent="0.4">
      <c r="A357" s="24"/>
      <c r="B357" s="25"/>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spans="1:26" ht="15.75" customHeight="1" x14ac:dyDescent="0.4">
      <c r="A358" s="24"/>
      <c r="B358" s="25"/>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spans="1:26" ht="15.75" customHeight="1" x14ac:dyDescent="0.4">
      <c r="A359" s="24"/>
      <c r="B359" s="25"/>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spans="1:26" ht="15.75" customHeight="1" x14ac:dyDescent="0.4">
      <c r="A360" s="24"/>
      <c r="B360" s="25"/>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spans="1:26" ht="15.75" customHeight="1" x14ac:dyDescent="0.4">
      <c r="A361" s="24"/>
      <c r="B361" s="25"/>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spans="1:26" ht="15.75" customHeight="1" x14ac:dyDescent="0.4">
      <c r="A362" s="24"/>
      <c r="B362" s="25"/>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spans="1:26" ht="15.75" customHeight="1" x14ac:dyDescent="0.4">
      <c r="A363" s="24"/>
      <c r="B363" s="25"/>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spans="1:26" ht="15.75" customHeight="1" x14ac:dyDescent="0.4">
      <c r="A364" s="24"/>
      <c r="B364" s="25"/>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spans="1:26" ht="15.75" customHeight="1" x14ac:dyDescent="0.4">
      <c r="A365" s="24"/>
      <c r="B365" s="25"/>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spans="1:26" ht="15.75" customHeight="1" x14ac:dyDescent="0.4">
      <c r="A366" s="24"/>
      <c r="B366" s="25"/>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spans="1:26" ht="15.75" customHeight="1" x14ac:dyDescent="0.4">
      <c r="A367" s="24"/>
      <c r="B367" s="25"/>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spans="1:26" ht="15.75" customHeight="1" x14ac:dyDescent="0.4">
      <c r="A368" s="24"/>
      <c r="B368" s="25"/>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spans="1:26" ht="15.75" customHeight="1" x14ac:dyDescent="0.4">
      <c r="A369" s="24"/>
      <c r="B369" s="25"/>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spans="1:26" ht="15.75" customHeight="1" x14ac:dyDescent="0.4">
      <c r="A370" s="24"/>
      <c r="B370" s="25"/>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spans="1:26" ht="15.75" customHeight="1" x14ac:dyDescent="0.4">
      <c r="A371" s="24"/>
      <c r="B371" s="25"/>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spans="1:26" ht="15.75" customHeight="1" x14ac:dyDescent="0.4">
      <c r="A372" s="24"/>
      <c r="B372" s="25"/>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spans="1:26" ht="15.75" customHeight="1" x14ac:dyDescent="0.4">
      <c r="A373" s="24"/>
      <c r="B373" s="25"/>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spans="1:26" ht="15.75" customHeight="1" x14ac:dyDescent="0.4">
      <c r="A374" s="24"/>
      <c r="B374" s="25"/>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spans="1:26" ht="15.75" customHeight="1" x14ac:dyDescent="0.4">
      <c r="A375" s="24"/>
      <c r="B375" s="25"/>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spans="1:26" ht="15.75" customHeight="1" x14ac:dyDescent="0.4">
      <c r="A376" s="24"/>
      <c r="B376" s="25"/>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spans="1:26" ht="15.75" customHeight="1" x14ac:dyDescent="0.4">
      <c r="A377" s="24"/>
      <c r="B377" s="25"/>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spans="1:26" ht="15.75" customHeight="1" x14ac:dyDescent="0.4">
      <c r="A378" s="24"/>
      <c r="B378" s="25"/>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spans="1:26" ht="15.75" customHeight="1" x14ac:dyDescent="0.4">
      <c r="A379" s="24"/>
      <c r="B379" s="25"/>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spans="1:26" ht="15.75" customHeight="1" x14ac:dyDescent="0.4">
      <c r="A380" s="24"/>
      <c r="B380" s="25"/>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spans="1:26" ht="15.75" customHeight="1" x14ac:dyDescent="0.4">
      <c r="A381" s="24"/>
      <c r="B381" s="25"/>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spans="1:26" ht="15.75" customHeight="1" x14ac:dyDescent="0.4">
      <c r="A382" s="24"/>
      <c r="B382" s="25"/>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spans="1:26" ht="15.75" customHeight="1" x14ac:dyDescent="0.4">
      <c r="A383" s="24"/>
      <c r="B383" s="25"/>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spans="1:26" ht="15.75" customHeight="1" x14ac:dyDescent="0.4">
      <c r="A384" s="24"/>
      <c r="B384" s="25"/>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spans="1:26" ht="15.75" customHeight="1" x14ac:dyDescent="0.4">
      <c r="A385" s="24"/>
      <c r="B385" s="25"/>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spans="1:26" ht="15.75" customHeight="1" x14ac:dyDescent="0.4">
      <c r="A386" s="24"/>
      <c r="B386" s="25"/>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spans="1:26" ht="15.75" customHeight="1" x14ac:dyDescent="0.4">
      <c r="A387" s="24"/>
      <c r="B387" s="25"/>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spans="1:26" ht="15.75" customHeight="1" x14ac:dyDescent="0.4">
      <c r="A388" s="24"/>
      <c r="B388" s="25"/>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spans="1:26" ht="15.75" customHeight="1" x14ac:dyDescent="0.4">
      <c r="A389" s="24"/>
      <c r="B389" s="25"/>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spans="1:26" ht="15.75" customHeight="1" x14ac:dyDescent="0.4">
      <c r="A390" s="24"/>
      <c r="B390" s="25"/>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spans="1:26" ht="15.75" customHeight="1" x14ac:dyDescent="0.4">
      <c r="A391" s="24"/>
      <c r="B391" s="25"/>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spans="1:26" ht="15.75" customHeight="1" x14ac:dyDescent="0.4">
      <c r="A392" s="24"/>
      <c r="B392" s="25"/>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spans="1:26" ht="15.75" customHeight="1" x14ac:dyDescent="0.4">
      <c r="A393" s="24"/>
      <c r="B393" s="25"/>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spans="1:26" ht="15.75" customHeight="1" x14ac:dyDescent="0.4">
      <c r="A394" s="24"/>
      <c r="B394" s="25"/>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spans="1:26" ht="15.75" customHeight="1" x14ac:dyDescent="0.4">
      <c r="A395" s="24"/>
      <c r="B395" s="25"/>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spans="1:26" ht="15.75" customHeight="1" x14ac:dyDescent="0.4">
      <c r="A396" s="24"/>
      <c r="B396" s="25"/>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spans="1:26" ht="15.75" customHeight="1" x14ac:dyDescent="0.4">
      <c r="A397" s="24"/>
      <c r="B397" s="25"/>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spans="1:26" ht="15.75" customHeight="1" x14ac:dyDescent="0.4">
      <c r="A398" s="24"/>
      <c r="B398" s="25"/>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spans="1:26" ht="15.75" customHeight="1" x14ac:dyDescent="0.4">
      <c r="A399" s="24"/>
      <c r="B399" s="25"/>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spans="1:26" ht="15.75" customHeight="1" x14ac:dyDescent="0.4">
      <c r="A400" s="24"/>
      <c r="B400" s="25"/>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spans="1:26" ht="15.75" customHeight="1" x14ac:dyDescent="0.4">
      <c r="A401" s="24"/>
      <c r="B401" s="25"/>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spans="1:26" ht="15.75" customHeight="1" x14ac:dyDescent="0.4">
      <c r="A402" s="24"/>
      <c r="B402" s="25"/>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spans="1:26" ht="15.75" customHeight="1" x14ac:dyDescent="0.4">
      <c r="A403" s="24"/>
      <c r="B403" s="25"/>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spans="1:26" ht="15.75" customHeight="1" x14ac:dyDescent="0.4">
      <c r="A404" s="24"/>
      <c r="B404" s="25"/>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spans="1:26" ht="15.75" customHeight="1" x14ac:dyDescent="0.4">
      <c r="A405" s="24"/>
      <c r="B405" s="25"/>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spans="1:26" ht="15.75" customHeight="1" x14ac:dyDescent="0.4">
      <c r="A406" s="24"/>
      <c r="B406" s="25"/>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spans="1:26" ht="15.75" customHeight="1" x14ac:dyDescent="0.4">
      <c r="A407" s="24"/>
      <c r="B407" s="25"/>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spans="1:26" ht="15.75" customHeight="1" x14ac:dyDescent="0.4">
      <c r="A408" s="24"/>
      <c r="B408" s="25"/>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spans="1:26" ht="15.75" customHeight="1" x14ac:dyDescent="0.4">
      <c r="A409" s="24"/>
      <c r="B409" s="25"/>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spans="1:26" ht="15.75" customHeight="1" x14ac:dyDescent="0.4">
      <c r="A410" s="24"/>
      <c r="B410" s="25"/>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spans="1:26" ht="15.75" customHeight="1" x14ac:dyDescent="0.4">
      <c r="A411" s="24"/>
      <c r="B411" s="25"/>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spans="1:26" ht="15.75" customHeight="1" x14ac:dyDescent="0.4">
      <c r="A412" s="24"/>
      <c r="B412" s="25"/>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spans="1:26" ht="15.75" customHeight="1" x14ac:dyDescent="0.4">
      <c r="A413" s="24"/>
      <c r="B413" s="25"/>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spans="1:26" ht="15.75" customHeight="1" x14ac:dyDescent="0.4">
      <c r="A414" s="24"/>
      <c r="B414" s="25"/>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spans="1:26" ht="15.75" customHeight="1" x14ac:dyDescent="0.4">
      <c r="A415" s="24"/>
      <c r="B415" s="25"/>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spans="1:26" ht="15.75" customHeight="1" x14ac:dyDescent="0.4">
      <c r="A416" s="24"/>
      <c r="B416" s="25"/>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spans="1:26" ht="15.75" customHeight="1" x14ac:dyDescent="0.4">
      <c r="A417" s="24"/>
      <c r="B417" s="25"/>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spans="1:26" ht="15.75" customHeight="1" x14ac:dyDescent="0.4">
      <c r="A418" s="24"/>
      <c r="B418" s="25"/>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spans="1:26" ht="15.75" customHeight="1" x14ac:dyDescent="0.4">
      <c r="A419" s="24"/>
      <c r="B419" s="25"/>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spans="1:26" ht="15.75" customHeight="1" x14ac:dyDescent="0.4">
      <c r="A420" s="24"/>
      <c r="B420" s="25"/>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spans="1:26" ht="15.75" customHeight="1" x14ac:dyDescent="0.4">
      <c r="A421" s="24"/>
      <c r="B421" s="25"/>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spans="1:26" ht="15.75" customHeight="1" x14ac:dyDescent="0.4">
      <c r="A422" s="24"/>
      <c r="B422" s="25"/>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spans="1:26" ht="15.75" customHeight="1" x14ac:dyDescent="0.4">
      <c r="A423" s="24"/>
      <c r="B423" s="25"/>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spans="1:26" ht="15.75" customHeight="1" x14ac:dyDescent="0.4">
      <c r="A424" s="24"/>
      <c r="B424" s="25"/>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spans="1:26" ht="15.75" customHeight="1" x14ac:dyDescent="0.4">
      <c r="A425" s="24"/>
      <c r="B425" s="25"/>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spans="1:26" ht="15.75" customHeight="1" x14ac:dyDescent="0.4">
      <c r="A426" s="24"/>
      <c r="B426" s="25"/>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spans="1:26" ht="15.75" customHeight="1" x14ac:dyDescent="0.4">
      <c r="A427" s="24"/>
      <c r="B427" s="25"/>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spans="1:26" ht="15.75" customHeight="1" x14ac:dyDescent="0.4">
      <c r="A428" s="24"/>
      <c r="B428" s="25"/>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spans="1:26" ht="15.75" customHeight="1" x14ac:dyDescent="0.4">
      <c r="A429" s="24"/>
      <c r="B429" s="25"/>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spans="1:26" ht="15.75" customHeight="1" x14ac:dyDescent="0.4">
      <c r="A430" s="24"/>
      <c r="B430" s="25"/>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spans="1:26" ht="15.75" customHeight="1" x14ac:dyDescent="0.4">
      <c r="A431" s="24"/>
      <c r="B431" s="25"/>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spans="1:26" ht="15.75" customHeight="1" x14ac:dyDescent="0.4">
      <c r="A432" s="24"/>
      <c r="B432" s="25"/>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spans="1:26" ht="15.75" customHeight="1" x14ac:dyDescent="0.4">
      <c r="A433" s="24"/>
      <c r="B433" s="25"/>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spans="1:26" ht="15.75" customHeight="1" x14ac:dyDescent="0.4">
      <c r="A434" s="24"/>
      <c r="B434" s="25"/>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spans="1:26" ht="15.75" customHeight="1" x14ac:dyDescent="0.4">
      <c r="A435" s="24"/>
      <c r="B435" s="25"/>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spans="1:26" ht="15.75" customHeight="1" x14ac:dyDescent="0.4">
      <c r="A436" s="24"/>
      <c r="B436" s="25"/>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spans="1:26" ht="15.75" customHeight="1" x14ac:dyDescent="0.4">
      <c r="A437" s="24"/>
      <c r="B437" s="25"/>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spans="1:26" ht="15.75" customHeight="1" x14ac:dyDescent="0.4">
      <c r="A438" s="24"/>
      <c r="B438" s="25"/>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spans="1:26" ht="15.75" customHeight="1" x14ac:dyDescent="0.4">
      <c r="A439" s="24"/>
      <c r="B439" s="25"/>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spans="1:26" ht="15.75" customHeight="1" x14ac:dyDescent="0.4">
      <c r="A440" s="24"/>
      <c r="B440" s="25"/>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spans="1:26" ht="15.75" customHeight="1" x14ac:dyDescent="0.4">
      <c r="A441" s="24"/>
      <c r="B441" s="25"/>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spans="1:26" ht="15.75" customHeight="1" x14ac:dyDescent="0.4">
      <c r="A442" s="24"/>
      <c r="B442" s="25"/>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spans="1:26" ht="15.75" customHeight="1" x14ac:dyDescent="0.4">
      <c r="A443" s="24"/>
      <c r="B443" s="25"/>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spans="1:26" ht="15.75" customHeight="1" x14ac:dyDescent="0.4">
      <c r="A444" s="24"/>
      <c r="B444" s="25"/>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spans="1:26" ht="15.75" customHeight="1" x14ac:dyDescent="0.4">
      <c r="A445" s="24"/>
      <c r="B445" s="25"/>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spans="1:26" ht="15.75" customHeight="1" x14ac:dyDescent="0.4">
      <c r="A446" s="24"/>
      <c r="B446" s="25"/>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spans="1:26" ht="15.75" customHeight="1" x14ac:dyDescent="0.4">
      <c r="A447" s="24"/>
      <c r="B447" s="25"/>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spans="1:26" ht="15.75" customHeight="1" x14ac:dyDescent="0.4">
      <c r="A448" s="24"/>
      <c r="B448" s="25"/>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spans="1:26" ht="15.75" customHeight="1" x14ac:dyDescent="0.4">
      <c r="A449" s="24"/>
      <c r="B449" s="25"/>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spans="1:26" ht="15.75" customHeight="1" x14ac:dyDescent="0.4">
      <c r="A450" s="24"/>
      <c r="B450" s="25"/>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spans="1:26" ht="15.75" customHeight="1" x14ac:dyDescent="0.4">
      <c r="A451" s="24"/>
      <c r="B451" s="25"/>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spans="1:26" ht="15.75" customHeight="1" x14ac:dyDescent="0.4">
      <c r="A452" s="24"/>
      <c r="B452" s="25"/>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spans="1:26" ht="15.75" customHeight="1" x14ac:dyDescent="0.4">
      <c r="A453" s="24"/>
      <c r="B453" s="25"/>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spans="1:26" ht="15.75" customHeight="1" x14ac:dyDescent="0.4">
      <c r="A454" s="24"/>
      <c r="B454" s="25"/>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spans="1:26" ht="15.75" customHeight="1" x14ac:dyDescent="0.4">
      <c r="A455" s="24"/>
      <c r="B455" s="25"/>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spans="1:26" ht="15.75" customHeight="1" x14ac:dyDescent="0.4">
      <c r="A456" s="24"/>
      <c r="B456" s="25"/>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spans="1:26" ht="15.75" customHeight="1" x14ac:dyDescent="0.4">
      <c r="A457" s="24"/>
      <c r="B457" s="25"/>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spans="1:26" ht="15.75" customHeight="1" x14ac:dyDescent="0.4">
      <c r="A458" s="24"/>
      <c r="B458" s="25"/>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spans="1:26" ht="15.75" customHeight="1" x14ac:dyDescent="0.4">
      <c r="A459" s="24"/>
      <c r="B459" s="25"/>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spans="1:26" ht="15.75" customHeight="1" x14ac:dyDescent="0.4">
      <c r="A460" s="24"/>
      <c r="B460" s="25"/>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spans="1:26" ht="15.75" customHeight="1" x14ac:dyDescent="0.4">
      <c r="A461" s="24"/>
      <c r="B461" s="25"/>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spans="1:26" ht="15.75" customHeight="1" x14ac:dyDescent="0.4">
      <c r="A462" s="24"/>
      <c r="B462" s="25"/>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spans="1:26" ht="15.75" customHeight="1" x14ac:dyDescent="0.4">
      <c r="A463" s="24"/>
      <c r="B463" s="25"/>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spans="1:26" ht="15.75" customHeight="1" x14ac:dyDescent="0.4">
      <c r="A464" s="24"/>
      <c r="B464" s="25"/>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spans="1:26" ht="15.75" customHeight="1" x14ac:dyDescent="0.4">
      <c r="A465" s="24"/>
      <c r="B465" s="25"/>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spans="1:26" ht="15.75" customHeight="1" x14ac:dyDescent="0.4">
      <c r="A466" s="24"/>
      <c r="B466" s="25"/>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spans="1:26" ht="15.75" customHeight="1" x14ac:dyDescent="0.4">
      <c r="A467" s="24"/>
      <c r="B467" s="25"/>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spans="1:26" ht="15.75" customHeight="1" x14ac:dyDescent="0.4">
      <c r="A468" s="24"/>
      <c r="B468" s="25"/>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spans="1:26" ht="15.75" customHeight="1" x14ac:dyDescent="0.4">
      <c r="A469" s="24"/>
      <c r="B469" s="25"/>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spans="1:26" ht="15.75" customHeight="1" x14ac:dyDescent="0.4">
      <c r="A470" s="24"/>
      <c r="B470" s="25"/>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spans="1:26" ht="15.75" customHeight="1" x14ac:dyDescent="0.4">
      <c r="A471" s="24"/>
      <c r="B471" s="25"/>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spans="1:26" ht="15.75" customHeight="1" x14ac:dyDescent="0.4">
      <c r="A472" s="24"/>
      <c r="B472" s="25"/>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spans="1:26" ht="15.75" customHeight="1" x14ac:dyDescent="0.4">
      <c r="A473" s="24"/>
      <c r="B473" s="25"/>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spans="1:26" ht="15.75" customHeight="1" x14ac:dyDescent="0.4">
      <c r="A474" s="24"/>
      <c r="B474" s="25"/>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spans="1:26" ht="15.75" customHeight="1" x14ac:dyDescent="0.4">
      <c r="A475" s="24"/>
      <c r="B475" s="25"/>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spans="1:26" ht="15.75" customHeight="1" x14ac:dyDescent="0.4">
      <c r="A476" s="24"/>
      <c r="B476" s="25"/>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spans="1:26" ht="15.75" customHeight="1" x14ac:dyDescent="0.4">
      <c r="A477" s="24"/>
      <c r="B477" s="25"/>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spans="1:26" ht="15.75" customHeight="1" x14ac:dyDescent="0.4">
      <c r="A478" s="24"/>
      <c r="B478" s="25"/>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spans="1:26" ht="15.75" customHeight="1" x14ac:dyDescent="0.4">
      <c r="A479" s="24"/>
      <c r="B479" s="25"/>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spans="1:26" ht="15.75" customHeight="1" x14ac:dyDescent="0.4">
      <c r="A480" s="24"/>
      <c r="B480" s="25"/>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spans="1:26" ht="15.75" customHeight="1" x14ac:dyDescent="0.4">
      <c r="A481" s="24"/>
      <c r="B481" s="25"/>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spans="1:26" ht="15.75" customHeight="1" x14ac:dyDescent="0.4">
      <c r="A482" s="24"/>
      <c r="B482" s="25"/>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spans="1:26" ht="15.75" customHeight="1" x14ac:dyDescent="0.4">
      <c r="A483" s="24"/>
      <c r="B483" s="25"/>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spans="1:26" ht="15.75" customHeight="1" x14ac:dyDescent="0.4">
      <c r="A484" s="24"/>
      <c r="B484" s="25"/>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spans="1:26" ht="15.75" customHeight="1" x14ac:dyDescent="0.4">
      <c r="A485" s="24"/>
      <c r="B485" s="25"/>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spans="1:26" ht="15.75" customHeight="1" x14ac:dyDescent="0.4">
      <c r="A486" s="24"/>
      <c r="B486" s="25"/>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spans="1:26" ht="15.75" customHeight="1" x14ac:dyDescent="0.4">
      <c r="A487" s="24"/>
      <c r="B487" s="25"/>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spans="1:26" ht="15.75" customHeight="1" x14ac:dyDescent="0.4">
      <c r="A488" s="24"/>
      <c r="B488" s="25"/>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spans="1:26" ht="15.75" customHeight="1" x14ac:dyDescent="0.4">
      <c r="A489" s="24"/>
      <c r="B489" s="25"/>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spans="1:26" ht="15.75" customHeight="1" x14ac:dyDescent="0.4">
      <c r="A490" s="24"/>
      <c r="B490" s="25"/>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spans="1:26" ht="15.75" customHeight="1" x14ac:dyDescent="0.4">
      <c r="A491" s="24"/>
      <c r="B491" s="25"/>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spans="1:26" ht="15.75" customHeight="1" x14ac:dyDescent="0.4">
      <c r="A492" s="24"/>
      <c r="B492" s="25"/>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spans="1:26" ht="15.75" customHeight="1" x14ac:dyDescent="0.4">
      <c r="A493" s="24"/>
      <c r="B493" s="25"/>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spans="1:26" ht="15.75" customHeight="1" x14ac:dyDescent="0.4">
      <c r="A494" s="24"/>
      <c r="B494" s="25"/>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spans="1:26" ht="15.75" customHeight="1" x14ac:dyDescent="0.4">
      <c r="A495" s="24"/>
      <c r="B495" s="25"/>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spans="1:26" ht="15.75" customHeight="1" x14ac:dyDescent="0.4">
      <c r="A496" s="24"/>
      <c r="B496" s="25"/>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spans="1:26" ht="15.75" customHeight="1" x14ac:dyDescent="0.4">
      <c r="A497" s="24"/>
      <c r="B497" s="25"/>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spans="1:26" ht="15.75" customHeight="1" x14ac:dyDescent="0.4">
      <c r="A498" s="24"/>
      <c r="B498" s="25"/>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spans="1:26" ht="15.75" customHeight="1" x14ac:dyDescent="0.4">
      <c r="A499" s="24"/>
      <c r="B499" s="25"/>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spans="1:26" ht="15.75" customHeight="1" x14ac:dyDescent="0.4">
      <c r="A500" s="24"/>
      <c r="B500" s="25"/>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spans="1:26" ht="15.75" customHeight="1" x14ac:dyDescent="0.4">
      <c r="A501" s="24"/>
      <c r="B501" s="25"/>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spans="1:26" ht="15.75" customHeight="1" x14ac:dyDescent="0.4">
      <c r="A502" s="24"/>
      <c r="B502" s="25"/>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spans="1:26" ht="15.75" customHeight="1" x14ac:dyDescent="0.4">
      <c r="A503" s="24"/>
      <c r="B503" s="25"/>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spans="1:26" ht="15.75" customHeight="1" x14ac:dyDescent="0.4">
      <c r="A504" s="24"/>
      <c r="B504" s="25"/>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spans="1:26" ht="15.75" customHeight="1" x14ac:dyDescent="0.4">
      <c r="A505" s="24"/>
      <c r="B505" s="25"/>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spans="1:26" ht="15.75" customHeight="1" x14ac:dyDescent="0.4">
      <c r="A506" s="24"/>
      <c r="B506" s="25"/>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spans="1:26" ht="15.75" customHeight="1" x14ac:dyDescent="0.4">
      <c r="A507" s="24"/>
      <c r="B507" s="25"/>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spans="1:26" ht="15.75" customHeight="1" x14ac:dyDescent="0.4">
      <c r="A508" s="24"/>
      <c r="B508" s="25"/>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spans="1:26" ht="15.75" customHeight="1" x14ac:dyDescent="0.4">
      <c r="A509" s="24"/>
      <c r="B509" s="25"/>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spans="1:26" ht="15.75" customHeight="1" x14ac:dyDescent="0.4">
      <c r="A510" s="24"/>
      <c r="B510" s="25"/>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spans="1:26" ht="15.75" customHeight="1" x14ac:dyDescent="0.4">
      <c r="A511" s="24"/>
      <c r="B511" s="25"/>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spans="1:26" ht="15.75" customHeight="1" x14ac:dyDescent="0.4">
      <c r="A512" s="24"/>
      <c r="B512" s="25"/>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spans="1:26" ht="15.75" customHeight="1" x14ac:dyDescent="0.4">
      <c r="A513" s="24"/>
      <c r="B513" s="25"/>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spans="1:26" ht="15.75" customHeight="1" x14ac:dyDescent="0.4">
      <c r="A514" s="24"/>
      <c r="B514" s="25"/>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spans="1:26" ht="15.75" customHeight="1" x14ac:dyDescent="0.4">
      <c r="A515" s="24"/>
      <c r="B515" s="25"/>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spans="1:26" ht="15.75" customHeight="1" x14ac:dyDescent="0.4">
      <c r="A516" s="24"/>
      <c r="B516" s="25"/>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spans="1:26" ht="15.75" customHeight="1" x14ac:dyDescent="0.4">
      <c r="A517" s="24"/>
      <c r="B517" s="25"/>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spans="1:26" ht="15.75" customHeight="1" x14ac:dyDescent="0.4">
      <c r="A518" s="24"/>
      <c r="B518" s="25"/>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spans="1:26" ht="15.75" customHeight="1" x14ac:dyDescent="0.4">
      <c r="A519" s="24"/>
      <c r="B519" s="25"/>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spans="1:26" ht="15.75" customHeight="1" x14ac:dyDescent="0.4">
      <c r="A520" s="24"/>
      <c r="B520" s="25"/>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spans="1:26" ht="15.75" customHeight="1" x14ac:dyDescent="0.4">
      <c r="A521" s="24"/>
      <c r="B521" s="25"/>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spans="1:26" ht="15.75" customHeight="1" x14ac:dyDescent="0.4">
      <c r="A522" s="24"/>
      <c r="B522" s="25"/>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spans="1:26" ht="15.75" customHeight="1" x14ac:dyDescent="0.4">
      <c r="A523" s="24"/>
      <c r="B523" s="25"/>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spans="1:26" ht="15.75" customHeight="1" x14ac:dyDescent="0.4">
      <c r="A524" s="24"/>
      <c r="B524" s="25"/>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spans="1:26" ht="15.75" customHeight="1" x14ac:dyDescent="0.4">
      <c r="A525" s="24"/>
      <c r="B525" s="25"/>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spans="1:26" ht="15.75" customHeight="1" x14ac:dyDescent="0.4">
      <c r="A526" s="24"/>
      <c r="B526" s="25"/>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spans="1:26" ht="15.75" customHeight="1" x14ac:dyDescent="0.4">
      <c r="A527" s="24"/>
      <c r="B527" s="25"/>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spans="1:26" ht="15.75" customHeight="1" x14ac:dyDescent="0.4">
      <c r="A528" s="24"/>
      <c r="B528" s="25"/>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spans="1:26" ht="15.75" customHeight="1" x14ac:dyDescent="0.4">
      <c r="A529" s="24"/>
      <c r="B529" s="25"/>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spans="1:26" ht="15.75" customHeight="1" x14ac:dyDescent="0.4">
      <c r="A530" s="24"/>
      <c r="B530" s="25"/>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spans="1:26" ht="15.75" customHeight="1" x14ac:dyDescent="0.4">
      <c r="A531" s="24"/>
      <c r="B531" s="25"/>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spans="1:26" ht="15.75" customHeight="1" x14ac:dyDescent="0.4">
      <c r="A532" s="24"/>
      <c r="B532" s="25"/>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spans="1:26" ht="15.75" customHeight="1" x14ac:dyDescent="0.4">
      <c r="A533" s="24"/>
      <c r="B533" s="25"/>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spans="1:26" ht="15.75" customHeight="1" x14ac:dyDescent="0.4">
      <c r="A534" s="24"/>
      <c r="B534" s="25"/>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spans="1:26" ht="15.75" customHeight="1" x14ac:dyDescent="0.4">
      <c r="A535" s="24"/>
      <c r="B535" s="25"/>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spans="1:26" ht="15.75" customHeight="1" x14ac:dyDescent="0.4">
      <c r="A536" s="24"/>
      <c r="B536" s="25"/>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spans="1:26" ht="15.75" customHeight="1" x14ac:dyDescent="0.4">
      <c r="A537" s="24"/>
      <c r="B537" s="25"/>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spans="1:26" ht="15.75" customHeight="1" x14ac:dyDescent="0.4">
      <c r="A538" s="24"/>
      <c r="B538" s="25"/>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spans="1:26" ht="15.75" customHeight="1" x14ac:dyDescent="0.4">
      <c r="A539" s="24"/>
      <c r="B539" s="25"/>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spans="1:26" ht="15.75" customHeight="1" x14ac:dyDescent="0.4">
      <c r="A540" s="24"/>
      <c r="B540" s="25"/>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spans="1:26" ht="15.75" customHeight="1" x14ac:dyDescent="0.4">
      <c r="A541" s="24"/>
      <c r="B541" s="25"/>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spans="1:26" ht="15.75" customHeight="1" x14ac:dyDescent="0.4">
      <c r="A542" s="24"/>
      <c r="B542" s="25"/>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spans="1:26" ht="15.75" customHeight="1" x14ac:dyDescent="0.4">
      <c r="A543" s="24"/>
      <c r="B543" s="25"/>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spans="1:26" ht="15.75" customHeight="1" x14ac:dyDescent="0.4">
      <c r="A544" s="24"/>
      <c r="B544" s="25"/>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spans="1:26" ht="15.75" customHeight="1" x14ac:dyDescent="0.4">
      <c r="A545" s="24"/>
      <c r="B545" s="25"/>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spans="1:26" ht="15.75" customHeight="1" x14ac:dyDescent="0.4">
      <c r="A546" s="24"/>
      <c r="B546" s="25"/>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spans="1:26" ht="15.75" customHeight="1" x14ac:dyDescent="0.4">
      <c r="A547" s="24"/>
      <c r="B547" s="25"/>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spans="1:26" ht="15.75" customHeight="1" x14ac:dyDescent="0.4">
      <c r="A548" s="24"/>
      <c r="B548" s="25"/>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spans="1:26" ht="15.75" customHeight="1" x14ac:dyDescent="0.4">
      <c r="A549" s="24"/>
      <c r="B549" s="25"/>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spans="1:26" ht="15.75" customHeight="1" x14ac:dyDescent="0.4">
      <c r="A550" s="24"/>
      <c r="B550" s="25"/>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spans="1:26" ht="15.75" customHeight="1" x14ac:dyDescent="0.4">
      <c r="A551" s="24"/>
      <c r="B551" s="25"/>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spans="1:26" ht="15.75" customHeight="1" x14ac:dyDescent="0.4">
      <c r="A552" s="24"/>
      <c r="B552" s="25"/>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spans="1:26" ht="15.75" customHeight="1" x14ac:dyDescent="0.4">
      <c r="A553" s="24"/>
      <c r="B553" s="25"/>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spans="1:26" ht="15.75" customHeight="1" x14ac:dyDescent="0.4">
      <c r="A554" s="24"/>
      <c r="B554" s="25"/>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spans="1:26" ht="15.75" customHeight="1" x14ac:dyDescent="0.4">
      <c r="A555" s="24"/>
      <c r="B555" s="25"/>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spans="1:26" ht="15.75" customHeight="1" x14ac:dyDescent="0.4">
      <c r="A556" s="24"/>
      <c r="B556" s="25"/>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spans="1:26" ht="15.75" customHeight="1" x14ac:dyDescent="0.4">
      <c r="A557" s="24"/>
      <c r="B557" s="25"/>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spans="1:26" ht="15.75" customHeight="1" x14ac:dyDescent="0.4">
      <c r="A558" s="24"/>
      <c r="B558" s="25"/>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spans="1:26" ht="15.75" customHeight="1" x14ac:dyDescent="0.4">
      <c r="A559" s="24"/>
      <c r="B559" s="25"/>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spans="1:26" ht="15.75" customHeight="1" x14ac:dyDescent="0.4">
      <c r="A560" s="24"/>
      <c r="B560" s="25"/>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spans="1:26" ht="15.75" customHeight="1" x14ac:dyDescent="0.4">
      <c r="A561" s="24"/>
      <c r="B561" s="25"/>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spans="1:26" ht="15.75" customHeight="1" x14ac:dyDescent="0.4">
      <c r="A562" s="24"/>
      <c r="B562" s="25"/>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spans="1:26" ht="15.75" customHeight="1" x14ac:dyDescent="0.4">
      <c r="A563" s="24"/>
      <c r="B563" s="25"/>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spans="1:26" ht="15.75" customHeight="1" x14ac:dyDescent="0.4">
      <c r="A564" s="24"/>
      <c r="B564" s="25"/>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spans="1:26" ht="15.75" customHeight="1" x14ac:dyDescent="0.4">
      <c r="A565" s="24"/>
      <c r="B565" s="25"/>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spans="1:26" ht="15.75" customHeight="1" x14ac:dyDescent="0.4">
      <c r="A566" s="24"/>
      <c r="B566" s="25"/>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spans="1:26" ht="15.75" customHeight="1" x14ac:dyDescent="0.4">
      <c r="A567" s="24"/>
      <c r="B567" s="25"/>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spans="1:26" ht="15.75" customHeight="1" x14ac:dyDescent="0.4">
      <c r="A568" s="24"/>
      <c r="B568" s="25"/>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spans="1:26" ht="15.75" customHeight="1" x14ac:dyDescent="0.4">
      <c r="A569" s="24"/>
      <c r="B569" s="25"/>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spans="1:26" ht="15.75" customHeight="1" x14ac:dyDescent="0.4">
      <c r="A570" s="24"/>
      <c r="B570" s="25"/>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spans="1:26" ht="15.75" customHeight="1" x14ac:dyDescent="0.4">
      <c r="A571" s="24"/>
      <c r="B571" s="25"/>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spans="1:26" ht="15.75" customHeight="1" x14ac:dyDescent="0.4">
      <c r="A572" s="24"/>
      <c r="B572" s="25"/>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spans="1:26" ht="15.75" customHeight="1" x14ac:dyDescent="0.4">
      <c r="A573" s="24"/>
      <c r="B573" s="25"/>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spans="1:26" ht="15.75" customHeight="1" x14ac:dyDescent="0.4">
      <c r="A574" s="24"/>
      <c r="B574" s="25"/>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spans="1:26" ht="15.75" customHeight="1" x14ac:dyDescent="0.4">
      <c r="A575" s="24"/>
      <c r="B575" s="25"/>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spans="1:26" ht="15.75" customHeight="1" x14ac:dyDescent="0.4">
      <c r="A576" s="24"/>
      <c r="B576" s="25"/>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spans="1:26" ht="15.75" customHeight="1" x14ac:dyDescent="0.4">
      <c r="A577" s="24"/>
      <c r="B577" s="25"/>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spans="1:26" ht="15.75" customHeight="1" x14ac:dyDescent="0.4">
      <c r="A578" s="24"/>
      <c r="B578" s="25"/>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spans="1:26" ht="15.75" customHeight="1" x14ac:dyDescent="0.4">
      <c r="A579" s="24"/>
      <c r="B579" s="25"/>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spans="1:26" ht="15.75" customHeight="1" x14ac:dyDescent="0.4">
      <c r="A580" s="24"/>
      <c r="B580" s="25"/>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spans="1:26" ht="15.75" customHeight="1" x14ac:dyDescent="0.4">
      <c r="A581" s="24"/>
      <c r="B581" s="25"/>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spans="1:26" ht="15.75" customHeight="1" x14ac:dyDescent="0.4">
      <c r="A582" s="24"/>
      <c r="B582" s="25"/>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spans="1:26" ht="15.75" customHeight="1" x14ac:dyDescent="0.4">
      <c r="A583" s="24"/>
      <c r="B583" s="25"/>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spans="1:26" ht="15.75" customHeight="1" x14ac:dyDescent="0.4">
      <c r="A584" s="24"/>
      <c r="B584" s="25"/>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spans="1:26" ht="15.75" customHeight="1" x14ac:dyDescent="0.4">
      <c r="A585" s="24"/>
      <c r="B585" s="25"/>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spans="1:26" ht="15.75" customHeight="1" x14ac:dyDescent="0.4">
      <c r="A586" s="24"/>
      <c r="B586" s="25"/>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spans="1:26" ht="15.75" customHeight="1" x14ac:dyDescent="0.4">
      <c r="A587" s="24"/>
      <c r="B587" s="25"/>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spans="1:26" ht="15.75" customHeight="1" x14ac:dyDescent="0.4">
      <c r="A588" s="24"/>
      <c r="B588" s="25"/>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spans="1:26" ht="15.75" customHeight="1" x14ac:dyDescent="0.4">
      <c r="A589" s="24"/>
      <c r="B589" s="25"/>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spans="1:26" ht="15.75" customHeight="1" x14ac:dyDescent="0.4">
      <c r="A590" s="24"/>
      <c r="B590" s="25"/>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spans="1:26" ht="15.75" customHeight="1" x14ac:dyDescent="0.4">
      <c r="A591" s="24"/>
      <c r="B591" s="25"/>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spans="1:26" ht="15.75" customHeight="1" x14ac:dyDescent="0.4">
      <c r="A592" s="24"/>
      <c r="B592" s="25"/>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spans="1:26" ht="15.75" customHeight="1" x14ac:dyDescent="0.4">
      <c r="A593" s="24"/>
      <c r="B593" s="25"/>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spans="1:26" ht="15.75" customHeight="1" x14ac:dyDescent="0.4">
      <c r="A594" s="24"/>
      <c r="B594" s="25"/>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spans="1:26" ht="15.75" customHeight="1" x14ac:dyDescent="0.4">
      <c r="A595" s="24"/>
      <c r="B595" s="25"/>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spans="1:26" ht="15.75" customHeight="1" x14ac:dyDescent="0.4">
      <c r="A596" s="24"/>
      <c r="B596" s="25"/>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spans="1:26" ht="15.75" customHeight="1" x14ac:dyDescent="0.4">
      <c r="A597" s="24"/>
      <c r="B597" s="25"/>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spans="1:26" ht="15.75" customHeight="1" x14ac:dyDescent="0.4">
      <c r="A598" s="24"/>
      <c r="B598" s="25"/>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spans="1:26" ht="15.75" customHeight="1" x14ac:dyDescent="0.4">
      <c r="A599" s="24"/>
      <c r="B599" s="25"/>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spans="1:26" ht="15.75" customHeight="1" x14ac:dyDescent="0.4">
      <c r="A600" s="24"/>
      <c r="B600" s="25"/>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spans="1:26" ht="15.75" customHeight="1" x14ac:dyDescent="0.4">
      <c r="A601" s="24"/>
      <c r="B601" s="25"/>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spans="1:26" ht="15.75" customHeight="1" x14ac:dyDescent="0.4">
      <c r="A602" s="24"/>
      <c r="B602" s="25"/>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spans="1:26" ht="15.75" customHeight="1" x14ac:dyDescent="0.4">
      <c r="A603" s="24"/>
      <c r="B603" s="25"/>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spans="1:26" ht="15.75" customHeight="1" x14ac:dyDescent="0.4">
      <c r="A604" s="24"/>
      <c r="B604" s="25"/>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spans="1:26" ht="15.75" customHeight="1" x14ac:dyDescent="0.4">
      <c r="A605" s="24"/>
      <c r="B605" s="25"/>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spans="1:26" ht="15.75" customHeight="1" x14ac:dyDescent="0.4">
      <c r="A606" s="24"/>
      <c r="B606" s="25"/>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spans="1:26" ht="15.75" customHeight="1" x14ac:dyDescent="0.4">
      <c r="A607" s="24"/>
      <c r="B607" s="25"/>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spans="1:26" ht="15.75" customHeight="1" x14ac:dyDescent="0.4">
      <c r="A608" s="24"/>
      <c r="B608" s="25"/>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spans="1:26" ht="15.75" customHeight="1" x14ac:dyDescent="0.4">
      <c r="A609" s="24"/>
      <c r="B609" s="25"/>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spans="1:26" ht="15.75" customHeight="1" x14ac:dyDescent="0.4">
      <c r="A610" s="24"/>
      <c r="B610" s="25"/>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spans="1:26" ht="15.75" customHeight="1" x14ac:dyDescent="0.4">
      <c r="A611" s="24"/>
      <c r="B611" s="25"/>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spans="1:26" ht="15.75" customHeight="1" x14ac:dyDescent="0.4">
      <c r="A612" s="24"/>
      <c r="B612" s="25"/>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spans="1:26" ht="15.75" customHeight="1" x14ac:dyDescent="0.4">
      <c r="A613" s="24"/>
      <c r="B613" s="25"/>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spans="1:26" ht="15.75" customHeight="1" x14ac:dyDescent="0.4">
      <c r="A614" s="24"/>
      <c r="B614" s="25"/>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spans="1:26" ht="15.75" customHeight="1" x14ac:dyDescent="0.4">
      <c r="A615" s="24"/>
      <c r="B615" s="25"/>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spans="1:26" ht="15.75" customHeight="1" x14ac:dyDescent="0.4">
      <c r="A616" s="24"/>
      <c r="B616" s="25"/>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spans="1:26" ht="15.75" customHeight="1" x14ac:dyDescent="0.4">
      <c r="A617" s="24"/>
      <c r="B617" s="25"/>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spans="1:26" ht="15.75" customHeight="1" x14ac:dyDescent="0.4">
      <c r="A618" s="24"/>
      <c r="B618" s="25"/>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spans="1:26" ht="15.75" customHeight="1" x14ac:dyDescent="0.4">
      <c r="A619" s="24"/>
      <c r="B619" s="25"/>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spans="1:26" ht="15.75" customHeight="1" x14ac:dyDescent="0.4">
      <c r="A620" s="24"/>
      <c r="B620" s="25"/>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spans="1:26" ht="15.75" customHeight="1" x14ac:dyDescent="0.4">
      <c r="A621" s="24"/>
      <c r="B621" s="25"/>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spans="1:26" ht="15.75" customHeight="1" x14ac:dyDescent="0.4">
      <c r="A622" s="24"/>
      <c r="B622" s="25"/>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spans="1:26" ht="15.75" customHeight="1" x14ac:dyDescent="0.4">
      <c r="A623" s="24"/>
      <c r="B623" s="25"/>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spans="1:26" ht="15.75" customHeight="1" x14ac:dyDescent="0.4">
      <c r="A624" s="24"/>
      <c r="B624" s="25"/>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spans="1:26" ht="15.75" customHeight="1" x14ac:dyDescent="0.4">
      <c r="A625" s="24"/>
      <c r="B625" s="25"/>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spans="1:26" ht="15.75" customHeight="1" x14ac:dyDescent="0.4">
      <c r="A626" s="24"/>
      <c r="B626" s="25"/>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spans="1:26" ht="15.75" customHeight="1" x14ac:dyDescent="0.4">
      <c r="A627" s="24"/>
      <c r="B627" s="25"/>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spans="1:26" ht="15.75" customHeight="1" x14ac:dyDescent="0.4">
      <c r="A628" s="24"/>
      <c r="B628" s="25"/>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spans="1:26" ht="15.75" customHeight="1" x14ac:dyDescent="0.4">
      <c r="A629" s="24"/>
      <c r="B629" s="25"/>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spans="1:26" ht="15.75" customHeight="1" x14ac:dyDescent="0.4">
      <c r="A630" s="24"/>
      <c r="B630" s="25"/>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spans="1:26" ht="15.75" customHeight="1" x14ac:dyDescent="0.4">
      <c r="A631" s="24"/>
      <c r="B631" s="25"/>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spans="1:26" ht="15.75" customHeight="1" x14ac:dyDescent="0.4">
      <c r="A632" s="24"/>
      <c r="B632" s="25"/>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spans="1:26" ht="15.75" customHeight="1" x14ac:dyDescent="0.4">
      <c r="A633" s="24"/>
      <c r="B633" s="25"/>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spans="1:26" ht="15.75" customHeight="1" x14ac:dyDescent="0.4">
      <c r="A634" s="24"/>
      <c r="B634" s="25"/>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spans="1:26" ht="15.75" customHeight="1" x14ac:dyDescent="0.4">
      <c r="A635" s="24"/>
      <c r="B635" s="25"/>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spans="1:26" ht="15.75" customHeight="1" x14ac:dyDescent="0.4">
      <c r="A636" s="24"/>
      <c r="B636" s="25"/>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spans="1:26" ht="15.75" customHeight="1" x14ac:dyDescent="0.4">
      <c r="A637" s="24"/>
      <c r="B637" s="25"/>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spans="1:26" ht="15.75" customHeight="1" x14ac:dyDescent="0.4">
      <c r="A638" s="24"/>
      <c r="B638" s="25"/>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spans="1:26" ht="15.75" customHeight="1" x14ac:dyDescent="0.4">
      <c r="A639" s="24"/>
      <c r="B639" s="25"/>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spans="1:26" ht="15.75" customHeight="1" x14ac:dyDescent="0.4">
      <c r="A640" s="24"/>
      <c r="B640" s="25"/>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spans="1:26" ht="15.75" customHeight="1" x14ac:dyDescent="0.4">
      <c r="A641" s="24"/>
      <c r="B641" s="25"/>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spans="1:26" ht="15.75" customHeight="1" x14ac:dyDescent="0.4">
      <c r="A642" s="24"/>
      <c r="B642" s="25"/>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spans="1:26" ht="15.75" customHeight="1" x14ac:dyDescent="0.4">
      <c r="A643" s="24"/>
      <c r="B643" s="25"/>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spans="1:26" ht="15.75" customHeight="1" x14ac:dyDescent="0.4">
      <c r="A644" s="24"/>
      <c r="B644" s="25"/>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spans="1:26" ht="15.75" customHeight="1" x14ac:dyDescent="0.4">
      <c r="A645" s="24"/>
      <c r="B645" s="25"/>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spans="1:26" ht="15.75" customHeight="1" x14ac:dyDescent="0.4">
      <c r="A646" s="24"/>
      <c r="B646" s="25"/>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spans="1:26" ht="15.75" customHeight="1" x14ac:dyDescent="0.4">
      <c r="A647" s="24"/>
      <c r="B647" s="25"/>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spans="1:26" ht="15.75" customHeight="1" x14ac:dyDescent="0.4">
      <c r="A648" s="24"/>
      <c r="B648" s="25"/>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spans="1:26" ht="15.75" customHeight="1" x14ac:dyDescent="0.4">
      <c r="A649" s="24"/>
      <c r="B649" s="25"/>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spans="1:26" ht="15.75" customHeight="1" x14ac:dyDescent="0.4">
      <c r="A650" s="24"/>
      <c r="B650" s="25"/>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spans="1:26" ht="15.75" customHeight="1" x14ac:dyDescent="0.4">
      <c r="A651" s="24"/>
      <c r="B651" s="25"/>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spans="1:26" ht="15.75" customHeight="1" x14ac:dyDescent="0.4">
      <c r="A652" s="24"/>
      <c r="B652" s="25"/>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spans="1:26" ht="15.75" customHeight="1" x14ac:dyDescent="0.4">
      <c r="A653" s="24"/>
      <c r="B653" s="25"/>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spans="1:26" ht="15.75" customHeight="1" x14ac:dyDescent="0.4">
      <c r="A654" s="24"/>
      <c r="B654" s="25"/>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spans="1:26" ht="15.75" customHeight="1" x14ac:dyDescent="0.4">
      <c r="A655" s="24"/>
      <c r="B655" s="25"/>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spans="1:26" ht="15.75" customHeight="1" x14ac:dyDescent="0.4">
      <c r="A656" s="24"/>
      <c r="B656" s="25"/>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spans="1:26" ht="15.75" customHeight="1" x14ac:dyDescent="0.4">
      <c r="A657" s="24"/>
      <c r="B657" s="25"/>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spans="1:26" ht="15.75" customHeight="1" x14ac:dyDescent="0.4">
      <c r="A658" s="24"/>
      <c r="B658" s="25"/>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spans="1:26" ht="15.75" customHeight="1" x14ac:dyDescent="0.4">
      <c r="A659" s="24"/>
      <c r="B659" s="25"/>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spans="1:26" ht="15.75" customHeight="1" x14ac:dyDescent="0.4">
      <c r="A660" s="24"/>
      <c r="B660" s="25"/>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spans="1:26" ht="15.75" customHeight="1" x14ac:dyDescent="0.4">
      <c r="A661" s="24"/>
      <c r="B661" s="25"/>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spans="1:26" ht="15.75" customHeight="1" x14ac:dyDescent="0.4">
      <c r="A662" s="24"/>
      <c r="B662" s="25"/>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spans="1:26" ht="15.75" customHeight="1" x14ac:dyDescent="0.4">
      <c r="A663" s="24"/>
      <c r="B663" s="25"/>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spans="1:26" ht="15.75" customHeight="1" x14ac:dyDescent="0.4">
      <c r="A664" s="24"/>
      <c r="B664" s="25"/>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spans="1:26" ht="15.75" customHeight="1" x14ac:dyDescent="0.4">
      <c r="A665" s="24"/>
      <c r="B665" s="25"/>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spans="1:26" ht="15.75" customHeight="1" x14ac:dyDescent="0.4">
      <c r="A666" s="24"/>
      <c r="B666" s="25"/>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spans="1:26" ht="15.75" customHeight="1" x14ac:dyDescent="0.4">
      <c r="A667" s="24"/>
      <c r="B667" s="25"/>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spans="1:26" ht="15.75" customHeight="1" x14ac:dyDescent="0.4">
      <c r="A668" s="24"/>
      <c r="B668" s="25"/>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spans="1:26" ht="15.75" customHeight="1" x14ac:dyDescent="0.4">
      <c r="A669" s="24"/>
      <c r="B669" s="25"/>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spans="1:26" ht="15.75" customHeight="1" x14ac:dyDescent="0.4">
      <c r="A670" s="24"/>
      <c r="B670" s="25"/>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spans="1:26" ht="15.75" customHeight="1" x14ac:dyDescent="0.4">
      <c r="A671" s="24"/>
      <c r="B671" s="25"/>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spans="1:26" ht="15.75" customHeight="1" x14ac:dyDescent="0.4">
      <c r="A672" s="24"/>
      <c r="B672" s="25"/>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spans="1:26" ht="15.75" customHeight="1" x14ac:dyDescent="0.4">
      <c r="A673" s="24"/>
      <c r="B673" s="25"/>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spans="1:26" ht="15.75" customHeight="1" x14ac:dyDescent="0.4">
      <c r="A674" s="24"/>
      <c r="B674" s="25"/>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spans="1:26" ht="15.75" customHeight="1" x14ac:dyDescent="0.4">
      <c r="A675" s="24"/>
      <c r="B675" s="25"/>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spans="1:26" ht="15.75" customHeight="1" x14ac:dyDescent="0.4">
      <c r="A676" s="24"/>
      <c r="B676" s="25"/>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spans="1:26" ht="15.75" customHeight="1" x14ac:dyDescent="0.4">
      <c r="A677" s="24"/>
      <c r="B677" s="25"/>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spans="1:26" ht="15.75" customHeight="1" x14ac:dyDescent="0.4">
      <c r="A678" s="24"/>
      <c r="B678" s="25"/>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spans="1:26" ht="15.75" customHeight="1" x14ac:dyDescent="0.4">
      <c r="A679" s="24"/>
      <c r="B679" s="25"/>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spans="1:26" ht="15.75" customHeight="1" x14ac:dyDescent="0.4">
      <c r="A680" s="24"/>
      <c r="B680" s="25"/>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spans="1:26" ht="15.75" customHeight="1" x14ac:dyDescent="0.4">
      <c r="A681" s="24"/>
      <c r="B681" s="25"/>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spans="1:26" ht="15.75" customHeight="1" x14ac:dyDescent="0.4">
      <c r="A682" s="24"/>
      <c r="B682" s="25"/>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spans="1:26" ht="15.75" customHeight="1" x14ac:dyDescent="0.4">
      <c r="A683" s="24"/>
      <c r="B683" s="25"/>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spans="1:26" ht="15.75" customHeight="1" x14ac:dyDescent="0.4">
      <c r="A684" s="24"/>
      <c r="B684" s="25"/>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spans="1:26" ht="15.75" customHeight="1" x14ac:dyDescent="0.4">
      <c r="A685" s="24"/>
      <c r="B685" s="25"/>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spans="1:26" ht="15.75" customHeight="1" x14ac:dyDescent="0.4">
      <c r="A686" s="24"/>
      <c r="B686" s="25"/>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spans="1:26" ht="15.75" customHeight="1" x14ac:dyDescent="0.4">
      <c r="A687" s="24"/>
      <c r="B687" s="25"/>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spans="1:26" ht="15.75" customHeight="1" x14ac:dyDescent="0.4">
      <c r="A688" s="24"/>
      <c r="B688" s="25"/>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spans="1:26" ht="15.75" customHeight="1" x14ac:dyDescent="0.4">
      <c r="A689" s="24"/>
      <c r="B689" s="25"/>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spans="1:26" ht="15.75" customHeight="1" x14ac:dyDescent="0.4">
      <c r="A690" s="24"/>
      <c r="B690" s="25"/>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spans="1:26" ht="15.75" customHeight="1" x14ac:dyDescent="0.4">
      <c r="A691" s="24"/>
      <c r="B691" s="25"/>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spans="1:26" ht="15.75" customHeight="1" x14ac:dyDescent="0.4">
      <c r="A692" s="24"/>
      <c r="B692" s="25"/>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spans="1:26" ht="15.75" customHeight="1" x14ac:dyDescent="0.4">
      <c r="A693" s="24"/>
      <c r="B693" s="25"/>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spans="1:26" ht="15.75" customHeight="1" x14ac:dyDescent="0.4">
      <c r="A694" s="24"/>
      <c r="B694" s="25"/>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spans="1:26" ht="15.75" customHeight="1" x14ac:dyDescent="0.4">
      <c r="A695" s="24"/>
      <c r="B695" s="25"/>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spans="1:26" ht="15.75" customHeight="1" x14ac:dyDescent="0.4">
      <c r="A696" s="24"/>
      <c r="B696" s="25"/>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spans="1:26" ht="15.75" customHeight="1" x14ac:dyDescent="0.4">
      <c r="A697" s="24"/>
      <c r="B697" s="25"/>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spans="1:26" ht="15.75" customHeight="1" x14ac:dyDescent="0.4">
      <c r="A698" s="24"/>
      <c r="B698" s="25"/>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spans="1:26" ht="15.75" customHeight="1" x14ac:dyDescent="0.4">
      <c r="A699" s="24"/>
      <c r="B699" s="25"/>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spans="1:26" ht="15.75" customHeight="1" x14ac:dyDescent="0.4">
      <c r="A700" s="24"/>
      <c r="B700" s="25"/>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spans="1:26" ht="15.75" customHeight="1" x14ac:dyDescent="0.4">
      <c r="A701" s="24"/>
      <c r="B701" s="25"/>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spans="1:26" ht="15.75" customHeight="1" x14ac:dyDescent="0.4">
      <c r="A702" s="24"/>
      <c r="B702" s="25"/>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spans="1:26" ht="15.75" customHeight="1" x14ac:dyDescent="0.4">
      <c r="A703" s="24"/>
      <c r="B703" s="25"/>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spans="1:26" ht="15.75" customHeight="1" x14ac:dyDescent="0.4">
      <c r="A704" s="24"/>
      <c r="B704" s="25"/>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spans="1:26" ht="15.75" customHeight="1" x14ac:dyDescent="0.4">
      <c r="A705" s="24"/>
      <c r="B705" s="25"/>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spans="1:26" ht="15.75" customHeight="1" x14ac:dyDescent="0.4">
      <c r="A706" s="24"/>
      <c r="B706" s="25"/>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spans="1:26" ht="15.75" customHeight="1" x14ac:dyDescent="0.4">
      <c r="A707" s="24"/>
      <c r="B707" s="25"/>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spans="1:26" ht="15.75" customHeight="1" x14ac:dyDescent="0.4">
      <c r="A708" s="24"/>
      <c r="B708" s="25"/>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spans="1:26" ht="15.75" customHeight="1" x14ac:dyDescent="0.4">
      <c r="A709" s="24"/>
      <c r="B709" s="25"/>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spans="1:26" ht="15.75" customHeight="1" x14ac:dyDescent="0.4">
      <c r="A710" s="24"/>
      <c r="B710" s="25"/>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spans="1:26" ht="15.75" customHeight="1" x14ac:dyDescent="0.4">
      <c r="A711" s="24"/>
      <c r="B711" s="25"/>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spans="1:26" ht="15.75" customHeight="1" x14ac:dyDescent="0.4">
      <c r="A712" s="24"/>
      <c r="B712" s="25"/>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spans="1:26" ht="15.75" customHeight="1" x14ac:dyDescent="0.4">
      <c r="A713" s="24"/>
      <c r="B713" s="25"/>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spans="1:26" ht="15.75" customHeight="1" x14ac:dyDescent="0.4">
      <c r="A714" s="24"/>
      <c r="B714" s="25"/>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spans="1:26" ht="15.75" customHeight="1" x14ac:dyDescent="0.4">
      <c r="A715" s="24"/>
      <c r="B715" s="25"/>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spans="1:26" ht="15.75" customHeight="1" x14ac:dyDescent="0.4">
      <c r="A716" s="24"/>
      <c r="B716" s="25"/>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spans="1:26" ht="15.75" customHeight="1" x14ac:dyDescent="0.4">
      <c r="A717" s="24"/>
      <c r="B717" s="25"/>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spans="1:26" ht="15.75" customHeight="1" x14ac:dyDescent="0.4">
      <c r="A718" s="24"/>
      <c r="B718" s="25"/>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spans="1:26" ht="15.75" customHeight="1" x14ac:dyDescent="0.4">
      <c r="A719" s="24"/>
      <c r="B719" s="25"/>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spans="1:26" ht="15.75" customHeight="1" x14ac:dyDescent="0.4">
      <c r="A720" s="24"/>
      <c r="B720" s="25"/>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spans="1:26" ht="15.75" customHeight="1" x14ac:dyDescent="0.4">
      <c r="A721" s="24"/>
      <c r="B721" s="25"/>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spans="1:26" ht="15.75" customHeight="1" x14ac:dyDescent="0.4">
      <c r="A722" s="24"/>
      <c r="B722" s="25"/>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spans="1:26" ht="15.75" customHeight="1" x14ac:dyDescent="0.4">
      <c r="A723" s="24"/>
      <c r="B723" s="25"/>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spans="1:26" ht="15.75" customHeight="1" x14ac:dyDescent="0.4">
      <c r="A724" s="24"/>
      <c r="B724" s="25"/>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spans="1:26" ht="15.75" customHeight="1" x14ac:dyDescent="0.4">
      <c r="A725" s="24"/>
      <c r="B725" s="25"/>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spans="1:26" ht="15.75" customHeight="1" x14ac:dyDescent="0.4">
      <c r="A726" s="24"/>
      <c r="B726" s="25"/>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spans="1:26" ht="15.75" customHeight="1" x14ac:dyDescent="0.4">
      <c r="A727" s="24"/>
      <c r="B727" s="25"/>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spans="1:26" ht="15.75" customHeight="1" x14ac:dyDescent="0.4">
      <c r="A728" s="24"/>
      <c r="B728" s="25"/>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spans="1:26" ht="15.75" customHeight="1" x14ac:dyDescent="0.4">
      <c r="A729" s="24"/>
      <c r="B729" s="25"/>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spans="1:26" ht="15.75" customHeight="1" x14ac:dyDescent="0.4">
      <c r="A730" s="24"/>
      <c r="B730" s="25"/>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spans="1:26" ht="15.75" customHeight="1" x14ac:dyDescent="0.4">
      <c r="A731" s="24"/>
      <c r="B731" s="25"/>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spans="1:26" ht="15.75" customHeight="1" x14ac:dyDescent="0.4">
      <c r="A732" s="24"/>
      <c r="B732" s="25"/>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spans="1:26" ht="15.75" customHeight="1" x14ac:dyDescent="0.4">
      <c r="A733" s="24"/>
      <c r="B733" s="25"/>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spans="1:26" ht="15.75" customHeight="1" x14ac:dyDescent="0.4">
      <c r="A734" s="24"/>
      <c r="B734" s="25"/>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spans="1:26" ht="15.75" customHeight="1" x14ac:dyDescent="0.4">
      <c r="A735" s="24"/>
      <c r="B735" s="25"/>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spans="1:26" ht="15.75" customHeight="1" x14ac:dyDescent="0.4">
      <c r="A736" s="24"/>
      <c r="B736" s="25"/>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spans="1:26" ht="15.75" customHeight="1" x14ac:dyDescent="0.4">
      <c r="A737" s="24"/>
      <c r="B737" s="25"/>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spans="1:26" ht="15.75" customHeight="1" x14ac:dyDescent="0.4">
      <c r="A738" s="24"/>
      <c r="B738" s="25"/>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spans="1:26" ht="15.75" customHeight="1" x14ac:dyDescent="0.4">
      <c r="A739" s="24"/>
      <c r="B739" s="25"/>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spans="1:26" ht="15.75" customHeight="1" x14ac:dyDescent="0.4">
      <c r="A740" s="24"/>
      <c r="B740" s="25"/>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spans="1:26" ht="15.75" customHeight="1" x14ac:dyDescent="0.4">
      <c r="A741" s="24"/>
      <c r="B741" s="25"/>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spans="1:26" ht="15.75" customHeight="1" x14ac:dyDescent="0.4">
      <c r="A742" s="24"/>
      <c r="B742" s="25"/>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spans="1:26" ht="15.75" customHeight="1" x14ac:dyDescent="0.4">
      <c r="A743" s="24"/>
      <c r="B743" s="25"/>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spans="1:26" ht="15.75" customHeight="1" x14ac:dyDescent="0.4">
      <c r="A744" s="24"/>
      <c r="B744" s="25"/>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spans="1:26" ht="15.75" customHeight="1" x14ac:dyDescent="0.4">
      <c r="A745" s="24"/>
      <c r="B745" s="25"/>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spans="1:26" ht="15.75" customHeight="1" x14ac:dyDescent="0.4">
      <c r="A746" s="24"/>
      <c r="B746" s="25"/>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spans="1:26" ht="15.75" customHeight="1" x14ac:dyDescent="0.4">
      <c r="A747" s="24"/>
      <c r="B747" s="25"/>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spans="1:26" ht="15.75" customHeight="1" x14ac:dyDescent="0.4">
      <c r="A748" s="24"/>
      <c r="B748" s="25"/>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spans="1:26" ht="15.75" customHeight="1" x14ac:dyDescent="0.4">
      <c r="A749" s="24"/>
      <c r="B749" s="25"/>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spans="1:26" ht="15.75" customHeight="1" x14ac:dyDescent="0.4">
      <c r="A750" s="24"/>
      <c r="B750" s="25"/>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spans="1:26" ht="15.75" customHeight="1" x14ac:dyDescent="0.4">
      <c r="A751" s="24"/>
      <c r="B751" s="25"/>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spans="1:26" ht="15.75" customHeight="1" x14ac:dyDescent="0.4">
      <c r="A752" s="24"/>
      <c r="B752" s="25"/>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spans="1:26" ht="15.75" customHeight="1" x14ac:dyDescent="0.4">
      <c r="A753" s="24"/>
      <c r="B753" s="25"/>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spans="1:26" ht="15.75" customHeight="1" x14ac:dyDescent="0.4">
      <c r="A754" s="24"/>
      <c r="B754" s="25"/>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spans="1:26" ht="15.75" customHeight="1" x14ac:dyDescent="0.4">
      <c r="A755" s="24"/>
      <c r="B755" s="25"/>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spans="1:26" ht="15.75" customHeight="1" x14ac:dyDescent="0.4">
      <c r="A756" s="24"/>
      <c r="B756" s="25"/>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spans="1:26" ht="15.75" customHeight="1" x14ac:dyDescent="0.4">
      <c r="A757" s="24"/>
      <c r="B757" s="25"/>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spans="1:26" ht="15.75" customHeight="1" x14ac:dyDescent="0.4">
      <c r="A758" s="24"/>
      <c r="B758" s="25"/>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spans="1:26" ht="15.75" customHeight="1" x14ac:dyDescent="0.4">
      <c r="A759" s="24"/>
      <c r="B759" s="25"/>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spans="1:26" ht="15.75" customHeight="1" x14ac:dyDescent="0.4">
      <c r="A760" s="24"/>
      <c r="B760" s="25"/>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spans="1:26" ht="15.75" customHeight="1" x14ac:dyDescent="0.4">
      <c r="A761" s="24"/>
      <c r="B761" s="25"/>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spans="1:26" ht="15.75" customHeight="1" x14ac:dyDescent="0.4">
      <c r="A762" s="24"/>
      <c r="B762" s="25"/>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spans="1:26" ht="15.75" customHeight="1" x14ac:dyDescent="0.4">
      <c r="A763" s="24"/>
      <c r="B763" s="25"/>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spans="1:26" ht="15.75" customHeight="1" x14ac:dyDescent="0.4">
      <c r="A764" s="24"/>
      <c r="B764" s="25"/>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spans="1:26" ht="15.75" customHeight="1" x14ac:dyDescent="0.4">
      <c r="A765" s="24"/>
      <c r="B765" s="25"/>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spans="1:26" ht="15.75" customHeight="1" x14ac:dyDescent="0.4">
      <c r="A766" s="24"/>
      <c r="B766" s="25"/>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spans="1:26" ht="15.75" customHeight="1" x14ac:dyDescent="0.4">
      <c r="A767" s="24"/>
      <c r="B767" s="25"/>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spans="1:26" ht="15.75" customHeight="1" x14ac:dyDescent="0.4">
      <c r="A768" s="24"/>
      <c r="B768" s="25"/>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spans="1:26" ht="15.75" customHeight="1" x14ac:dyDescent="0.4">
      <c r="A769" s="24"/>
      <c r="B769" s="25"/>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spans="1:26" ht="15.75" customHeight="1" x14ac:dyDescent="0.4">
      <c r="A770" s="24"/>
      <c r="B770" s="25"/>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spans="1:26" ht="15.75" customHeight="1" x14ac:dyDescent="0.4">
      <c r="A771" s="24"/>
      <c r="B771" s="25"/>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spans="1:26" ht="15.75" customHeight="1" x14ac:dyDescent="0.4">
      <c r="A772" s="24"/>
      <c r="B772" s="25"/>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spans="1:26" ht="15.75" customHeight="1" x14ac:dyDescent="0.4">
      <c r="A773" s="24"/>
      <c r="B773" s="25"/>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spans="1:26" ht="15.75" customHeight="1" x14ac:dyDescent="0.4">
      <c r="A774" s="24"/>
      <c r="B774" s="25"/>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spans="1:26" ht="15.75" customHeight="1" x14ac:dyDescent="0.4">
      <c r="A775" s="24"/>
      <c r="B775" s="25"/>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spans="1:26" ht="15.75" customHeight="1" x14ac:dyDescent="0.4">
      <c r="A776" s="24"/>
      <c r="B776" s="25"/>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spans="1:26" ht="15.75" customHeight="1" x14ac:dyDescent="0.4">
      <c r="A777" s="24"/>
      <c r="B777" s="25"/>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spans="1:26" ht="15.75" customHeight="1" x14ac:dyDescent="0.4">
      <c r="A778" s="24"/>
      <c r="B778" s="25"/>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spans="1:26" ht="15.75" customHeight="1" x14ac:dyDescent="0.4">
      <c r="A779" s="24"/>
      <c r="B779" s="25"/>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spans="1:26" ht="15.75" customHeight="1" x14ac:dyDescent="0.4">
      <c r="A780" s="24"/>
      <c r="B780" s="25"/>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spans="1:26" ht="15.75" customHeight="1" x14ac:dyDescent="0.4">
      <c r="A781" s="24"/>
      <c r="B781" s="25"/>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spans="1:26" ht="15.75" customHeight="1" x14ac:dyDescent="0.4">
      <c r="A782" s="24"/>
      <c r="B782" s="25"/>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spans="1:26" ht="15.75" customHeight="1" x14ac:dyDescent="0.4">
      <c r="A783" s="24"/>
      <c r="B783" s="25"/>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spans="1:26" ht="15.75" customHeight="1" x14ac:dyDescent="0.4">
      <c r="A784" s="24"/>
      <c r="B784" s="25"/>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spans="1:26" ht="15.75" customHeight="1" x14ac:dyDescent="0.4">
      <c r="A785" s="24"/>
      <c r="B785" s="25"/>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spans="1:26" ht="15.75" customHeight="1" x14ac:dyDescent="0.4">
      <c r="A786" s="24"/>
      <c r="B786" s="25"/>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spans="1:26" ht="15.75" customHeight="1" x14ac:dyDescent="0.4">
      <c r="A787" s="24"/>
      <c r="B787" s="25"/>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spans="1:26" ht="15.75" customHeight="1" x14ac:dyDescent="0.4">
      <c r="A788" s="24"/>
      <c r="B788" s="25"/>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spans="1:26" ht="15.75" customHeight="1" x14ac:dyDescent="0.4">
      <c r="A789" s="24"/>
      <c r="B789" s="25"/>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spans="1:26" ht="15.75" customHeight="1" x14ac:dyDescent="0.4">
      <c r="A790" s="24"/>
      <c r="B790" s="25"/>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spans="1:26" ht="15.75" customHeight="1" x14ac:dyDescent="0.4">
      <c r="A791" s="24"/>
      <c r="B791" s="25"/>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spans="1:26" ht="15.75" customHeight="1" x14ac:dyDescent="0.4">
      <c r="A792" s="24"/>
      <c r="B792" s="25"/>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spans="1:26" ht="15.75" customHeight="1" x14ac:dyDescent="0.4">
      <c r="A793" s="24"/>
      <c r="B793" s="25"/>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spans="1:26" ht="15.75" customHeight="1" x14ac:dyDescent="0.4">
      <c r="A794" s="24"/>
      <c r="B794" s="25"/>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spans="1:26" ht="15.75" customHeight="1" x14ac:dyDescent="0.4">
      <c r="A795" s="24"/>
      <c r="B795" s="25"/>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spans="1:26" ht="15.75" customHeight="1" x14ac:dyDescent="0.4">
      <c r="A796" s="24"/>
      <c r="B796" s="25"/>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spans="1:26" ht="15.75" customHeight="1" x14ac:dyDescent="0.4">
      <c r="A797" s="24"/>
      <c r="B797" s="25"/>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spans="1:26" ht="15.75" customHeight="1" x14ac:dyDescent="0.4">
      <c r="A798" s="24"/>
      <c r="B798" s="25"/>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spans="1:26" ht="15.75" customHeight="1" x14ac:dyDescent="0.4">
      <c r="A799" s="24"/>
      <c r="B799" s="25"/>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spans="1:26" ht="15.75" customHeight="1" x14ac:dyDescent="0.4">
      <c r="A800" s="24"/>
      <c r="B800" s="25"/>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spans="1:26" ht="15.75" customHeight="1" x14ac:dyDescent="0.4">
      <c r="A801" s="24"/>
      <c r="B801" s="25"/>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spans="1:26" ht="15.75" customHeight="1" x14ac:dyDescent="0.4">
      <c r="A802" s="24"/>
      <c r="B802" s="25"/>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spans="1:26" ht="15.75" customHeight="1" x14ac:dyDescent="0.4">
      <c r="A803" s="24"/>
      <c r="B803" s="25"/>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spans="1:26" ht="15.75" customHeight="1" x14ac:dyDescent="0.4">
      <c r="A804" s="24"/>
      <c r="B804" s="25"/>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spans="1:26" ht="15.75" customHeight="1" x14ac:dyDescent="0.4">
      <c r="A805" s="24"/>
      <c r="B805" s="25"/>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spans="1:26" ht="15.75" customHeight="1" x14ac:dyDescent="0.4">
      <c r="A806" s="24"/>
      <c r="B806" s="25"/>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spans="1:26" ht="15.75" customHeight="1" x14ac:dyDescent="0.4">
      <c r="A807" s="24"/>
      <c r="B807" s="25"/>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spans="1:26" ht="15.75" customHeight="1" x14ac:dyDescent="0.4">
      <c r="A808" s="24"/>
      <c r="B808" s="25"/>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spans="1:26" ht="15.75" customHeight="1" x14ac:dyDescent="0.4">
      <c r="A809" s="24"/>
      <c r="B809" s="25"/>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spans="1:26" ht="15.75" customHeight="1" x14ac:dyDescent="0.4">
      <c r="A810" s="24"/>
      <c r="B810" s="25"/>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spans="1:26" ht="15.75" customHeight="1" x14ac:dyDescent="0.4">
      <c r="A811" s="24"/>
      <c r="B811" s="25"/>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spans="1:26" ht="15.75" customHeight="1" x14ac:dyDescent="0.4">
      <c r="A812" s="24"/>
      <c r="B812" s="25"/>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spans="1:26" ht="15.75" customHeight="1" x14ac:dyDescent="0.4">
      <c r="A813" s="24"/>
      <c r="B813" s="25"/>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spans="1:26" ht="15.75" customHeight="1" x14ac:dyDescent="0.4">
      <c r="A814" s="24"/>
      <c r="B814" s="25"/>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spans="1:26" ht="15.75" customHeight="1" x14ac:dyDescent="0.4">
      <c r="A815" s="24"/>
      <c r="B815" s="25"/>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spans="1:26" ht="15.75" customHeight="1" x14ac:dyDescent="0.4">
      <c r="A816" s="24"/>
      <c r="B816" s="25"/>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spans="1:26" ht="15.75" customHeight="1" x14ac:dyDescent="0.4">
      <c r="A817" s="24"/>
      <c r="B817" s="25"/>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spans="1:26" ht="15.75" customHeight="1" x14ac:dyDescent="0.4">
      <c r="A818" s="24"/>
      <c r="B818" s="25"/>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spans="1:26" ht="15.75" customHeight="1" x14ac:dyDescent="0.4">
      <c r="A819" s="24"/>
      <c r="B819" s="25"/>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spans="1:26" ht="15.75" customHeight="1" x14ac:dyDescent="0.4">
      <c r="A820" s="24"/>
      <c r="B820" s="25"/>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spans="1:26" ht="15.75" customHeight="1" x14ac:dyDescent="0.4">
      <c r="A821" s="24"/>
      <c r="B821" s="25"/>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spans="1:26" ht="15.75" customHeight="1" x14ac:dyDescent="0.4">
      <c r="A822" s="24"/>
      <c r="B822" s="25"/>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spans="1:26" ht="15.75" customHeight="1" x14ac:dyDescent="0.4">
      <c r="A823" s="24"/>
      <c r="B823" s="25"/>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spans="1:26" ht="15.75" customHeight="1" x14ac:dyDescent="0.4">
      <c r="A824" s="24"/>
      <c r="B824" s="25"/>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spans="1:26" ht="15.75" customHeight="1" x14ac:dyDescent="0.4">
      <c r="A825" s="24"/>
      <c r="B825" s="25"/>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spans="1:26" ht="15.75" customHeight="1" x14ac:dyDescent="0.4">
      <c r="A826" s="24"/>
      <c r="B826" s="25"/>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spans="1:26" ht="15.75" customHeight="1" x14ac:dyDescent="0.4">
      <c r="A827" s="24"/>
      <c r="B827" s="25"/>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spans="1:26" ht="15.75" customHeight="1" x14ac:dyDescent="0.4">
      <c r="A828" s="24"/>
      <c r="B828" s="25"/>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spans="1:26" ht="15.75" customHeight="1" x14ac:dyDescent="0.4">
      <c r="A829" s="24"/>
      <c r="B829" s="25"/>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spans="1:26" ht="15.75" customHeight="1" x14ac:dyDescent="0.4">
      <c r="A830" s="24"/>
      <c r="B830" s="25"/>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spans="1:26" ht="15.75" customHeight="1" x14ac:dyDescent="0.4">
      <c r="A831" s="24"/>
      <c r="B831" s="25"/>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spans="1:26" ht="15.75" customHeight="1" x14ac:dyDescent="0.4">
      <c r="A832" s="24"/>
      <c r="B832" s="25"/>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spans="1:26" ht="15.75" customHeight="1" x14ac:dyDescent="0.4">
      <c r="A833" s="24"/>
      <c r="B833" s="25"/>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spans="1:26" ht="15.75" customHeight="1" x14ac:dyDescent="0.4">
      <c r="A834" s="24"/>
      <c r="B834" s="25"/>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spans="1:26" ht="15.75" customHeight="1" x14ac:dyDescent="0.4">
      <c r="A835" s="24"/>
      <c r="B835" s="25"/>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spans="1:26" ht="15.75" customHeight="1" x14ac:dyDescent="0.4">
      <c r="A836" s="24"/>
      <c r="B836" s="25"/>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spans="1:26" ht="15.75" customHeight="1" x14ac:dyDescent="0.4">
      <c r="A837" s="24"/>
      <c r="B837" s="25"/>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spans="1:26" ht="15.75" customHeight="1" x14ac:dyDescent="0.4">
      <c r="A838" s="24"/>
      <c r="B838" s="25"/>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spans="1:26" ht="15.75" customHeight="1" x14ac:dyDescent="0.4">
      <c r="A839" s="24"/>
      <c r="B839" s="25"/>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spans="1:26" ht="15.75" customHeight="1" x14ac:dyDescent="0.4">
      <c r="A840" s="24"/>
      <c r="B840" s="25"/>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spans="1:26" ht="15.75" customHeight="1" x14ac:dyDescent="0.4">
      <c r="A841" s="24"/>
      <c r="B841" s="25"/>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spans="1:26" ht="15.75" customHeight="1" x14ac:dyDescent="0.4">
      <c r="A842" s="24"/>
      <c r="B842" s="25"/>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spans="1:26" ht="15.75" customHeight="1" x14ac:dyDescent="0.4">
      <c r="A843" s="24"/>
      <c r="B843" s="25"/>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spans="1:26" ht="15.75" customHeight="1" x14ac:dyDescent="0.4">
      <c r="A844" s="24"/>
      <c r="B844" s="25"/>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spans="1:26" ht="15.75" customHeight="1" x14ac:dyDescent="0.4">
      <c r="A845" s="24"/>
      <c r="B845" s="25"/>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spans="1:26" ht="15.75" customHeight="1" x14ac:dyDescent="0.4">
      <c r="A846" s="24"/>
      <c r="B846" s="25"/>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spans="1:26" ht="15.75" customHeight="1" x14ac:dyDescent="0.4">
      <c r="A847" s="24"/>
      <c r="B847" s="25"/>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spans="1:26" ht="15.75" customHeight="1" x14ac:dyDescent="0.4">
      <c r="A848" s="24"/>
      <c r="B848" s="25"/>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spans="1:26" ht="15.75" customHeight="1" x14ac:dyDescent="0.4">
      <c r="A849" s="24"/>
      <c r="B849" s="25"/>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spans="1:26" ht="15.75" customHeight="1" x14ac:dyDescent="0.4">
      <c r="A850" s="24"/>
      <c r="B850" s="25"/>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spans="1:26" ht="15.75" customHeight="1" x14ac:dyDescent="0.4">
      <c r="A851" s="24"/>
      <c r="B851" s="25"/>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spans="1:26" ht="15.75" customHeight="1" x14ac:dyDescent="0.4">
      <c r="A852" s="24"/>
      <c r="B852" s="25"/>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spans="1:26" ht="15.75" customHeight="1" x14ac:dyDescent="0.4">
      <c r="A853" s="24"/>
      <c r="B853" s="25"/>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spans="1:26" ht="15.75" customHeight="1" x14ac:dyDescent="0.4">
      <c r="A854" s="24"/>
      <c r="B854" s="25"/>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spans="1:26" ht="15.75" customHeight="1" x14ac:dyDescent="0.4">
      <c r="A855" s="24"/>
      <c r="B855" s="25"/>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spans="1:26" ht="15.75" customHeight="1" x14ac:dyDescent="0.4">
      <c r="A856" s="24"/>
      <c r="B856" s="25"/>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spans="1:26" ht="15.75" customHeight="1" x14ac:dyDescent="0.4">
      <c r="A857" s="24"/>
      <c r="B857" s="25"/>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spans="1:26" ht="15.75" customHeight="1" x14ac:dyDescent="0.4">
      <c r="A858" s="24"/>
      <c r="B858" s="25"/>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spans="1:26" ht="15.75" customHeight="1" x14ac:dyDescent="0.4">
      <c r="A859" s="24"/>
      <c r="B859" s="25"/>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spans="1:26" ht="15.75" customHeight="1" x14ac:dyDescent="0.4">
      <c r="A860" s="24"/>
      <c r="B860" s="25"/>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spans="1:26" ht="15.75" customHeight="1" x14ac:dyDescent="0.4">
      <c r="A861" s="24"/>
      <c r="B861" s="25"/>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spans="1:26" ht="15.75" customHeight="1" x14ac:dyDescent="0.4">
      <c r="A862" s="24"/>
      <c r="B862" s="25"/>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spans="1:26" ht="15.75" customHeight="1" x14ac:dyDescent="0.4">
      <c r="A863" s="24"/>
      <c r="B863" s="25"/>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spans="1:26" ht="15.75" customHeight="1" x14ac:dyDescent="0.4">
      <c r="A864" s="24"/>
      <c r="B864" s="25"/>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spans="1:26" ht="15.75" customHeight="1" x14ac:dyDescent="0.4">
      <c r="A865" s="24"/>
      <c r="B865" s="25"/>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spans="1:26" ht="15.75" customHeight="1" x14ac:dyDescent="0.4">
      <c r="A866" s="24"/>
      <c r="B866" s="25"/>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spans="1:26" ht="15.75" customHeight="1" x14ac:dyDescent="0.4">
      <c r="A867" s="24"/>
      <c r="B867" s="25"/>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spans="1:26" ht="15.75" customHeight="1" x14ac:dyDescent="0.4">
      <c r="A868" s="24"/>
      <c r="B868" s="25"/>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spans="1:26" ht="15.75" customHeight="1" x14ac:dyDescent="0.4">
      <c r="A869" s="24"/>
      <c r="B869" s="25"/>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spans="1:26" ht="15.75" customHeight="1" x14ac:dyDescent="0.4">
      <c r="A870" s="24"/>
      <c r="B870" s="25"/>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spans="1:26" ht="15.75" customHeight="1" x14ac:dyDescent="0.4">
      <c r="A871" s="24"/>
      <c r="B871" s="25"/>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spans="1:26" ht="15.75" customHeight="1" x14ac:dyDescent="0.4">
      <c r="A872" s="24"/>
      <c r="B872" s="25"/>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spans="1:26" ht="15.75" customHeight="1" x14ac:dyDescent="0.4">
      <c r="A873" s="24"/>
      <c r="B873" s="25"/>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spans="1:26" ht="15.75" customHeight="1" x14ac:dyDescent="0.4">
      <c r="A874" s="24"/>
      <c r="B874" s="25"/>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spans="1:26" ht="15.75" customHeight="1" x14ac:dyDescent="0.4">
      <c r="A875" s="24"/>
      <c r="B875" s="25"/>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spans="1:26" ht="15.75" customHeight="1" x14ac:dyDescent="0.4">
      <c r="A876" s="24"/>
      <c r="B876" s="25"/>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spans="1:26" ht="15.75" customHeight="1" x14ac:dyDescent="0.4">
      <c r="A877" s="24"/>
      <c r="B877" s="25"/>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spans="1:26" ht="15.75" customHeight="1" x14ac:dyDescent="0.4">
      <c r="A878" s="24"/>
      <c r="B878" s="25"/>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spans="1:26" ht="15.75" customHeight="1" x14ac:dyDescent="0.4">
      <c r="A879" s="24"/>
      <c r="B879" s="25"/>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spans="1:26" ht="15.75" customHeight="1" x14ac:dyDescent="0.4">
      <c r="A880" s="24"/>
      <c r="B880" s="25"/>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spans="1:26" ht="15.75" customHeight="1" x14ac:dyDescent="0.4">
      <c r="A881" s="24"/>
      <c r="B881" s="25"/>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spans="1:26" ht="15.75" customHeight="1" x14ac:dyDescent="0.4">
      <c r="A882" s="24"/>
      <c r="B882" s="25"/>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spans="1:26" ht="15.75" customHeight="1" x14ac:dyDescent="0.4">
      <c r="A883" s="24"/>
      <c r="B883" s="25"/>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spans="1:26" ht="15.75" customHeight="1" x14ac:dyDescent="0.4">
      <c r="A884" s="24"/>
      <c r="B884" s="25"/>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spans="1:26" ht="15.75" customHeight="1" x14ac:dyDescent="0.4">
      <c r="A885" s="24"/>
      <c r="B885" s="25"/>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spans="1:26" ht="15.75" customHeight="1" x14ac:dyDescent="0.4">
      <c r="A886" s="24"/>
      <c r="B886" s="25"/>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spans="1:26" ht="15.75" customHeight="1" x14ac:dyDescent="0.4">
      <c r="A887" s="24"/>
      <c r="B887" s="25"/>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spans="1:26" ht="15.75" customHeight="1" x14ac:dyDescent="0.4">
      <c r="A888" s="24"/>
      <c r="B888" s="25"/>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spans="1:26" ht="15.75" customHeight="1" x14ac:dyDescent="0.4">
      <c r="A889" s="24"/>
      <c r="B889" s="25"/>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spans="1:26" ht="15.75" customHeight="1" x14ac:dyDescent="0.4">
      <c r="A890" s="24"/>
      <c r="B890" s="25"/>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spans="1:26" ht="15.75" customHeight="1" x14ac:dyDescent="0.4">
      <c r="A891" s="24"/>
      <c r="B891" s="25"/>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spans="1:26" ht="15.75" customHeight="1" x14ac:dyDescent="0.4">
      <c r="A892" s="24"/>
      <c r="B892" s="25"/>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spans="1:26" ht="15.75" customHeight="1" x14ac:dyDescent="0.4">
      <c r="A893" s="24"/>
      <c r="B893" s="25"/>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spans="1:26" ht="15.75" customHeight="1" x14ac:dyDescent="0.4">
      <c r="A894" s="24"/>
      <c r="B894" s="25"/>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spans="1:26" ht="15.75" customHeight="1" x14ac:dyDescent="0.4">
      <c r="A895" s="24"/>
      <c r="B895" s="25"/>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spans="1:26" ht="15.75" customHeight="1" x14ac:dyDescent="0.4">
      <c r="A896" s="24"/>
      <c r="B896" s="25"/>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spans="1:26" ht="15.75" customHeight="1" x14ac:dyDescent="0.4">
      <c r="A897" s="24"/>
      <c r="B897" s="25"/>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spans="1:26" ht="15.75" customHeight="1" x14ac:dyDescent="0.4">
      <c r="A898" s="24"/>
      <c r="B898" s="25"/>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spans="1:26" ht="15.75" customHeight="1" x14ac:dyDescent="0.4">
      <c r="A899" s="24"/>
      <c r="B899" s="25"/>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spans="1:26" ht="15.75" customHeight="1" x14ac:dyDescent="0.4">
      <c r="A900" s="24"/>
      <c r="B900" s="25"/>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spans="1:26" ht="15.75" customHeight="1" x14ac:dyDescent="0.4">
      <c r="A901" s="24"/>
      <c r="B901" s="25"/>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spans="1:26" ht="15.75" customHeight="1" x14ac:dyDescent="0.4">
      <c r="A902" s="24"/>
      <c r="B902" s="25"/>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spans="1:26" ht="15.75" customHeight="1" x14ac:dyDescent="0.4">
      <c r="A903" s="24"/>
      <c r="B903" s="25"/>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spans="1:26" ht="15.75" customHeight="1" x14ac:dyDescent="0.4">
      <c r="A904" s="24"/>
      <c r="B904" s="25"/>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spans="1:26" ht="15.75" customHeight="1" x14ac:dyDescent="0.4">
      <c r="A905" s="24"/>
      <c r="B905" s="25"/>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spans="1:26" ht="15.75" customHeight="1" x14ac:dyDescent="0.4">
      <c r="A906" s="24"/>
      <c r="B906" s="25"/>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spans="1:26" ht="15.75" customHeight="1" x14ac:dyDescent="0.4">
      <c r="A907" s="24"/>
      <c r="B907" s="25"/>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spans="1:26" ht="15.75" customHeight="1" x14ac:dyDescent="0.4">
      <c r="A908" s="24"/>
      <c r="B908" s="25"/>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spans="1:26" ht="15.75" customHeight="1" x14ac:dyDescent="0.4">
      <c r="A909" s="24"/>
      <c r="B909" s="25"/>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spans="1:26" ht="15.75" customHeight="1" x14ac:dyDescent="0.4">
      <c r="A910" s="24"/>
      <c r="B910" s="25"/>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spans="1:26" ht="15.75" customHeight="1" x14ac:dyDescent="0.4">
      <c r="A911" s="24"/>
      <c r="B911" s="25"/>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spans="1:26" ht="15.75" customHeight="1" x14ac:dyDescent="0.4">
      <c r="A912" s="24"/>
      <c r="B912" s="25"/>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spans="1:26" ht="15.75" customHeight="1" x14ac:dyDescent="0.4">
      <c r="A913" s="24"/>
      <c r="B913" s="25"/>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spans="1:26" ht="15.75" customHeight="1" x14ac:dyDescent="0.4">
      <c r="A914" s="24"/>
      <c r="B914" s="25"/>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spans="1:26" ht="15.75" customHeight="1" x14ac:dyDescent="0.4">
      <c r="A915" s="24"/>
      <c r="B915" s="25"/>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spans="1:26" ht="15.75" customHeight="1" x14ac:dyDescent="0.4">
      <c r="A916" s="24"/>
      <c r="B916" s="25"/>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spans="1:26" ht="15.75" customHeight="1" x14ac:dyDescent="0.4">
      <c r="A917" s="24"/>
      <c r="B917" s="25"/>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spans="1:26" ht="15.75" customHeight="1" x14ac:dyDescent="0.4">
      <c r="A918" s="24"/>
      <c r="B918" s="25"/>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spans="1:26" ht="15.75" customHeight="1" x14ac:dyDescent="0.4">
      <c r="A919" s="24"/>
      <c r="B919" s="25"/>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spans="1:26" ht="15.75" customHeight="1" x14ac:dyDescent="0.4">
      <c r="A920" s="24"/>
      <c r="B920" s="25"/>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spans="1:26" ht="15.75" customHeight="1" x14ac:dyDescent="0.4">
      <c r="A921" s="24"/>
      <c r="B921" s="25"/>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spans="1:26" ht="15.75" customHeight="1" x14ac:dyDescent="0.4">
      <c r="A922" s="24"/>
      <c r="B922" s="25"/>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spans="1:26" ht="15.75" customHeight="1" x14ac:dyDescent="0.4">
      <c r="A923" s="24"/>
      <c r="B923" s="25"/>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spans="1:26" ht="15.75" customHeight="1" x14ac:dyDescent="0.4">
      <c r="A924" s="24"/>
      <c r="B924" s="25"/>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spans="1:26" ht="15.75" customHeight="1" x14ac:dyDescent="0.4">
      <c r="A925" s="24"/>
      <c r="B925" s="25"/>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spans="1:26" ht="15.75" customHeight="1" x14ac:dyDescent="0.4">
      <c r="A926" s="24"/>
      <c r="B926" s="25"/>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spans="1:26" ht="15.75" customHeight="1" x14ac:dyDescent="0.4">
      <c r="A927" s="24"/>
      <c r="B927" s="25"/>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spans="1:26" ht="15.75" customHeight="1" x14ac:dyDescent="0.4">
      <c r="A928" s="24"/>
      <c r="B928" s="25"/>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spans="1:26" ht="15.75" customHeight="1" x14ac:dyDescent="0.4">
      <c r="A929" s="24"/>
      <c r="B929" s="25"/>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spans="1:26" ht="15.75" customHeight="1" x14ac:dyDescent="0.4">
      <c r="A930" s="24"/>
      <c r="B930" s="25"/>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spans="1:26" ht="15.75" customHeight="1" x14ac:dyDescent="0.4">
      <c r="A931" s="24"/>
      <c r="B931" s="25"/>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spans="1:26" ht="15.75" customHeight="1" x14ac:dyDescent="0.4">
      <c r="A932" s="24"/>
      <c r="B932" s="25"/>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spans="1:26" ht="15.75" customHeight="1" x14ac:dyDescent="0.4">
      <c r="A933" s="24"/>
      <c r="B933" s="25"/>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spans="1:26" ht="15.75" customHeight="1" x14ac:dyDescent="0.4">
      <c r="A934" s="24"/>
      <c r="B934" s="25"/>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spans="1:26" ht="15.75" customHeight="1" x14ac:dyDescent="0.4">
      <c r="A935" s="24"/>
      <c r="B935" s="25"/>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spans="1:26" ht="15.75" customHeight="1" x14ac:dyDescent="0.4">
      <c r="A936" s="24"/>
      <c r="B936" s="25"/>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spans="1:26" ht="15.75" customHeight="1" x14ac:dyDescent="0.4">
      <c r="A937" s="24"/>
      <c r="B937" s="25"/>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spans="1:26" ht="15.75" customHeight="1" x14ac:dyDescent="0.4">
      <c r="A938" s="24"/>
      <c r="B938" s="25"/>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spans="1:26" ht="15.75" customHeight="1" x14ac:dyDescent="0.4">
      <c r="A939" s="24"/>
      <c r="B939" s="25"/>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spans="1:26" ht="15.75" customHeight="1" x14ac:dyDescent="0.4">
      <c r="A940" s="24"/>
      <c r="B940" s="25"/>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spans="1:26" ht="15.75" customHeight="1" x14ac:dyDescent="0.4">
      <c r="A941" s="24"/>
      <c r="B941" s="25"/>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spans="1:26" ht="15.75" customHeight="1" x14ac:dyDescent="0.4">
      <c r="A942" s="24"/>
      <c r="B942" s="25"/>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spans="1:26" ht="15.75" customHeight="1" x14ac:dyDescent="0.4">
      <c r="A943" s="24"/>
      <c r="B943" s="25"/>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spans="1:26" ht="15.75" customHeight="1" x14ac:dyDescent="0.4">
      <c r="A944" s="24"/>
      <c r="B944" s="25"/>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spans="1:26" ht="15.75" customHeight="1" x14ac:dyDescent="0.4">
      <c r="A945" s="24"/>
      <c r="B945" s="25"/>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spans="1:26" ht="15.75" customHeight="1" x14ac:dyDescent="0.4">
      <c r="A946" s="24"/>
      <c r="B946" s="25"/>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spans="1:26" ht="15.75" customHeight="1" x14ac:dyDescent="0.4">
      <c r="A947" s="24"/>
      <c r="B947" s="25"/>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spans="1:26" ht="15.75" customHeight="1" x14ac:dyDescent="0.4">
      <c r="A948" s="24"/>
      <c r="B948" s="25"/>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spans="1:26" ht="15.75" customHeight="1" x14ac:dyDescent="0.4">
      <c r="A949" s="24"/>
      <c r="B949" s="25"/>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spans="1:26" ht="15.75" customHeight="1" x14ac:dyDescent="0.4">
      <c r="A950" s="24"/>
      <c r="B950" s="25"/>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spans="1:26" ht="15.75" customHeight="1" x14ac:dyDescent="0.4">
      <c r="A951" s="24"/>
      <c r="B951" s="25"/>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spans="1:26" ht="15.75" customHeight="1" x14ac:dyDescent="0.4">
      <c r="A952" s="24"/>
      <c r="B952" s="25"/>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spans="1:26" ht="15.75" customHeight="1" x14ac:dyDescent="0.4">
      <c r="A953" s="24"/>
      <c r="B953" s="25"/>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spans="1:26" ht="15.75" customHeight="1" x14ac:dyDescent="0.4">
      <c r="A954" s="24"/>
      <c r="B954" s="25"/>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spans="1:26" ht="15.75" customHeight="1" x14ac:dyDescent="0.4">
      <c r="A955" s="24"/>
      <c r="B955" s="25"/>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spans="1:26" ht="15.75" customHeight="1" x14ac:dyDescent="0.4">
      <c r="A956" s="24"/>
      <c r="B956" s="25"/>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spans="1:26" ht="15.75" customHeight="1" x14ac:dyDescent="0.4">
      <c r="A957" s="24"/>
      <c r="B957" s="25"/>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spans="1:26" ht="15.75" customHeight="1" x14ac:dyDescent="0.4">
      <c r="A958" s="24"/>
      <c r="B958" s="25"/>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spans="1:26" ht="15.75" customHeight="1" x14ac:dyDescent="0.4">
      <c r="A959" s="24"/>
      <c r="B959" s="25"/>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spans="1:26" ht="15.75" customHeight="1" x14ac:dyDescent="0.4">
      <c r="A960" s="24"/>
      <c r="B960" s="25"/>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spans="1:26" ht="15.75" customHeight="1" x14ac:dyDescent="0.4">
      <c r="A961" s="24"/>
      <c r="B961" s="25"/>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spans="1:26" ht="15.75" customHeight="1" x14ac:dyDescent="0.4">
      <c r="A962" s="24"/>
      <c r="B962" s="25"/>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spans="1:26" ht="15.75" customHeight="1" x14ac:dyDescent="0.4">
      <c r="A963" s="24"/>
      <c r="B963" s="25"/>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spans="1:26" ht="15.75" customHeight="1" x14ac:dyDescent="0.4">
      <c r="A964" s="24"/>
      <c r="B964" s="25"/>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spans="1:26" ht="15.75" customHeight="1" x14ac:dyDescent="0.4">
      <c r="A965" s="24"/>
      <c r="B965" s="25"/>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spans="1:26" ht="15.75" customHeight="1" x14ac:dyDescent="0.4">
      <c r="A966" s="24"/>
      <c r="B966" s="25"/>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spans="1:26" ht="15.75" customHeight="1" x14ac:dyDescent="0.4">
      <c r="A967" s="24"/>
      <c r="B967" s="25"/>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spans="1:26" ht="15.75" customHeight="1" x14ac:dyDescent="0.4">
      <c r="A968" s="24"/>
      <c r="B968" s="25"/>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spans="1:26" ht="15.75" customHeight="1" x14ac:dyDescent="0.4">
      <c r="A969" s="24"/>
      <c r="B969" s="25"/>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spans="1:26" ht="15.75" customHeight="1" x14ac:dyDescent="0.4">
      <c r="A970" s="24"/>
      <c r="B970" s="25"/>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spans="1:26" ht="15.75" customHeight="1" x14ac:dyDescent="0.4">
      <c r="A971" s="24"/>
      <c r="B971" s="25"/>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spans="1:26" ht="15.75" customHeight="1" x14ac:dyDescent="0.4">
      <c r="A972" s="24"/>
      <c r="B972" s="25"/>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spans="1:26" ht="15.75" customHeight="1" x14ac:dyDescent="0.4">
      <c r="A973" s="24"/>
      <c r="B973" s="25"/>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spans="1:26" ht="15.75" customHeight="1" x14ac:dyDescent="0.4">
      <c r="A974" s="24"/>
      <c r="B974" s="25"/>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spans="1:26" ht="15.75" customHeight="1" x14ac:dyDescent="0.4">
      <c r="A975" s="24"/>
      <c r="B975" s="25"/>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spans="1:26" ht="15.75" customHeight="1" x14ac:dyDescent="0.4">
      <c r="A976" s="24"/>
      <c r="B976" s="25"/>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spans="1:26" ht="15.75" customHeight="1" x14ac:dyDescent="0.4">
      <c r="A977" s="24"/>
      <c r="B977" s="25"/>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spans="1:26" ht="15.75" customHeight="1" x14ac:dyDescent="0.4">
      <c r="A978" s="24"/>
      <c r="B978" s="25"/>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spans="1:26" ht="15.75" customHeight="1" x14ac:dyDescent="0.4">
      <c r="A979" s="24"/>
      <c r="B979" s="25"/>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spans="1:26" ht="15.75" customHeight="1" x14ac:dyDescent="0.4">
      <c r="A980" s="24"/>
      <c r="B980" s="25"/>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spans="1:26" ht="15.75" customHeight="1" x14ac:dyDescent="0.4">
      <c r="A981" s="24"/>
      <c r="B981" s="25"/>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spans="1:26" ht="15.75" customHeight="1" x14ac:dyDescent="0.4">
      <c r="A982" s="24"/>
      <c r="B982" s="25"/>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spans="1:26" ht="15.75" customHeight="1" x14ac:dyDescent="0.4">
      <c r="A983" s="24"/>
      <c r="B983" s="25"/>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spans="1:26" ht="15.75" customHeight="1" x14ac:dyDescent="0.4">
      <c r="A984" s="24"/>
      <c r="B984" s="25"/>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spans="1:26" ht="15.75" customHeight="1" x14ac:dyDescent="0.4">
      <c r="A985" s="24"/>
      <c r="B985" s="25"/>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spans="1:26" ht="15.75" customHeight="1" x14ac:dyDescent="0.4">
      <c r="A986" s="24"/>
      <c r="B986" s="25"/>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spans="1:26" ht="15.75" customHeight="1" x14ac:dyDescent="0.4">
      <c r="A987" s="24"/>
      <c r="B987" s="25"/>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spans="1:26" ht="15.75" customHeight="1" x14ac:dyDescent="0.4">
      <c r="A988" s="24"/>
      <c r="B988" s="25"/>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spans="1:26" ht="15.75" customHeight="1" x14ac:dyDescent="0.4">
      <c r="A989" s="24"/>
      <c r="B989" s="25"/>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spans="1:26" ht="15.75" customHeight="1" x14ac:dyDescent="0.4">
      <c r="A990" s="24"/>
      <c r="B990" s="25"/>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spans="1:26" ht="15.75" customHeight="1" x14ac:dyDescent="0.4">
      <c r="A991" s="24"/>
      <c r="B991" s="25"/>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spans="1:26" ht="15.75" customHeight="1" x14ac:dyDescent="0.4">
      <c r="A992" s="24"/>
      <c r="B992" s="25"/>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spans="1:26" ht="15.75" customHeight="1" x14ac:dyDescent="0.4">
      <c r="A993" s="24"/>
      <c r="B993" s="25"/>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spans="1:26" ht="15.75" customHeight="1" x14ac:dyDescent="0.4">
      <c r="A994" s="24"/>
      <c r="B994" s="25"/>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spans="1:26" ht="15.75" customHeight="1" x14ac:dyDescent="0.4">
      <c r="A995" s="24"/>
      <c r="B995" s="25"/>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spans="1:26" ht="15.75" customHeight="1" x14ac:dyDescent="0.4">
      <c r="A996" s="24"/>
      <c r="B996" s="25"/>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spans="1:26" ht="15.75" customHeight="1" x14ac:dyDescent="0.4">
      <c r="A997" s="24"/>
      <c r="B997" s="25"/>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spans="1:26" ht="15.75" customHeight="1" x14ac:dyDescent="0.4">
      <c r="A998" s="24"/>
      <c r="B998" s="25"/>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spans="1:26" ht="15.75" customHeight="1" x14ac:dyDescent="0.4">
      <c r="A999" s="24"/>
      <c r="B999" s="25"/>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spans="1:26" ht="15.75" customHeight="1" x14ac:dyDescent="0.4">
      <c r="A1000" s="24"/>
      <c r="B1000" s="25"/>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row r="1001" spans="1:26" ht="15.75" customHeight="1" x14ac:dyDescent="0.4">
      <c r="A1001" s="24"/>
      <c r="B1001" s="25"/>
      <c r="C1001" s="24"/>
      <c r="D1001" s="24"/>
      <c r="E1001" s="24"/>
      <c r="F1001" s="24"/>
      <c r="G1001" s="24"/>
      <c r="H1001" s="24"/>
      <c r="I1001" s="24"/>
      <c r="J1001" s="24"/>
      <c r="K1001" s="24"/>
      <c r="L1001" s="24"/>
      <c r="M1001" s="24"/>
      <c r="N1001" s="24"/>
      <c r="O1001" s="24"/>
      <c r="P1001" s="24"/>
      <c r="Q1001" s="24"/>
      <c r="R1001" s="24"/>
      <c r="S1001" s="24"/>
      <c r="T1001" s="24"/>
      <c r="U1001" s="24"/>
      <c r="V1001" s="24"/>
      <c r="W1001" s="24"/>
      <c r="X1001" s="24"/>
      <c r="Y1001" s="24"/>
      <c r="Z1001" s="24"/>
    </row>
    <row r="1002" spans="1:26" ht="15.75" customHeight="1" x14ac:dyDescent="0.4">
      <c r="A1002" s="24"/>
      <c r="B1002" s="25"/>
      <c r="C1002" s="24"/>
      <c r="D1002" s="24"/>
      <c r="E1002" s="24"/>
      <c r="F1002" s="24"/>
      <c r="G1002" s="24"/>
      <c r="H1002" s="24"/>
      <c r="I1002" s="24"/>
      <c r="J1002" s="24"/>
      <c r="K1002" s="24"/>
      <c r="L1002" s="24"/>
      <c r="M1002" s="24"/>
      <c r="N1002" s="24"/>
      <c r="O1002" s="24"/>
      <c r="P1002" s="24"/>
      <c r="Q1002" s="24"/>
      <c r="R1002" s="24"/>
      <c r="S1002" s="24"/>
      <c r="T1002" s="24"/>
      <c r="U1002" s="24"/>
      <c r="V1002" s="24"/>
      <c r="W1002" s="24"/>
      <c r="X1002" s="24"/>
      <c r="Y1002" s="24"/>
      <c r="Z1002" s="24"/>
    </row>
    <row r="1003" spans="1:26" ht="15.75" customHeight="1" x14ac:dyDescent="0.4">
      <c r="A1003" s="24"/>
      <c r="B1003" s="25"/>
      <c r="C1003" s="24"/>
      <c r="D1003" s="24"/>
      <c r="E1003" s="24"/>
      <c r="F1003" s="24"/>
      <c r="G1003" s="24"/>
      <c r="H1003" s="24"/>
      <c r="I1003" s="24"/>
      <c r="J1003" s="24"/>
      <c r="K1003" s="24"/>
      <c r="L1003" s="24"/>
      <c r="M1003" s="24"/>
      <c r="N1003" s="24"/>
      <c r="O1003" s="24"/>
      <c r="P1003" s="24"/>
      <c r="Q1003" s="24"/>
      <c r="R1003" s="24"/>
      <c r="S1003" s="24"/>
      <c r="T1003" s="24"/>
      <c r="U1003" s="24"/>
      <c r="V1003" s="24"/>
      <c r="W1003" s="24"/>
      <c r="X1003" s="24"/>
      <c r="Y1003" s="24"/>
      <c r="Z1003" s="24"/>
    </row>
    <row r="1004" spans="1:26" ht="15.75" customHeight="1" x14ac:dyDescent="0.4">
      <c r="A1004" s="24"/>
      <c r="B1004" s="25"/>
      <c r="C1004" s="24"/>
      <c r="D1004" s="24"/>
      <c r="E1004" s="24"/>
      <c r="F1004" s="24"/>
      <c r="G1004" s="24"/>
      <c r="H1004" s="24"/>
      <c r="I1004" s="24"/>
      <c r="J1004" s="24"/>
      <c r="K1004" s="24"/>
      <c r="L1004" s="24"/>
      <c r="M1004" s="24"/>
      <c r="N1004" s="24"/>
      <c r="O1004" s="24"/>
      <c r="P1004" s="24"/>
      <c r="Q1004" s="24"/>
      <c r="R1004" s="24"/>
      <c r="S1004" s="24"/>
      <c r="T1004" s="24"/>
      <c r="U1004" s="24"/>
      <c r="V1004" s="24"/>
      <c r="W1004" s="24"/>
      <c r="X1004" s="24"/>
      <c r="Y1004" s="24"/>
      <c r="Z1004" s="24"/>
    </row>
    <row r="1005" spans="1:26" ht="15.75" customHeight="1" x14ac:dyDescent="0.4">
      <c r="A1005" s="24"/>
      <c r="B1005" s="25"/>
      <c r="C1005" s="24"/>
      <c r="D1005" s="24"/>
      <c r="E1005" s="24"/>
      <c r="F1005" s="24"/>
      <c r="G1005" s="24"/>
      <c r="H1005" s="24"/>
      <c r="I1005" s="24"/>
      <c r="J1005" s="24"/>
      <c r="K1005" s="24"/>
      <c r="L1005" s="24"/>
      <c r="M1005" s="24"/>
      <c r="N1005" s="24"/>
      <c r="O1005" s="24"/>
      <c r="P1005" s="24"/>
      <c r="Q1005" s="24"/>
      <c r="R1005" s="24"/>
      <c r="S1005" s="24"/>
      <c r="T1005" s="24"/>
      <c r="U1005" s="24"/>
      <c r="V1005" s="24"/>
      <c r="W1005" s="24"/>
      <c r="X1005" s="24"/>
      <c r="Y1005" s="24"/>
      <c r="Z1005" s="24"/>
    </row>
    <row r="1006" spans="1:26" ht="15.75" customHeight="1" x14ac:dyDescent="0.4">
      <c r="A1006" s="24"/>
      <c r="B1006" s="25"/>
      <c r="C1006" s="24"/>
      <c r="D1006" s="24"/>
      <c r="E1006" s="24"/>
      <c r="F1006" s="24"/>
      <c r="G1006" s="24"/>
      <c r="H1006" s="24"/>
      <c r="I1006" s="24"/>
      <c r="J1006" s="24"/>
      <c r="K1006" s="24"/>
      <c r="L1006" s="24"/>
      <c r="M1006" s="24"/>
      <c r="N1006" s="24"/>
      <c r="O1006" s="24"/>
      <c r="P1006" s="24"/>
      <c r="Q1006" s="24"/>
      <c r="R1006" s="24"/>
      <c r="S1006" s="24"/>
      <c r="T1006" s="24"/>
      <c r="U1006" s="24"/>
      <c r="V1006" s="24"/>
      <c r="W1006" s="24"/>
      <c r="X1006" s="24"/>
      <c r="Y1006" s="24"/>
      <c r="Z1006" s="24"/>
    </row>
    <row r="1007" spans="1:26" ht="15.75" customHeight="1" x14ac:dyDescent="0.4">
      <c r="A1007" s="24"/>
      <c r="B1007" s="25"/>
      <c r="C1007" s="24"/>
      <c r="D1007" s="24"/>
      <c r="E1007" s="24"/>
      <c r="F1007" s="24"/>
      <c r="G1007" s="24"/>
      <c r="H1007" s="24"/>
      <c r="I1007" s="24"/>
      <c r="J1007" s="24"/>
      <c r="K1007" s="24"/>
      <c r="L1007" s="24"/>
      <c r="M1007" s="24"/>
      <c r="N1007" s="24"/>
      <c r="O1007" s="24"/>
      <c r="P1007" s="24"/>
      <c r="Q1007" s="24"/>
      <c r="R1007" s="24"/>
      <c r="S1007" s="24"/>
      <c r="T1007" s="24"/>
      <c r="U1007" s="24"/>
      <c r="V1007" s="24"/>
      <c r="W1007" s="24"/>
      <c r="X1007" s="24"/>
      <c r="Y1007" s="24"/>
      <c r="Z1007" s="24"/>
    </row>
    <row r="1008" spans="1:26" ht="15.75" customHeight="1" x14ac:dyDescent="0.4">
      <c r="A1008" s="24"/>
      <c r="B1008" s="25"/>
      <c r="C1008" s="24"/>
      <c r="D1008" s="24"/>
      <c r="E1008" s="24"/>
      <c r="F1008" s="24"/>
      <c r="G1008" s="24"/>
      <c r="H1008" s="24"/>
      <c r="I1008" s="24"/>
      <c r="J1008" s="24"/>
      <c r="K1008" s="24"/>
      <c r="L1008" s="24"/>
      <c r="M1008" s="24"/>
      <c r="N1008" s="24"/>
      <c r="O1008" s="24"/>
      <c r="P1008" s="24"/>
      <c r="Q1008" s="24"/>
      <c r="R1008" s="24"/>
      <c r="S1008" s="24"/>
      <c r="T1008" s="24"/>
      <c r="U1008" s="24"/>
      <c r="V1008" s="24"/>
      <c r="W1008" s="24"/>
      <c r="X1008" s="24"/>
      <c r="Y1008" s="24"/>
      <c r="Z1008" s="24"/>
    </row>
  </sheetData>
  <hyperlinks>
    <hyperlink ref="B9" r:id="rId1" xr:uid="{00000000-0004-0000-0100-000000000000}"/>
    <hyperlink ref="B10" r:id="rId2" xr:uid="{00000000-0004-0000-0100-000001000000}"/>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B9BD5"/>
  </sheetPr>
  <dimension ref="A2:H38"/>
  <sheetViews>
    <sheetView showGridLines="0" topLeftCell="A6" zoomScaleNormal="100" workbookViewId="0"/>
  </sheetViews>
  <sheetFormatPr defaultColWidth="8.6328125" defaultRowHeight="14.5" x14ac:dyDescent="0.4"/>
  <cols>
    <col min="1" max="1" width="4" customWidth="1"/>
    <col min="2" max="2" width="38" customWidth="1"/>
    <col min="3" max="3" width="14" customWidth="1"/>
    <col min="4" max="4" width="12" customWidth="1"/>
    <col min="5" max="5" width="14" customWidth="1"/>
    <col min="6" max="6" width="18" customWidth="1"/>
    <col min="7" max="7" width="50" customWidth="1"/>
  </cols>
  <sheetData>
    <row r="2" spans="1:8" ht="30" customHeight="1" x14ac:dyDescent="0.4">
      <c r="B2" s="11" t="s">
        <v>60</v>
      </c>
      <c r="C2" s="11"/>
      <c r="D2" s="11"/>
      <c r="E2" s="11"/>
      <c r="F2" s="11"/>
      <c r="G2" s="11"/>
    </row>
    <row r="4" spans="1:8" ht="36" customHeight="1" x14ac:dyDescent="0.4">
      <c r="B4" s="5" t="s">
        <v>61</v>
      </c>
      <c r="C4" s="5"/>
      <c r="D4" s="5"/>
      <c r="E4" s="5"/>
      <c r="F4" s="5"/>
      <c r="G4" s="5"/>
    </row>
    <row r="6" spans="1:8" ht="24" customHeight="1" x14ac:dyDescent="0.4">
      <c r="A6" s="9" t="s">
        <v>62</v>
      </c>
      <c r="B6" s="9"/>
      <c r="C6" s="9"/>
      <c r="D6" s="9"/>
      <c r="E6" s="9"/>
      <c r="F6" s="9"/>
      <c r="G6" s="9"/>
    </row>
    <row r="8" spans="1:8" ht="54.75" customHeight="1" x14ac:dyDescent="0.4">
      <c r="B8" s="30" t="s">
        <v>63</v>
      </c>
      <c r="C8" s="30" t="s">
        <v>64</v>
      </c>
      <c r="D8" s="30" t="s">
        <v>65</v>
      </c>
      <c r="E8" s="30" t="s">
        <v>66</v>
      </c>
      <c r="F8" s="30" t="s">
        <v>67</v>
      </c>
      <c r="G8" s="30" t="s">
        <v>68</v>
      </c>
      <c r="H8" s="30" t="s">
        <v>69</v>
      </c>
    </row>
    <row r="9" spans="1:8" ht="175.5" customHeight="1" x14ac:dyDescent="0.4">
      <c r="B9" s="31">
        <v>1</v>
      </c>
      <c r="C9" s="32" t="s">
        <v>70</v>
      </c>
      <c r="D9" s="31">
        <f>COUNTIF('Categorised Reasons'!H:H,"Personal / Family / Medical")</f>
        <v>73</v>
      </c>
      <c r="E9" s="33">
        <f>IFERROR(D9/(COUNTA('Categorised Reasons'!H2:H305)-COUNTIF('Categorised Reasons'!H:H,"Not Recorded")),0)</f>
        <v>0.2597864768683274</v>
      </c>
      <c r="F9" s="33">
        <f>IFERROR(D9/COUNTA('Categorised Reasons'!A2:A305),0)</f>
        <v>0.24013157894736842</v>
      </c>
      <c r="G9" s="32" t="s">
        <v>71</v>
      </c>
      <c r="H9" s="32" t="s">
        <v>72</v>
      </c>
    </row>
    <row r="10" spans="1:8" ht="162" customHeight="1" x14ac:dyDescent="0.4">
      <c r="B10" s="34">
        <v>2</v>
      </c>
      <c r="C10" s="35" t="s">
        <v>73</v>
      </c>
      <c r="D10" s="34">
        <f>COUNTIF('Categorised Reasons'!H:H,"New Job / Career Change / Relocation")</f>
        <v>38</v>
      </c>
      <c r="E10" s="36">
        <f>IFERROR(D10/(COUNTA('Categorised Reasons'!H2:H305)-COUNTIF('Categorised Reasons'!H:H,"Not Recorded")),0)</f>
        <v>0.13523131672597866</v>
      </c>
      <c r="F10" s="36">
        <f>IFERROR(D10/COUNTA('Categorised Reasons'!A2:A305),0)</f>
        <v>0.125</v>
      </c>
      <c r="G10" s="35" t="s">
        <v>71</v>
      </c>
      <c r="H10" s="35" t="s">
        <v>74</v>
      </c>
    </row>
    <row r="11" spans="1:8" ht="135.75" customHeight="1" x14ac:dyDescent="0.4">
      <c r="B11" s="31">
        <v>3</v>
      </c>
      <c r="C11" s="32" t="s">
        <v>75</v>
      </c>
      <c r="D11" s="31">
        <f>COUNTIF('Categorised Reasons'!H:H,"Financial Difficulty / Affordability")</f>
        <v>34</v>
      </c>
      <c r="E11" s="33">
        <f>IFERROR(D11/(COUNTA('Categorised Reasons'!H2:H305)-COUNTIF('Categorised Reasons'!H:H,"Not Recorded")),0)</f>
        <v>0.12099644128113879</v>
      </c>
      <c r="F11" s="33">
        <f>IFERROR(D11/COUNTA('Categorised Reasons'!A2:A305),0)</f>
        <v>0.1118421052631579</v>
      </c>
      <c r="G11" s="32" t="s">
        <v>71</v>
      </c>
      <c r="H11" s="32" t="s">
        <v>76</v>
      </c>
    </row>
    <row r="12" spans="1:8" ht="202.5" customHeight="1" x14ac:dyDescent="0.4">
      <c r="B12" s="34">
        <v>4</v>
      </c>
      <c r="C12" s="35" t="s">
        <v>77</v>
      </c>
      <c r="D12" s="34">
        <f>COUNTIF('Categorised Reasons'!H:H,"Course Expectation / Curriculum Mismatch")</f>
        <v>32</v>
      </c>
      <c r="E12" s="36">
        <f>IFERROR(D12/(COUNTA('Categorised Reasons'!H2:H305)-COUNTIF('Categorised Reasons'!H:H,"Not Recorded")),0)</f>
        <v>0.11387900355871886</v>
      </c>
      <c r="F12" s="36">
        <f>IFERROR(D12/COUNTA('Categorised Reasons'!A2:A305),0)</f>
        <v>0.10526315789473684</v>
      </c>
      <c r="G12" s="35" t="s">
        <v>71</v>
      </c>
      <c r="H12" s="35" t="s">
        <v>78</v>
      </c>
    </row>
    <row r="13" spans="1:8" ht="135.75" customHeight="1" x14ac:dyDescent="0.4">
      <c r="B13" s="31">
        <v>5</v>
      </c>
      <c r="C13" s="32" t="s">
        <v>79</v>
      </c>
      <c r="D13" s="31">
        <f>COUNTIF('Categorised Reasons'!H:H,"Time / Work Pressure")</f>
        <v>32</v>
      </c>
      <c r="E13" s="33">
        <f>IFERROR(D13/(COUNTA('Categorised Reasons'!H2:H305)-COUNTIF('Categorised Reasons'!H:H,"Not Recorded")),0)</f>
        <v>0.11387900355871886</v>
      </c>
      <c r="F13" s="33">
        <f>IFERROR(D13/COUNTA('Categorised Reasons'!A2:A305),0)</f>
        <v>0.10526315789473684</v>
      </c>
      <c r="G13" s="32" t="s">
        <v>71</v>
      </c>
      <c r="H13" s="32" t="s">
        <v>80</v>
      </c>
    </row>
    <row r="14" spans="1:8" ht="162" customHeight="1" x14ac:dyDescent="0.4">
      <c r="B14" s="34">
        <v>6</v>
      </c>
      <c r="C14" s="35" t="s">
        <v>81</v>
      </c>
      <c r="D14" s="34">
        <f>COUNTIF('Categorised Reasons'!H:H,"Loan / NBFC / Financing Issue")</f>
        <v>24</v>
      </c>
      <c r="E14" s="36">
        <f>IFERROR(D14/(COUNTA('Categorised Reasons'!H2:H305)-COUNTIF('Categorised Reasons'!H:H,"Not Recorded")),0)</f>
        <v>8.5409252669039148E-2</v>
      </c>
      <c r="F14" s="36">
        <f>IFERROR(D14/COUNTA('Categorised Reasons'!A2:A305),0)</f>
        <v>7.8947368421052627E-2</v>
      </c>
      <c r="G14" s="35" t="s">
        <v>71</v>
      </c>
      <c r="H14" s="35" t="s">
        <v>82</v>
      </c>
    </row>
    <row r="15" spans="1:8" ht="175.5" customHeight="1" x14ac:dyDescent="0.4">
      <c r="B15" s="31">
        <v>7</v>
      </c>
      <c r="C15" s="32" t="s">
        <v>83</v>
      </c>
      <c r="D15" s="31">
        <f>COUNTIF('Categorised Reasons'!H:H,"Sales / Service Process Issue")</f>
        <v>15</v>
      </c>
      <c r="E15" s="33">
        <f>IFERROR(D15/(COUNTA('Categorised Reasons'!H2:H305)-COUNTIF('Categorised Reasons'!H:H,"Not Recorded")),0)</f>
        <v>5.3380782918149468E-2</v>
      </c>
      <c r="F15" s="33">
        <f>IFERROR(D15/COUNTA('Categorised Reasons'!A2:A305),0)</f>
        <v>4.9342105263157895E-2</v>
      </c>
      <c r="G15" s="32" t="s">
        <v>71</v>
      </c>
      <c r="H15" s="32" t="s">
        <v>84</v>
      </c>
    </row>
    <row r="16" spans="1:8" ht="95.25" customHeight="1" x14ac:dyDescent="0.4">
      <c r="B16" s="34">
        <v>8</v>
      </c>
      <c r="C16" s="35" t="s">
        <v>85</v>
      </c>
      <c r="D16" s="34">
        <f>COUNTIF('Categorised Reasons'!H:H,"Higher Studies / Govt Career")</f>
        <v>3</v>
      </c>
      <c r="E16" s="36">
        <f>IFERROR(D16/(COUNTA('Categorised Reasons'!H2:H305)-COUNTIF('Categorised Reasons'!H:H,"Not Recorded")),0)</f>
        <v>1.0676156583629894E-2</v>
      </c>
      <c r="F16" s="36">
        <f>IFERROR(D16/COUNTA('Categorised Reasons'!A2:A305),0)</f>
        <v>9.8684210526315784E-3</v>
      </c>
      <c r="G16" s="35" t="s">
        <v>71</v>
      </c>
      <c r="H16" s="35" t="s">
        <v>86</v>
      </c>
    </row>
    <row r="17" spans="1:8" ht="122.25" customHeight="1" x14ac:dyDescent="0.4">
      <c r="B17" s="31">
        <v>9</v>
      </c>
      <c r="C17" s="32" t="s">
        <v>87</v>
      </c>
      <c r="D17" s="31">
        <f>COUNTIF('Categorised Reasons'!H:H,"Pricing / Value Concern")</f>
        <v>2</v>
      </c>
      <c r="E17" s="33">
        <f>IFERROR(D17/(COUNTA('Categorised Reasons'!H2:H305)-COUNTIF('Categorised Reasons'!H:H,"Not Recorded")),0)</f>
        <v>7.1174377224199285E-3</v>
      </c>
      <c r="F17" s="33">
        <f>IFERROR(D17/COUNTA('Categorised Reasons'!A2:A305),0)</f>
        <v>6.5789473684210523E-3</v>
      </c>
      <c r="G17" s="32" t="s">
        <v>71</v>
      </c>
      <c r="H17" s="32" t="s">
        <v>88</v>
      </c>
    </row>
    <row r="18" spans="1:8" ht="108.75" customHeight="1" x14ac:dyDescent="0.4">
      <c r="B18" s="34">
        <v>10</v>
      </c>
      <c r="C18" s="35" t="s">
        <v>89</v>
      </c>
      <c r="D18" s="34">
        <f>COUNTIF('Categorised Reasons'!H:H,"Other / Unclear")</f>
        <v>28</v>
      </c>
      <c r="E18" s="36">
        <f>IFERROR(D18/(COUNTA('Categorised Reasons'!H2:H305)-COUNTIF('Categorised Reasons'!H:H,"Not Recorded")),0)</f>
        <v>9.9644128113879002E-2</v>
      </c>
      <c r="F18" s="36">
        <f>IFERROR(D18/COUNTA('Categorised Reasons'!A2:A305),0)</f>
        <v>9.2105263157894732E-2</v>
      </c>
      <c r="G18" s="35" t="s">
        <v>71</v>
      </c>
      <c r="H18" s="35" t="s">
        <v>90</v>
      </c>
    </row>
    <row r="19" spans="1:8" ht="108.75" customHeight="1" x14ac:dyDescent="0.4">
      <c r="B19" s="31">
        <v>11</v>
      </c>
      <c r="C19" s="32" t="s">
        <v>91</v>
      </c>
      <c r="D19" s="31">
        <f>COUNTIF('Categorised Reasons'!H:H,"Not Recorded")</f>
        <v>23</v>
      </c>
      <c r="E19" s="33">
        <f>IFERROR(D19/(COUNTA('Categorised Reasons'!H2:H305)-COUNTIF('Categorised Reasons'!H:H,"Not Recorded")),0)</f>
        <v>8.1850533807829182E-2</v>
      </c>
      <c r="F19" s="33">
        <f>IFERROR(D19/COUNTA('Categorised Reasons'!A2:A305),0)</f>
        <v>7.5657894736842105E-2</v>
      </c>
      <c r="G19" s="32" t="s">
        <v>71</v>
      </c>
      <c r="H19" s="32" t="s">
        <v>92</v>
      </c>
    </row>
    <row r="20" spans="1:8" ht="15" customHeight="1" x14ac:dyDescent="0.4">
      <c r="B20" s="37"/>
      <c r="C20" s="38" t="s">
        <v>93</v>
      </c>
      <c r="D20" s="39">
        <f>SUM(D9:D19)</f>
        <v>304</v>
      </c>
      <c r="E20" s="40"/>
      <c r="F20" s="40"/>
      <c r="G20" s="40"/>
      <c r="H20" s="40"/>
    </row>
    <row r="21" spans="1:8" ht="15" customHeight="1" x14ac:dyDescent="0.4">
      <c r="C21" t="s">
        <v>94</v>
      </c>
      <c r="D21">
        <f>COUNTA('Categorised Reasons'!F2:F305)</f>
        <v>281</v>
      </c>
    </row>
    <row r="22" spans="1:8" ht="15" customHeight="1" x14ac:dyDescent="0.4">
      <c r="C22" t="s">
        <v>95</v>
      </c>
      <c r="D22">
        <f>COUNTA('Categorised Reasons'!A2:A305)</f>
        <v>304</v>
      </c>
    </row>
    <row r="25" spans="1:8" ht="24" customHeight="1" x14ac:dyDescent="0.4">
      <c r="A25" s="9" t="s">
        <v>96</v>
      </c>
      <c r="B25" s="9"/>
      <c r="C25" s="9"/>
      <c r="D25" s="9"/>
      <c r="E25" s="9"/>
      <c r="F25" s="9"/>
      <c r="G25" s="9"/>
    </row>
    <row r="27" spans="1:8" ht="90" customHeight="1" x14ac:dyDescent="0.4">
      <c r="B27" s="4" t="s">
        <v>97</v>
      </c>
      <c r="C27" s="4"/>
      <c r="D27" s="4"/>
      <c r="E27" s="4"/>
      <c r="F27" s="4"/>
      <c r="G27" s="4"/>
      <c r="H27" s="4"/>
    </row>
    <row r="30" spans="1:8" ht="24" customHeight="1" x14ac:dyDescent="0.4">
      <c r="A30" s="9" t="s">
        <v>98</v>
      </c>
      <c r="B30" s="9"/>
      <c r="C30" s="9"/>
      <c r="D30" s="9"/>
      <c r="E30" s="9"/>
      <c r="F30" s="9"/>
      <c r="G30" s="9"/>
    </row>
    <row r="32" spans="1:8" ht="15" customHeight="1" x14ac:dyDescent="0.4">
      <c r="B32" s="30" t="s">
        <v>99</v>
      </c>
      <c r="C32" s="3" t="s">
        <v>100</v>
      </c>
      <c r="D32" s="3"/>
      <c r="E32" s="3"/>
      <c r="F32" s="3"/>
      <c r="G32" s="3"/>
      <c r="H32" s="3"/>
    </row>
    <row r="33" spans="2:8" ht="60" customHeight="1" x14ac:dyDescent="0.4">
      <c r="B33" s="41" t="s">
        <v>70</v>
      </c>
      <c r="C33" s="2" t="s">
        <v>101</v>
      </c>
      <c r="D33" s="2"/>
      <c r="E33" s="2"/>
      <c r="F33" s="2"/>
      <c r="G33" s="2"/>
      <c r="H33" s="2"/>
    </row>
    <row r="34" spans="2:8" ht="60" customHeight="1" x14ac:dyDescent="0.4">
      <c r="B34" s="42" t="s">
        <v>73</v>
      </c>
      <c r="C34" s="1" t="s">
        <v>102</v>
      </c>
      <c r="D34" s="1"/>
      <c r="E34" s="1"/>
      <c r="F34" s="1"/>
      <c r="G34" s="1"/>
      <c r="H34" s="1"/>
    </row>
    <row r="35" spans="2:8" ht="60" customHeight="1" x14ac:dyDescent="0.4">
      <c r="B35" s="41" t="s">
        <v>103</v>
      </c>
      <c r="C35" s="2" t="s">
        <v>104</v>
      </c>
      <c r="D35" s="2"/>
      <c r="E35" s="2"/>
      <c r="F35" s="2"/>
      <c r="G35" s="2"/>
      <c r="H35" s="2"/>
    </row>
    <row r="36" spans="2:8" ht="60" customHeight="1" x14ac:dyDescent="0.4">
      <c r="B36" s="42" t="s">
        <v>105</v>
      </c>
      <c r="C36" s="1" t="s">
        <v>106</v>
      </c>
      <c r="D36" s="1"/>
      <c r="E36" s="1"/>
      <c r="F36" s="1"/>
      <c r="G36" s="1"/>
      <c r="H36" s="1"/>
    </row>
    <row r="37" spans="2:8" ht="60" customHeight="1" x14ac:dyDescent="0.4">
      <c r="B37" s="41" t="s">
        <v>79</v>
      </c>
      <c r="C37" s="2" t="s">
        <v>107</v>
      </c>
      <c r="D37" s="2"/>
      <c r="E37" s="2"/>
      <c r="F37" s="2"/>
      <c r="G37" s="2"/>
      <c r="H37" s="2"/>
    </row>
    <row r="38" spans="2:8" ht="60" customHeight="1" x14ac:dyDescent="0.4">
      <c r="B38" s="42" t="s">
        <v>108</v>
      </c>
      <c r="C38" s="1" t="s">
        <v>109</v>
      </c>
      <c r="D38" s="1"/>
      <c r="E38" s="1"/>
      <c r="F38" s="1"/>
      <c r="G38" s="1"/>
      <c r="H38" s="1"/>
    </row>
  </sheetData>
  <mergeCells count="13">
    <mergeCell ref="C36:H36"/>
    <mergeCell ref="C37:H37"/>
    <mergeCell ref="C38:H38"/>
    <mergeCell ref="A30:G30"/>
    <mergeCell ref="C32:H32"/>
    <mergeCell ref="C33:H33"/>
    <mergeCell ref="C34:H34"/>
    <mergeCell ref="C35:H35"/>
    <mergeCell ref="B2:G2"/>
    <mergeCell ref="B4:G4"/>
    <mergeCell ref="A6:G6"/>
    <mergeCell ref="A25:G25"/>
    <mergeCell ref="B27:H27"/>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B9BD5"/>
  </sheetPr>
  <dimension ref="A2:H59"/>
  <sheetViews>
    <sheetView showGridLines="0" topLeftCell="A13" zoomScaleNormal="100" workbookViewId="0">
      <selection activeCell="B9" sqref="B9:D14"/>
    </sheetView>
  </sheetViews>
  <sheetFormatPr defaultColWidth="8.6328125" defaultRowHeight="14.5" x14ac:dyDescent="0.4"/>
  <cols>
    <col min="1" max="1" width="4" customWidth="1"/>
    <col min="2" max="2" width="32" customWidth="1"/>
    <col min="3" max="7" width="14" customWidth="1"/>
    <col min="8" max="8" width="50" customWidth="1"/>
  </cols>
  <sheetData>
    <row r="2" spans="1:8" ht="30" customHeight="1" x14ac:dyDescent="0.4">
      <c r="B2" s="11" t="s">
        <v>110</v>
      </c>
      <c r="C2" s="11"/>
      <c r="D2" s="11"/>
      <c r="E2" s="11"/>
      <c r="F2" s="11"/>
      <c r="G2" s="11"/>
      <c r="H2" s="11"/>
    </row>
    <row r="4" spans="1:8" ht="60" customHeight="1" x14ac:dyDescent="0.4">
      <c r="B4" s="5" t="s">
        <v>111</v>
      </c>
      <c r="C4" s="5"/>
      <c r="D4" s="5"/>
      <c r="E4" s="5"/>
      <c r="F4" s="5"/>
      <c r="G4" s="5"/>
      <c r="H4" s="5"/>
    </row>
    <row r="6" spans="1:8" ht="24" customHeight="1" x14ac:dyDescent="0.4">
      <c r="A6" s="9" t="s">
        <v>112</v>
      </c>
      <c r="B6" s="9"/>
      <c r="C6" s="9"/>
      <c r="D6" s="9"/>
      <c r="E6" s="9"/>
      <c r="F6" s="9"/>
      <c r="G6" s="9"/>
      <c r="H6" s="9"/>
    </row>
    <row r="8" spans="1:8" ht="15" customHeight="1" x14ac:dyDescent="0.4">
      <c r="B8" s="30" t="s">
        <v>113</v>
      </c>
      <c r="C8" s="30" t="s">
        <v>114</v>
      </c>
      <c r="D8" s="30" t="s">
        <v>115</v>
      </c>
    </row>
    <row r="9" spans="1:8" ht="15" customHeight="1" x14ac:dyDescent="0.4">
      <c r="B9" s="43" t="s">
        <v>116</v>
      </c>
      <c r="C9" s="44">
        <f>COUNTA('Master Learner Profile'!B2:B1650)</f>
        <v>1649</v>
      </c>
      <c r="D9" s="45" t="s">
        <v>117</v>
      </c>
    </row>
    <row r="10" spans="1:8" ht="15" customHeight="1" x14ac:dyDescent="0.4">
      <c r="B10" s="46" t="s">
        <v>118</v>
      </c>
      <c r="C10" s="47">
        <f>COUNTIF('Master Learner Profile'!C2:C1650,"Yes")</f>
        <v>281</v>
      </c>
      <c r="D10" s="48" t="s">
        <v>119</v>
      </c>
    </row>
    <row r="11" spans="1:8" ht="15" customHeight="1" x14ac:dyDescent="0.4">
      <c r="B11" s="43" t="s">
        <v>5</v>
      </c>
      <c r="C11" s="49">
        <f>COUNTIF('Master Learner Profile'!C2:C1650,"Yes")/COUNTA('Master Learner Profile'!B2:B1650)</f>
        <v>0.17040630685263797</v>
      </c>
      <c r="D11" s="45" t="s">
        <v>120</v>
      </c>
    </row>
    <row r="12" spans="1:8" ht="15" customHeight="1" x14ac:dyDescent="0.4">
      <c r="B12" s="46" t="s">
        <v>121</v>
      </c>
      <c r="C12" s="50">
        <f>AVERAGEIFS('Master Learner Profile'!K2:K1650,'Master Learner Profile'!C2:C1650,"Yes")</f>
        <v>24.574964285714287</v>
      </c>
      <c r="D12" s="48" t="s">
        <v>122</v>
      </c>
    </row>
    <row r="13" spans="1:8" ht="15" customHeight="1" x14ac:dyDescent="0.4">
      <c r="B13" s="43" t="s">
        <v>123</v>
      </c>
      <c r="C13" s="51">
        <f>AVERAGEIFS('Master Learner Profile'!K2:K1650,'Master Learner Profile'!C2:C1650,"No")</f>
        <v>82.645804093567364</v>
      </c>
      <c r="D13" s="45" t="s">
        <v>124</v>
      </c>
    </row>
    <row r="14" spans="1:8" ht="15" customHeight="1" x14ac:dyDescent="0.4">
      <c r="B14" s="46" t="s">
        <v>125</v>
      </c>
      <c r="C14" s="50">
        <f>AVERAGEIFS('Master Learner Profile'!K2:K1650,'Master Learner Profile'!C2:C1650,"No")-AVERAGEIFS('Master Learner Profile'!K2:K1650,'Master Learner Profile'!C2:C1650,"Yes")</f>
        <v>58.070839807853076</v>
      </c>
      <c r="D14" s="48" t="s">
        <v>126</v>
      </c>
    </row>
    <row r="17" spans="1:8" ht="24" customHeight="1" x14ac:dyDescent="0.4">
      <c r="A17" s="9" t="s">
        <v>127</v>
      </c>
      <c r="B17" s="9"/>
      <c r="C17" s="9"/>
      <c r="D17" s="9"/>
      <c r="E17" s="9"/>
      <c r="F17" s="9"/>
      <c r="G17" s="9"/>
      <c r="H17" s="9"/>
    </row>
    <row r="19" spans="1:8" ht="15" customHeight="1" x14ac:dyDescent="0.4">
      <c r="B19" s="30" t="s">
        <v>128</v>
      </c>
      <c r="C19" s="30" t="s">
        <v>129</v>
      </c>
      <c r="D19" s="30" t="s">
        <v>130</v>
      </c>
      <c r="E19" s="30" t="s">
        <v>131</v>
      </c>
      <c r="F19" s="30" t="s">
        <v>132</v>
      </c>
      <c r="G19" s="30"/>
    </row>
    <row r="20" spans="1:8" ht="15" customHeight="1" x14ac:dyDescent="0.4">
      <c r="B20" s="52" t="s">
        <v>133</v>
      </c>
      <c r="C20" s="53">
        <f>SUMPRODUCT(--('Master Learner Profile'!K2:K1650=0))</f>
        <v>91</v>
      </c>
      <c r="D20" s="53">
        <f>SUMPRODUCT(--('Master Learner Profile'!K2:K1650=0),--('Master Learner Profile'!C2:C1650="Yes"))</f>
        <v>73</v>
      </c>
      <c r="E20" s="53">
        <f>SUMPRODUCT(--('Master Learner Profile'!K2:K1650=0),--('Master Learner Profile'!C2:C1650="No"))</f>
        <v>18</v>
      </c>
      <c r="F20" s="36">
        <f t="shared" ref="F20:F26" si="0">IFERROR(D20/C20,0)</f>
        <v>0.80219780219780223</v>
      </c>
      <c r="G20" s="34"/>
    </row>
    <row r="21" spans="1:8" ht="15" customHeight="1" x14ac:dyDescent="0.4">
      <c r="B21" s="52" t="s">
        <v>134</v>
      </c>
      <c r="C21" s="53">
        <f>SUMPRODUCT(--('Master Learner Profile'!K2:K1650&gt;0),--('Master Learner Profile'!K2:K1650&lt;=25))</f>
        <v>175</v>
      </c>
      <c r="D21" s="53">
        <f>SUMPRODUCT(--('Master Learner Profile'!K2:K1650&gt;0),--('Master Learner Profile'!K2:K1650&lt;=25),--('Master Learner Profile'!C2:C1650="Yes"))</f>
        <v>94</v>
      </c>
      <c r="E21" s="53">
        <f>SUMPRODUCT(--('Master Learner Profile'!K2:K1650&gt;0),--('Master Learner Profile'!K2:K1650&lt;=25),--('Master Learner Profile'!C2:C1650="No"))</f>
        <v>81</v>
      </c>
      <c r="F21" s="36">
        <f t="shared" si="0"/>
        <v>0.53714285714285714</v>
      </c>
      <c r="G21" s="34"/>
    </row>
    <row r="22" spans="1:8" ht="15" customHeight="1" x14ac:dyDescent="0.4">
      <c r="B22" s="52" t="s">
        <v>135</v>
      </c>
      <c r="C22" s="53">
        <f>SUMPRODUCT(--('Master Learner Profile'!K2:K1650&gt;25),--('Master Learner Profile'!K2:K1650&lt;=50))</f>
        <v>155</v>
      </c>
      <c r="D22" s="53">
        <f>SUMPRODUCT(--('Master Learner Profile'!K2:K1650&gt;25),--('Master Learner Profile'!K2:K1650&lt;=50),--('Master Learner Profile'!C2:C1650="Yes"))</f>
        <v>68</v>
      </c>
      <c r="E22" s="53">
        <f>SUMPRODUCT(--('Master Learner Profile'!K2:K1650&gt;25),--('Master Learner Profile'!K2:K1650&lt;=50),--('Master Learner Profile'!C2:C1650="No"))</f>
        <v>87</v>
      </c>
      <c r="F22" s="36">
        <f t="shared" si="0"/>
        <v>0.43870967741935485</v>
      </c>
      <c r="G22" s="34"/>
    </row>
    <row r="23" spans="1:8" ht="15" customHeight="1" x14ac:dyDescent="0.4">
      <c r="B23" s="52" t="s">
        <v>136</v>
      </c>
      <c r="C23" s="53">
        <f>SUMPRODUCT(--('Master Learner Profile'!K2:K1650&gt;50),--('Master Learner Profile'!K2:K1650&lt;=75))</f>
        <v>163</v>
      </c>
      <c r="D23" s="53">
        <f>SUMPRODUCT(--('Master Learner Profile'!K2:K1650&gt;50),--('Master Learner Profile'!K2:K1650&lt;=75),--('Master Learner Profile'!C2:C1650="Yes"))</f>
        <v>30</v>
      </c>
      <c r="E23" s="53">
        <f>SUMPRODUCT(--('Master Learner Profile'!K2:K1650&gt;50),--('Master Learner Profile'!K2:K1650&lt;=75),--('Master Learner Profile'!C2:C1650="No"))</f>
        <v>133</v>
      </c>
      <c r="F23" s="36">
        <f t="shared" si="0"/>
        <v>0.18404907975460122</v>
      </c>
      <c r="G23" s="34"/>
    </row>
    <row r="24" spans="1:8" ht="15" customHeight="1" x14ac:dyDescent="0.4">
      <c r="B24" s="52" t="s">
        <v>137</v>
      </c>
      <c r="C24" s="53">
        <f>SUMPRODUCT(--('Master Learner Profile'!K2:K1650&gt;75),--('Master Learner Profile'!K2:K1650&lt;=90))</f>
        <v>247</v>
      </c>
      <c r="D24" s="53">
        <f>SUMPRODUCT(--('Master Learner Profile'!K2:K1650&gt;75),--('Master Learner Profile'!K2:K1650&lt;=90),--('Master Learner Profile'!C2:C1650="Yes"))</f>
        <v>9</v>
      </c>
      <c r="E24" s="53">
        <f>SUMPRODUCT(--('Master Learner Profile'!K2:K1650&gt;75),--('Master Learner Profile'!K2:K1650&lt;=90),--('Master Learner Profile'!C2:C1650="No"))</f>
        <v>238</v>
      </c>
      <c r="F24" s="36">
        <f t="shared" si="0"/>
        <v>3.643724696356275E-2</v>
      </c>
      <c r="G24" s="34"/>
    </row>
    <row r="25" spans="1:8" ht="15" customHeight="1" x14ac:dyDescent="0.4">
      <c r="B25" s="52" t="s">
        <v>138</v>
      </c>
      <c r="C25" s="53">
        <f>SUMPRODUCT(--('Master Learner Profile'!K2:K1650&gt;=90),--('Master Learner Profile'!K2:K1650&lt;=100))</f>
        <v>818</v>
      </c>
      <c r="D25" s="53">
        <f>SUMPRODUCT(--('Master Learner Profile'!K2:K1650&gt;=90),--('Master Learner Profile'!K2:K1650&lt;=100),--('Master Learner Profile'!C2:C1650="Yes"))</f>
        <v>7</v>
      </c>
      <c r="E25" s="53">
        <f>SUMPRODUCT(--('Master Learner Profile'!K2:K1650&gt;=90),--('Master Learner Profile'!K2:K1650&lt;=100),--('Master Learner Profile'!C2:C1650="No"))</f>
        <v>811</v>
      </c>
      <c r="F25" s="36">
        <f t="shared" si="0"/>
        <v>8.557457212713936E-3</v>
      </c>
      <c r="G25" s="34"/>
    </row>
    <row r="26" spans="1:8" ht="15" customHeight="1" x14ac:dyDescent="0.4">
      <c r="B26" s="39" t="s">
        <v>93</v>
      </c>
      <c r="C26" s="39">
        <f>SUM(C20:C25)</f>
        <v>1649</v>
      </c>
      <c r="D26" s="39">
        <f>SUM(D20:D25)</f>
        <v>281</v>
      </c>
      <c r="E26" s="39">
        <f>SUM(E20:E25)</f>
        <v>1368</v>
      </c>
      <c r="F26" s="54">
        <f t="shared" si="0"/>
        <v>0.17040630685263797</v>
      </c>
      <c r="G26" s="55"/>
    </row>
    <row r="28" spans="1:8" ht="75" customHeight="1" x14ac:dyDescent="0.4">
      <c r="B28" s="4" t="s">
        <v>139</v>
      </c>
      <c r="C28" s="4"/>
      <c r="D28" s="4"/>
      <c r="E28" s="4"/>
      <c r="F28" s="4"/>
      <c r="G28" s="4"/>
      <c r="H28" s="4"/>
    </row>
    <row r="31" spans="1:8" ht="24" customHeight="1" x14ac:dyDescent="0.4">
      <c r="A31" s="9" t="s">
        <v>140</v>
      </c>
      <c r="B31" s="9"/>
      <c r="C31" s="9"/>
      <c r="D31" s="9"/>
      <c r="E31" s="9"/>
      <c r="F31" s="9"/>
      <c r="G31" s="9"/>
      <c r="H31" s="9"/>
    </row>
    <row r="33" spans="1:8" ht="15" customHeight="1" x14ac:dyDescent="0.4">
      <c r="B33" s="30" t="s">
        <v>141</v>
      </c>
      <c r="C33" s="30" t="s">
        <v>129</v>
      </c>
      <c r="D33" s="30" t="s">
        <v>130</v>
      </c>
      <c r="E33" s="30" t="s">
        <v>131</v>
      </c>
      <c r="F33" s="30" t="s">
        <v>132</v>
      </c>
      <c r="G33" s="30" t="s">
        <v>142</v>
      </c>
    </row>
    <row r="34" spans="1:8" ht="41.25" customHeight="1" x14ac:dyDescent="0.4">
      <c r="B34" s="52" t="s">
        <v>143</v>
      </c>
      <c r="C34" s="56">
        <f>COUNTIF('Master Learner Profile'!L2:L1650,"Yes")</f>
        <v>1275</v>
      </c>
      <c r="D34" s="56">
        <f>COUNTIFS('Master Learner Profile'!L2:L1650,"Yes",'Master Learner Profile'!C2:C1650,"Yes")</f>
        <v>154</v>
      </c>
      <c r="E34" s="56">
        <f>COUNTIFS('Master Learner Profile'!L2:L1650,"Yes",'Master Learner Profile'!C2:C1650,"No")</f>
        <v>1121</v>
      </c>
      <c r="F34" s="57">
        <f>IFERROR(D34/C34,0)</f>
        <v>0.1207843137254902</v>
      </c>
      <c r="G34" s="35" t="s">
        <v>144</v>
      </c>
    </row>
    <row r="35" spans="1:8" ht="54.75" customHeight="1" x14ac:dyDescent="0.4">
      <c r="B35" s="52" t="s">
        <v>145</v>
      </c>
      <c r="C35" s="56">
        <f>COUNTIF('Master Learner Profile'!L2:L1650,"No")</f>
        <v>295</v>
      </c>
      <c r="D35" s="56">
        <f>COUNTIFS('Master Learner Profile'!L2:L1650,"No",'Master Learner Profile'!C2:C1650,"Yes")</f>
        <v>127</v>
      </c>
      <c r="E35" s="56">
        <f>COUNTIFS('Master Learner Profile'!L2:L1650,"No",'Master Learner Profile'!C2:C1650,"No")</f>
        <v>168</v>
      </c>
      <c r="F35" s="57">
        <f>IFERROR(D35/C35,0)</f>
        <v>0.43050847457627117</v>
      </c>
      <c r="G35" s="35" t="s">
        <v>146</v>
      </c>
    </row>
    <row r="36" spans="1:8" ht="27.75" customHeight="1" x14ac:dyDescent="0.4">
      <c r="B36" s="52" t="s">
        <v>147</v>
      </c>
      <c r="C36" s="56">
        <f>COUNTIF('Master Learner Profile'!L2:L1650,"Not Tracked")</f>
        <v>79</v>
      </c>
      <c r="D36" s="56">
        <f>COUNTIFS('Master Learner Profile'!L2:L1650,"Not Tracked",'Master Learner Profile'!C2:C1650,"Yes")</f>
        <v>0</v>
      </c>
      <c r="E36" s="56">
        <f>COUNTIFS('Master Learner Profile'!L2:L1650,"Not Tracked",'Master Learner Profile'!C2:C1650,"No")</f>
        <v>79</v>
      </c>
      <c r="F36" s="57">
        <f>IFERROR(D36/C36,0)</f>
        <v>0</v>
      </c>
      <c r="G36" s="35" t="s">
        <v>148</v>
      </c>
    </row>
    <row r="38" spans="1:8" ht="60" customHeight="1" x14ac:dyDescent="0.4">
      <c r="B38" s="4" t="s">
        <v>149</v>
      </c>
      <c r="C38" s="4"/>
      <c r="D38" s="4"/>
      <c r="E38" s="4"/>
      <c r="F38" s="4"/>
      <c r="G38" s="4"/>
      <c r="H38" s="4"/>
    </row>
    <row r="40" spans="1:8" ht="24" customHeight="1" x14ac:dyDescent="0.4">
      <c r="A40" s="9" t="s">
        <v>150</v>
      </c>
      <c r="B40" s="9"/>
      <c r="C40" s="9"/>
      <c r="D40" s="9"/>
      <c r="E40" s="9"/>
      <c r="F40" s="9"/>
      <c r="G40" s="9"/>
      <c r="H40" s="9"/>
    </row>
    <row r="41" spans="1:8" ht="31.5" customHeight="1" x14ac:dyDescent="0.4">
      <c r="B41" s="5" t="s">
        <v>151</v>
      </c>
      <c r="C41" s="5"/>
      <c r="D41" s="5"/>
      <c r="E41" s="5"/>
      <c r="F41" s="5"/>
      <c r="G41" s="5"/>
      <c r="H41" s="5"/>
    </row>
    <row r="43" spans="1:8" ht="15" customHeight="1" x14ac:dyDescent="0.4">
      <c r="B43" s="30" t="s">
        <v>152</v>
      </c>
      <c r="C43" s="30" t="s">
        <v>129</v>
      </c>
      <c r="D43" s="30" t="s">
        <v>130</v>
      </c>
      <c r="E43" s="30" t="s">
        <v>131</v>
      </c>
      <c r="F43" s="30" t="s">
        <v>132</v>
      </c>
      <c r="G43" s="30" t="s">
        <v>153</v>
      </c>
    </row>
    <row r="44" spans="1:8" ht="15" customHeight="1" x14ac:dyDescent="0.4">
      <c r="B44" s="52" t="s">
        <v>154</v>
      </c>
      <c r="C44" s="56">
        <f>COUNTIF('Master Learner Profile'!O2:O1650,"1: Critical (No DBWT + No Wk0)")</f>
        <v>76</v>
      </c>
      <c r="D44" s="56">
        <f>COUNTIFS('Master Learner Profile'!O2:O1650,"1: Critical (No DBWT + No Wk0)",'Master Learner Profile'!C2:C1650,"Yes")</f>
        <v>56</v>
      </c>
      <c r="E44" s="56">
        <f>COUNTIFS('Master Learner Profile'!O2:O1650,"1: Critical (No DBWT + No Wk0)",'Master Learner Profile'!C2:C1650,"No")</f>
        <v>20</v>
      </c>
      <c r="F44" s="57">
        <f>IFERROR(D44/C44,0)</f>
        <v>0.73684210526315785</v>
      </c>
      <c r="G44" s="57">
        <f>IFERROR(D44/COUNTIF('Master Learner Profile'!C2:C1650,"Yes"),0)</f>
        <v>0.199288256227758</v>
      </c>
    </row>
    <row r="45" spans="1:8" ht="15" customHeight="1" x14ac:dyDescent="0.4">
      <c r="B45" s="52" t="s">
        <v>155</v>
      </c>
      <c r="C45" s="56">
        <f>COUNTIF('Master Learner Profile'!O2:O1650,"2: High (No DBWT)")</f>
        <v>219</v>
      </c>
      <c r="D45" s="56">
        <f>COUNTIFS('Master Learner Profile'!O2:O1650,"2: High (No DBWT)",'Master Learner Profile'!C2:C1650,"Yes")</f>
        <v>71</v>
      </c>
      <c r="E45" s="56">
        <f>COUNTIFS('Master Learner Profile'!O2:O1650,"2: High (No DBWT)",'Master Learner Profile'!C2:C1650,"No")</f>
        <v>148</v>
      </c>
      <c r="F45" s="57">
        <f>IFERROR(D45/C45,0)</f>
        <v>0.32420091324200911</v>
      </c>
      <c r="G45" s="57">
        <f>IFERROR(D45/COUNTIF('Master Learner Profile'!C2:C1650,"Yes"),0)</f>
        <v>0.25266903914590749</v>
      </c>
    </row>
    <row r="46" spans="1:8" ht="15" customHeight="1" x14ac:dyDescent="0.4">
      <c r="B46" s="52" t="s">
        <v>156</v>
      </c>
      <c r="C46" s="56">
        <f>COUNTIF('Master Learner Profile'!O2:O1650,"3: Elevated (No Wk0)")</f>
        <v>88</v>
      </c>
      <c r="D46" s="56">
        <f>COUNTIFS('Master Learner Profile'!O2:O1650,"3: Elevated (No Wk0)",'Master Learner Profile'!C2:C1650,"Yes")</f>
        <v>37</v>
      </c>
      <c r="E46" s="56">
        <f>COUNTIFS('Master Learner Profile'!O2:O1650,"3: Elevated (No Wk0)",'Master Learner Profile'!C2:C1650,"No")</f>
        <v>51</v>
      </c>
      <c r="F46" s="57">
        <f>IFERROR(D46/C46,0)</f>
        <v>0.42045454545454547</v>
      </c>
      <c r="G46" s="57">
        <f>IFERROR(D46/COUNTIF('Master Learner Profile'!C2:C1650,"Yes"),0)</f>
        <v>0.13167259786476868</v>
      </c>
    </row>
    <row r="47" spans="1:8" ht="15" customHeight="1" x14ac:dyDescent="0.4">
      <c r="B47" s="52" t="s">
        <v>157</v>
      </c>
      <c r="C47" s="56">
        <f>COUNTIF('Master Learner Profile'!O2:O1650,"4: Engaged Early")</f>
        <v>1266</v>
      </c>
      <c r="D47" s="56">
        <f>COUNTIFS('Master Learner Profile'!O2:O1650,"4: Engaged Early",'Master Learner Profile'!C2:C1650,"Yes")</f>
        <v>117</v>
      </c>
      <c r="E47" s="56">
        <f>COUNTIFS('Master Learner Profile'!O2:O1650,"4: Engaged Early",'Master Learner Profile'!C2:C1650,"No")</f>
        <v>1149</v>
      </c>
      <c r="F47" s="57">
        <f>IFERROR(D47/C47,0)</f>
        <v>9.2417061611374404E-2</v>
      </c>
      <c r="G47" s="57">
        <f>IFERROR(D47/COUNTIF('Master Learner Profile'!C2:C1650,"Yes"),0)</f>
        <v>0.41637010676156583</v>
      </c>
    </row>
    <row r="50" spans="1:8" ht="24" customHeight="1" x14ac:dyDescent="0.4">
      <c r="A50" s="9" t="s">
        <v>158</v>
      </c>
      <c r="B50" s="9"/>
      <c r="C50" s="9"/>
      <c r="D50" s="9"/>
      <c r="E50" s="9"/>
      <c r="F50" s="9"/>
      <c r="G50" s="9"/>
      <c r="H50" s="9"/>
    </row>
    <row r="52" spans="1:8" ht="15" customHeight="1" x14ac:dyDescent="0.4">
      <c r="B52" s="30" t="s">
        <v>63</v>
      </c>
      <c r="C52" s="30" t="s">
        <v>159</v>
      </c>
      <c r="D52" s="3" t="s">
        <v>160</v>
      </c>
      <c r="E52" s="3"/>
      <c r="F52" s="3"/>
      <c r="G52" s="3"/>
    </row>
    <row r="53" spans="1:8" ht="94.5" customHeight="1" x14ac:dyDescent="0.4">
      <c r="B53" s="34">
        <v>1</v>
      </c>
      <c r="C53" s="58" t="s">
        <v>161</v>
      </c>
      <c r="D53" s="1" t="s">
        <v>162</v>
      </c>
      <c r="E53" s="1"/>
      <c r="F53" s="1"/>
      <c r="G53" s="1"/>
      <c r="H53" s="42"/>
    </row>
    <row r="54" spans="1:8" ht="94.5" customHeight="1" x14ac:dyDescent="0.4">
      <c r="B54" s="31">
        <v>2</v>
      </c>
      <c r="C54" s="59" t="s">
        <v>163</v>
      </c>
      <c r="D54" s="2" t="s">
        <v>164</v>
      </c>
      <c r="E54" s="2"/>
      <c r="F54" s="2"/>
      <c r="G54" s="2"/>
      <c r="H54" s="41"/>
    </row>
    <row r="55" spans="1:8" ht="94.5" customHeight="1" x14ac:dyDescent="0.4">
      <c r="B55" s="34">
        <v>3</v>
      </c>
      <c r="C55" s="58" t="s">
        <v>165</v>
      </c>
      <c r="D55" s="1" t="s">
        <v>166</v>
      </c>
      <c r="E55" s="1"/>
      <c r="F55" s="1"/>
      <c r="G55" s="1"/>
      <c r="H55" s="42"/>
    </row>
    <row r="56" spans="1:8" ht="94.5" customHeight="1" x14ac:dyDescent="0.4">
      <c r="B56" s="31">
        <v>4</v>
      </c>
      <c r="C56" s="59" t="s">
        <v>167</v>
      </c>
      <c r="D56" s="2" t="s">
        <v>168</v>
      </c>
      <c r="E56" s="2"/>
      <c r="F56" s="2"/>
      <c r="G56" s="2"/>
      <c r="H56" s="41"/>
    </row>
    <row r="57" spans="1:8" ht="94.5" customHeight="1" x14ac:dyDescent="0.4">
      <c r="B57" s="34">
        <v>5</v>
      </c>
      <c r="C57" s="58" t="s">
        <v>169</v>
      </c>
      <c r="D57" s="1" t="s">
        <v>170</v>
      </c>
      <c r="E57" s="1"/>
      <c r="F57" s="1"/>
      <c r="G57" s="1"/>
      <c r="H57" s="42"/>
    </row>
    <row r="58" spans="1:8" ht="94.5" customHeight="1" x14ac:dyDescent="0.4">
      <c r="B58" s="31">
        <v>6</v>
      </c>
      <c r="C58" s="59" t="s">
        <v>171</v>
      </c>
      <c r="D58" s="2" t="s">
        <v>172</v>
      </c>
      <c r="E58" s="2"/>
      <c r="F58" s="2"/>
      <c r="G58" s="2"/>
      <c r="H58" s="41"/>
    </row>
    <row r="59" spans="1:8" ht="94.5" customHeight="1" x14ac:dyDescent="0.4">
      <c r="B59" s="34">
        <v>7</v>
      </c>
      <c r="C59" s="58" t="s">
        <v>173</v>
      </c>
      <c r="D59" s="1" t="s">
        <v>174</v>
      </c>
      <c r="E59" s="1"/>
      <c r="F59" s="1"/>
      <c r="G59" s="1"/>
      <c r="H59" s="42"/>
    </row>
  </sheetData>
  <mergeCells count="18">
    <mergeCell ref="D57:G57"/>
    <mergeCell ref="D58:G58"/>
    <mergeCell ref="D59:G59"/>
    <mergeCell ref="D52:G52"/>
    <mergeCell ref="D53:G53"/>
    <mergeCell ref="D54:G54"/>
    <mergeCell ref="D55:G55"/>
    <mergeCell ref="D56:G56"/>
    <mergeCell ref="A31:H31"/>
    <mergeCell ref="B38:H38"/>
    <mergeCell ref="A40:H40"/>
    <mergeCell ref="B41:H41"/>
    <mergeCell ref="A50:H50"/>
    <mergeCell ref="B2:H2"/>
    <mergeCell ref="B4:H4"/>
    <mergeCell ref="A6:H6"/>
    <mergeCell ref="A17:H17"/>
    <mergeCell ref="B28:H28"/>
  </mergeCells>
  <conditionalFormatting sqref="F20:F25">
    <cfRule type="colorScale" priority="2">
      <colorScale>
        <cfvo type="num" val="0"/>
        <cfvo type="num" val="0.4"/>
        <cfvo type="num" val="0.85"/>
        <color rgb="FF63BE7B"/>
        <color rgb="FFFFEB84"/>
        <color rgb="FFF8696B"/>
      </colorScale>
    </cfRule>
  </conditionalFormatting>
  <conditionalFormatting sqref="F34:F36">
    <cfRule type="colorScale" priority="3">
      <colorScale>
        <cfvo type="num" val="0"/>
        <cfvo type="num" val="0.25"/>
        <cfvo type="num" val="0.5"/>
        <color rgb="FF63BE7B"/>
        <color rgb="FFFFEB84"/>
        <color rgb="FFF8696B"/>
      </colorScale>
    </cfRule>
  </conditionalFormatting>
  <conditionalFormatting sqref="F44:F47">
    <cfRule type="colorScale" priority="4">
      <colorScale>
        <cfvo type="num" val="0"/>
        <cfvo type="num" val="0.4"/>
        <cfvo type="num" val="0.8"/>
        <color rgb="FF63BE7B"/>
        <color rgb="FFFFEB84"/>
        <color rgb="FFF8696B"/>
      </colorScale>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B9BD5"/>
  </sheetPr>
  <dimension ref="B2:F14"/>
  <sheetViews>
    <sheetView showGridLines="0" zoomScaleNormal="100" workbookViewId="0"/>
  </sheetViews>
  <sheetFormatPr defaultColWidth="8.6328125" defaultRowHeight="14.5" x14ac:dyDescent="0.4"/>
  <cols>
    <col min="1" max="1" width="4" customWidth="1"/>
    <col min="2" max="2" width="30" customWidth="1"/>
    <col min="3" max="3" width="50" customWidth="1"/>
    <col min="4" max="4" width="30" customWidth="1"/>
    <col min="5" max="5" width="25" customWidth="1"/>
  </cols>
  <sheetData>
    <row r="2" spans="2:6" ht="30" customHeight="1" x14ac:dyDescent="0.4">
      <c r="B2" s="11" t="s">
        <v>175</v>
      </c>
      <c r="C2" s="11"/>
      <c r="D2" s="11"/>
      <c r="E2" s="11"/>
    </row>
    <row r="4" spans="2:6" ht="49.5" customHeight="1" x14ac:dyDescent="0.4">
      <c r="B4" s="5" t="s">
        <v>176</v>
      </c>
      <c r="C4" s="5"/>
      <c r="D4" s="5"/>
      <c r="E4" s="5"/>
    </row>
    <row r="6" spans="2:6" ht="41.25" customHeight="1" x14ac:dyDescent="0.4">
      <c r="B6" s="30" t="s">
        <v>63</v>
      </c>
      <c r="C6" s="30" t="s">
        <v>177</v>
      </c>
      <c r="D6" s="30" t="s">
        <v>178</v>
      </c>
      <c r="E6" s="30" t="s">
        <v>179</v>
      </c>
      <c r="F6" s="30" t="s">
        <v>180</v>
      </c>
    </row>
    <row r="7" spans="2:6" ht="109.5" customHeight="1" x14ac:dyDescent="0.4">
      <c r="B7" s="34">
        <v>1</v>
      </c>
      <c r="C7" s="58" t="s">
        <v>181</v>
      </c>
      <c r="D7" s="42" t="s">
        <v>182</v>
      </c>
      <c r="E7" s="42" t="s">
        <v>183</v>
      </c>
      <c r="F7" s="42" t="s">
        <v>184</v>
      </c>
    </row>
    <row r="8" spans="2:6" ht="109.5" customHeight="1" x14ac:dyDescent="0.4">
      <c r="B8" s="31">
        <v>2</v>
      </c>
      <c r="C8" s="59" t="s">
        <v>185</v>
      </c>
      <c r="D8" s="41" t="s">
        <v>186</v>
      </c>
      <c r="E8" s="41" t="s">
        <v>187</v>
      </c>
      <c r="F8" s="41" t="s">
        <v>188</v>
      </c>
    </row>
    <row r="9" spans="2:6" ht="109.5" customHeight="1" x14ac:dyDescent="0.4">
      <c r="B9" s="34">
        <v>3</v>
      </c>
      <c r="C9" s="58" t="s">
        <v>189</v>
      </c>
      <c r="D9" s="42" t="s">
        <v>190</v>
      </c>
      <c r="E9" s="42" t="s">
        <v>191</v>
      </c>
      <c r="F9" s="42" t="s">
        <v>192</v>
      </c>
    </row>
    <row r="10" spans="2:6" ht="109.5" customHeight="1" x14ac:dyDescent="0.4">
      <c r="B10" s="31">
        <v>4</v>
      </c>
      <c r="C10" s="59" t="s">
        <v>193</v>
      </c>
      <c r="D10" s="41" t="s">
        <v>194</v>
      </c>
      <c r="E10" s="41" t="s">
        <v>195</v>
      </c>
      <c r="F10" s="41" t="s">
        <v>196</v>
      </c>
    </row>
    <row r="11" spans="2:6" ht="109.5" customHeight="1" x14ac:dyDescent="0.4">
      <c r="B11" s="34">
        <v>5</v>
      </c>
      <c r="C11" s="58" t="s">
        <v>197</v>
      </c>
      <c r="D11" s="42" t="s">
        <v>198</v>
      </c>
      <c r="E11" s="42" t="s">
        <v>199</v>
      </c>
      <c r="F11" s="42" t="s">
        <v>200</v>
      </c>
    </row>
    <row r="12" spans="2:6" ht="109.5" customHeight="1" x14ac:dyDescent="0.4">
      <c r="B12" s="31">
        <v>6</v>
      </c>
      <c r="C12" s="59" t="s">
        <v>201</v>
      </c>
      <c r="D12" s="41" t="s">
        <v>202</v>
      </c>
      <c r="E12" s="41" t="s">
        <v>203</v>
      </c>
      <c r="F12" s="41" t="s">
        <v>204</v>
      </c>
    </row>
    <row r="13" spans="2:6" ht="109.5" customHeight="1" x14ac:dyDescent="0.4">
      <c r="B13" s="34">
        <v>7</v>
      </c>
      <c r="C13" s="58" t="s">
        <v>205</v>
      </c>
      <c r="D13" s="42" t="s">
        <v>206</v>
      </c>
      <c r="E13" s="42" t="s">
        <v>207</v>
      </c>
      <c r="F13" s="42" t="s">
        <v>208</v>
      </c>
    </row>
    <row r="14" spans="2:6" ht="109.5" customHeight="1" x14ac:dyDescent="0.4">
      <c r="B14" s="31">
        <v>8</v>
      </c>
      <c r="C14" s="59" t="s">
        <v>209</v>
      </c>
      <c r="D14" s="41" t="s">
        <v>210</v>
      </c>
      <c r="E14" s="41" t="s">
        <v>211</v>
      </c>
      <c r="F14" s="41" t="s">
        <v>212</v>
      </c>
    </row>
  </sheetData>
  <mergeCells count="2">
    <mergeCell ref="B2:E2"/>
    <mergeCell ref="B4:E4"/>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AD47"/>
  </sheetPr>
  <dimension ref="A1:H305"/>
  <sheetViews>
    <sheetView zoomScaleNormal="100" workbookViewId="0">
      <pane ySplit="1" topLeftCell="A2" activePane="bottomLeft" state="frozen"/>
      <selection pane="bottomLeft"/>
    </sheetView>
  </sheetViews>
  <sheetFormatPr defaultColWidth="8.6328125" defaultRowHeight="14.5" x14ac:dyDescent="0.4"/>
  <cols>
    <col min="1" max="1" width="13" customWidth="1"/>
    <col min="2" max="2" width="19" customWidth="1"/>
    <col min="3" max="3" width="14" customWidth="1"/>
    <col min="4" max="4" width="18" customWidth="1"/>
    <col min="5" max="5" width="12" customWidth="1"/>
    <col min="6" max="6" width="70" customWidth="1"/>
    <col min="7" max="7" width="12" customWidth="1"/>
    <col min="8" max="8" width="28" customWidth="1"/>
  </cols>
  <sheetData>
    <row r="1" spans="1:8" ht="27.75" customHeight="1" x14ac:dyDescent="0.4">
      <c r="A1" s="30" t="s">
        <v>213</v>
      </c>
      <c r="B1" s="30" t="s">
        <v>214</v>
      </c>
      <c r="C1" s="30" t="s">
        <v>215</v>
      </c>
      <c r="D1" s="30" t="s">
        <v>216</v>
      </c>
      <c r="E1" s="30" t="s">
        <v>217</v>
      </c>
      <c r="F1" s="30" t="s">
        <v>218</v>
      </c>
      <c r="G1" s="30" t="s">
        <v>219</v>
      </c>
      <c r="H1" s="30" t="s">
        <v>64</v>
      </c>
    </row>
    <row r="2" spans="1:8" ht="15" customHeight="1" x14ac:dyDescent="0.4">
      <c r="A2" s="60" t="s">
        <v>220</v>
      </c>
      <c r="B2" s="61">
        <v>44768</v>
      </c>
      <c r="C2" s="60" t="s">
        <v>221</v>
      </c>
      <c r="D2" s="60" t="s">
        <v>222</v>
      </c>
      <c r="E2" s="60">
        <v>14</v>
      </c>
      <c r="F2" s="42"/>
      <c r="G2" s="60"/>
      <c r="H2" s="60" t="s">
        <v>91</v>
      </c>
    </row>
    <row r="3" spans="1:8" ht="54.75" customHeight="1" x14ac:dyDescent="0.4">
      <c r="A3" s="60" t="s">
        <v>223</v>
      </c>
      <c r="B3" s="61">
        <v>44767</v>
      </c>
      <c r="C3" s="60" t="s">
        <v>221</v>
      </c>
      <c r="D3" s="60" t="s">
        <v>222</v>
      </c>
      <c r="E3" s="60">
        <v>13</v>
      </c>
      <c r="F3" s="42" t="s">
        <v>224</v>
      </c>
      <c r="G3" s="60" t="s">
        <v>225</v>
      </c>
      <c r="H3" s="60" t="s">
        <v>77</v>
      </c>
    </row>
    <row r="4" spans="1:8" ht="15" customHeight="1" x14ac:dyDescent="0.4">
      <c r="A4" s="60" t="s">
        <v>226</v>
      </c>
      <c r="B4" s="61">
        <v>44767</v>
      </c>
      <c r="C4" s="60" t="s">
        <v>221</v>
      </c>
      <c r="D4" s="60" t="s">
        <v>222</v>
      </c>
      <c r="E4" s="60">
        <v>13</v>
      </c>
      <c r="F4" s="42"/>
      <c r="G4" s="60"/>
      <c r="H4" s="60" t="s">
        <v>91</v>
      </c>
    </row>
    <row r="5" spans="1:8" ht="15" customHeight="1" x14ac:dyDescent="0.4">
      <c r="A5" s="60" t="s">
        <v>227</v>
      </c>
      <c r="B5" s="61">
        <v>44767</v>
      </c>
      <c r="C5" s="60" t="s">
        <v>221</v>
      </c>
      <c r="D5" s="60" t="s">
        <v>222</v>
      </c>
      <c r="E5" s="60">
        <v>13</v>
      </c>
      <c r="F5" s="42"/>
      <c r="G5" s="60"/>
      <c r="H5" s="60" t="s">
        <v>91</v>
      </c>
    </row>
    <row r="6" spans="1:8" ht="15" customHeight="1" x14ac:dyDescent="0.4">
      <c r="A6" s="60" t="s">
        <v>228</v>
      </c>
      <c r="B6" s="61">
        <v>44767</v>
      </c>
      <c r="C6" s="60" t="s">
        <v>221</v>
      </c>
      <c r="D6" s="60" t="s">
        <v>222</v>
      </c>
      <c r="E6" s="60">
        <v>13</v>
      </c>
      <c r="F6" s="42"/>
      <c r="G6" s="60"/>
      <c r="H6" s="60" t="s">
        <v>91</v>
      </c>
    </row>
    <row r="7" spans="1:8" ht="15" customHeight="1" x14ac:dyDescent="0.4">
      <c r="A7" s="60" t="s">
        <v>229</v>
      </c>
      <c r="B7" s="61">
        <v>44767</v>
      </c>
      <c r="C7" s="60" t="s">
        <v>221</v>
      </c>
      <c r="D7" s="60" t="s">
        <v>222</v>
      </c>
      <c r="E7" s="60">
        <v>13</v>
      </c>
      <c r="F7" s="42"/>
      <c r="G7" s="60"/>
      <c r="H7" s="60" t="s">
        <v>91</v>
      </c>
    </row>
    <row r="8" spans="1:8" ht="15" customHeight="1" x14ac:dyDescent="0.4">
      <c r="A8" s="60" t="s">
        <v>230</v>
      </c>
      <c r="B8" s="61">
        <v>44766</v>
      </c>
      <c r="C8" s="60" t="s">
        <v>221</v>
      </c>
      <c r="D8" s="60" t="s">
        <v>222</v>
      </c>
      <c r="E8" s="60">
        <v>12</v>
      </c>
      <c r="F8" s="42"/>
      <c r="G8" s="60"/>
      <c r="H8" s="60" t="s">
        <v>91</v>
      </c>
    </row>
    <row r="9" spans="1:8" ht="15" customHeight="1" x14ac:dyDescent="0.4">
      <c r="A9" s="60" t="s">
        <v>231</v>
      </c>
      <c r="B9" s="61">
        <v>44766</v>
      </c>
      <c r="C9" s="60" t="s">
        <v>221</v>
      </c>
      <c r="D9" s="60" t="s">
        <v>222</v>
      </c>
      <c r="E9" s="60">
        <v>12</v>
      </c>
      <c r="F9" s="42"/>
      <c r="G9" s="60"/>
      <c r="H9" s="60" t="s">
        <v>91</v>
      </c>
    </row>
    <row r="10" spans="1:8" ht="15" customHeight="1" x14ac:dyDescent="0.4">
      <c r="A10" s="60" t="s">
        <v>232</v>
      </c>
      <c r="B10" s="61">
        <v>44766</v>
      </c>
      <c r="C10" s="60" t="s">
        <v>221</v>
      </c>
      <c r="D10" s="60" t="s">
        <v>222</v>
      </c>
      <c r="E10" s="60">
        <v>12</v>
      </c>
      <c r="F10" s="42"/>
      <c r="G10" s="60"/>
      <c r="H10" s="60" t="s">
        <v>91</v>
      </c>
    </row>
    <row r="11" spans="1:8" ht="15" customHeight="1" x14ac:dyDescent="0.4">
      <c r="A11" s="60" t="s">
        <v>233</v>
      </c>
      <c r="B11" s="61">
        <v>44765</v>
      </c>
      <c r="C11" s="60" t="s">
        <v>221</v>
      </c>
      <c r="D11" s="60" t="s">
        <v>222</v>
      </c>
      <c r="E11" s="60">
        <v>11</v>
      </c>
      <c r="F11" s="42"/>
      <c r="G11" s="60"/>
      <c r="H11" s="60" t="s">
        <v>91</v>
      </c>
    </row>
    <row r="12" spans="1:8" ht="15" customHeight="1" x14ac:dyDescent="0.4">
      <c r="A12" s="60" t="s">
        <v>234</v>
      </c>
      <c r="B12" s="61">
        <v>44765</v>
      </c>
      <c r="C12" s="60" t="s">
        <v>221</v>
      </c>
      <c r="D12" s="60" t="s">
        <v>222</v>
      </c>
      <c r="E12" s="60">
        <v>11</v>
      </c>
      <c r="F12" s="42"/>
      <c r="G12" s="60"/>
      <c r="H12" s="60" t="s">
        <v>91</v>
      </c>
    </row>
    <row r="13" spans="1:8" ht="15" customHeight="1" x14ac:dyDescent="0.4">
      <c r="A13" s="60" t="s">
        <v>235</v>
      </c>
      <c r="B13" s="61">
        <v>44762</v>
      </c>
      <c r="C13" s="60" t="s">
        <v>221</v>
      </c>
      <c r="D13" s="60" t="s">
        <v>222</v>
      </c>
      <c r="E13" s="60">
        <v>8</v>
      </c>
      <c r="F13" s="42"/>
      <c r="G13" s="60"/>
      <c r="H13" s="60" t="s">
        <v>91</v>
      </c>
    </row>
    <row r="14" spans="1:8" ht="15" customHeight="1" x14ac:dyDescent="0.4">
      <c r="A14" s="60" t="s">
        <v>236</v>
      </c>
      <c r="B14" s="61">
        <v>44761</v>
      </c>
      <c r="C14" s="60" t="s">
        <v>221</v>
      </c>
      <c r="D14" s="60" t="s">
        <v>222</v>
      </c>
      <c r="E14" s="60">
        <v>7</v>
      </c>
      <c r="F14" s="42"/>
      <c r="G14" s="60"/>
      <c r="H14" s="60" t="s">
        <v>91</v>
      </c>
    </row>
    <row r="15" spans="1:8" ht="15" customHeight="1" x14ac:dyDescent="0.4">
      <c r="A15" s="60" t="s">
        <v>237</v>
      </c>
      <c r="B15" s="61">
        <v>44760</v>
      </c>
      <c r="C15" s="60" t="s">
        <v>221</v>
      </c>
      <c r="D15" s="60" t="s">
        <v>222</v>
      </c>
      <c r="E15" s="60">
        <v>6</v>
      </c>
      <c r="F15" s="42"/>
      <c r="G15" s="60"/>
      <c r="H15" s="60" t="s">
        <v>91</v>
      </c>
    </row>
    <row r="16" spans="1:8" ht="15" customHeight="1" x14ac:dyDescent="0.4">
      <c r="A16" s="60" t="s">
        <v>238</v>
      </c>
      <c r="B16" s="61">
        <v>44760</v>
      </c>
      <c r="C16" s="60" t="s">
        <v>221</v>
      </c>
      <c r="D16" s="60" t="s">
        <v>222</v>
      </c>
      <c r="E16" s="60">
        <v>6</v>
      </c>
      <c r="F16" s="42"/>
      <c r="G16" s="60"/>
      <c r="H16" s="60" t="s">
        <v>91</v>
      </c>
    </row>
    <row r="17" spans="1:8" ht="15" customHeight="1" x14ac:dyDescent="0.4">
      <c r="A17" s="60" t="s">
        <v>239</v>
      </c>
      <c r="B17" s="61">
        <v>44760</v>
      </c>
      <c r="C17" s="60" t="s">
        <v>221</v>
      </c>
      <c r="D17" s="60" t="s">
        <v>222</v>
      </c>
      <c r="E17" s="60">
        <v>6</v>
      </c>
      <c r="F17" s="42"/>
      <c r="G17" s="60"/>
      <c r="H17" s="60" t="s">
        <v>91</v>
      </c>
    </row>
    <row r="18" spans="1:8" ht="15" customHeight="1" x14ac:dyDescent="0.4">
      <c r="A18" s="60" t="s">
        <v>240</v>
      </c>
      <c r="B18" s="61">
        <v>44759</v>
      </c>
      <c r="C18" s="60" t="s">
        <v>221</v>
      </c>
      <c r="D18" s="60" t="s">
        <v>222</v>
      </c>
      <c r="E18" s="60">
        <v>5</v>
      </c>
      <c r="F18" s="42"/>
      <c r="G18" s="60"/>
      <c r="H18" s="60" t="s">
        <v>91</v>
      </c>
    </row>
    <row r="19" spans="1:8" ht="15" customHeight="1" x14ac:dyDescent="0.4">
      <c r="A19" s="60" t="s">
        <v>241</v>
      </c>
      <c r="B19" s="61">
        <v>44759</v>
      </c>
      <c r="C19" s="60" t="s">
        <v>221</v>
      </c>
      <c r="D19" s="60" t="s">
        <v>222</v>
      </c>
      <c r="E19" s="60">
        <v>5</v>
      </c>
      <c r="F19" s="42"/>
      <c r="G19" s="60"/>
      <c r="H19" s="60" t="s">
        <v>91</v>
      </c>
    </row>
    <row r="20" spans="1:8" ht="15" customHeight="1" x14ac:dyDescent="0.4">
      <c r="A20" s="60" t="s">
        <v>242</v>
      </c>
      <c r="B20" s="61">
        <v>44757</v>
      </c>
      <c r="C20" s="60" t="s">
        <v>221</v>
      </c>
      <c r="D20" s="60" t="s">
        <v>222</v>
      </c>
      <c r="E20" s="60">
        <v>3</v>
      </c>
      <c r="F20" s="42"/>
      <c r="G20" s="60"/>
      <c r="H20" s="60" t="s">
        <v>91</v>
      </c>
    </row>
    <row r="21" spans="1:8" ht="15" customHeight="1" x14ac:dyDescent="0.4">
      <c r="A21" s="60" t="s">
        <v>243</v>
      </c>
      <c r="B21" s="61">
        <v>44757</v>
      </c>
      <c r="C21" s="60" t="s">
        <v>221</v>
      </c>
      <c r="D21" s="60" t="s">
        <v>222</v>
      </c>
      <c r="E21" s="60">
        <v>3</v>
      </c>
      <c r="F21" s="42"/>
      <c r="G21" s="60"/>
      <c r="H21" s="60" t="s">
        <v>91</v>
      </c>
    </row>
    <row r="22" spans="1:8" ht="15" customHeight="1" x14ac:dyDescent="0.4">
      <c r="A22" s="60" t="s">
        <v>244</v>
      </c>
      <c r="B22" s="61">
        <v>44754</v>
      </c>
      <c r="C22" s="60" t="s">
        <v>245</v>
      </c>
      <c r="D22" s="60" t="s">
        <v>222</v>
      </c>
      <c r="E22" s="60">
        <v>0</v>
      </c>
      <c r="F22" s="42" t="s">
        <v>246</v>
      </c>
      <c r="G22" s="60" t="s">
        <v>225</v>
      </c>
      <c r="H22" s="60" t="s">
        <v>73</v>
      </c>
    </row>
    <row r="23" spans="1:8" ht="15" customHeight="1" x14ac:dyDescent="0.4">
      <c r="A23" s="60" t="s">
        <v>247</v>
      </c>
      <c r="B23" s="61">
        <v>44751</v>
      </c>
      <c r="C23" s="60" t="s">
        <v>221</v>
      </c>
      <c r="D23" s="60" t="s">
        <v>222</v>
      </c>
      <c r="E23" s="60">
        <v>-3</v>
      </c>
      <c r="F23" s="42"/>
      <c r="G23" s="60"/>
      <c r="H23" s="60" t="s">
        <v>91</v>
      </c>
    </row>
    <row r="24" spans="1:8" ht="15" customHeight="1" x14ac:dyDescent="0.4">
      <c r="A24" s="60" t="s">
        <v>248</v>
      </c>
      <c r="B24" s="61">
        <v>44734</v>
      </c>
      <c r="C24" s="60" t="s">
        <v>221</v>
      </c>
      <c r="D24" s="60" t="s">
        <v>222</v>
      </c>
      <c r="E24" s="60">
        <v>-20</v>
      </c>
      <c r="F24" s="42"/>
      <c r="G24" s="60"/>
      <c r="H24" s="60" t="s">
        <v>91</v>
      </c>
    </row>
    <row r="25" spans="1:8" ht="27.75" customHeight="1" x14ac:dyDescent="0.4">
      <c r="A25" s="60" t="s">
        <v>249</v>
      </c>
      <c r="B25" s="61">
        <v>44731</v>
      </c>
      <c r="C25" s="60" t="s">
        <v>250</v>
      </c>
      <c r="D25" s="60" t="s">
        <v>222</v>
      </c>
      <c r="E25" s="60">
        <v>-23</v>
      </c>
      <c r="F25" s="42" t="s">
        <v>251</v>
      </c>
      <c r="G25" s="60" t="s">
        <v>225</v>
      </c>
      <c r="H25" s="60" t="s">
        <v>70</v>
      </c>
    </row>
    <row r="26" spans="1:8" ht="27.75" customHeight="1" x14ac:dyDescent="0.4">
      <c r="A26" s="60" t="s">
        <v>252</v>
      </c>
      <c r="B26" s="61">
        <v>44736</v>
      </c>
      <c r="C26" s="60" t="s">
        <v>250</v>
      </c>
      <c r="D26" s="60" t="s">
        <v>222</v>
      </c>
      <c r="E26" s="60">
        <v>-18</v>
      </c>
      <c r="F26" s="42" t="s">
        <v>253</v>
      </c>
      <c r="G26" s="60" t="s">
        <v>225</v>
      </c>
      <c r="H26" s="60" t="s">
        <v>81</v>
      </c>
    </row>
    <row r="27" spans="1:8" ht="15" customHeight="1" x14ac:dyDescent="0.4">
      <c r="A27" s="60" t="s">
        <v>254</v>
      </c>
      <c r="B27" s="61">
        <v>44738</v>
      </c>
      <c r="C27" s="60" t="s">
        <v>250</v>
      </c>
      <c r="D27" s="60" t="s">
        <v>222</v>
      </c>
      <c r="E27" s="60">
        <v>-16</v>
      </c>
      <c r="F27" s="42" t="s">
        <v>255</v>
      </c>
      <c r="G27" s="60" t="s">
        <v>225</v>
      </c>
      <c r="H27" s="60" t="s">
        <v>70</v>
      </c>
    </row>
    <row r="28" spans="1:8" ht="15" customHeight="1" x14ac:dyDescent="0.4">
      <c r="A28" s="60" t="s">
        <v>256</v>
      </c>
      <c r="B28" s="61">
        <v>44739</v>
      </c>
      <c r="C28" s="60" t="s">
        <v>250</v>
      </c>
      <c r="D28" s="60" t="s">
        <v>222</v>
      </c>
      <c r="E28" s="60">
        <v>-15</v>
      </c>
      <c r="F28" s="42" t="s">
        <v>257</v>
      </c>
      <c r="G28" s="60" t="s">
        <v>225</v>
      </c>
      <c r="H28" s="60" t="s">
        <v>70</v>
      </c>
    </row>
    <row r="29" spans="1:8" ht="15" customHeight="1" x14ac:dyDescent="0.4">
      <c r="A29" s="60" t="s">
        <v>258</v>
      </c>
      <c r="B29" s="61">
        <v>44739</v>
      </c>
      <c r="C29" s="60" t="s">
        <v>250</v>
      </c>
      <c r="D29" s="60" t="s">
        <v>222</v>
      </c>
      <c r="E29" s="60">
        <v>-15</v>
      </c>
      <c r="F29" s="42" t="s">
        <v>259</v>
      </c>
      <c r="G29" s="60" t="s">
        <v>225</v>
      </c>
      <c r="H29" s="60" t="s">
        <v>81</v>
      </c>
    </row>
    <row r="30" spans="1:8" ht="41.25" customHeight="1" x14ac:dyDescent="0.4">
      <c r="A30" s="60" t="s">
        <v>260</v>
      </c>
      <c r="B30" s="61">
        <v>44739</v>
      </c>
      <c r="C30" s="60" t="s">
        <v>250</v>
      </c>
      <c r="D30" s="60" t="s">
        <v>222</v>
      </c>
      <c r="E30" s="60">
        <v>-15</v>
      </c>
      <c r="F30" s="42" t="s">
        <v>261</v>
      </c>
      <c r="G30" s="60" t="s">
        <v>225</v>
      </c>
      <c r="H30" s="60" t="s">
        <v>83</v>
      </c>
    </row>
    <row r="31" spans="1:8" ht="27.75" customHeight="1" x14ac:dyDescent="0.4">
      <c r="A31" s="60" t="s">
        <v>262</v>
      </c>
      <c r="B31" s="61">
        <v>44739</v>
      </c>
      <c r="C31" s="60" t="s">
        <v>250</v>
      </c>
      <c r="D31" s="60" t="s">
        <v>222</v>
      </c>
      <c r="E31" s="60">
        <v>-15</v>
      </c>
      <c r="F31" s="42" t="s">
        <v>263</v>
      </c>
      <c r="G31" s="60" t="s">
        <v>225</v>
      </c>
      <c r="H31" s="60" t="s">
        <v>81</v>
      </c>
    </row>
    <row r="32" spans="1:8" ht="27.75" customHeight="1" x14ac:dyDescent="0.4">
      <c r="A32" s="60" t="s">
        <v>264</v>
      </c>
      <c r="B32" s="61">
        <v>44738</v>
      </c>
      <c r="C32" s="60" t="s">
        <v>250</v>
      </c>
      <c r="D32" s="60" t="s">
        <v>222</v>
      </c>
      <c r="E32" s="60">
        <v>-16</v>
      </c>
      <c r="F32" s="42" t="s">
        <v>265</v>
      </c>
      <c r="G32" s="60" t="s">
        <v>225</v>
      </c>
      <c r="H32" s="60" t="s">
        <v>75</v>
      </c>
    </row>
    <row r="33" spans="1:8" ht="15" customHeight="1" x14ac:dyDescent="0.4">
      <c r="A33" s="60" t="s">
        <v>266</v>
      </c>
      <c r="B33" s="61">
        <v>44741</v>
      </c>
      <c r="C33" s="60" t="s">
        <v>250</v>
      </c>
      <c r="D33" s="60" t="s">
        <v>222</v>
      </c>
      <c r="E33" s="60">
        <v>-13</v>
      </c>
      <c r="F33" s="42" t="s">
        <v>267</v>
      </c>
      <c r="G33" s="60" t="s">
        <v>225</v>
      </c>
      <c r="H33" s="60" t="s">
        <v>70</v>
      </c>
    </row>
    <row r="34" spans="1:8" ht="27.75" customHeight="1" x14ac:dyDescent="0.4">
      <c r="A34" s="60" t="s">
        <v>268</v>
      </c>
      <c r="B34" s="61">
        <v>44741</v>
      </c>
      <c r="C34" s="60" t="s">
        <v>250</v>
      </c>
      <c r="D34" s="60" t="s">
        <v>222</v>
      </c>
      <c r="E34" s="60">
        <v>-13</v>
      </c>
      <c r="F34" s="42" t="s">
        <v>269</v>
      </c>
      <c r="G34" s="60" t="s">
        <v>225</v>
      </c>
      <c r="H34" s="60" t="s">
        <v>83</v>
      </c>
    </row>
    <row r="35" spans="1:8" ht="27.75" customHeight="1" x14ac:dyDescent="0.4">
      <c r="A35" s="60" t="s">
        <v>270</v>
      </c>
      <c r="B35" s="61">
        <v>44742</v>
      </c>
      <c r="C35" s="60" t="s">
        <v>250</v>
      </c>
      <c r="D35" s="60" t="s">
        <v>222</v>
      </c>
      <c r="E35" s="60">
        <v>-12</v>
      </c>
      <c r="F35" s="42" t="s">
        <v>271</v>
      </c>
      <c r="G35" s="60" t="s">
        <v>225</v>
      </c>
      <c r="H35" s="60" t="s">
        <v>70</v>
      </c>
    </row>
    <row r="36" spans="1:8" ht="68.25" customHeight="1" x14ac:dyDescent="0.4">
      <c r="A36" s="60" t="s">
        <v>272</v>
      </c>
      <c r="B36" s="61">
        <v>44742</v>
      </c>
      <c r="C36" s="60" t="s">
        <v>250</v>
      </c>
      <c r="D36" s="60" t="s">
        <v>222</v>
      </c>
      <c r="E36" s="60">
        <v>-12</v>
      </c>
      <c r="F36" s="42" t="s">
        <v>273</v>
      </c>
      <c r="G36" s="60" t="s">
        <v>225</v>
      </c>
      <c r="H36" s="60" t="s">
        <v>77</v>
      </c>
    </row>
    <row r="37" spans="1:8" ht="15" customHeight="1" x14ac:dyDescent="0.4">
      <c r="A37" s="60" t="s">
        <v>274</v>
      </c>
      <c r="B37" s="61">
        <v>44742</v>
      </c>
      <c r="C37" s="60" t="s">
        <v>250</v>
      </c>
      <c r="D37" s="60" t="s">
        <v>222</v>
      </c>
      <c r="E37" s="60">
        <v>-12</v>
      </c>
      <c r="F37" s="42" t="s">
        <v>275</v>
      </c>
      <c r="G37" s="60" t="s">
        <v>225</v>
      </c>
      <c r="H37" s="60" t="s">
        <v>79</v>
      </c>
    </row>
    <row r="38" spans="1:8" ht="27.75" customHeight="1" x14ac:dyDescent="0.4">
      <c r="A38" s="60" t="s">
        <v>276</v>
      </c>
      <c r="B38" s="61">
        <v>44743</v>
      </c>
      <c r="C38" s="60" t="s">
        <v>250</v>
      </c>
      <c r="D38" s="60" t="s">
        <v>222</v>
      </c>
      <c r="E38" s="60">
        <v>-11</v>
      </c>
      <c r="F38" s="42" t="s">
        <v>277</v>
      </c>
      <c r="G38" s="60" t="s">
        <v>225</v>
      </c>
      <c r="H38" s="60" t="s">
        <v>73</v>
      </c>
    </row>
    <row r="39" spans="1:8" ht="68.25" customHeight="1" x14ac:dyDescent="0.4">
      <c r="A39" s="60" t="s">
        <v>278</v>
      </c>
      <c r="B39" s="61">
        <v>44743</v>
      </c>
      <c r="C39" s="60" t="s">
        <v>250</v>
      </c>
      <c r="D39" s="60" t="s">
        <v>222</v>
      </c>
      <c r="E39" s="60">
        <v>-11</v>
      </c>
      <c r="F39" s="42" t="s">
        <v>279</v>
      </c>
      <c r="G39" s="60" t="s">
        <v>225</v>
      </c>
      <c r="H39" s="60" t="s">
        <v>89</v>
      </c>
    </row>
    <row r="40" spans="1:8" ht="41.25" customHeight="1" x14ac:dyDescent="0.4">
      <c r="A40" s="60" t="s">
        <v>280</v>
      </c>
      <c r="B40" s="61">
        <v>44743</v>
      </c>
      <c r="C40" s="60" t="s">
        <v>281</v>
      </c>
      <c r="D40" s="60" t="s">
        <v>222</v>
      </c>
      <c r="E40" s="60">
        <v>-11</v>
      </c>
      <c r="F40" s="42" t="s">
        <v>282</v>
      </c>
      <c r="G40" s="60" t="s">
        <v>225</v>
      </c>
      <c r="H40" s="60" t="s">
        <v>77</v>
      </c>
    </row>
    <row r="41" spans="1:8" ht="27.75" customHeight="1" x14ac:dyDescent="0.4">
      <c r="A41" s="60" t="s">
        <v>283</v>
      </c>
      <c r="B41" s="61">
        <v>44743</v>
      </c>
      <c r="C41" s="60" t="s">
        <v>250</v>
      </c>
      <c r="D41" s="60" t="s">
        <v>222</v>
      </c>
      <c r="E41" s="60">
        <v>-11</v>
      </c>
      <c r="F41" s="42" t="s">
        <v>284</v>
      </c>
      <c r="G41" s="60" t="s">
        <v>225</v>
      </c>
      <c r="H41" s="60" t="s">
        <v>73</v>
      </c>
    </row>
    <row r="42" spans="1:8" ht="108.75" customHeight="1" x14ac:dyDescent="0.4">
      <c r="A42" s="60" t="s">
        <v>285</v>
      </c>
      <c r="B42" s="61">
        <v>44743</v>
      </c>
      <c r="C42" s="60" t="s">
        <v>250</v>
      </c>
      <c r="D42" s="60" t="s">
        <v>222</v>
      </c>
      <c r="E42" s="60">
        <v>-11</v>
      </c>
      <c r="F42" s="42" t="s">
        <v>286</v>
      </c>
      <c r="G42" s="60" t="s">
        <v>225</v>
      </c>
      <c r="H42" s="60" t="s">
        <v>77</v>
      </c>
    </row>
    <row r="43" spans="1:8" ht="15" customHeight="1" x14ac:dyDescent="0.4">
      <c r="A43" s="60" t="s">
        <v>287</v>
      </c>
      <c r="B43" s="61">
        <v>44743</v>
      </c>
      <c r="C43" s="60" t="s">
        <v>250</v>
      </c>
      <c r="D43" s="60" t="s">
        <v>222</v>
      </c>
      <c r="E43" s="60">
        <v>-11</v>
      </c>
      <c r="F43" s="42" t="s">
        <v>288</v>
      </c>
      <c r="G43" s="60" t="s">
        <v>225</v>
      </c>
      <c r="H43" s="60" t="s">
        <v>83</v>
      </c>
    </row>
    <row r="44" spans="1:8" ht="15" customHeight="1" x14ac:dyDescent="0.4">
      <c r="A44" s="60" t="s">
        <v>289</v>
      </c>
      <c r="B44" s="61">
        <v>44744</v>
      </c>
      <c r="C44" s="60" t="s">
        <v>250</v>
      </c>
      <c r="D44" s="60" t="s">
        <v>222</v>
      </c>
      <c r="E44" s="60">
        <v>-10</v>
      </c>
      <c r="F44" s="42" t="s">
        <v>290</v>
      </c>
      <c r="G44" s="60" t="s">
        <v>225</v>
      </c>
      <c r="H44" s="60" t="s">
        <v>73</v>
      </c>
    </row>
    <row r="45" spans="1:8" ht="54.75" customHeight="1" x14ac:dyDescent="0.4">
      <c r="A45" s="60" t="s">
        <v>291</v>
      </c>
      <c r="B45" s="61">
        <v>44744</v>
      </c>
      <c r="C45" s="60" t="s">
        <v>250</v>
      </c>
      <c r="D45" s="60" t="s">
        <v>222</v>
      </c>
      <c r="E45" s="60">
        <v>-10</v>
      </c>
      <c r="F45" s="42" t="s">
        <v>292</v>
      </c>
      <c r="G45" s="60" t="s">
        <v>225</v>
      </c>
      <c r="H45" s="60" t="s">
        <v>77</v>
      </c>
    </row>
    <row r="46" spans="1:8" ht="15" customHeight="1" x14ac:dyDescent="0.4">
      <c r="A46" s="60" t="s">
        <v>293</v>
      </c>
      <c r="B46" s="61">
        <v>44744</v>
      </c>
      <c r="C46" s="60" t="s">
        <v>250</v>
      </c>
      <c r="D46" s="60" t="s">
        <v>222</v>
      </c>
      <c r="E46" s="60">
        <v>-10</v>
      </c>
      <c r="F46" s="42" t="s">
        <v>294</v>
      </c>
      <c r="G46" s="60" t="s">
        <v>225</v>
      </c>
      <c r="H46" s="60" t="s">
        <v>70</v>
      </c>
    </row>
    <row r="47" spans="1:8" ht="27.75" customHeight="1" x14ac:dyDescent="0.4">
      <c r="A47" s="60" t="s">
        <v>295</v>
      </c>
      <c r="B47" s="61">
        <v>44745</v>
      </c>
      <c r="C47" s="60" t="s">
        <v>250</v>
      </c>
      <c r="D47" s="60" t="s">
        <v>222</v>
      </c>
      <c r="E47" s="60">
        <v>-9</v>
      </c>
      <c r="F47" s="42" t="s">
        <v>296</v>
      </c>
      <c r="G47" s="60" t="s">
        <v>225</v>
      </c>
      <c r="H47" s="60" t="s">
        <v>70</v>
      </c>
    </row>
    <row r="48" spans="1:8" ht="15" customHeight="1" x14ac:dyDescent="0.4">
      <c r="A48" s="60" t="s">
        <v>297</v>
      </c>
      <c r="B48" s="61">
        <v>44747</v>
      </c>
      <c r="C48" s="60" t="s">
        <v>250</v>
      </c>
      <c r="D48" s="60" t="s">
        <v>222</v>
      </c>
      <c r="E48" s="60">
        <v>-7</v>
      </c>
      <c r="F48" s="42" t="s">
        <v>298</v>
      </c>
      <c r="G48" s="60" t="s">
        <v>225</v>
      </c>
      <c r="H48" s="60" t="s">
        <v>70</v>
      </c>
    </row>
    <row r="49" spans="1:8" ht="15" customHeight="1" x14ac:dyDescent="0.4">
      <c r="A49" s="60" t="s">
        <v>299</v>
      </c>
      <c r="B49" s="61">
        <v>44747</v>
      </c>
      <c r="C49" s="60" t="s">
        <v>250</v>
      </c>
      <c r="D49" s="60" t="s">
        <v>222</v>
      </c>
      <c r="E49" s="60">
        <v>-7</v>
      </c>
      <c r="F49" s="42" t="s">
        <v>300</v>
      </c>
      <c r="G49" s="60" t="s">
        <v>225</v>
      </c>
      <c r="H49" s="60" t="s">
        <v>73</v>
      </c>
    </row>
    <row r="50" spans="1:8" ht="27.75" customHeight="1" x14ac:dyDescent="0.4">
      <c r="A50" s="60" t="s">
        <v>301</v>
      </c>
      <c r="B50" s="61">
        <v>44747</v>
      </c>
      <c r="C50" s="60" t="s">
        <v>250</v>
      </c>
      <c r="D50" s="60" t="s">
        <v>222</v>
      </c>
      <c r="E50" s="60">
        <v>-7</v>
      </c>
      <c r="F50" s="42" t="s">
        <v>302</v>
      </c>
      <c r="G50" s="60" t="s">
        <v>225</v>
      </c>
      <c r="H50" s="60" t="s">
        <v>79</v>
      </c>
    </row>
    <row r="51" spans="1:8" ht="15" customHeight="1" x14ac:dyDescent="0.4">
      <c r="A51" s="60" t="s">
        <v>303</v>
      </c>
      <c r="B51" s="61">
        <v>44748</v>
      </c>
      <c r="C51" s="60" t="s">
        <v>250</v>
      </c>
      <c r="D51" s="60" t="s">
        <v>222</v>
      </c>
      <c r="E51" s="60">
        <v>-6</v>
      </c>
      <c r="F51" s="42" t="s">
        <v>304</v>
      </c>
      <c r="G51" s="60" t="s">
        <v>225</v>
      </c>
      <c r="H51" s="60" t="s">
        <v>75</v>
      </c>
    </row>
    <row r="52" spans="1:8" ht="41.25" customHeight="1" x14ac:dyDescent="0.4">
      <c r="A52" s="60" t="s">
        <v>305</v>
      </c>
      <c r="B52" s="61">
        <v>44748</v>
      </c>
      <c r="C52" s="60" t="s">
        <v>250</v>
      </c>
      <c r="D52" s="60" t="s">
        <v>222</v>
      </c>
      <c r="E52" s="60">
        <v>-6</v>
      </c>
      <c r="F52" s="42" t="s">
        <v>306</v>
      </c>
      <c r="G52" s="60" t="s">
        <v>225</v>
      </c>
      <c r="H52" s="60" t="s">
        <v>81</v>
      </c>
    </row>
    <row r="53" spans="1:8" ht="41.25" customHeight="1" x14ac:dyDescent="0.4">
      <c r="A53" s="60" t="s">
        <v>307</v>
      </c>
      <c r="B53" s="61">
        <v>44748</v>
      </c>
      <c r="C53" s="60" t="s">
        <v>250</v>
      </c>
      <c r="D53" s="60" t="s">
        <v>222</v>
      </c>
      <c r="E53" s="60">
        <v>-6</v>
      </c>
      <c r="F53" s="42" t="s">
        <v>308</v>
      </c>
      <c r="G53" s="60" t="s">
        <v>225</v>
      </c>
      <c r="H53" s="60" t="s">
        <v>70</v>
      </c>
    </row>
    <row r="54" spans="1:8" ht="15" customHeight="1" x14ac:dyDescent="0.4">
      <c r="A54" s="60" t="s">
        <v>309</v>
      </c>
      <c r="B54" s="61">
        <v>44748</v>
      </c>
      <c r="C54" s="60" t="s">
        <v>250</v>
      </c>
      <c r="D54" s="60" t="s">
        <v>222</v>
      </c>
      <c r="E54" s="60">
        <v>-6</v>
      </c>
      <c r="F54" s="42" t="s">
        <v>310</v>
      </c>
      <c r="G54" s="60" t="s">
        <v>225</v>
      </c>
      <c r="H54" s="60" t="s">
        <v>70</v>
      </c>
    </row>
    <row r="55" spans="1:8" ht="54.75" customHeight="1" x14ac:dyDescent="0.4">
      <c r="A55" s="60" t="s">
        <v>311</v>
      </c>
      <c r="B55" s="61">
        <v>44746</v>
      </c>
      <c r="C55" s="60" t="s">
        <v>250</v>
      </c>
      <c r="D55" s="60" t="s">
        <v>222</v>
      </c>
      <c r="E55" s="60"/>
      <c r="F55" s="42" t="s">
        <v>312</v>
      </c>
      <c r="G55" s="60" t="s">
        <v>225</v>
      </c>
      <c r="H55" s="60" t="s">
        <v>83</v>
      </c>
    </row>
    <row r="56" spans="1:8" ht="15" customHeight="1" x14ac:dyDescent="0.4">
      <c r="A56" s="60" t="s">
        <v>313</v>
      </c>
      <c r="B56" s="61">
        <v>44746</v>
      </c>
      <c r="C56" s="60" t="s">
        <v>250</v>
      </c>
      <c r="D56" s="60" t="s">
        <v>222</v>
      </c>
      <c r="E56" s="60"/>
      <c r="F56" s="42" t="s">
        <v>314</v>
      </c>
      <c r="G56" s="60" t="s">
        <v>225</v>
      </c>
      <c r="H56" s="60" t="s">
        <v>89</v>
      </c>
    </row>
    <row r="57" spans="1:8" ht="27.75" customHeight="1" x14ac:dyDescent="0.4">
      <c r="A57" s="60" t="s">
        <v>315</v>
      </c>
      <c r="B57" s="61">
        <v>44746</v>
      </c>
      <c r="C57" s="60" t="s">
        <v>250</v>
      </c>
      <c r="D57" s="60" t="s">
        <v>222</v>
      </c>
      <c r="E57" s="60"/>
      <c r="F57" s="42" t="s">
        <v>316</v>
      </c>
      <c r="G57" s="60" t="s">
        <v>225</v>
      </c>
      <c r="H57" s="60" t="s">
        <v>73</v>
      </c>
    </row>
    <row r="58" spans="1:8" ht="15" customHeight="1" x14ac:dyDescent="0.4">
      <c r="A58" s="60" t="s">
        <v>295</v>
      </c>
      <c r="B58" s="61">
        <v>44745</v>
      </c>
      <c r="C58" s="60" t="s">
        <v>317</v>
      </c>
      <c r="D58" s="60" t="s">
        <v>222</v>
      </c>
      <c r="E58" s="60"/>
      <c r="F58" s="42" t="s">
        <v>318</v>
      </c>
      <c r="G58" s="60"/>
      <c r="H58" s="60" t="s">
        <v>83</v>
      </c>
    </row>
    <row r="59" spans="1:8" ht="15" customHeight="1" x14ac:dyDescent="0.4">
      <c r="A59" s="60" t="s">
        <v>319</v>
      </c>
      <c r="B59" s="61">
        <v>44745</v>
      </c>
      <c r="C59" s="60" t="s">
        <v>250</v>
      </c>
      <c r="D59" s="60" t="s">
        <v>222</v>
      </c>
      <c r="E59" s="60"/>
      <c r="F59" s="42" t="s">
        <v>320</v>
      </c>
      <c r="G59" s="60" t="s">
        <v>225</v>
      </c>
      <c r="H59" s="60" t="s">
        <v>70</v>
      </c>
    </row>
    <row r="60" spans="1:8" ht="15" customHeight="1" x14ac:dyDescent="0.4">
      <c r="A60" s="60" t="s">
        <v>321</v>
      </c>
      <c r="B60" s="61">
        <v>44749</v>
      </c>
      <c r="C60" s="60" t="s">
        <v>250</v>
      </c>
      <c r="D60" s="60" t="s">
        <v>222</v>
      </c>
      <c r="E60" s="60">
        <v>-5</v>
      </c>
      <c r="F60" s="42" t="s">
        <v>322</v>
      </c>
      <c r="G60" s="60" t="s">
        <v>225</v>
      </c>
      <c r="H60" s="60" t="s">
        <v>70</v>
      </c>
    </row>
    <row r="61" spans="1:8" ht="15" customHeight="1" x14ac:dyDescent="0.4">
      <c r="A61" s="60" t="s">
        <v>323</v>
      </c>
      <c r="B61" s="61">
        <v>44749</v>
      </c>
      <c r="C61" s="60" t="s">
        <v>250</v>
      </c>
      <c r="D61" s="60" t="s">
        <v>222</v>
      </c>
      <c r="E61" s="60">
        <v>-5</v>
      </c>
      <c r="F61" s="42" t="s">
        <v>324</v>
      </c>
      <c r="G61" s="60" t="s">
        <v>225</v>
      </c>
      <c r="H61" s="60" t="s">
        <v>75</v>
      </c>
    </row>
    <row r="62" spans="1:8" ht="15" customHeight="1" x14ac:dyDescent="0.4">
      <c r="A62" s="60" t="s">
        <v>325</v>
      </c>
      <c r="B62" s="61">
        <v>44750</v>
      </c>
      <c r="C62" s="60" t="s">
        <v>250</v>
      </c>
      <c r="D62" s="60" t="s">
        <v>222</v>
      </c>
      <c r="E62" s="60">
        <v>-4</v>
      </c>
      <c r="F62" s="42" t="s">
        <v>326</v>
      </c>
      <c r="G62" s="60" t="s">
        <v>225</v>
      </c>
      <c r="H62" s="60" t="s">
        <v>89</v>
      </c>
    </row>
    <row r="63" spans="1:8" ht="27.75" customHeight="1" x14ac:dyDescent="0.4">
      <c r="A63" s="60" t="s">
        <v>327</v>
      </c>
      <c r="B63" s="61">
        <v>44749</v>
      </c>
      <c r="C63" s="60" t="s">
        <v>250</v>
      </c>
      <c r="D63" s="60" t="s">
        <v>222</v>
      </c>
      <c r="E63" s="60">
        <v>-5</v>
      </c>
      <c r="F63" s="42" t="s">
        <v>328</v>
      </c>
      <c r="G63" s="60" t="s">
        <v>225</v>
      </c>
      <c r="H63" s="60" t="s">
        <v>75</v>
      </c>
    </row>
    <row r="64" spans="1:8" ht="27.75" customHeight="1" x14ac:dyDescent="0.4">
      <c r="A64" s="60" t="s">
        <v>329</v>
      </c>
      <c r="B64" s="61">
        <v>44747</v>
      </c>
      <c r="C64" s="60" t="s">
        <v>250</v>
      </c>
      <c r="D64" s="60" t="s">
        <v>222</v>
      </c>
      <c r="E64" s="60">
        <v>-7</v>
      </c>
      <c r="F64" s="42" t="s">
        <v>330</v>
      </c>
      <c r="G64" s="60" t="s">
        <v>225</v>
      </c>
      <c r="H64" s="60" t="s">
        <v>70</v>
      </c>
    </row>
    <row r="65" spans="1:8" ht="68.25" customHeight="1" x14ac:dyDescent="0.4">
      <c r="A65" s="60" t="s">
        <v>331</v>
      </c>
      <c r="B65" s="61">
        <v>44750</v>
      </c>
      <c r="C65" s="60" t="s">
        <v>250</v>
      </c>
      <c r="D65" s="60" t="s">
        <v>222</v>
      </c>
      <c r="E65" s="60">
        <v>-4</v>
      </c>
      <c r="F65" s="42" t="s">
        <v>332</v>
      </c>
      <c r="G65" s="60" t="s">
        <v>225</v>
      </c>
      <c r="H65" s="60" t="s">
        <v>75</v>
      </c>
    </row>
    <row r="66" spans="1:8" ht="15" customHeight="1" x14ac:dyDescent="0.4">
      <c r="A66" s="60" t="s">
        <v>333</v>
      </c>
      <c r="B66" s="61">
        <v>44750</v>
      </c>
      <c r="C66" s="60" t="s">
        <v>317</v>
      </c>
      <c r="D66" s="60" t="s">
        <v>222</v>
      </c>
      <c r="E66" s="60">
        <v>-4</v>
      </c>
      <c r="F66" s="42"/>
      <c r="G66" s="60" t="s">
        <v>225</v>
      </c>
      <c r="H66" s="60" t="s">
        <v>91</v>
      </c>
    </row>
    <row r="67" spans="1:8" ht="15" customHeight="1" x14ac:dyDescent="0.4">
      <c r="A67" s="60" t="s">
        <v>334</v>
      </c>
      <c r="B67" s="61">
        <v>44751</v>
      </c>
      <c r="C67" s="60" t="s">
        <v>250</v>
      </c>
      <c r="D67" s="60" t="s">
        <v>222</v>
      </c>
      <c r="E67" s="60">
        <v>-3</v>
      </c>
      <c r="F67" s="42"/>
      <c r="G67" s="60" t="s">
        <v>225</v>
      </c>
      <c r="H67" s="60" t="s">
        <v>91</v>
      </c>
    </row>
    <row r="68" spans="1:8" ht="27.75" customHeight="1" x14ac:dyDescent="0.4">
      <c r="A68" s="60" t="s">
        <v>335</v>
      </c>
      <c r="B68" s="61">
        <v>44751</v>
      </c>
      <c r="C68" s="60" t="s">
        <v>250</v>
      </c>
      <c r="D68" s="60" t="s">
        <v>222</v>
      </c>
      <c r="E68" s="60">
        <v>-3</v>
      </c>
      <c r="F68" s="42" t="s">
        <v>336</v>
      </c>
      <c r="G68" s="60" t="s">
        <v>225</v>
      </c>
      <c r="H68" s="60" t="s">
        <v>77</v>
      </c>
    </row>
    <row r="69" spans="1:8" ht="27.75" customHeight="1" x14ac:dyDescent="0.4">
      <c r="A69" s="60" t="s">
        <v>337</v>
      </c>
      <c r="B69" s="61">
        <v>44751</v>
      </c>
      <c r="C69" s="60" t="s">
        <v>250</v>
      </c>
      <c r="D69" s="60" t="s">
        <v>222</v>
      </c>
      <c r="E69" s="60">
        <v>-3</v>
      </c>
      <c r="F69" s="42" t="s">
        <v>338</v>
      </c>
      <c r="G69" s="60" t="s">
        <v>225</v>
      </c>
      <c r="H69" s="60" t="s">
        <v>79</v>
      </c>
    </row>
    <row r="70" spans="1:8" ht="15" customHeight="1" x14ac:dyDescent="0.4">
      <c r="A70" s="60" t="s">
        <v>339</v>
      </c>
      <c r="B70" s="61">
        <v>44746</v>
      </c>
      <c r="C70" s="60" t="s">
        <v>250</v>
      </c>
      <c r="D70" s="60" t="s">
        <v>222</v>
      </c>
      <c r="E70" s="60">
        <v>-8</v>
      </c>
      <c r="F70" s="42" t="s">
        <v>340</v>
      </c>
      <c r="G70" s="60" t="s">
        <v>225</v>
      </c>
      <c r="H70" s="60" t="s">
        <v>79</v>
      </c>
    </row>
    <row r="71" spans="1:8" ht="27.75" customHeight="1" x14ac:dyDescent="0.4">
      <c r="A71" s="60" t="s">
        <v>341</v>
      </c>
      <c r="B71" s="61">
        <v>44751</v>
      </c>
      <c r="C71" s="60" t="s">
        <v>250</v>
      </c>
      <c r="D71" s="60" t="s">
        <v>222</v>
      </c>
      <c r="E71" s="60">
        <v>-3</v>
      </c>
      <c r="F71" s="42" t="s">
        <v>342</v>
      </c>
      <c r="G71" s="60" t="s">
        <v>225</v>
      </c>
      <c r="H71" s="60" t="s">
        <v>73</v>
      </c>
    </row>
    <row r="72" spans="1:8" ht="81.75" customHeight="1" x14ac:dyDescent="0.4">
      <c r="A72" s="60" t="s">
        <v>343</v>
      </c>
      <c r="B72" s="61">
        <v>44752</v>
      </c>
      <c r="C72" s="60" t="s">
        <v>250</v>
      </c>
      <c r="D72" s="60" t="s">
        <v>222</v>
      </c>
      <c r="E72" s="60">
        <v>-2</v>
      </c>
      <c r="F72" s="42" t="s">
        <v>344</v>
      </c>
      <c r="G72" s="60" t="s">
        <v>225</v>
      </c>
      <c r="H72" s="60" t="s">
        <v>75</v>
      </c>
    </row>
    <row r="73" spans="1:8" ht="81.75" customHeight="1" x14ac:dyDescent="0.4">
      <c r="A73" s="60" t="s">
        <v>345</v>
      </c>
      <c r="B73" s="61">
        <v>44753</v>
      </c>
      <c r="C73" s="60" t="s">
        <v>250</v>
      </c>
      <c r="D73" s="60" t="s">
        <v>222</v>
      </c>
      <c r="E73" s="60">
        <v>-1</v>
      </c>
      <c r="F73" s="42" t="s">
        <v>346</v>
      </c>
      <c r="G73" s="60" t="s">
        <v>225</v>
      </c>
      <c r="H73" s="60" t="s">
        <v>79</v>
      </c>
    </row>
    <row r="74" spans="1:8" ht="15" customHeight="1" x14ac:dyDescent="0.4">
      <c r="A74" s="60" t="s">
        <v>347</v>
      </c>
      <c r="B74" s="61">
        <v>44753</v>
      </c>
      <c r="C74" s="60" t="s">
        <v>250</v>
      </c>
      <c r="D74" s="60" t="s">
        <v>222</v>
      </c>
      <c r="E74" s="60">
        <v>-1</v>
      </c>
      <c r="F74" s="42" t="s">
        <v>348</v>
      </c>
      <c r="G74" s="60" t="s">
        <v>225</v>
      </c>
      <c r="H74" s="60" t="s">
        <v>70</v>
      </c>
    </row>
    <row r="75" spans="1:8" ht="27.75" customHeight="1" x14ac:dyDescent="0.4">
      <c r="A75" s="60" t="s">
        <v>349</v>
      </c>
      <c r="B75" s="61">
        <v>44753</v>
      </c>
      <c r="C75" s="60" t="s">
        <v>250</v>
      </c>
      <c r="D75" s="60" t="s">
        <v>222</v>
      </c>
      <c r="E75" s="60">
        <v>-1</v>
      </c>
      <c r="F75" s="42" t="s">
        <v>350</v>
      </c>
      <c r="G75" s="60" t="s">
        <v>225</v>
      </c>
      <c r="H75" s="60" t="s">
        <v>70</v>
      </c>
    </row>
    <row r="76" spans="1:8" ht="15" customHeight="1" x14ac:dyDescent="0.4">
      <c r="A76" s="60" t="s">
        <v>351</v>
      </c>
      <c r="B76" s="61">
        <v>44753</v>
      </c>
      <c r="C76" s="60" t="s">
        <v>250</v>
      </c>
      <c r="D76" s="60" t="s">
        <v>222</v>
      </c>
      <c r="E76" s="60">
        <v>-1</v>
      </c>
      <c r="F76" s="42" t="s">
        <v>352</v>
      </c>
      <c r="G76" s="60" t="s">
        <v>225</v>
      </c>
      <c r="H76" s="60" t="s">
        <v>79</v>
      </c>
    </row>
    <row r="77" spans="1:8" ht="27.75" customHeight="1" x14ac:dyDescent="0.4">
      <c r="A77" s="60" t="s">
        <v>353</v>
      </c>
      <c r="B77" s="61">
        <v>44753</v>
      </c>
      <c r="C77" s="60" t="s">
        <v>250</v>
      </c>
      <c r="D77" s="60" t="s">
        <v>222</v>
      </c>
      <c r="E77" s="60">
        <v>-1</v>
      </c>
      <c r="F77" s="42" t="s">
        <v>354</v>
      </c>
      <c r="G77" s="60" t="s">
        <v>225</v>
      </c>
      <c r="H77" s="60" t="s">
        <v>81</v>
      </c>
    </row>
    <row r="78" spans="1:8" ht="41.25" customHeight="1" x14ac:dyDescent="0.4">
      <c r="A78" s="60" t="s">
        <v>355</v>
      </c>
      <c r="B78" s="61">
        <v>44754</v>
      </c>
      <c r="C78" s="60" t="s">
        <v>250</v>
      </c>
      <c r="D78" s="60" t="s">
        <v>222</v>
      </c>
      <c r="E78" s="60">
        <v>0</v>
      </c>
      <c r="F78" s="42" t="s">
        <v>356</v>
      </c>
      <c r="G78" s="60" t="s">
        <v>225</v>
      </c>
      <c r="H78" s="60" t="s">
        <v>70</v>
      </c>
    </row>
    <row r="79" spans="1:8" ht="27.75" customHeight="1" x14ac:dyDescent="0.4">
      <c r="A79" s="60" t="s">
        <v>357</v>
      </c>
      <c r="B79" s="61">
        <v>44754</v>
      </c>
      <c r="C79" s="60" t="s">
        <v>250</v>
      </c>
      <c r="D79" s="60" t="s">
        <v>222</v>
      </c>
      <c r="E79" s="60">
        <v>0</v>
      </c>
      <c r="F79" s="42" t="s">
        <v>358</v>
      </c>
      <c r="G79" s="60" t="s">
        <v>225</v>
      </c>
      <c r="H79" s="60" t="s">
        <v>89</v>
      </c>
    </row>
    <row r="80" spans="1:8" ht="27.75" customHeight="1" x14ac:dyDescent="0.4">
      <c r="A80" s="60" t="s">
        <v>359</v>
      </c>
      <c r="B80" s="61">
        <v>44754</v>
      </c>
      <c r="C80" s="60" t="s">
        <v>250</v>
      </c>
      <c r="D80" s="60" t="s">
        <v>222</v>
      </c>
      <c r="E80" s="60">
        <v>0</v>
      </c>
      <c r="F80" s="42" t="s">
        <v>360</v>
      </c>
      <c r="G80" s="60" t="s">
        <v>225</v>
      </c>
      <c r="H80" s="60" t="s">
        <v>75</v>
      </c>
    </row>
    <row r="81" spans="1:8" ht="15" customHeight="1" x14ac:dyDescent="0.4">
      <c r="A81" s="60" t="s">
        <v>361</v>
      </c>
      <c r="B81" s="61">
        <v>44754</v>
      </c>
      <c r="C81" s="60" t="s">
        <v>250</v>
      </c>
      <c r="D81" s="60" t="s">
        <v>222</v>
      </c>
      <c r="E81" s="60">
        <v>0</v>
      </c>
      <c r="F81" s="42" t="s">
        <v>320</v>
      </c>
      <c r="G81" s="60" t="s">
        <v>225</v>
      </c>
      <c r="H81" s="60" t="s">
        <v>70</v>
      </c>
    </row>
    <row r="82" spans="1:8" ht="41.25" customHeight="1" x14ac:dyDescent="0.4">
      <c r="A82" s="60" t="s">
        <v>362</v>
      </c>
      <c r="B82" s="61">
        <v>44745</v>
      </c>
      <c r="C82" s="60" t="s">
        <v>250</v>
      </c>
      <c r="D82" s="60" t="s">
        <v>222</v>
      </c>
      <c r="E82" s="60">
        <v>-9</v>
      </c>
      <c r="F82" s="42" t="s">
        <v>363</v>
      </c>
      <c r="G82" s="60" t="s">
        <v>225</v>
      </c>
      <c r="H82" s="60" t="s">
        <v>89</v>
      </c>
    </row>
    <row r="83" spans="1:8" ht="15" customHeight="1" x14ac:dyDescent="0.4">
      <c r="A83" s="60" t="s">
        <v>364</v>
      </c>
      <c r="B83" s="61">
        <v>44754</v>
      </c>
      <c r="C83" s="60" t="s">
        <v>250</v>
      </c>
      <c r="D83" s="60" t="s">
        <v>222</v>
      </c>
      <c r="E83" s="60">
        <v>0</v>
      </c>
      <c r="F83" s="42" t="s">
        <v>320</v>
      </c>
      <c r="G83" s="60" t="s">
        <v>225</v>
      </c>
      <c r="H83" s="60" t="s">
        <v>70</v>
      </c>
    </row>
    <row r="84" spans="1:8" ht="15" customHeight="1" x14ac:dyDescent="0.4">
      <c r="A84" s="60" t="s">
        <v>365</v>
      </c>
      <c r="B84" s="61">
        <v>44754</v>
      </c>
      <c r="C84" s="60" t="s">
        <v>250</v>
      </c>
      <c r="D84" s="60" t="s">
        <v>222</v>
      </c>
      <c r="E84" s="60">
        <v>0</v>
      </c>
      <c r="F84" s="42" t="s">
        <v>366</v>
      </c>
      <c r="G84" s="60" t="s">
        <v>225</v>
      </c>
      <c r="H84" s="60" t="s">
        <v>75</v>
      </c>
    </row>
    <row r="85" spans="1:8" ht="68.25" customHeight="1" x14ac:dyDescent="0.4">
      <c r="A85" s="60" t="s">
        <v>367</v>
      </c>
      <c r="B85" s="61">
        <v>44754</v>
      </c>
      <c r="C85" s="60" t="s">
        <v>250</v>
      </c>
      <c r="D85" s="60" t="s">
        <v>222</v>
      </c>
      <c r="E85" s="60">
        <v>0</v>
      </c>
      <c r="F85" s="42" t="s">
        <v>368</v>
      </c>
      <c r="G85" s="60" t="s">
        <v>225</v>
      </c>
      <c r="H85" s="60" t="s">
        <v>81</v>
      </c>
    </row>
    <row r="86" spans="1:8" ht="15" customHeight="1" x14ac:dyDescent="0.4">
      <c r="A86" s="60" t="s">
        <v>369</v>
      </c>
      <c r="B86" s="61">
        <v>44755</v>
      </c>
      <c r="C86" s="60" t="s">
        <v>250</v>
      </c>
      <c r="D86" s="60" t="s">
        <v>222</v>
      </c>
      <c r="E86" s="60">
        <v>1</v>
      </c>
      <c r="F86" s="42" t="s">
        <v>370</v>
      </c>
      <c r="G86" s="60" t="s">
        <v>225</v>
      </c>
      <c r="H86" s="60" t="s">
        <v>83</v>
      </c>
    </row>
    <row r="87" spans="1:8" ht="54.75" customHeight="1" x14ac:dyDescent="0.4">
      <c r="A87" s="60" t="s">
        <v>371</v>
      </c>
      <c r="B87" s="61">
        <v>44755</v>
      </c>
      <c r="C87" s="60" t="s">
        <v>250</v>
      </c>
      <c r="D87" s="60" t="s">
        <v>222</v>
      </c>
      <c r="E87" s="60">
        <v>1</v>
      </c>
      <c r="F87" s="42" t="s">
        <v>372</v>
      </c>
      <c r="G87" s="60" t="s">
        <v>225</v>
      </c>
      <c r="H87" s="60" t="s">
        <v>77</v>
      </c>
    </row>
    <row r="88" spans="1:8" ht="15" customHeight="1" x14ac:dyDescent="0.4">
      <c r="A88" s="60" t="s">
        <v>373</v>
      </c>
      <c r="B88" s="61">
        <v>44756</v>
      </c>
      <c r="C88" s="60" t="s">
        <v>250</v>
      </c>
      <c r="D88" s="60" t="s">
        <v>222</v>
      </c>
      <c r="E88" s="60">
        <v>2</v>
      </c>
      <c r="F88" s="42" t="s">
        <v>374</v>
      </c>
      <c r="G88" s="60" t="s">
        <v>225</v>
      </c>
      <c r="H88" s="60" t="s">
        <v>70</v>
      </c>
    </row>
    <row r="89" spans="1:8" ht="15" customHeight="1" x14ac:dyDescent="0.4">
      <c r="A89" s="60" t="s">
        <v>375</v>
      </c>
      <c r="B89" s="61">
        <v>44756</v>
      </c>
      <c r="C89" s="60" t="s">
        <v>250</v>
      </c>
      <c r="D89" s="60" t="s">
        <v>222</v>
      </c>
      <c r="E89" s="60">
        <v>2</v>
      </c>
      <c r="F89" s="42" t="s">
        <v>376</v>
      </c>
      <c r="G89" s="60" t="s">
        <v>225</v>
      </c>
      <c r="H89" s="60" t="s">
        <v>89</v>
      </c>
    </row>
    <row r="90" spans="1:8" ht="41.25" customHeight="1" x14ac:dyDescent="0.4">
      <c r="A90" s="60" t="s">
        <v>377</v>
      </c>
      <c r="B90" s="61">
        <v>44756</v>
      </c>
      <c r="C90" s="60" t="s">
        <v>250</v>
      </c>
      <c r="D90" s="60" t="s">
        <v>222</v>
      </c>
      <c r="E90" s="60">
        <v>2</v>
      </c>
      <c r="F90" s="42" t="s">
        <v>378</v>
      </c>
      <c r="G90" s="60" t="s">
        <v>225</v>
      </c>
      <c r="H90" s="60" t="s">
        <v>73</v>
      </c>
    </row>
    <row r="91" spans="1:8" ht="41.25" customHeight="1" x14ac:dyDescent="0.4">
      <c r="A91" s="60" t="s">
        <v>379</v>
      </c>
      <c r="B91" s="61">
        <v>44756</v>
      </c>
      <c r="C91" s="60" t="s">
        <v>250</v>
      </c>
      <c r="D91" s="60" t="s">
        <v>222</v>
      </c>
      <c r="E91" s="60">
        <v>2</v>
      </c>
      <c r="F91" s="42" t="s">
        <v>380</v>
      </c>
      <c r="G91" s="60" t="s">
        <v>225</v>
      </c>
      <c r="H91" s="60" t="s">
        <v>79</v>
      </c>
    </row>
    <row r="92" spans="1:8" ht="15" customHeight="1" x14ac:dyDescent="0.4">
      <c r="A92" s="60" t="s">
        <v>381</v>
      </c>
      <c r="B92" s="61">
        <v>44756</v>
      </c>
      <c r="C92" s="60" t="s">
        <v>250</v>
      </c>
      <c r="D92" s="60" t="s">
        <v>222</v>
      </c>
      <c r="E92" s="60">
        <v>2</v>
      </c>
      <c r="F92" s="42" t="s">
        <v>382</v>
      </c>
      <c r="G92" s="60" t="s">
        <v>225</v>
      </c>
      <c r="H92" s="60" t="s">
        <v>81</v>
      </c>
    </row>
    <row r="93" spans="1:8" ht="15" customHeight="1" x14ac:dyDescent="0.4">
      <c r="A93" s="60" t="s">
        <v>383</v>
      </c>
      <c r="B93" s="61">
        <v>44756</v>
      </c>
      <c r="C93" s="60" t="s">
        <v>250</v>
      </c>
      <c r="D93" s="60" t="s">
        <v>222</v>
      </c>
      <c r="E93" s="60">
        <v>2</v>
      </c>
      <c r="F93" s="42" t="s">
        <v>384</v>
      </c>
      <c r="G93" s="60" t="s">
        <v>225</v>
      </c>
      <c r="H93" s="60" t="s">
        <v>81</v>
      </c>
    </row>
    <row r="94" spans="1:8" ht="27.75" customHeight="1" x14ac:dyDescent="0.4">
      <c r="A94" s="60" t="s">
        <v>385</v>
      </c>
      <c r="B94" s="61">
        <v>44756</v>
      </c>
      <c r="C94" s="60" t="s">
        <v>250</v>
      </c>
      <c r="D94" s="60" t="s">
        <v>222</v>
      </c>
      <c r="E94" s="60">
        <v>2</v>
      </c>
      <c r="F94" s="42" t="s">
        <v>386</v>
      </c>
      <c r="G94" s="60" t="s">
        <v>225</v>
      </c>
      <c r="H94" s="60" t="s">
        <v>83</v>
      </c>
    </row>
    <row r="95" spans="1:8" ht="27.75" customHeight="1" x14ac:dyDescent="0.4">
      <c r="A95" s="60" t="s">
        <v>387</v>
      </c>
      <c r="B95" s="61">
        <v>44756</v>
      </c>
      <c r="C95" s="60" t="s">
        <v>250</v>
      </c>
      <c r="D95" s="60" t="s">
        <v>222</v>
      </c>
      <c r="E95" s="60">
        <v>2</v>
      </c>
      <c r="F95" s="42" t="s">
        <v>388</v>
      </c>
      <c r="G95" s="60" t="s">
        <v>225</v>
      </c>
      <c r="H95" s="60" t="s">
        <v>75</v>
      </c>
    </row>
    <row r="96" spans="1:8" ht="54.75" customHeight="1" x14ac:dyDescent="0.4">
      <c r="A96" s="60" t="s">
        <v>389</v>
      </c>
      <c r="B96" s="61">
        <v>44756</v>
      </c>
      <c r="C96" s="60" t="s">
        <v>250</v>
      </c>
      <c r="D96" s="60" t="s">
        <v>222</v>
      </c>
      <c r="E96" s="60">
        <v>2</v>
      </c>
      <c r="F96" s="42" t="s">
        <v>390</v>
      </c>
      <c r="G96" s="60" t="s">
        <v>225</v>
      </c>
      <c r="H96" s="60" t="s">
        <v>75</v>
      </c>
    </row>
    <row r="97" spans="1:8" ht="15" customHeight="1" x14ac:dyDescent="0.4">
      <c r="A97" s="60" t="s">
        <v>391</v>
      </c>
      <c r="B97" s="61">
        <v>44756</v>
      </c>
      <c r="C97" s="60" t="s">
        <v>250</v>
      </c>
      <c r="D97" s="60" t="s">
        <v>222</v>
      </c>
      <c r="E97" s="60">
        <v>2</v>
      </c>
      <c r="F97" s="42" t="s">
        <v>392</v>
      </c>
      <c r="G97" s="60" t="s">
        <v>225</v>
      </c>
      <c r="H97" s="60" t="s">
        <v>73</v>
      </c>
    </row>
    <row r="98" spans="1:8" ht="27.75" customHeight="1" x14ac:dyDescent="0.4">
      <c r="A98" s="60" t="s">
        <v>393</v>
      </c>
      <c r="B98" s="61">
        <v>44756</v>
      </c>
      <c r="C98" s="60" t="s">
        <v>250</v>
      </c>
      <c r="D98" s="60" t="s">
        <v>222</v>
      </c>
      <c r="E98" s="60">
        <v>2</v>
      </c>
      <c r="F98" s="42" t="s">
        <v>394</v>
      </c>
      <c r="G98" s="60" t="s">
        <v>225</v>
      </c>
      <c r="H98" s="60" t="s">
        <v>70</v>
      </c>
    </row>
    <row r="99" spans="1:8" ht="81.75" customHeight="1" x14ac:dyDescent="0.4">
      <c r="A99" s="60" t="s">
        <v>395</v>
      </c>
      <c r="B99" s="61">
        <v>44756</v>
      </c>
      <c r="C99" s="60" t="s">
        <v>250</v>
      </c>
      <c r="D99" s="60" t="s">
        <v>222</v>
      </c>
      <c r="E99" s="60">
        <v>2</v>
      </c>
      <c r="F99" s="42" t="s">
        <v>396</v>
      </c>
      <c r="G99" s="60" t="s">
        <v>225</v>
      </c>
      <c r="H99" s="60" t="s">
        <v>70</v>
      </c>
    </row>
    <row r="100" spans="1:8" ht="27.75" customHeight="1" x14ac:dyDescent="0.4">
      <c r="A100" s="60" t="s">
        <v>397</v>
      </c>
      <c r="B100" s="61">
        <v>44756</v>
      </c>
      <c r="C100" s="60" t="s">
        <v>250</v>
      </c>
      <c r="D100" s="60" t="s">
        <v>222</v>
      </c>
      <c r="E100" s="60">
        <v>2</v>
      </c>
      <c r="F100" s="42" t="s">
        <v>398</v>
      </c>
      <c r="G100" s="60" t="s">
        <v>225</v>
      </c>
      <c r="H100" s="60" t="s">
        <v>81</v>
      </c>
    </row>
    <row r="101" spans="1:8" ht="15" customHeight="1" x14ac:dyDescent="0.4">
      <c r="A101" s="60" t="s">
        <v>399</v>
      </c>
      <c r="B101" s="61">
        <v>44756</v>
      </c>
      <c r="C101" s="60" t="s">
        <v>250</v>
      </c>
      <c r="D101" s="60" t="s">
        <v>222</v>
      </c>
      <c r="E101" s="60">
        <v>2</v>
      </c>
      <c r="F101" s="42" t="s">
        <v>400</v>
      </c>
      <c r="G101" s="60" t="s">
        <v>225</v>
      </c>
      <c r="H101" s="60" t="s">
        <v>70</v>
      </c>
    </row>
    <row r="102" spans="1:8" ht="15" customHeight="1" x14ac:dyDescent="0.4">
      <c r="A102" s="60" t="s">
        <v>401</v>
      </c>
      <c r="B102" s="61">
        <v>44756</v>
      </c>
      <c r="C102" s="60" t="s">
        <v>250</v>
      </c>
      <c r="D102" s="60" t="s">
        <v>222</v>
      </c>
      <c r="E102" s="60">
        <v>2</v>
      </c>
      <c r="F102" s="42" t="s">
        <v>402</v>
      </c>
      <c r="G102" s="60" t="s">
        <v>225</v>
      </c>
      <c r="H102" s="60" t="s">
        <v>70</v>
      </c>
    </row>
    <row r="103" spans="1:8" ht="41.25" customHeight="1" x14ac:dyDescent="0.4">
      <c r="A103" s="60" t="s">
        <v>403</v>
      </c>
      <c r="B103" s="61">
        <v>44756</v>
      </c>
      <c r="C103" s="60" t="s">
        <v>250</v>
      </c>
      <c r="D103" s="60" t="s">
        <v>222</v>
      </c>
      <c r="E103" s="60">
        <v>2</v>
      </c>
      <c r="F103" s="42" t="s">
        <v>404</v>
      </c>
      <c r="G103" s="60" t="s">
        <v>225</v>
      </c>
      <c r="H103" s="60" t="s">
        <v>77</v>
      </c>
    </row>
    <row r="104" spans="1:8" ht="15" customHeight="1" x14ac:dyDescent="0.4">
      <c r="A104" s="60" t="s">
        <v>405</v>
      </c>
      <c r="B104" s="61">
        <v>44756</v>
      </c>
      <c r="C104" s="60" t="s">
        <v>250</v>
      </c>
      <c r="D104" s="60" t="s">
        <v>222</v>
      </c>
      <c r="E104" s="60">
        <v>2</v>
      </c>
      <c r="F104" s="42" t="s">
        <v>406</v>
      </c>
      <c r="G104" s="60" t="s">
        <v>225</v>
      </c>
      <c r="H104" s="60" t="s">
        <v>70</v>
      </c>
    </row>
    <row r="105" spans="1:8" ht="15" customHeight="1" x14ac:dyDescent="0.4">
      <c r="A105" s="60" t="s">
        <v>407</v>
      </c>
      <c r="B105" s="61">
        <v>44755</v>
      </c>
      <c r="C105" s="60" t="s">
        <v>250</v>
      </c>
      <c r="D105" s="60" t="s">
        <v>222</v>
      </c>
      <c r="E105" s="60">
        <v>1</v>
      </c>
      <c r="F105" s="42" t="s">
        <v>408</v>
      </c>
      <c r="G105" s="60" t="s">
        <v>225</v>
      </c>
      <c r="H105" s="60" t="s">
        <v>83</v>
      </c>
    </row>
    <row r="106" spans="1:8" ht="15" customHeight="1" x14ac:dyDescent="0.4">
      <c r="A106" s="60" t="s">
        <v>409</v>
      </c>
      <c r="B106" s="61">
        <v>44756</v>
      </c>
      <c r="C106" s="60" t="s">
        <v>250</v>
      </c>
      <c r="D106" s="60" t="s">
        <v>222</v>
      </c>
      <c r="E106" s="60">
        <v>2</v>
      </c>
      <c r="F106" s="42" t="s">
        <v>410</v>
      </c>
      <c r="G106" s="60" t="s">
        <v>225</v>
      </c>
      <c r="H106" s="60" t="s">
        <v>73</v>
      </c>
    </row>
    <row r="107" spans="1:8" ht="15" customHeight="1" x14ac:dyDescent="0.4">
      <c r="A107" s="60" t="s">
        <v>411</v>
      </c>
      <c r="B107" s="61">
        <v>44756</v>
      </c>
      <c r="C107" s="60" t="s">
        <v>250</v>
      </c>
      <c r="D107" s="60" t="s">
        <v>222</v>
      </c>
      <c r="E107" s="60">
        <v>2</v>
      </c>
      <c r="F107" s="42" t="s">
        <v>412</v>
      </c>
      <c r="G107" s="60" t="s">
        <v>225</v>
      </c>
      <c r="H107" s="60" t="s">
        <v>70</v>
      </c>
    </row>
    <row r="108" spans="1:8" ht="81.75" customHeight="1" x14ac:dyDescent="0.4">
      <c r="A108" s="60" t="s">
        <v>413</v>
      </c>
      <c r="B108" s="61">
        <v>44756</v>
      </c>
      <c r="C108" s="60" t="s">
        <v>250</v>
      </c>
      <c r="D108" s="60" t="s">
        <v>222</v>
      </c>
      <c r="E108" s="60">
        <v>2</v>
      </c>
      <c r="F108" s="42" t="s">
        <v>414</v>
      </c>
      <c r="G108" s="60" t="s">
        <v>225</v>
      </c>
      <c r="H108" s="60" t="s">
        <v>77</v>
      </c>
    </row>
    <row r="109" spans="1:8" ht="54.75" customHeight="1" x14ac:dyDescent="0.4">
      <c r="A109" s="60" t="s">
        <v>415</v>
      </c>
      <c r="B109" s="61">
        <v>44756</v>
      </c>
      <c r="C109" s="60" t="s">
        <v>250</v>
      </c>
      <c r="D109" s="60" t="s">
        <v>222</v>
      </c>
      <c r="E109" s="60">
        <v>2</v>
      </c>
      <c r="F109" s="42" t="s">
        <v>416</v>
      </c>
      <c r="G109" s="60" t="s">
        <v>225</v>
      </c>
      <c r="H109" s="60" t="s">
        <v>75</v>
      </c>
    </row>
    <row r="110" spans="1:8" ht="68.25" customHeight="1" x14ac:dyDescent="0.4">
      <c r="A110" s="60" t="s">
        <v>417</v>
      </c>
      <c r="B110" s="61">
        <v>44757</v>
      </c>
      <c r="C110" s="60" t="s">
        <v>250</v>
      </c>
      <c r="D110" s="60" t="s">
        <v>222</v>
      </c>
      <c r="E110" s="60">
        <v>3</v>
      </c>
      <c r="F110" s="42" t="s">
        <v>418</v>
      </c>
      <c r="G110" s="60" t="s">
        <v>225</v>
      </c>
      <c r="H110" s="60" t="s">
        <v>70</v>
      </c>
    </row>
    <row r="111" spans="1:8" ht="15" customHeight="1" x14ac:dyDescent="0.4">
      <c r="A111" s="60" t="s">
        <v>419</v>
      </c>
      <c r="B111" s="61">
        <v>44757</v>
      </c>
      <c r="C111" s="60" t="s">
        <v>250</v>
      </c>
      <c r="D111" s="60" t="s">
        <v>222</v>
      </c>
      <c r="E111" s="60">
        <v>3</v>
      </c>
      <c r="F111" s="42" t="s">
        <v>320</v>
      </c>
      <c r="G111" s="60" t="s">
        <v>225</v>
      </c>
      <c r="H111" s="60" t="s">
        <v>70</v>
      </c>
    </row>
    <row r="112" spans="1:8" ht="27.75" customHeight="1" x14ac:dyDescent="0.4">
      <c r="A112" s="60" t="s">
        <v>420</v>
      </c>
      <c r="B112" s="61">
        <v>44757</v>
      </c>
      <c r="C112" s="60" t="s">
        <v>250</v>
      </c>
      <c r="D112" s="60" t="s">
        <v>222</v>
      </c>
      <c r="E112" s="60">
        <v>3</v>
      </c>
      <c r="F112" s="42" t="s">
        <v>421</v>
      </c>
      <c r="G112" s="60" t="s">
        <v>225</v>
      </c>
      <c r="H112" s="60" t="s">
        <v>79</v>
      </c>
    </row>
    <row r="113" spans="1:8" ht="27.75" customHeight="1" x14ac:dyDescent="0.4">
      <c r="A113" s="60" t="s">
        <v>422</v>
      </c>
      <c r="B113" s="61">
        <v>44757</v>
      </c>
      <c r="C113" s="60" t="s">
        <v>250</v>
      </c>
      <c r="D113" s="60" t="s">
        <v>222</v>
      </c>
      <c r="E113" s="60">
        <v>3</v>
      </c>
      <c r="F113" s="42" t="s">
        <v>423</v>
      </c>
      <c r="G113" s="60" t="s">
        <v>225</v>
      </c>
      <c r="H113" s="60" t="s">
        <v>70</v>
      </c>
    </row>
    <row r="114" spans="1:8" ht="15" customHeight="1" x14ac:dyDescent="0.4">
      <c r="A114" s="60" t="s">
        <v>424</v>
      </c>
      <c r="B114" s="61">
        <v>44757</v>
      </c>
      <c r="C114" s="60" t="s">
        <v>250</v>
      </c>
      <c r="D114" s="60" t="s">
        <v>222</v>
      </c>
      <c r="E114" s="60">
        <v>3</v>
      </c>
      <c r="F114" s="42" t="s">
        <v>425</v>
      </c>
      <c r="G114" s="60" t="s">
        <v>225</v>
      </c>
      <c r="H114" s="60" t="s">
        <v>89</v>
      </c>
    </row>
    <row r="115" spans="1:8" ht="54.75" customHeight="1" x14ac:dyDescent="0.4">
      <c r="A115" s="60" t="s">
        <v>426</v>
      </c>
      <c r="B115" s="61">
        <v>44757</v>
      </c>
      <c r="C115" s="60" t="s">
        <v>250</v>
      </c>
      <c r="D115" s="60" t="s">
        <v>222</v>
      </c>
      <c r="E115" s="60">
        <v>3</v>
      </c>
      <c r="F115" s="42" t="s">
        <v>427</v>
      </c>
      <c r="G115" s="60" t="s">
        <v>225</v>
      </c>
      <c r="H115" s="60" t="s">
        <v>77</v>
      </c>
    </row>
    <row r="116" spans="1:8" ht="15" customHeight="1" x14ac:dyDescent="0.4">
      <c r="A116" s="60" t="s">
        <v>428</v>
      </c>
      <c r="B116" s="61">
        <v>44757</v>
      </c>
      <c r="C116" s="60" t="s">
        <v>429</v>
      </c>
      <c r="D116" s="60" t="s">
        <v>222</v>
      </c>
      <c r="E116" s="60">
        <v>3</v>
      </c>
      <c r="F116" s="42" t="s">
        <v>430</v>
      </c>
      <c r="G116" s="60" t="s">
        <v>225</v>
      </c>
      <c r="H116" s="60" t="s">
        <v>75</v>
      </c>
    </row>
    <row r="117" spans="1:8" ht="15" customHeight="1" x14ac:dyDescent="0.4">
      <c r="A117" s="60" t="s">
        <v>431</v>
      </c>
      <c r="B117" s="61">
        <v>44757</v>
      </c>
      <c r="C117" s="60" t="s">
        <v>250</v>
      </c>
      <c r="D117" s="60" t="s">
        <v>222</v>
      </c>
      <c r="E117" s="60">
        <v>3</v>
      </c>
      <c r="F117" s="42" t="s">
        <v>432</v>
      </c>
      <c r="G117" s="60" t="s">
        <v>225</v>
      </c>
      <c r="H117" s="60" t="s">
        <v>70</v>
      </c>
    </row>
    <row r="118" spans="1:8" ht="27.75" customHeight="1" x14ac:dyDescent="0.4">
      <c r="A118" s="60" t="s">
        <v>433</v>
      </c>
      <c r="B118" s="61">
        <v>44757</v>
      </c>
      <c r="C118" s="60" t="s">
        <v>250</v>
      </c>
      <c r="D118" s="60" t="s">
        <v>222</v>
      </c>
      <c r="E118" s="60">
        <v>3</v>
      </c>
      <c r="F118" s="42" t="s">
        <v>434</v>
      </c>
      <c r="G118" s="60" t="s">
        <v>225</v>
      </c>
      <c r="H118" s="60" t="s">
        <v>77</v>
      </c>
    </row>
    <row r="119" spans="1:8" ht="27.75" customHeight="1" x14ac:dyDescent="0.4">
      <c r="A119" s="60" t="s">
        <v>435</v>
      </c>
      <c r="B119" s="61">
        <v>44757</v>
      </c>
      <c r="C119" s="60" t="s">
        <v>250</v>
      </c>
      <c r="D119" s="60" t="s">
        <v>222</v>
      </c>
      <c r="E119" s="60">
        <v>3</v>
      </c>
      <c r="F119" s="42" t="s">
        <v>436</v>
      </c>
      <c r="G119" s="60" t="s">
        <v>225</v>
      </c>
      <c r="H119" s="60" t="s">
        <v>75</v>
      </c>
    </row>
    <row r="120" spans="1:8" ht="41.25" customHeight="1" x14ac:dyDescent="0.4">
      <c r="A120" s="60" t="s">
        <v>437</v>
      </c>
      <c r="B120" s="61">
        <v>44758</v>
      </c>
      <c r="C120" s="60" t="s">
        <v>250</v>
      </c>
      <c r="D120" s="60" t="s">
        <v>222</v>
      </c>
      <c r="E120" s="60">
        <v>4</v>
      </c>
      <c r="F120" s="42" t="s">
        <v>438</v>
      </c>
      <c r="G120" s="60" t="s">
        <v>225</v>
      </c>
      <c r="H120" s="60" t="s">
        <v>79</v>
      </c>
    </row>
    <row r="121" spans="1:8" ht="27.75" customHeight="1" x14ac:dyDescent="0.4">
      <c r="A121" s="60" t="s">
        <v>439</v>
      </c>
      <c r="B121" s="61">
        <v>44758</v>
      </c>
      <c r="C121" s="60" t="s">
        <v>250</v>
      </c>
      <c r="D121" s="60" t="s">
        <v>222</v>
      </c>
      <c r="E121" s="60">
        <v>4</v>
      </c>
      <c r="F121" s="42" t="s">
        <v>440</v>
      </c>
      <c r="G121" s="60" t="s">
        <v>225</v>
      </c>
      <c r="H121" s="60" t="s">
        <v>77</v>
      </c>
    </row>
    <row r="122" spans="1:8" ht="27.75" customHeight="1" x14ac:dyDescent="0.4">
      <c r="A122" s="60" t="s">
        <v>441</v>
      </c>
      <c r="B122" s="61">
        <v>44758</v>
      </c>
      <c r="C122" s="60" t="s">
        <v>250</v>
      </c>
      <c r="D122" s="60" t="s">
        <v>222</v>
      </c>
      <c r="E122" s="60">
        <v>4</v>
      </c>
      <c r="F122" s="42" t="s">
        <v>442</v>
      </c>
      <c r="G122" s="60" t="s">
        <v>225</v>
      </c>
      <c r="H122" s="60" t="s">
        <v>81</v>
      </c>
    </row>
    <row r="123" spans="1:8" ht="15" customHeight="1" x14ac:dyDescent="0.4">
      <c r="A123" s="60" t="s">
        <v>443</v>
      </c>
      <c r="B123" s="61">
        <v>44758</v>
      </c>
      <c r="C123" s="60" t="s">
        <v>281</v>
      </c>
      <c r="D123" s="60" t="s">
        <v>222</v>
      </c>
      <c r="E123" s="60">
        <v>4</v>
      </c>
      <c r="F123" s="42" t="s">
        <v>444</v>
      </c>
      <c r="G123" s="60" t="s">
        <v>225</v>
      </c>
      <c r="H123" s="60" t="s">
        <v>83</v>
      </c>
    </row>
    <row r="124" spans="1:8" ht="27.75" customHeight="1" x14ac:dyDescent="0.4">
      <c r="A124" s="60" t="s">
        <v>445</v>
      </c>
      <c r="B124" s="61">
        <v>44758</v>
      </c>
      <c r="C124" s="60" t="s">
        <v>250</v>
      </c>
      <c r="D124" s="60" t="s">
        <v>222</v>
      </c>
      <c r="E124" s="60">
        <v>4</v>
      </c>
      <c r="F124" s="42" t="s">
        <v>446</v>
      </c>
      <c r="G124" s="60" t="s">
        <v>225</v>
      </c>
      <c r="H124" s="60" t="s">
        <v>77</v>
      </c>
    </row>
    <row r="125" spans="1:8" ht="27.75" customHeight="1" x14ac:dyDescent="0.4">
      <c r="A125" s="60" t="s">
        <v>447</v>
      </c>
      <c r="B125" s="61">
        <v>44758</v>
      </c>
      <c r="C125" s="60" t="s">
        <v>250</v>
      </c>
      <c r="D125" s="60" t="s">
        <v>222</v>
      </c>
      <c r="E125" s="60">
        <v>4</v>
      </c>
      <c r="F125" s="42" t="s">
        <v>448</v>
      </c>
      <c r="G125" s="60" t="s">
        <v>225</v>
      </c>
      <c r="H125" s="60" t="s">
        <v>77</v>
      </c>
    </row>
    <row r="126" spans="1:8" ht="15" customHeight="1" x14ac:dyDescent="0.4">
      <c r="A126" s="60" t="s">
        <v>449</v>
      </c>
      <c r="B126" s="61">
        <v>44758</v>
      </c>
      <c r="C126" s="60" t="s">
        <v>250</v>
      </c>
      <c r="D126" s="60" t="s">
        <v>222</v>
      </c>
      <c r="E126" s="60">
        <v>4</v>
      </c>
      <c r="F126" s="42" t="s">
        <v>450</v>
      </c>
      <c r="G126" s="60" t="s">
        <v>225</v>
      </c>
      <c r="H126" s="60" t="s">
        <v>89</v>
      </c>
    </row>
    <row r="127" spans="1:8" ht="54.75" customHeight="1" x14ac:dyDescent="0.4">
      <c r="A127" s="60" t="s">
        <v>451</v>
      </c>
      <c r="B127" s="61">
        <v>44758</v>
      </c>
      <c r="C127" s="60" t="s">
        <v>250</v>
      </c>
      <c r="D127" s="60" t="s">
        <v>222</v>
      </c>
      <c r="E127" s="60">
        <v>4</v>
      </c>
      <c r="F127" s="42" t="s">
        <v>452</v>
      </c>
      <c r="G127" s="60" t="s">
        <v>225</v>
      </c>
      <c r="H127" s="60" t="s">
        <v>79</v>
      </c>
    </row>
    <row r="128" spans="1:8" ht="27.75" customHeight="1" x14ac:dyDescent="0.4">
      <c r="A128" s="60" t="s">
        <v>453</v>
      </c>
      <c r="B128" s="61">
        <v>44759</v>
      </c>
      <c r="C128" s="60" t="s">
        <v>250</v>
      </c>
      <c r="D128" s="60" t="s">
        <v>222</v>
      </c>
      <c r="E128" s="60">
        <v>5</v>
      </c>
      <c r="F128" s="42" t="s">
        <v>454</v>
      </c>
      <c r="G128" s="60" t="s">
        <v>225</v>
      </c>
      <c r="H128" s="60" t="s">
        <v>75</v>
      </c>
    </row>
    <row r="129" spans="1:8" ht="41.25" customHeight="1" x14ac:dyDescent="0.4">
      <c r="A129" s="60" t="s">
        <v>455</v>
      </c>
      <c r="B129" s="61">
        <v>44759</v>
      </c>
      <c r="C129" s="60" t="s">
        <v>281</v>
      </c>
      <c r="D129" s="60" t="s">
        <v>222</v>
      </c>
      <c r="E129" s="60">
        <v>5</v>
      </c>
      <c r="F129" s="42" t="s">
        <v>456</v>
      </c>
      <c r="G129" s="60" t="s">
        <v>225</v>
      </c>
      <c r="H129" s="60" t="s">
        <v>75</v>
      </c>
    </row>
    <row r="130" spans="1:8" ht="54.75" customHeight="1" x14ac:dyDescent="0.4">
      <c r="A130" s="60" t="s">
        <v>457</v>
      </c>
      <c r="B130" s="61">
        <v>44759</v>
      </c>
      <c r="C130" s="60" t="s">
        <v>250</v>
      </c>
      <c r="D130" s="60" t="s">
        <v>222</v>
      </c>
      <c r="E130" s="60">
        <v>5</v>
      </c>
      <c r="F130" s="42" t="s">
        <v>458</v>
      </c>
      <c r="G130" s="60" t="s">
        <v>225</v>
      </c>
      <c r="H130" s="60" t="s">
        <v>73</v>
      </c>
    </row>
    <row r="131" spans="1:8" ht="27.75" customHeight="1" x14ac:dyDescent="0.4">
      <c r="A131" s="60" t="s">
        <v>459</v>
      </c>
      <c r="B131" s="61">
        <v>44759</v>
      </c>
      <c r="C131" s="60" t="s">
        <v>281</v>
      </c>
      <c r="D131" s="60" t="s">
        <v>222</v>
      </c>
      <c r="E131" s="60">
        <v>5</v>
      </c>
      <c r="F131" s="42" t="s">
        <v>460</v>
      </c>
      <c r="G131" s="60" t="s">
        <v>225</v>
      </c>
      <c r="H131" s="60" t="s">
        <v>77</v>
      </c>
    </row>
    <row r="132" spans="1:8" ht="27.75" customHeight="1" x14ac:dyDescent="0.4">
      <c r="A132" s="60" t="s">
        <v>461</v>
      </c>
      <c r="B132" s="61">
        <v>44759</v>
      </c>
      <c r="C132" s="60" t="s">
        <v>429</v>
      </c>
      <c r="D132" s="60" t="s">
        <v>222</v>
      </c>
      <c r="E132" s="60">
        <v>5</v>
      </c>
      <c r="F132" s="42" t="s">
        <v>462</v>
      </c>
      <c r="G132" s="60" t="s">
        <v>225</v>
      </c>
      <c r="H132" s="60" t="s">
        <v>73</v>
      </c>
    </row>
    <row r="133" spans="1:8" ht="68.25" customHeight="1" x14ac:dyDescent="0.4">
      <c r="A133" s="60" t="s">
        <v>463</v>
      </c>
      <c r="B133" s="61">
        <v>44759</v>
      </c>
      <c r="C133" s="60" t="s">
        <v>250</v>
      </c>
      <c r="D133" s="60" t="s">
        <v>222</v>
      </c>
      <c r="E133" s="60">
        <v>5</v>
      </c>
      <c r="F133" s="42" t="s">
        <v>464</v>
      </c>
      <c r="G133" s="60" t="s">
        <v>225</v>
      </c>
      <c r="H133" s="60" t="s">
        <v>73</v>
      </c>
    </row>
    <row r="134" spans="1:8" ht="27.75" customHeight="1" x14ac:dyDescent="0.4">
      <c r="A134" s="60" t="s">
        <v>465</v>
      </c>
      <c r="B134" s="61">
        <v>44758</v>
      </c>
      <c r="C134" s="60" t="s">
        <v>250</v>
      </c>
      <c r="D134" s="60" t="s">
        <v>222</v>
      </c>
      <c r="E134" s="60">
        <v>4</v>
      </c>
      <c r="F134" s="42" t="s">
        <v>466</v>
      </c>
      <c r="G134" s="60" t="s">
        <v>225</v>
      </c>
      <c r="H134" s="60" t="s">
        <v>70</v>
      </c>
    </row>
    <row r="135" spans="1:8" ht="27.75" customHeight="1" x14ac:dyDescent="0.4">
      <c r="A135" s="60" t="s">
        <v>467</v>
      </c>
      <c r="B135" s="61">
        <v>44759</v>
      </c>
      <c r="C135" s="60" t="s">
        <v>250</v>
      </c>
      <c r="D135" s="60" t="s">
        <v>222</v>
      </c>
      <c r="E135" s="60">
        <v>5</v>
      </c>
      <c r="F135" s="42" t="s">
        <v>468</v>
      </c>
      <c r="G135" s="60" t="s">
        <v>225</v>
      </c>
      <c r="H135" s="60" t="s">
        <v>70</v>
      </c>
    </row>
    <row r="136" spans="1:8" ht="81.75" customHeight="1" x14ac:dyDescent="0.4">
      <c r="A136" s="60" t="s">
        <v>469</v>
      </c>
      <c r="B136" s="61">
        <v>44759</v>
      </c>
      <c r="C136" s="60" t="s">
        <v>250</v>
      </c>
      <c r="D136" s="60" t="s">
        <v>222</v>
      </c>
      <c r="E136" s="60">
        <v>5</v>
      </c>
      <c r="F136" s="42" t="s">
        <v>470</v>
      </c>
      <c r="G136" s="60" t="s">
        <v>225</v>
      </c>
      <c r="H136" s="60" t="s">
        <v>70</v>
      </c>
    </row>
    <row r="137" spans="1:8" ht="15" customHeight="1" x14ac:dyDescent="0.4">
      <c r="A137" s="60" t="s">
        <v>471</v>
      </c>
      <c r="B137" s="61">
        <v>44759</v>
      </c>
      <c r="C137" s="60" t="s">
        <v>250</v>
      </c>
      <c r="D137" s="60" t="s">
        <v>222</v>
      </c>
      <c r="E137" s="60">
        <v>5</v>
      </c>
      <c r="F137" s="42" t="s">
        <v>472</v>
      </c>
      <c r="G137" s="60" t="s">
        <v>225</v>
      </c>
      <c r="H137" s="60" t="s">
        <v>83</v>
      </c>
    </row>
    <row r="138" spans="1:8" ht="15" customHeight="1" x14ac:dyDescent="0.4">
      <c r="A138" s="60" t="s">
        <v>473</v>
      </c>
      <c r="B138" s="61">
        <v>44759</v>
      </c>
      <c r="C138" s="60" t="s">
        <v>250</v>
      </c>
      <c r="D138" s="60" t="s">
        <v>222</v>
      </c>
      <c r="E138" s="60">
        <v>5</v>
      </c>
      <c r="F138" s="42" t="s">
        <v>474</v>
      </c>
      <c r="G138" s="60" t="s">
        <v>225</v>
      </c>
      <c r="H138" s="60" t="s">
        <v>75</v>
      </c>
    </row>
    <row r="139" spans="1:8" ht="15" customHeight="1" x14ac:dyDescent="0.4">
      <c r="A139" s="60" t="s">
        <v>475</v>
      </c>
      <c r="B139" s="61">
        <v>44759</v>
      </c>
      <c r="C139" s="60" t="s">
        <v>250</v>
      </c>
      <c r="D139" s="60" t="s">
        <v>222</v>
      </c>
      <c r="E139" s="60">
        <v>5</v>
      </c>
      <c r="F139" s="42" t="s">
        <v>476</v>
      </c>
      <c r="G139" s="60" t="s">
        <v>225</v>
      </c>
      <c r="H139" s="60" t="s">
        <v>70</v>
      </c>
    </row>
    <row r="140" spans="1:8" ht="15" customHeight="1" x14ac:dyDescent="0.4">
      <c r="A140" s="60" t="s">
        <v>477</v>
      </c>
      <c r="B140" s="61">
        <v>44758</v>
      </c>
      <c r="C140" s="60" t="s">
        <v>250</v>
      </c>
      <c r="D140" s="60" t="s">
        <v>222</v>
      </c>
      <c r="E140" s="60">
        <v>4</v>
      </c>
      <c r="F140" s="42" t="s">
        <v>478</v>
      </c>
      <c r="G140" s="60" t="s">
        <v>225</v>
      </c>
      <c r="H140" s="60" t="s">
        <v>79</v>
      </c>
    </row>
    <row r="141" spans="1:8" ht="27.75" customHeight="1" x14ac:dyDescent="0.4">
      <c r="A141" s="60" t="s">
        <v>479</v>
      </c>
      <c r="B141" s="61">
        <v>44760</v>
      </c>
      <c r="C141" s="60" t="s">
        <v>250</v>
      </c>
      <c r="D141" s="60" t="s">
        <v>222</v>
      </c>
      <c r="E141" s="60">
        <v>6</v>
      </c>
      <c r="F141" s="42" t="s">
        <v>480</v>
      </c>
      <c r="G141" s="60" t="s">
        <v>225</v>
      </c>
      <c r="H141" s="60" t="s">
        <v>79</v>
      </c>
    </row>
    <row r="142" spans="1:8" ht="68.25" customHeight="1" x14ac:dyDescent="0.4">
      <c r="A142" s="60" t="s">
        <v>481</v>
      </c>
      <c r="B142" s="61">
        <v>44760</v>
      </c>
      <c r="C142" s="60" t="s">
        <v>250</v>
      </c>
      <c r="D142" s="60" t="s">
        <v>222</v>
      </c>
      <c r="E142" s="60">
        <v>6</v>
      </c>
      <c r="F142" s="42" t="s">
        <v>482</v>
      </c>
      <c r="G142" s="60" t="s">
        <v>225</v>
      </c>
      <c r="H142" s="60" t="s">
        <v>73</v>
      </c>
    </row>
    <row r="143" spans="1:8" ht="68.25" customHeight="1" x14ac:dyDescent="0.4">
      <c r="A143" s="60" t="s">
        <v>483</v>
      </c>
      <c r="B143" s="61">
        <v>44760</v>
      </c>
      <c r="C143" s="60" t="s">
        <v>250</v>
      </c>
      <c r="D143" s="60" t="s">
        <v>222</v>
      </c>
      <c r="E143" s="60">
        <v>6</v>
      </c>
      <c r="F143" s="42" t="s">
        <v>484</v>
      </c>
      <c r="G143" s="60" t="s">
        <v>225</v>
      </c>
      <c r="H143" s="60" t="s">
        <v>70</v>
      </c>
    </row>
    <row r="144" spans="1:8" ht="41.25" customHeight="1" x14ac:dyDescent="0.4">
      <c r="A144" s="60" t="s">
        <v>485</v>
      </c>
      <c r="B144" s="61">
        <v>44760</v>
      </c>
      <c r="C144" s="60" t="s">
        <v>250</v>
      </c>
      <c r="D144" s="60" t="s">
        <v>222</v>
      </c>
      <c r="E144" s="60">
        <v>6</v>
      </c>
      <c r="F144" s="42" t="s">
        <v>486</v>
      </c>
      <c r="G144" s="60" t="s">
        <v>225</v>
      </c>
      <c r="H144" s="60" t="s">
        <v>79</v>
      </c>
    </row>
    <row r="145" spans="1:8" ht="27.75" customHeight="1" x14ac:dyDescent="0.4">
      <c r="A145" s="60" t="s">
        <v>487</v>
      </c>
      <c r="B145" s="61">
        <v>44760</v>
      </c>
      <c r="C145" s="60" t="s">
        <v>250</v>
      </c>
      <c r="D145" s="60" t="s">
        <v>222</v>
      </c>
      <c r="E145" s="60">
        <v>6</v>
      </c>
      <c r="F145" s="42" t="s">
        <v>488</v>
      </c>
      <c r="G145" s="60" t="s">
        <v>225</v>
      </c>
      <c r="H145" s="60" t="s">
        <v>77</v>
      </c>
    </row>
    <row r="146" spans="1:8" ht="27.75" customHeight="1" x14ac:dyDescent="0.4">
      <c r="A146" s="60" t="s">
        <v>489</v>
      </c>
      <c r="B146" s="61">
        <v>44760</v>
      </c>
      <c r="C146" s="60" t="s">
        <v>250</v>
      </c>
      <c r="D146" s="60" t="s">
        <v>222</v>
      </c>
      <c r="E146" s="60">
        <v>6</v>
      </c>
      <c r="F146" s="42" t="s">
        <v>490</v>
      </c>
      <c r="G146" s="60" t="s">
        <v>225</v>
      </c>
      <c r="H146" s="60" t="s">
        <v>89</v>
      </c>
    </row>
    <row r="147" spans="1:8" ht="68.25" customHeight="1" x14ac:dyDescent="0.4">
      <c r="A147" s="60" t="s">
        <v>491</v>
      </c>
      <c r="B147" s="61">
        <v>44760</v>
      </c>
      <c r="C147" s="60" t="s">
        <v>250</v>
      </c>
      <c r="D147" s="60" t="s">
        <v>222</v>
      </c>
      <c r="E147" s="60">
        <v>6</v>
      </c>
      <c r="F147" s="42" t="s">
        <v>492</v>
      </c>
      <c r="G147" s="60" t="s">
        <v>225</v>
      </c>
      <c r="H147" s="60" t="s">
        <v>70</v>
      </c>
    </row>
    <row r="148" spans="1:8" ht="54.75" customHeight="1" x14ac:dyDescent="0.4">
      <c r="A148" s="60" t="s">
        <v>493</v>
      </c>
      <c r="B148" s="61">
        <v>44760</v>
      </c>
      <c r="C148" s="60" t="s">
        <v>250</v>
      </c>
      <c r="D148" s="60" t="s">
        <v>222</v>
      </c>
      <c r="E148" s="60">
        <v>6</v>
      </c>
      <c r="F148" s="42" t="s">
        <v>494</v>
      </c>
      <c r="G148" s="60" t="s">
        <v>225</v>
      </c>
      <c r="H148" s="60" t="s">
        <v>75</v>
      </c>
    </row>
    <row r="149" spans="1:8" ht="15" customHeight="1" x14ac:dyDescent="0.4">
      <c r="A149" s="60" t="s">
        <v>495</v>
      </c>
      <c r="B149" s="61">
        <v>44760</v>
      </c>
      <c r="C149" s="60" t="s">
        <v>250</v>
      </c>
      <c r="D149" s="60" t="s">
        <v>222</v>
      </c>
      <c r="E149" s="60">
        <v>6</v>
      </c>
      <c r="F149" s="42" t="s">
        <v>496</v>
      </c>
      <c r="G149" s="60" t="s">
        <v>225</v>
      </c>
      <c r="H149" s="60" t="s">
        <v>81</v>
      </c>
    </row>
    <row r="150" spans="1:8" ht="68.25" customHeight="1" x14ac:dyDescent="0.4">
      <c r="A150" s="60" t="s">
        <v>497</v>
      </c>
      <c r="B150" s="61">
        <v>44760</v>
      </c>
      <c r="C150" s="60" t="s">
        <v>250</v>
      </c>
      <c r="D150" s="60" t="s">
        <v>222</v>
      </c>
      <c r="E150" s="60">
        <v>6</v>
      </c>
      <c r="F150" s="42" t="s">
        <v>498</v>
      </c>
      <c r="G150" s="60" t="s">
        <v>225</v>
      </c>
      <c r="H150" s="60" t="s">
        <v>79</v>
      </c>
    </row>
    <row r="151" spans="1:8" ht="27.75" customHeight="1" x14ac:dyDescent="0.4">
      <c r="A151" s="60" t="s">
        <v>499</v>
      </c>
      <c r="B151" s="61">
        <v>44760</v>
      </c>
      <c r="C151" s="60"/>
      <c r="D151" s="60" t="s">
        <v>222</v>
      </c>
      <c r="E151" s="60">
        <v>6</v>
      </c>
      <c r="F151" s="42" t="s">
        <v>500</v>
      </c>
      <c r="G151" s="60" t="s">
        <v>225</v>
      </c>
      <c r="H151" s="60" t="s">
        <v>77</v>
      </c>
    </row>
    <row r="152" spans="1:8" ht="15" customHeight="1" x14ac:dyDescent="0.4">
      <c r="A152" s="60" t="s">
        <v>501</v>
      </c>
      <c r="B152" s="61">
        <v>44760</v>
      </c>
      <c r="C152" s="60" t="s">
        <v>250</v>
      </c>
      <c r="D152" s="60" t="s">
        <v>222</v>
      </c>
      <c r="E152" s="60">
        <v>6</v>
      </c>
      <c r="F152" s="42" t="s">
        <v>502</v>
      </c>
      <c r="G152" s="60" t="s">
        <v>225</v>
      </c>
      <c r="H152" s="60" t="s">
        <v>79</v>
      </c>
    </row>
    <row r="153" spans="1:8" ht="27.75" customHeight="1" x14ac:dyDescent="0.4">
      <c r="A153" s="60" t="s">
        <v>503</v>
      </c>
      <c r="B153" s="61">
        <v>44760</v>
      </c>
      <c r="C153" s="60" t="s">
        <v>250</v>
      </c>
      <c r="D153" s="60" t="s">
        <v>222</v>
      </c>
      <c r="E153" s="60">
        <v>6</v>
      </c>
      <c r="F153" s="42" t="s">
        <v>504</v>
      </c>
      <c r="G153" s="60" t="s">
        <v>225</v>
      </c>
      <c r="H153" s="60" t="s">
        <v>70</v>
      </c>
    </row>
    <row r="154" spans="1:8" ht="15" customHeight="1" x14ac:dyDescent="0.4">
      <c r="A154" s="60" t="s">
        <v>505</v>
      </c>
      <c r="B154" s="61">
        <v>44760</v>
      </c>
      <c r="C154" s="60" t="s">
        <v>250</v>
      </c>
      <c r="D154" s="60" t="s">
        <v>222</v>
      </c>
      <c r="E154" s="60">
        <v>6</v>
      </c>
      <c r="F154" s="42" t="s">
        <v>506</v>
      </c>
      <c r="G154" s="60" t="s">
        <v>225</v>
      </c>
      <c r="H154" s="60" t="s">
        <v>89</v>
      </c>
    </row>
    <row r="155" spans="1:8" ht="15" customHeight="1" x14ac:dyDescent="0.4">
      <c r="A155" s="60" t="s">
        <v>507</v>
      </c>
      <c r="B155" s="61">
        <v>44760</v>
      </c>
      <c r="C155" s="60" t="s">
        <v>281</v>
      </c>
      <c r="D155" s="60" t="s">
        <v>222</v>
      </c>
      <c r="E155" s="60">
        <v>6</v>
      </c>
      <c r="F155" s="42" t="s">
        <v>508</v>
      </c>
      <c r="G155" s="60" t="s">
        <v>225</v>
      </c>
      <c r="H155" s="60" t="s">
        <v>70</v>
      </c>
    </row>
    <row r="156" spans="1:8" ht="15" customHeight="1" x14ac:dyDescent="0.4">
      <c r="A156" s="60" t="s">
        <v>509</v>
      </c>
      <c r="B156" s="61">
        <v>44760</v>
      </c>
      <c r="C156" s="60" t="s">
        <v>281</v>
      </c>
      <c r="D156" s="60" t="s">
        <v>222</v>
      </c>
      <c r="E156" s="60">
        <v>6</v>
      </c>
      <c r="F156" s="42" t="s">
        <v>510</v>
      </c>
      <c r="G156" s="60" t="s">
        <v>225</v>
      </c>
      <c r="H156" s="60" t="s">
        <v>83</v>
      </c>
    </row>
    <row r="157" spans="1:8" ht="41.25" customHeight="1" x14ac:dyDescent="0.4">
      <c r="A157" s="60" t="s">
        <v>511</v>
      </c>
      <c r="B157" s="61">
        <v>44760</v>
      </c>
      <c r="C157" s="60" t="s">
        <v>281</v>
      </c>
      <c r="D157" s="60" t="s">
        <v>222</v>
      </c>
      <c r="E157" s="60">
        <v>6</v>
      </c>
      <c r="F157" s="42" t="s">
        <v>512</v>
      </c>
      <c r="G157" s="60" t="s">
        <v>225</v>
      </c>
      <c r="H157" s="60" t="s">
        <v>81</v>
      </c>
    </row>
    <row r="158" spans="1:8" ht="15" customHeight="1" x14ac:dyDescent="0.4">
      <c r="A158" s="60" t="s">
        <v>513</v>
      </c>
      <c r="B158" s="61">
        <v>44761</v>
      </c>
      <c r="C158" s="60" t="s">
        <v>250</v>
      </c>
      <c r="D158" s="60" t="s">
        <v>222</v>
      </c>
      <c r="E158" s="60">
        <v>7</v>
      </c>
      <c r="F158" s="42" t="s">
        <v>514</v>
      </c>
      <c r="G158" s="60" t="s">
        <v>225</v>
      </c>
      <c r="H158" s="60" t="s">
        <v>83</v>
      </c>
    </row>
    <row r="159" spans="1:8" ht="15" customHeight="1" x14ac:dyDescent="0.4">
      <c r="A159" s="60" t="s">
        <v>515</v>
      </c>
      <c r="B159" s="61">
        <v>44761</v>
      </c>
      <c r="C159" s="60" t="s">
        <v>250</v>
      </c>
      <c r="D159" s="60" t="s">
        <v>222</v>
      </c>
      <c r="E159" s="60">
        <v>7</v>
      </c>
      <c r="F159" s="42" t="s">
        <v>516</v>
      </c>
      <c r="G159" s="60" t="s">
        <v>225</v>
      </c>
      <c r="H159" s="60" t="s">
        <v>77</v>
      </c>
    </row>
    <row r="160" spans="1:8" ht="108.75" customHeight="1" x14ac:dyDescent="0.4">
      <c r="A160" s="60" t="s">
        <v>517</v>
      </c>
      <c r="B160" s="61">
        <v>44761</v>
      </c>
      <c r="C160" s="60" t="s">
        <v>250</v>
      </c>
      <c r="D160" s="60" t="s">
        <v>222</v>
      </c>
      <c r="E160" s="60">
        <v>7</v>
      </c>
      <c r="F160" s="42" t="s">
        <v>518</v>
      </c>
      <c r="G160" s="60" t="s">
        <v>225</v>
      </c>
      <c r="H160" s="60" t="s">
        <v>81</v>
      </c>
    </row>
    <row r="161" spans="1:8" ht="122.25" customHeight="1" x14ac:dyDescent="0.4">
      <c r="A161" s="60" t="s">
        <v>519</v>
      </c>
      <c r="B161" s="61">
        <v>44761</v>
      </c>
      <c r="C161" s="60" t="s">
        <v>250</v>
      </c>
      <c r="D161" s="60" t="s">
        <v>222</v>
      </c>
      <c r="E161" s="60">
        <v>7</v>
      </c>
      <c r="F161" s="42" t="s">
        <v>520</v>
      </c>
      <c r="G161" s="60" t="s">
        <v>225</v>
      </c>
      <c r="H161" s="60" t="s">
        <v>73</v>
      </c>
    </row>
    <row r="162" spans="1:8" ht="15" customHeight="1" x14ac:dyDescent="0.4">
      <c r="A162" s="60" t="s">
        <v>521</v>
      </c>
      <c r="B162" s="61">
        <v>44761</v>
      </c>
      <c r="C162" s="60" t="s">
        <v>250</v>
      </c>
      <c r="D162" s="60" t="s">
        <v>222</v>
      </c>
      <c r="E162" s="60">
        <v>7</v>
      </c>
      <c r="F162" s="42" t="s">
        <v>522</v>
      </c>
      <c r="G162" s="60" t="s">
        <v>225</v>
      </c>
      <c r="H162" s="60" t="s">
        <v>75</v>
      </c>
    </row>
    <row r="163" spans="1:8" ht="27.75" customHeight="1" x14ac:dyDescent="0.4">
      <c r="A163" s="60" t="s">
        <v>523</v>
      </c>
      <c r="B163" s="61">
        <v>44761</v>
      </c>
      <c r="C163" s="60" t="s">
        <v>281</v>
      </c>
      <c r="D163" s="60" t="s">
        <v>222</v>
      </c>
      <c r="E163" s="60">
        <v>7</v>
      </c>
      <c r="F163" s="42" t="s">
        <v>524</v>
      </c>
      <c r="G163" s="60" t="s">
        <v>225</v>
      </c>
      <c r="H163" s="60" t="s">
        <v>70</v>
      </c>
    </row>
    <row r="164" spans="1:8" ht="15" customHeight="1" x14ac:dyDescent="0.4">
      <c r="A164" s="60" t="s">
        <v>525</v>
      </c>
      <c r="B164" s="61">
        <v>44761</v>
      </c>
      <c r="C164" s="60" t="s">
        <v>250</v>
      </c>
      <c r="D164" s="60" t="s">
        <v>222</v>
      </c>
      <c r="E164" s="60">
        <v>7</v>
      </c>
      <c r="F164" s="42" t="s">
        <v>526</v>
      </c>
      <c r="G164" s="60" t="s">
        <v>225</v>
      </c>
      <c r="H164" s="60" t="s">
        <v>70</v>
      </c>
    </row>
    <row r="165" spans="1:8" ht="27.75" customHeight="1" x14ac:dyDescent="0.4">
      <c r="A165" s="60" t="s">
        <v>527</v>
      </c>
      <c r="B165" s="61">
        <v>44761</v>
      </c>
      <c r="C165" s="60" t="s">
        <v>281</v>
      </c>
      <c r="D165" s="60" t="s">
        <v>222</v>
      </c>
      <c r="E165" s="60">
        <v>7</v>
      </c>
      <c r="F165" s="42" t="s">
        <v>528</v>
      </c>
      <c r="G165" s="60" t="s">
        <v>225</v>
      </c>
      <c r="H165" s="60" t="s">
        <v>89</v>
      </c>
    </row>
    <row r="166" spans="1:8" ht="15" customHeight="1" x14ac:dyDescent="0.4">
      <c r="A166" s="60" t="s">
        <v>529</v>
      </c>
      <c r="B166" s="61">
        <v>44761</v>
      </c>
      <c r="C166" s="60" t="s">
        <v>250</v>
      </c>
      <c r="D166" s="60" t="s">
        <v>222</v>
      </c>
      <c r="E166" s="60">
        <v>7</v>
      </c>
      <c r="F166" s="42" t="s">
        <v>530</v>
      </c>
      <c r="G166" s="60" t="s">
        <v>225</v>
      </c>
      <c r="H166" s="60" t="s">
        <v>70</v>
      </c>
    </row>
    <row r="167" spans="1:8" ht="15" customHeight="1" x14ac:dyDescent="0.4">
      <c r="A167" s="60" t="s">
        <v>531</v>
      </c>
      <c r="B167" s="61">
        <v>44761</v>
      </c>
      <c r="C167" s="60" t="s">
        <v>250</v>
      </c>
      <c r="D167" s="60" t="s">
        <v>222</v>
      </c>
      <c r="E167" s="60">
        <v>7</v>
      </c>
      <c r="F167" s="42" t="s">
        <v>532</v>
      </c>
      <c r="G167" s="60" t="s">
        <v>225</v>
      </c>
      <c r="H167" s="60" t="s">
        <v>73</v>
      </c>
    </row>
    <row r="168" spans="1:8" ht="27.75" customHeight="1" x14ac:dyDescent="0.4">
      <c r="A168" s="60" t="s">
        <v>533</v>
      </c>
      <c r="B168" s="61">
        <v>44761</v>
      </c>
      <c r="C168" s="60" t="s">
        <v>250</v>
      </c>
      <c r="D168" s="60" t="s">
        <v>222</v>
      </c>
      <c r="E168" s="60">
        <v>7</v>
      </c>
      <c r="F168" s="42" t="s">
        <v>534</v>
      </c>
      <c r="G168" s="60" t="s">
        <v>225</v>
      </c>
      <c r="H168" s="60" t="s">
        <v>79</v>
      </c>
    </row>
    <row r="169" spans="1:8" ht="54.75" customHeight="1" x14ac:dyDescent="0.4">
      <c r="A169" s="60" t="s">
        <v>535</v>
      </c>
      <c r="B169" s="61">
        <v>44761</v>
      </c>
      <c r="C169" s="60" t="s">
        <v>250</v>
      </c>
      <c r="D169" s="60" t="s">
        <v>222</v>
      </c>
      <c r="E169" s="60">
        <v>7</v>
      </c>
      <c r="F169" s="42" t="s">
        <v>536</v>
      </c>
      <c r="G169" s="60" t="s">
        <v>225</v>
      </c>
      <c r="H169" s="60" t="s">
        <v>73</v>
      </c>
    </row>
    <row r="170" spans="1:8" ht="41.25" customHeight="1" x14ac:dyDescent="0.4">
      <c r="A170" s="60" t="s">
        <v>537</v>
      </c>
      <c r="B170" s="61">
        <v>44761</v>
      </c>
      <c r="C170" s="60" t="s">
        <v>250</v>
      </c>
      <c r="D170" s="60" t="s">
        <v>222</v>
      </c>
      <c r="E170" s="60">
        <v>7</v>
      </c>
      <c r="F170" s="42" t="s">
        <v>538</v>
      </c>
      <c r="G170" s="60" t="s">
        <v>225</v>
      </c>
      <c r="H170" s="60" t="s">
        <v>85</v>
      </c>
    </row>
    <row r="171" spans="1:8" ht="27.75" customHeight="1" x14ac:dyDescent="0.4">
      <c r="A171" s="60" t="s">
        <v>539</v>
      </c>
      <c r="B171" s="61">
        <v>44761</v>
      </c>
      <c r="C171" s="60" t="s">
        <v>250</v>
      </c>
      <c r="D171" s="60" t="s">
        <v>222</v>
      </c>
      <c r="E171" s="60">
        <v>7</v>
      </c>
      <c r="F171" s="42" t="s">
        <v>540</v>
      </c>
      <c r="G171" s="60" t="s">
        <v>225</v>
      </c>
      <c r="H171" s="60" t="s">
        <v>75</v>
      </c>
    </row>
    <row r="172" spans="1:8" ht="81.75" customHeight="1" x14ac:dyDescent="0.4">
      <c r="A172" s="60" t="s">
        <v>541</v>
      </c>
      <c r="B172" s="61">
        <v>44761</v>
      </c>
      <c r="C172" s="60" t="s">
        <v>250</v>
      </c>
      <c r="D172" s="60" t="s">
        <v>222</v>
      </c>
      <c r="E172" s="60">
        <v>7</v>
      </c>
      <c r="F172" s="42" t="s">
        <v>542</v>
      </c>
      <c r="G172" s="60" t="s">
        <v>225</v>
      </c>
      <c r="H172" s="60" t="s">
        <v>77</v>
      </c>
    </row>
    <row r="173" spans="1:8" ht="27.75" customHeight="1" x14ac:dyDescent="0.4">
      <c r="A173" s="60" t="s">
        <v>543</v>
      </c>
      <c r="B173" s="61">
        <v>44761</v>
      </c>
      <c r="C173" s="60" t="s">
        <v>250</v>
      </c>
      <c r="D173" s="60" t="s">
        <v>222</v>
      </c>
      <c r="E173" s="60">
        <v>7</v>
      </c>
      <c r="F173" s="42" t="s">
        <v>544</v>
      </c>
      <c r="G173" s="60" t="s">
        <v>225</v>
      </c>
      <c r="H173" s="60" t="s">
        <v>75</v>
      </c>
    </row>
    <row r="174" spans="1:8" ht="15" customHeight="1" x14ac:dyDescent="0.4">
      <c r="A174" s="60" t="s">
        <v>545</v>
      </c>
      <c r="B174" s="61">
        <v>44761</v>
      </c>
      <c r="C174" s="60" t="s">
        <v>250</v>
      </c>
      <c r="D174" s="60" t="s">
        <v>222</v>
      </c>
      <c r="E174" s="60">
        <v>7</v>
      </c>
      <c r="F174" s="42" t="s">
        <v>546</v>
      </c>
      <c r="G174" s="60" t="s">
        <v>225</v>
      </c>
      <c r="H174" s="60" t="s">
        <v>70</v>
      </c>
    </row>
    <row r="175" spans="1:8" ht="27.75" customHeight="1" x14ac:dyDescent="0.4">
      <c r="A175" s="60" t="s">
        <v>547</v>
      </c>
      <c r="B175" s="61">
        <v>44761</v>
      </c>
      <c r="C175" s="60" t="s">
        <v>250</v>
      </c>
      <c r="D175" s="60" t="s">
        <v>222</v>
      </c>
      <c r="E175" s="60">
        <v>7</v>
      </c>
      <c r="F175" s="42" t="s">
        <v>548</v>
      </c>
      <c r="G175" s="60" t="s">
        <v>225</v>
      </c>
      <c r="H175" s="60" t="s">
        <v>89</v>
      </c>
    </row>
    <row r="176" spans="1:8" ht="54.75" customHeight="1" x14ac:dyDescent="0.4">
      <c r="A176" s="60" t="s">
        <v>549</v>
      </c>
      <c r="B176" s="61">
        <v>44761</v>
      </c>
      <c r="C176" s="60" t="s">
        <v>250</v>
      </c>
      <c r="D176" s="60" t="s">
        <v>222</v>
      </c>
      <c r="E176" s="60">
        <v>7</v>
      </c>
      <c r="F176" s="42" t="s">
        <v>550</v>
      </c>
      <c r="G176" s="60" t="s">
        <v>225</v>
      </c>
      <c r="H176" s="60" t="s">
        <v>79</v>
      </c>
    </row>
    <row r="177" spans="1:8" ht="27.75" customHeight="1" x14ac:dyDescent="0.4">
      <c r="A177" s="60" t="s">
        <v>551</v>
      </c>
      <c r="B177" s="61">
        <v>44761</v>
      </c>
      <c r="C177" s="60" t="s">
        <v>250</v>
      </c>
      <c r="D177" s="60" t="s">
        <v>222</v>
      </c>
      <c r="E177" s="60">
        <v>7</v>
      </c>
      <c r="F177" s="42" t="s">
        <v>552</v>
      </c>
      <c r="G177" s="60" t="s">
        <v>225</v>
      </c>
      <c r="H177" s="60" t="s">
        <v>70</v>
      </c>
    </row>
    <row r="178" spans="1:8" ht="15" customHeight="1" x14ac:dyDescent="0.4">
      <c r="A178" s="60" t="s">
        <v>553</v>
      </c>
      <c r="B178" s="61">
        <v>44762</v>
      </c>
      <c r="C178" s="60" t="s">
        <v>250</v>
      </c>
      <c r="D178" s="60" t="s">
        <v>222</v>
      </c>
      <c r="E178" s="60">
        <v>8</v>
      </c>
      <c r="F178" s="42" t="s">
        <v>554</v>
      </c>
      <c r="G178" s="60" t="s">
        <v>225</v>
      </c>
      <c r="H178" s="60" t="s">
        <v>83</v>
      </c>
    </row>
    <row r="179" spans="1:8" ht="54.75" customHeight="1" x14ac:dyDescent="0.4">
      <c r="A179" s="60" t="s">
        <v>555</v>
      </c>
      <c r="B179" s="61">
        <v>44762</v>
      </c>
      <c r="C179" s="60" t="s">
        <v>250</v>
      </c>
      <c r="D179" s="60" t="s">
        <v>222</v>
      </c>
      <c r="E179" s="60">
        <v>8</v>
      </c>
      <c r="F179" s="42" t="s">
        <v>556</v>
      </c>
      <c r="G179" s="60" t="s">
        <v>225</v>
      </c>
      <c r="H179" s="60" t="s">
        <v>70</v>
      </c>
    </row>
    <row r="180" spans="1:8" ht="27.75" customHeight="1" x14ac:dyDescent="0.4">
      <c r="A180" s="60" t="s">
        <v>557</v>
      </c>
      <c r="B180" s="61">
        <v>44762</v>
      </c>
      <c r="C180" s="60" t="s">
        <v>250</v>
      </c>
      <c r="D180" s="60" t="s">
        <v>222</v>
      </c>
      <c r="E180" s="60">
        <v>8</v>
      </c>
      <c r="F180" s="42" t="s">
        <v>558</v>
      </c>
      <c r="G180" s="60" t="s">
        <v>225</v>
      </c>
      <c r="H180" s="60" t="s">
        <v>75</v>
      </c>
    </row>
    <row r="181" spans="1:8" ht="15" customHeight="1" x14ac:dyDescent="0.4">
      <c r="A181" s="60" t="s">
        <v>559</v>
      </c>
      <c r="B181" s="61">
        <v>44762</v>
      </c>
      <c r="C181" s="60" t="s">
        <v>250</v>
      </c>
      <c r="D181" s="60" t="s">
        <v>222</v>
      </c>
      <c r="E181" s="60">
        <v>8</v>
      </c>
      <c r="F181" s="42" t="s">
        <v>560</v>
      </c>
      <c r="G181" s="60" t="s">
        <v>225</v>
      </c>
      <c r="H181" s="60" t="s">
        <v>70</v>
      </c>
    </row>
    <row r="182" spans="1:8" ht="15" customHeight="1" x14ac:dyDescent="0.4">
      <c r="A182" s="60" t="s">
        <v>561</v>
      </c>
      <c r="B182" s="61">
        <v>44761</v>
      </c>
      <c r="C182" s="60" t="s">
        <v>250</v>
      </c>
      <c r="D182" s="60" t="s">
        <v>222</v>
      </c>
      <c r="E182" s="60">
        <v>7</v>
      </c>
      <c r="F182" s="42" t="s">
        <v>562</v>
      </c>
      <c r="G182" s="60" t="s">
        <v>225</v>
      </c>
      <c r="H182" s="60" t="s">
        <v>75</v>
      </c>
    </row>
    <row r="183" spans="1:8" ht="27.75" customHeight="1" x14ac:dyDescent="0.4">
      <c r="A183" s="60" t="s">
        <v>563</v>
      </c>
      <c r="B183" s="61">
        <v>44761</v>
      </c>
      <c r="C183" s="60" t="s">
        <v>250</v>
      </c>
      <c r="D183" s="60" t="s">
        <v>222</v>
      </c>
      <c r="E183" s="60">
        <v>7</v>
      </c>
      <c r="F183" s="42" t="s">
        <v>564</v>
      </c>
      <c r="G183" s="60" t="s">
        <v>225</v>
      </c>
      <c r="H183" s="60" t="s">
        <v>75</v>
      </c>
    </row>
    <row r="184" spans="1:8" ht="27.75" customHeight="1" x14ac:dyDescent="0.4">
      <c r="A184" s="60" t="s">
        <v>565</v>
      </c>
      <c r="B184" s="61">
        <v>44761</v>
      </c>
      <c r="C184" s="60" t="s">
        <v>281</v>
      </c>
      <c r="D184" s="60" t="s">
        <v>222</v>
      </c>
      <c r="E184" s="60">
        <v>7</v>
      </c>
      <c r="F184" s="42" t="s">
        <v>566</v>
      </c>
      <c r="G184" s="60" t="s">
        <v>225</v>
      </c>
      <c r="H184" s="60" t="s">
        <v>81</v>
      </c>
    </row>
    <row r="185" spans="1:8" ht="27.75" customHeight="1" x14ac:dyDescent="0.4">
      <c r="A185" s="60" t="s">
        <v>567</v>
      </c>
      <c r="B185" s="61">
        <v>44762</v>
      </c>
      <c r="C185" s="60" t="s">
        <v>250</v>
      </c>
      <c r="D185" s="60" t="s">
        <v>222</v>
      </c>
      <c r="E185" s="60">
        <v>8</v>
      </c>
      <c r="F185" s="42" t="s">
        <v>568</v>
      </c>
      <c r="G185" s="60" t="s">
        <v>225</v>
      </c>
      <c r="H185" s="60" t="s">
        <v>81</v>
      </c>
    </row>
    <row r="186" spans="1:8" ht="108.75" customHeight="1" x14ac:dyDescent="0.4">
      <c r="A186" s="60" t="s">
        <v>569</v>
      </c>
      <c r="B186" s="61">
        <v>44762</v>
      </c>
      <c r="C186" s="60" t="s">
        <v>250</v>
      </c>
      <c r="D186" s="60" t="s">
        <v>222</v>
      </c>
      <c r="E186" s="60">
        <v>8</v>
      </c>
      <c r="F186" s="42" t="s">
        <v>570</v>
      </c>
      <c r="G186" s="60" t="s">
        <v>225</v>
      </c>
      <c r="H186" s="60" t="s">
        <v>70</v>
      </c>
    </row>
    <row r="187" spans="1:8" ht="27.75" customHeight="1" x14ac:dyDescent="0.4">
      <c r="A187" s="60" t="s">
        <v>571</v>
      </c>
      <c r="B187" s="61">
        <v>44762</v>
      </c>
      <c r="C187" s="60" t="s">
        <v>250</v>
      </c>
      <c r="D187" s="60" t="s">
        <v>222</v>
      </c>
      <c r="E187" s="60">
        <v>8</v>
      </c>
      <c r="F187" s="42" t="s">
        <v>572</v>
      </c>
      <c r="G187" s="60" t="s">
        <v>225</v>
      </c>
      <c r="H187" s="60" t="s">
        <v>70</v>
      </c>
    </row>
    <row r="188" spans="1:8" ht="108.75" customHeight="1" x14ac:dyDescent="0.4">
      <c r="A188" s="60" t="s">
        <v>573</v>
      </c>
      <c r="B188" s="61">
        <v>44761</v>
      </c>
      <c r="C188" s="60" t="s">
        <v>250</v>
      </c>
      <c r="D188" s="60" t="s">
        <v>222</v>
      </c>
      <c r="E188" s="60">
        <v>7</v>
      </c>
      <c r="F188" s="42" t="s">
        <v>574</v>
      </c>
      <c r="G188" s="60" t="s">
        <v>225</v>
      </c>
      <c r="H188" s="60" t="s">
        <v>75</v>
      </c>
    </row>
    <row r="189" spans="1:8" ht="54.75" customHeight="1" x14ac:dyDescent="0.4">
      <c r="A189" s="60" t="s">
        <v>575</v>
      </c>
      <c r="B189" s="61">
        <v>44762</v>
      </c>
      <c r="C189" s="60" t="s">
        <v>250</v>
      </c>
      <c r="D189" s="60" t="s">
        <v>222</v>
      </c>
      <c r="E189" s="60">
        <v>8</v>
      </c>
      <c r="F189" s="42" t="s">
        <v>576</v>
      </c>
      <c r="G189" s="60" t="s">
        <v>225</v>
      </c>
      <c r="H189" s="60" t="s">
        <v>77</v>
      </c>
    </row>
    <row r="190" spans="1:8" ht="54.75" customHeight="1" x14ac:dyDescent="0.4">
      <c r="A190" s="60" t="s">
        <v>577</v>
      </c>
      <c r="B190" s="61">
        <v>44762</v>
      </c>
      <c r="C190" s="60" t="s">
        <v>250</v>
      </c>
      <c r="D190" s="60" t="s">
        <v>222</v>
      </c>
      <c r="E190" s="60">
        <v>8</v>
      </c>
      <c r="F190" s="42" t="s">
        <v>578</v>
      </c>
      <c r="G190" s="60" t="s">
        <v>225</v>
      </c>
      <c r="H190" s="60" t="s">
        <v>73</v>
      </c>
    </row>
    <row r="191" spans="1:8" ht="27.75" customHeight="1" x14ac:dyDescent="0.4">
      <c r="A191" s="60" t="s">
        <v>579</v>
      </c>
      <c r="B191" s="61">
        <v>44762</v>
      </c>
      <c r="C191" s="60" t="s">
        <v>250</v>
      </c>
      <c r="D191" s="60" t="s">
        <v>222</v>
      </c>
      <c r="E191" s="60">
        <v>8</v>
      </c>
      <c r="F191" s="42" t="s">
        <v>580</v>
      </c>
      <c r="G191" s="60" t="s">
        <v>225</v>
      </c>
      <c r="H191" s="60" t="s">
        <v>73</v>
      </c>
    </row>
    <row r="192" spans="1:8" ht="27.75" customHeight="1" x14ac:dyDescent="0.4">
      <c r="A192" s="60" t="s">
        <v>581</v>
      </c>
      <c r="B192" s="61">
        <v>44762</v>
      </c>
      <c r="C192" s="60" t="s">
        <v>250</v>
      </c>
      <c r="D192" s="60" t="s">
        <v>222</v>
      </c>
      <c r="E192" s="60">
        <v>8</v>
      </c>
      <c r="F192" s="42" t="s">
        <v>582</v>
      </c>
      <c r="G192" s="60" t="s">
        <v>225</v>
      </c>
      <c r="H192" s="60" t="s">
        <v>79</v>
      </c>
    </row>
    <row r="193" spans="1:8" ht="27.75" customHeight="1" x14ac:dyDescent="0.4">
      <c r="A193" s="60" t="s">
        <v>583</v>
      </c>
      <c r="B193" s="61">
        <v>44762</v>
      </c>
      <c r="C193" s="60" t="s">
        <v>281</v>
      </c>
      <c r="D193" s="60" t="s">
        <v>222</v>
      </c>
      <c r="E193" s="60">
        <v>8</v>
      </c>
      <c r="F193" s="42" t="s">
        <v>584</v>
      </c>
      <c r="G193" s="60" t="s">
        <v>225</v>
      </c>
      <c r="H193" s="60" t="s">
        <v>73</v>
      </c>
    </row>
    <row r="194" spans="1:8" ht="81.75" customHeight="1" x14ac:dyDescent="0.4">
      <c r="A194" s="60" t="s">
        <v>585</v>
      </c>
      <c r="B194" s="61">
        <v>44763</v>
      </c>
      <c r="C194" s="60" t="s">
        <v>281</v>
      </c>
      <c r="D194" s="60" t="s">
        <v>222</v>
      </c>
      <c r="E194" s="60">
        <v>9</v>
      </c>
      <c r="F194" s="42" t="s">
        <v>586</v>
      </c>
      <c r="G194" s="60" t="s">
        <v>225</v>
      </c>
      <c r="H194" s="60" t="s">
        <v>85</v>
      </c>
    </row>
    <row r="195" spans="1:8" ht="27.75" customHeight="1" x14ac:dyDescent="0.4">
      <c r="A195" s="60" t="s">
        <v>587</v>
      </c>
      <c r="B195" s="61">
        <v>44763</v>
      </c>
      <c r="C195" s="60" t="s">
        <v>250</v>
      </c>
      <c r="D195" s="60" t="s">
        <v>222</v>
      </c>
      <c r="E195" s="60">
        <v>9</v>
      </c>
      <c r="F195" s="42" t="s">
        <v>588</v>
      </c>
      <c r="G195" s="60" t="s">
        <v>225</v>
      </c>
      <c r="H195" s="60" t="s">
        <v>89</v>
      </c>
    </row>
    <row r="196" spans="1:8" ht="15" customHeight="1" x14ac:dyDescent="0.4">
      <c r="A196" s="60" t="s">
        <v>589</v>
      </c>
      <c r="B196" s="61">
        <v>44763</v>
      </c>
      <c r="C196" s="60" t="s">
        <v>281</v>
      </c>
      <c r="D196" s="60" t="s">
        <v>222</v>
      </c>
      <c r="E196" s="60">
        <v>9</v>
      </c>
      <c r="F196" s="42" t="s">
        <v>590</v>
      </c>
      <c r="G196" s="60" t="s">
        <v>225</v>
      </c>
      <c r="H196" s="60" t="s">
        <v>79</v>
      </c>
    </row>
    <row r="197" spans="1:8" ht="41.25" customHeight="1" x14ac:dyDescent="0.4">
      <c r="A197" s="60" t="s">
        <v>591</v>
      </c>
      <c r="B197" s="61">
        <v>44763</v>
      </c>
      <c r="C197" s="60" t="s">
        <v>250</v>
      </c>
      <c r="D197" s="60" t="s">
        <v>222</v>
      </c>
      <c r="E197" s="60">
        <v>9</v>
      </c>
      <c r="F197" s="42" t="s">
        <v>592</v>
      </c>
      <c r="G197" s="60" t="s">
        <v>225</v>
      </c>
      <c r="H197" s="60" t="s">
        <v>75</v>
      </c>
    </row>
    <row r="198" spans="1:8" ht="54.75" customHeight="1" x14ac:dyDescent="0.4">
      <c r="A198" s="60" t="s">
        <v>593</v>
      </c>
      <c r="B198" s="61">
        <v>44763</v>
      </c>
      <c r="C198" s="60" t="s">
        <v>250</v>
      </c>
      <c r="D198" s="60" t="s">
        <v>222</v>
      </c>
      <c r="E198" s="60">
        <v>9</v>
      </c>
      <c r="F198" s="42" t="s">
        <v>594</v>
      </c>
      <c r="G198" s="60" t="s">
        <v>225</v>
      </c>
      <c r="H198" s="60" t="s">
        <v>73</v>
      </c>
    </row>
    <row r="199" spans="1:8" ht="54.75" customHeight="1" x14ac:dyDescent="0.4">
      <c r="A199" s="60" t="s">
        <v>595</v>
      </c>
      <c r="B199" s="61">
        <v>44763</v>
      </c>
      <c r="C199" s="60" t="s">
        <v>250</v>
      </c>
      <c r="D199" s="60" t="s">
        <v>222</v>
      </c>
      <c r="E199" s="60">
        <v>9</v>
      </c>
      <c r="F199" s="42" t="s">
        <v>596</v>
      </c>
      <c r="G199" s="60" t="s">
        <v>225</v>
      </c>
      <c r="H199" s="60" t="s">
        <v>73</v>
      </c>
    </row>
    <row r="200" spans="1:8" ht="15" customHeight="1" x14ac:dyDescent="0.4">
      <c r="A200" s="60" t="s">
        <v>597</v>
      </c>
      <c r="B200" s="61">
        <v>44763</v>
      </c>
      <c r="C200" s="60" t="s">
        <v>250</v>
      </c>
      <c r="D200" s="60" t="s">
        <v>222</v>
      </c>
      <c r="E200" s="60">
        <v>9</v>
      </c>
      <c r="F200" s="42" t="s">
        <v>598</v>
      </c>
      <c r="G200" s="60" t="s">
        <v>225</v>
      </c>
      <c r="H200" s="60" t="s">
        <v>79</v>
      </c>
    </row>
    <row r="201" spans="1:8" ht="54.75" customHeight="1" x14ac:dyDescent="0.4">
      <c r="A201" s="60" t="s">
        <v>599</v>
      </c>
      <c r="B201" s="61">
        <v>44763</v>
      </c>
      <c r="C201" s="60" t="s">
        <v>250</v>
      </c>
      <c r="D201" s="60" t="s">
        <v>222</v>
      </c>
      <c r="E201" s="60">
        <v>9</v>
      </c>
      <c r="F201" s="42" t="s">
        <v>600</v>
      </c>
      <c r="G201" s="60" t="s">
        <v>225</v>
      </c>
      <c r="H201" s="60" t="s">
        <v>73</v>
      </c>
    </row>
    <row r="202" spans="1:8" ht="27.75" customHeight="1" x14ac:dyDescent="0.4">
      <c r="A202" s="60" t="s">
        <v>601</v>
      </c>
      <c r="B202" s="61">
        <v>44762</v>
      </c>
      <c r="C202" s="60" t="s">
        <v>250</v>
      </c>
      <c r="D202" s="60" t="s">
        <v>222</v>
      </c>
      <c r="E202" s="60">
        <v>8</v>
      </c>
      <c r="F202" s="42" t="s">
        <v>602</v>
      </c>
      <c r="G202" s="60" t="s">
        <v>225</v>
      </c>
      <c r="H202" s="60" t="s">
        <v>81</v>
      </c>
    </row>
    <row r="203" spans="1:8" ht="41.25" customHeight="1" x14ac:dyDescent="0.4">
      <c r="A203" s="60" t="s">
        <v>603</v>
      </c>
      <c r="B203" s="61">
        <v>44763</v>
      </c>
      <c r="C203" s="60" t="s">
        <v>250</v>
      </c>
      <c r="D203" s="60" t="s">
        <v>222</v>
      </c>
      <c r="E203" s="60">
        <v>9</v>
      </c>
      <c r="F203" s="42" t="s">
        <v>604</v>
      </c>
      <c r="G203" s="60" t="s">
        <v>225</v>
      </c>
      <c r="H203" s="60" t="s">
        <v>70</v>
      </c>
    </row>
    <row r="204" spans="1:8" ht="27.75" customHeight="1" x14ac:dyDescent="0.4">
      <c r="A204" s="60" t="s">
        <v>605</v>
      </c>
      <c r="B204" s="61">
        <v>44763</v>
      </c>
      <c r="C204" s="60" t="s">
        <v>250</v>
      </c>
      <c r="D204" s="60" t="s">
        <v>222</v>
      </c>
      <c r="E204" s="60">
        <v>9</v>
      </c>
      <c r="F204" s="42" t="s">
        <v>606</v>
      </c>
      <c r="G204" s="60" t="s">
        <v>225</v>
      </c>
      <c r="H204" s="60" t="s">
        <v>75</v>
      </c>
    </row>
    <row r="205" spans="1:8" ht="41.25" customHeight="1" x14ac:dyDescent="0.4">
      <c r="A205" s="60" t="s">
        <v>607</v>
      </c>
      <c r="B205" s="61">
        <v>44763</v>
      </c>
      <c r="C205" s="60" t="s">
        <v>250</v>
      </c>
      <c r="D205" s="60" t="s">
        <v>222</v>
      </c>
      <c r="E205" s="60">
        <v>9</v>
      </c>
      <c r="F205" s="42" t="s">
        <v>608</v>
      </c>
      <c r="G205" s="60" t="s">
        <v>225</v>
      </c>
      <c r="H205" s="60" t="s">
        <v>73</v>
      </c>
    </row>
    <row r="206" spans="1:8" ht="27.75" customHeight="1" x14ac:dyDescent="0.4">
      <c r="A206" s="60" t="s">
        <v>609</v>
      </c>
      <c r="B206" s="61">
        <v>44763</v>
      </c>
      <c r="C206" s="60" t="s">
        <v>250</v>
      </c>
      <c r="D206" s="60" t="s">
        <v>222</v>
      </c>
      <c r="E206" s="60">
        <v>9</v>
      </c>
      <c r="F206" s="42" t="s">
        <v>610</v>
      </c>
      <c r="G206" s="60" t="s">
        <v>225</v>
      </c>
      <c r="H206" s="60" t="s">
        <v>73</v>
      </c>
    </row>
    <row r="207" spans="1:8" ht="27.75" customHeight="1" x14ac:dyDescent="0.4">
      <c r="A207" s="60" t="s">
        <v>611</v>
      </c>
      <c r="B207" s="61">
        <v>44763</v>
      </c>
      <c r="C207" s="60" t="s">
        <v>250</v>
      </c>
      <c r="D207" s="60" t="s">
        <v>222</v>
      </c>
      <c r="E207" s="60">
        <v>9</v>
      </c>
      <c r="F207" s="42" t="s">
        <v>612</v>
      </c>
      <c r="G207" s="60" t="s">
        <v>225</v>
      </c>
      <c r="H207" s="60" t="s">
        <v>89</v>
      </c>
    </row>
    <row r="208" spans="1:8" ht="41.25" customHeight="1" x14ac:dyDescent="0.4">
      <c r="A208" s="60" t="s">
        <v>613</v>
      </c>
      <c r="B208" s="61">
        <v>44763</v>
      </c>
      <c r="C208" s="60" t="s">
        <v>250</v>
      </c>
      <c r="D208" s="60" t="s">
        <v>222</v>
      </c>
      <c r="E208" s="60">
        <v>9</v>
      </c>
      <c r="F208" s="42" t="s">
        <v>614</v>
      </c>
      <c r="G208" s="60" t="s">
        <v>225</v>
      </c>
      <c r="H208" s="60" t="s">
        <v>81</v>
      </c>
    </row>
    <row r="209" spans="1:8" ht="41.25" customHeight="1" x14ac:dyDescent="0.4">
      <c r="A209" s="60" t="s">
        <v>615</v>
      </c>
      <c r="B209" s="61">
        <v>44763</v>
      </c>
      <c r="C209" s="60" t="s">
        <v>281</v>
      </c>
      <c r="D209" s="60" t="s">
        <v>222</v>
      </c>
      <c r="E209" s="60">
        <v>9</v>
      </c>
      <c r="F209" s="42" t="s">
        <v>616</v>
      </c>
      <c r="G209" s="60" t="s">
        <v>225</v>
      </c>
      <c r="H209" s="60" t="s">
        <v>70</v>
      </c>
    </row>
    <row r="210" spans="1:8" ht="27.75" customHeight="1" x14ac:dyDescent="0.4">
      <c r="A210" s="60" t="s">
        <v>617</v>
      </c>
      <c r="B210" s="61">
        <v>44763</v>
      </c>
      <c r="C210" s="60" t="s">
        <v>250</v>
      </c>
      <c r="D210" s="60" t="s">
        <v>222</v>
      </c>
      <c r="E210" s="60">
        <v>9</v>
      </c>
      <c r="F210" s="42" t="s">
        <v>618</v>
      </c>
      <c r="G210" s="60" t="s">
        <v>225</v>
      </c>
      <c r="H210" s="60" t="s">
        <v>79</v>
      </c>
    </row>
    <row r="211" spans="1:8" ht="41.25" customHeight="1" x14ac:dyDescent="0.4">
      <c r="A211" s="60" t="s">
        <v>619</v>
      </c>
      <c r="B211" s="61">
        <v>44763</v>
      </c>
      <c r="C211" s="60" t="s">
        <v>250</v>
      </c>
      <c r="D211" s="60" t="s">
        <v>222</v>
      </c>
      <c r="E211" s="60">
        <v>9</v>
      </c>
      <c r="F211" s="42" t="s">
        <v>620</v>
      </c>
      <c r="G211" s="60" t="s">
        <v>225</v>
      </c>
      <c r="H211" s="60" t="s">
        <v>89</v>
      </c>
    </row>
    <row r="212" spans="1:8" ht="15" customHeight="1" x14ac:dyDescent="0.4">
      <c r="A212" s="60" t="s">
        <v>621</v>
      </c>
      <c r="B212" s="61">
        <v>44763</v>
      </c>
      <c r="C212" s="60" t="s">
        <v>250</v>
      </c>
      <c r="D212" s="60" t="s">
        <v>222</v>
      </c>
      <c r="E212" s="60">
        <v>9</v>
      </c>
      <c r="F212" s="42" t="s">
        <v>622</v>
      </c>
      <c r="G212" s="60" t="s">
        <v>225</v>
      </c>
      <c r="H212" s="60" t="s">
        <v>81</v>
      </c>
    </row>
    <row r="213" spans="1:8" ht="41.25" customHeight="1" x14ac:dyDescent="0.4">
      <c r="A213" s="60" t="s">
        <v>623</v>
      </c>
      <c r="B213" s="61">
        <v>44763</v>
      </c>
      <c r="C213" s="60" t="s">
        <v>250</v>
      </c>
      <c r="D213" s="60" t="s">
        <v>222</v>
      </c>
      <c r="E213" s="60">
        <v>9</v>
      </c>
      <c r="F213" s="42" t="s">
        <v>624</v>
      </c>
      <c r="G213" s="60" t="s">
        <v>225</v>
      </c>
      <c r="H213" s="60" t="s">
        <v>73</v>
      </c>
    </row>
    <row r="214" spans="1:8" ht="41.25" customHeight="1" x14ac:dyDescent="0.4">
      <c r="A214" s="60" t="s">
        <v>625</v>
      </c>
      <c r="B214" s="61">
        <v>44763</v>
      </c>
      <c r="C214" s="60" t="s">
        <v>250</v>
      </c>
      <c r="D214" s="60" t="s">
        <v>222</v>
      </c>
      <c r="E214" s="60">
        <v>9</v>
      </c>
      <c r="F214" s="42" t="s">
        <v>626</v>
      </c>
      <c r="G214" s="60" t="s">
        <v>225</v>
      </c>
      <c r="H214" s="60" t="s">
        <v>70</v>
      </c>
    </row>
    <row r="215" spans="1:8" ht="68.25" customHeight="1" x14ac:dyDescent="0.4">
      <c r="A215" s="60" t="s">
        <v>627</v>
      </c>
      <c r="B215" s="61">
        <v>44763</v>
      </c>
      <c r="C215" s="60" t="s">
        <v>250</v>
      </c>
      <c r="D215" s="60" t="s">
        <v>222</v>
      </c>
      <c r="E215" s="60">
        <v>9</v>
      </c>
      <c r="F215" s="42" t="s">
        <v>628</v>
      </c>
      <c r="G215" s="60" t="s">
        <v>225</v>
      </c>
      <c r="H215" s="60" t="s">
        <v>70</v>
      </c>
    </row>
    <row r="216" spans="1:8" ht="27.75" customHeight="1" x14ac:dyDescent="0.4">
      <c r="A216" s="60" t="s">
        <v>629</v>
      </c>
      <c r="B216" s="61">
        <v>44763</v>
      </c>
      <c r="C216" s="60" t="s">
        <v>281</v>
      </c>
      <c r="D216" s="60" t="s">
        <v>222</v>
      </c>
      <c r="E216" s="60">
        <v>9</v>
      </c>
      <c r="F216" s="42" t="s">
        <v>630</v>
      </c>
      <c r="G216" s="60" t="s">
        <v>225</v>
      </c>
      <c r="H216" s="60" t="s">
        <v>89</v>
      </c>
    </row>
    <row r="217" spans="1:8" ht="41.25" customHeight="1" x14ac:dyDescent="0.4">
      <c r="A217" s="60" t="s">
        <v>631</v>
      </c>
      <c r="B217" s="61">
        <v>44763</v>
      </c>
      <c r="C217" s="60" t="s">
        <v>250</v>
      </c>
      <c r="D217" s="60" t="s">
        <v>222</v>
      </c>
      <c r="E217" s="60">
        <v>9</v>
      </c>
      <c r="F217" s="42" t="s">
        <v>632</v>
      </c>
      <c r="G217" s="60" t="s">
        <v>225</v>
      </c>
      <c r="H217" s="60" t="s">
        <v>87</v>
      </c>
    </row>
    <row r="218" spans="1:8" ht="27.75" customHeight="1" x14ac:dyDescent="0.4">
      <c r="A218" s="60" t="s">
        <v>633</v>
      </c>
      <c r="B218" s="61">
        <v>44763</v>
      </c>
      <c r="C218" s="60" t="s">
        <v>281</v>
      </c>
      <c r="D218" s="60" t="s">
        <v>222</v>
      </c>
      <c r="E218" s="60">
        <v>9</v>
      </c>
      <c r="F218" s="42" t="s">
        <v>634</v>
      </c>
      <c r="G218" s="60" t="s">
        <v>225</v>
      </c>
      <c r="H218" s="60" t="s">
        <v>89</v>
      </c>
    </row>
    <row r="219" spans="1:8" ht="41.25" customHeight="1" x14ac:dyDescent="0.4">
      <c r="A219" s="60" t="s">
        <v>635</v>
      </c>
      <c r="B219" s="61">
        <v>44764</v>
      </c>
      <c r="C219" s="60" t="s">
        <v>250</v>
      </c>
      <c r="D219" s="60" t="s">
        <v>222</v>
      </c>
      <c r="E219" s="60">
        <v>10</v>
      </c>
      <c r="F219" s="42" t="s">
        <v>636</v>
      </c>
      <c r="G219" s="60" t="s">
        <v>225</v>
      </c>
      <c r="H219" s="60" t="s">
        <v>70</v>
      </c>
    </row>
    <row r="220" spans="1:8" ht="27.75" customHeight="1" x14ac:dyDescent="0.4">
      <c r="A220" s="60" t="s">
        <v>637</v>
      </c>
      <c r="B220" s="61">
        <v>44764</v>
      </c>
      <c r="C220" s="60" t="s">
        <v>281</v>
      </c>
      <c r="D220" s="60" t="s">
        <v>222</v>
      </c>
      <c r="E220" s="60">
        <v>10</v>
      </c>
      <c r="F220" s="42" t="s">
        <v>638</v>
      </c>
      <c r="G220" s="60" t="s">
        <v>225</v>
      </c>
      <c r="H220" s="60" t="s">
        <v>89</v>
      </c>
    </row>
    <row r="221" spans="1:8" ht="27.75" customHeight="1" x14ac:dyDescent="0.4">
      <c r="A221" s="60" t="s">
        <v>639</v>
      </c>
      <c r="B221" s="61">
        <v>44764</v>
      </c>
      <c r="C221" s="60" t="s">
        <v>250</v>
      </c>
      <c r="D221" s="60" t="s">
        <v>222</v>
      </c>
      <c r="E221" s="60">
        <v>10</v>
      </c>
      <c r="F221" s="42" t="s">
        <v>640</v>
      </c>
      <c r="G221" s="60" t="s">
        <v>225</v>
      </c>
      <c r="H221" s="60" t="s">
        <v>89</v>
      </c>
    </row>
    <row r="222" spans="1:8" ht="15" customHeight="1" x14ac:dyDescent="0.4">
      <c r="A222" s="60" t="s">
        <v>641</v>
      </c>
      <c r="B222" s="61">
        <v>44764</v>
      </c>
      <c r="C222" s="60" t="s">
        <v>250</v>
      </c>
      <c r="D222" s="60" t="s">
        <v>222</v>
      </c>
      <c r="E222" s="60">
        <v>10</v>
      </c>
      <c r="F222" s="42" t="s">
        <v>642</v>
      </c>
      <c r="G222" s="60" t="s">
        <v>225</v>
      </c>
      <c r="H222" s="60" t="s">
        <v>89</v>
      </c>
    </row>
    <row r="223" spans="1:8" ht="81.75" customHeight="1" x14ac:dyDescent="0.4">
      <c r="A223" s="60" t="s">
        <v>643</v>
      </c>
      <c r="B223" s="61">
        <v>44764</v>
      </c>
      <c r="C223" s="60" t="s">
        <v>281</v>
      </c>
      <c r="D223" s="60" t="s">
        <v>222</v>
      </c>
      <c r="E223" s="60">
        <v>10</v>
      </c>
      <c r="F223" s="42" t="s">
        <v>644</v>
      </c>
      <c r="G223" s="60" t="s">
        <v>225</v>
      </c>
      <c r="H223" s="60" t="s">
        <v>70</v>
      </c>
    </row>
    <row r="224" spans="1:8" ht="27.75" customHeight="1" x14ac:dyDescent="0.4">
      <c r="A224" s="60" t="s">
        <v>645</v>
      </c>
      <c r="B224" s="61">
        <v>44764</v>
      </c>
      <c r="C224" s="60" t="s">
        <v>250</v>
      </c>
      <c r="D224" s="60" t="s">
        <v>222</v>
      </c>
      <c r="E224" s="60">
        <v>10</v>
      </c>
      <c r="F224" s="42" t="s">
        <v>646</v>
      </c>
      <c r="G224" s="60" t="s">
        <v>225</v>
      </c>
      <c r="H224" s="60" t="s">
        <v>83</v>
      </c>
    </row>
    <row r="225" spans="1:8" ht="68.25" customHeight="1" x14ac:dyDescent="0.4">
      <c r="A225" s="60" t="s">
        <v>647</v>
      </c>
      <c r="B225" s="61">
        <v>44764</v>
      </c>
      <c r="C225" s="60" t="s">
        <v>250</v>
      </c>
      <c r="D225" s="60" t="s">
        <v>222</v>
      </c>
      <c r="E225" s="60">
        <v>10</v>
      </c>
      <c r="F225" s="42" t="s">
        <v>648</v>
      </c>
      <c r="G225" s="60" t="s">
        <v>225</v>
      </c>
      <c r="H225" s="60" t="s">
        <v>77</v>
      </c>
    </row>
    <row r="226" spans="1:8" ht="27.75" customHeight="1" x14ac:dyDescent="0.4">
      <c r="A226" s="60" t="s">
        <v>649</v>
      </c>
      <c r="B226" s="61">
        <v>44764</v>
      </c>
      <c r="C226" s="60" t="s">
        <v>250</v>
      </c>
      <c r="D226" s="60" t="s">
        <v>222</v>
      </c>
      <c r="E226" s="60">
        <v>10</v>
      </c>
      <c r="F226" s="42" t="s">
        <v>650</v>
      </c>
      <c r="G226" s="60" t="s">
        <v>225</v>
      </c>
      <c r="H226" s="60" t="s">
        <v>73</v>
      </c>
    </row>
    <row r="227" spans="1:8" ht="15" customHeight="1" x14ac:dyDescent="0.4">
      <c r="A227" s="60" t="s">
        <v>651</v>
      </c>
      <c r="B227" s="61">
        <v>44764</v>
      </c>
      <c r="C227" s="60" t="s">
        <v>250</v>
      </c>
      <c r="D227" s="60" t="s">
        <v>222</v>
      </c>
      <c r="E227" s="60">
        <v>10</v>
      </c>
      <c r="F227" s="42" t="s">
        <v>652</v>
      </c>
      <c r="G227" s="60" t="s">
        <v>225</v>
      </c>
      <c r="H227" s="60" t="s">
        <v>70</v>
      </c>
    </row>
    <row r="228" spans="1:8" ht="68.25" customHeight="1" x14ac:dyDescent="0.4">
      <c r="A228" s="60" t="s">
        <v>653</v>
      </c>
      <c r="B228" s="61">
        <v>44764</v>
      </c>
      <c r="C228" s="60" t="s">
        <v>250</v>
      </c>
      <c r="D228" s="60" t="s">
        <v>222</v>
      </c>
      <c r="E228" s="60">
        <v>10</v>
      </c>
      <c r="F228" s="42" t="s">
        <v>654</v>
      </c>
      <c r="G228" s="60" t="s">
        <v>225</v>
      </c>
      <c r="H228" s="60" t="s">
        <v>77</v>
      </c>
    </row>
    <row r="229" spans="1:8" ht="81.75" customHeight="1" x14ac:dyDescent="0.4">
      <c r="A229" s="60" t="s">
        <v>655</v>
      </c>
      <c r="B229" s="61">
        <v>44764</v>
      </c>
      <c r="C229" s="60" t="s">
        <v>250</v>
      </c>
      <c r="D229" s="60" t="s">
        <v>222</v>
      </c>
      <c r="E229" s="60">
        <v>10</v>
      </c>
      <c r="F229" s="42" t="s">
        <v>656</v>
      </c>
      <c r="G229" s="60" t="s">
        <v>225</v>
      </c>
      <c r="H229" s="60" t="s">
        <v>70</v>
      </c>
    </row>
    <row r="230" spans="1:8" ht="41.25" customHeight="1" x14ac:dyDescent="0.4">
      <c r="A230" s="60" t="s">
        <v>657</v>
      </c>
      <c r="B230" s="61">
        <v>44764</v>
      </c>
      <c r="C230" s="60" t="s">
        <v>250</v>
      </c>
      <c r="D230" s="60" t="s">
        <v>222</v>
      </c>
      <c r="E230" s="60">
        <v>10</v>
      </c>
      <c r="F230" s="42" t="s">
        <v>658</v>
      </c>
      <c r="G230" s="60" t="s">
        <v>225</v>
      </c>
      <c r="H230" s="60" t="s">
        <v>75</v>
      </c>
    </row>
    <row r="231" spans="1:8" ht="15" customHeight="1" x14ac:dyDescent="0.4">
      <c r="A231" s="60" t="s">
        <v>659</v>
      </c>
      <c r="B231" s="61">
        <v>44765</v>
      </c>
      <c r="C231" s="60" t="s">
        <v>250</v>
      </c>
      <c r="D231" s="60" t="s">
        <v>222</v>
      </c>
      <c r="E231" s="60">
        <v>11</v>
      </c>
      <c r="F231" s="42" t="s">
        <v>660</v>
      </c>
      <c r="G231" s="60" t="s">
        <v>225</v>
      </c>
      <c r="H231" s="60" t="s">
        <v>75</v>
      </c>
    </row>
    <row r="232" spans="1:8" ht="15" customHeight="1" x14ac:dyDescent="0.4">
      <c r="A232" s="60" t="s">
        <v>661</v>
      </c>
      <c r="B232" s="61">
        <v>44765</v>
      </c>
      <c r="C232" s="60" t="s">
        <v>429</v>
      </c>
      <c r="D232" s="60" t="s">
        <v>222</v>
      </c>
      <c r="E232" s="60">
        <v>11</v>
      </c>
      <c r="F232" s="42" t="s">
        <v>662</v>
      </c>
      <c r="G232" s="60" t="s">
        <v>225</v>
      </c>
      <c r="H232" s="60" t="s">
        <v>70</v>
      </c>
    </row>
    <row r="233" spans="1:8" ht="15" customHeight="1" x14ac:dyDescent="0.4">
      <c r="A233" s="60" t="s">
        <v>663</v>
      </c>
      <c r="B233" s="61">
        <v>44765</v>
      </c>
      <c r="C233" s="60" t="s">
        <v>250</v>
      </c>
      <c r="D233" s="60" t="s">
        <v>222</v>
      </c>
      <c r="E233" s="60">
        <v>11</v>
      </c>
      <c r="F233" s="42" t="s">
        <v>664</v>
      </c>
      <c r="G233" s="60" t="s">
        <v>225</v>
      </c>
      <c r="H233" s="60" t="s">
        <v>73</v>
      </c>
    </row>
    <row r="234" spans="1:8" ht="27.75" customHeight="1" x14ac:dyDescent="0.4">
      <c r="A234" s="60" t="s">
        <v>665</v>
      </c>
      <c r="B234" s="61">
        <v>44765</v>
      </c>
      <c r="C234" s="60" t="s">
        <v>250</v>
      </c>
      <c r="D234" s="60" t="s">
        <v>222</v>
      </c>
      <c r="E234" s="60">
        <v>11</v>
      </c>
      <c r="F234" s="42" t="s">
        <v>666</v>
      </c>
      <c r="G234" s="60" t="s">
        <v>225</v>
      </c>
      <c r="H234" s="60" t="s">
        <v>77</v>
      </c>
    </row>
    <row r="235" spans="1:8" ht="41.25" customHeight="1" x14ac:dyDescent="0.4">
      <c r="A235" s="60" t="s">
        <v>667</v>
      </c>
      <c r="B235" s="61">
        <v>44765</v>
      </c>
      <c r="C235" s="60" t="s">
        <v>250</v>
      </c>
      <c r="D235" s="60" t="s">
        <v>222</v>
      </c>
      <c r="E235" s="60">
        <v>11</v>
      </c>
      <c r="F235" s="42" t="s">
        <v>668</v>
      </c>
      <c r="G235" s="60" t="s">
        <v>225</v>
      </c>
      <c r="H235" s="60" t="s">
        <v>89</v>
      </c>
    </row>
    <row r="236" spans="1:8" ht="27.75" customHeight="1" x14ac:dyDescent="0.4">
      <c r="A236" s="60" t="s">
        <v>669</v>
      </c>
      <c r="B236" s="61">
        <v>44765</v>
      </c>
      <c r="C236" s="60" t="s">
        <v>429</v>
      </c>
      <c r="D236" s="60" t="s">
        <v>222</v>
      </c>
      <c r="E236" s="60">
        <v>11</v>
      </c>
      <c r="F236" s="42" t="s">
        <v>670</v>
      </c>
      <c r="G236" s="60" t="s">
        <v>225</v>
      </c>
      <c r="H236" s="60" t="s">
        <v>79</v>
      </c>
    </row>
    <row r="237" spans="1:8" ht="108.75" customHeight="1" x14ac:dyDescent="0.4">
      <c r="A237" s="60" t="s">
        <v>671</v>
      </c>
      <c r="B237" s="61">
        <v>44765</v>
      </c>
      <c r="C237" s="60" t="s">
        <v>281</v>
      </c>
      <c r="D237" s="60" t="s">
        <v>222</v>
      </c>
      <c r="E237" s="60">
        <v>11</v>
      </c>
      <c r="F237" s="42" t="s">
        <v>672</v>
      </c>
      <c r="G237" s="60" t="s">
        <v>225</v>
      </c>
      <c r="H237" s="60" t="s">
        <v>79</v>
      </c>
    </row>
    <row r="238" spans="1:8" ht="15" customHeight="1" x14ac:dyDescent="0.4">
      <c r="A238" s="60" t="s">
        <v>673</v>
      </c>
      <c r="B238" s="61">
        <v>44765</v>
      </c>
      <c r="C238" s="60" t="s">
        <v>281</v>
      </c>
      <c r="D238" s="60" t="s">
        <v>222</v>
      </c>
      <c r="E238" s="60">
        <v>11</v>
      </c>
      <c r="F238" s="42" t="s">
        <v>674</v>
      </c>
      <c r="G238" s="60" t="s">
        <v>225</v>
      </c>
      <c r="H238" s="60" t="s">
        <v>70</v>
      </c>
    </row>
    <row r="239" spans="1:8" ht="54.75" customHeight="1" x14ac:dyDescent="0.4">
      <c r="A239" s="60" t="s">
        <v>675</v>
      </c>
      <c r="B239" s="61">
        <v>44765</v>
      </c>
      <c r="C239" s="60" t="s">
        <v>250</v>
      </c>
      <c r="D239" s="60" t="s">
        <v>222</v>
      </c>
      <c r="E239" s="60">
        <v>11</v>
      </c>
      <c r="F239" s="42" t="s">
        <v>676</v>
      </c>
      <c r="G239" s="60" t="s">
        <v>225</v>
      </c>
      <c r="H239" s="60" t="s">
        <v>75</v>
      </c>
    </row>
    <row r="240" spans="1:8" ht="27.75" customHeight="1" x14ac:dyDescent="0.4">
      <c r="A240" s="60" t="s">
        <v>677</v>
      </c>
      <c r="B240" s="61">
        <v>44765</v>
      </c>
      <c r="C240" s="60" t="s">
        <v>250</v>
      </c>
      <c r="D240" s="60" t="s">
        <v>222</v>
      </c>
      <c r="E240" s="60">
        <v>11</v>
      </c>
      <c r="F240" s="42" t="s">
        <v>678</v>
      </c>
      <c r="G240" s="60" t="s">
        <v>225</v>
      </c>
      <c r="H240" s="60" t="s">
        <v>89</v>
      </c>
    </row>
    <row r="241" spans="1:8" ht="27.75" customHeight="1" x14ac:dyDescent="0.4">
      <c r="A241" s="60" t="s">
        <v>679</v>
      </c>
      <c r="B241" s="61">
        <v>44765</v>
      </c>
      <c r="C241" s="60" t="s">
        <v>250</v>
      </c>
      <c r="D241" s="60" t="s">
        <v>222</v>
      </c>
      <c r="E241" s="60">
        <v>11</v>
      </c>
      <c r="F241" s="42" t="s">
        <v>680</v>
      </c>
      <c r="G241" s="60" t="s">
        <v>225</v>
      </c>
      <c r="H241" s="60" t="s">
        <v>87</v>
      </c>
    </row>
    <row r="242" spans="1:8" ht="15" customHeight="1" x14ac:dyDescent="0.4">
      <c r="A242" s="60" t="s">
        <v>681</v>
      </c>
      <c r="B242" s="61">
        <v>44765</v>
      </c>
      <c r="C242" s="60" t="s">
        <v>250</v>
      </c>
      <c r="D242" s="60" t="s">
        <v>222</v>
      </c>
      <c r="E242" s="60">
        <v>11</v>
      </c>
      <c r="F242" s="42" t="s">
        <v>682</v>
      </c>
      <c r="G242" s="60" t="s">
        <v>225</v>
      </c>
      <c r="H242" s="60" t="s">
        <v>89</v>
      </c>
    </row>
    <row r="243" spans="1:8" ht="68.25" customHeight="1" x14ac:dyDescent="0.4">
      <c r="A243" s="60" t="s">
        <v>683</v>
      </c>
      <c r="B243" s="61">
        <v>44766</v>
      </c>
      <c r="C243" s="60" t="s">
        <v>250</v>
      </c>
      <c r="D243" s="60" t="s">
        <v>222</v>
      </c>
      <c r="E243" s="60">
        <v>12</v>
      </c>
      <c r="F243" s="42" t="s">
        <v>684</v>
      </c>
      <c r="G243" s="60" t="s">
        <v>225</v>
      </c>
      <c r="H243" s="60" t="s">
        <v>77</v>
      </c>
    </row>
    <row r="244" spans="1:8" ht="15" customHeight="1" x14ac:dyDescent="0.4">
      <c r="A244" s="60" t="s">
        <v>685</v>
      </c>
      <c r="B244" s="61">
        <v>44766</v>
      </c>
      <c r="C244" s="60" t="s">
        <v>686</v>
      </c>
      <c r="D244" s="60" t="s">
        <v>222</v>
      </c>
      <c r="E244" s="60">
        <v>12</v>
      </c>
      <c r="F244" s="42" t="s">
        <v>687</v>
      </c>
      <c r="G244" s="60" t="s">
        <v>225</v>
      </c>
      <c r="H244" s="60" t="s">
        <v>81</v>
      </c>
    </row>
    <row r="245" spans="1:8" ht="41.25" customHeight="1" x14ac:dyDescent="0.4">
      <c r="A245" s="60" t="s">
        <v>688</v>
      </c>
      <c r="B245" s="61">
        <v>44766</v>
      </c>
      <c r="C245" s="60" t="s">
        <v>281</v>
      </c>
      <c r="D245" s="60" t="s">
        <v>222</v>
      </c>
      <c r="E245" s="60">
        <v>12</v>
      </c>
      <c r="F245" s="42" t="s">
        <v>689</v>
      </c>
      <c r="G245" s="60" t="s">
        <v>225</v>
      </c>
      <c r="H245" s="60" t="s">
        <v>70</v>
      </c>
    </row>
    <row r="246" spans="1:8" ht="15" customHeight="1" x14ac:dyDescent="0.4">
      <c r="A246" s="60" t="s">
        <v>690</v>
      </c>
      <c r="B246" s="61">
        <v>44766</v>
      </c>
      <c r="C246" s="60" t="s">
        <v>281</v>
      </c>
      <c r="D246" s="60" t="s">
        <v>222</v>
      </c>
      <c r="E246" s="60">
        <v>12</v>
      </c>
      <c r="F246" s="42" t="s">
        <v>674</v>
      </c>
      <c r="G246" s="60" t="s">
        <v>225</v>
      </c>
      <c r="H246" s="60" t="s">
        <v>70</v>
      </c>
    </row>
    <row r="247" spans="1:8" ht="27.75" customHeight="1" x14ac:dyDescent="0.4">
      <c r="A247" s="60" t="s">
        <v>691</v>
      </c>
      <c r="B247" s="61">
        <v>44766</v>
      </c>
      <c r="C247" s="60" t="s">
        <v>692</v>
      </c>
      <c r="D247" s="60" t="s">
        <v>222</v>
      </c>
      <c r="E247" s="60">
        <v>12</v>
      </c>
      <c r="F247" s="42" t="s">
        <v>693</v>
      </c>
      <c r="G247" s="60" t="s">
        <v>225</v>
      </c>
      <c r="H247" s="60" t="s">
        <v>73</v>
      </c>
    </row>
    <row r="248" spans="1:8" ht="95.25" customHeight="1" x14ac:dyDescent="0.4">
      <c r="A248" s="60" t="s">
        <v>694</v>
      </c>
      <c r="B248" s="61">
        <v>44766</v>
      </c>
      <c r="C248" s="60" t="s">
        <v>686</v>
      </c>
      <c r="D248" s="60" t="s">
        <v>222</v>
      </c>
      <c r="E248" s="60">
        <v>12</v>
      </c>
      <c r="F248" s="42" t="s">
        <v>695</v>
      </c>
      <c r="G248" s="60" t="s">
        <v>225</v>
      </c>
      <c r="H248" s="60" t="s">
        <v>77</v>
      </c>
    </row>
    <row r="249" spans="1:8" ht="41.25" customHeight="1" x14ac:dyDescent="0.4">
      <c r="A249" s="60" t="s">
        <v>696</v>
      </c>
      <c r="B249" s="61">
        <v>44766</v>
      </c>
      <c r="C249" s="60" t="s">
        <v>692</v>
      </c>
      <c r="D249" s="60" t="s">
        <v>222</v>
      </c>
      <c r="E249" s="60">
        <v>12</v>
      </c>
      <c r="F249" s="42" t="s">
        <v>697</v>
      </c>
      <c r="G249" s="60" t="s">
        <v>225</v>
      </c>
      <c r="H249" s="60" t="s">
        <v>77</v>
      </c>
    </row>
    <row r="250" spans="1:8" ht="27.75" customHeight="1" x14ac:dyDescent="0.4">
      <c r="A250" s="60" t="s">
        <v>698</v>
      </c>
      <c r="B250" s="61">
        <v>44766</v>
      </c>
      <c r="C250" s="60" t="s">
        <v>281</v>
      </c>
      <c r="D250" s="60" t="s">
        <v>222</v>
      </c>
      <c r="E250" s="60">
        <v>12</v>
      </c>
      <c r="F250" s="42" t="s">
        <v>699</v>
      </c>
      <c r="G250" s="60" t="s">
        <v>225</v>
      </c>
      <c r="H250" s="60" t="s">
        <v>75</v>
      </c>
    </row>
    <row r="251" spans="1:8" ht="54.75" customHeight="1" x14ac:dyDescent="0.4">
      <c r="A251" s="60" t="s">
        <v>700</v>
      </c>
      <c r="B251" s="61">
        <v>44766</v>
      </c>
      <c r="C251" s="60" t="s">
        <v>692</v>
      </c>
      <c r="D251" s="60" t="s">
        <v>222</v>
      </c>
      <c r="E251" s="60">
        <v>12</v>
      </c>
      <c r="F251" s="42" t="s">
        <v>701</v>
      </c>
      <c r="G251" s="60" t="s">
        <v>225</v>
      </c>
      <c r="H251" s="60" t="s">
        <v>73</v>
      </c>
    </row>
    <row r="252" spans="1:8" ht="27.75" customHeight="1" x14ac:dyDescent="0.4">
      <c r="A252" s="60" t="s">
        <v>702</v>
      </c>
      <c r="B252" s="61">
        <v>44766</v>
      </c>
      <c r="C252" s="60" t="s">
        <v>686</v>
      </c>
      <c r="D252" s="60" t="s">
        <v>222</v>
      </c>
      <c r="E252" s="60">
        <v>12</v>
      </c>
      <c r="F252" s="42" t="s">
        <v>703</v>
      </c>
      <c r="G252" s="60" t="s">
        <v>225</v>
      </c>
      <c r="H252" s="60" t="s">
        <v>79</v>
      </c>
    </row>
    <row r="253" spans="1:8" ht="27.75" customHeight="1" x14ac:dyDescent="0.4">
      <c r="A253" s="60" t="s">
        <v>704</v>
      </c>
      <c r="B253" s="61">
        <v>44766</v>
      </c>
      <c r="C253" s="60" t="s">
        <v>692</v>
      </c>
      <c r="D253" s="60" t="s">
        <v>222</v>
      </c>
      <c r="E253" s="60">
        <v>12</v>
      </c>
      <c r="F253" s="42" t="s">
        <v>705</v>
      </c>
      <c r="G253" s="60" t="s">
        <v>225</v>
      </c>
      <c r="H253" s="60" t="s">
        <v>70</v>
      </c>
    </row>
    <row r="254" spans="1:8" ht="41.25" customHeight="1" x14ac:dyDescent="0.4">
      <c r="A254" s="60" t="s">
        <v>706</v>
      </c>
      <c r="B254" s="61">
        <v>44766</v>
      </c>
      <c r="C254" s="60" t="s">
        <v>686</v>
      </c>
      <c r="D254" s="60" t="s">
        <v>222</v>
      </c>
      <c r="E254" s="60">
        <v>12</v>
      </c>
      <c r="F254" s="42" t="s">
        <v>707</v>
      </c>
      <c r="G254" s="60" t="s">
        <v>225</v>
      </c>
      <c r="H254" s="60" t="s">
        <v>73</v>
      </c>
    </row>
    <row r="255" spans="1:8" ht="27.75" customHeight="1" x14ac:dyDescent="0.4">
      <c r="A255" s="60" t="s">
        <v>708</v>
      </c>
      <c r="B255" s="61">
        <v>44766</v>
      </c>
      <c r="C255" s="60" t="s">
        <v>692</v>
      </c>
      <c r="D255" s="60" t="s">
        <v>222</v>
      </c>
      <c r="E255" s="60">
        <v>12</v>
      </c>
      <c r="F255" s="42" t="s">
        <v>709</v>
      </c>
      <c r="G255" s="60" t="s">
        <v>225</v>
      </c>
      <c r="H255" s="60" t="s">
        <v>77</v>
      </c>
    </row>
    <row r="256" spans="1:8" ht="15" customHeight="1" x14ac:dyDescent="0.4">
      <c r="A256" s="60" t="s">
        <v>710</v>
      </c>
      <c r="B256" s="61">
        <v>44766</v>
      </c>
      <c r="C256" s="60" t="s">
        <v>281</v>
      </c>
      <c r="D256" s="60" t="s">
        <v>222</v>
      </c>
      <c r="E256" s="60">
        <v>12</v>
      </c>
      <c r="F256" s="42" t="s">
        <v>711</v>
      </c>
      <c r="G256" s="60" t="s">
        <v>225</v>
      </c>
      <c r="H256" s="60" t="s">
        <v>79</v>
      </c>
    </row>
    <row r="257" spans="1:8" ht="41.25" customHeight="1" x14ac:dyDescent="0.4">
      <c r="A257" s="60" t="s">
        <v>712</v>
      </c>
      <c r="B257" s="61">
        <v>44766</v>
      </c>
      <c r="C257" s="60" t="s">
        <v>692</v>
      </c>
      <c r="D257" s="60" t="s">
        <v>222</v>
      </c>
      <c r="E257" s="60">
        <v>12</v>
      </c>
      <c r="F257" s="42" t="s">
        <v>713</v>
      </c>
      <c r="G257" s="60" t="s">
        <v>225</v>
      </c>
      <c r="H257" s="60" t="s">
        <v>75</v>
      </c>
    </row>
    <row r="258" spans="1:8" ht="15" customHeight="1" x14ac:dyDescent="0.4">
      <c r="A258" s="60" t="s">
        <v>714</v>
      </c>
      <c r="B258" s="61">
        <v>44767</v>
      </c>
      <c r="C258" s="60" t="s">
        <v>692</v>
      </c>
      <c r="D258" s="60" t="s">
        <v>222</v>
      </c>
      <c r="E258" s="60">
        <v>13</v>
      </c>
      <c r="F258" s="42" t="s">
        <v>715</v>
      </c>
      <c r="G258" s="60" t="s">
        <v>225</v>
      </c>
      <c r="H258" s="60" t="s">
        <v>70</v>
      </c>
    </row>
    <row r="259" spans="1:8" ht="27.75" customHeight="1" x14ac:dyDescent="0.4">
      <c r="A259" s="60" t="s">
        <v>716</v>
      </c>
      <c r="B259" s="61">
        <v>44767</v>
      </c>
      <c r="C259" s="60" t="s">
        <v>281</v>
      </c>
      <c r="D259" s="60" t="s">
        <v>222</v>
      </c>
      <c r="E259" s="60">
        <v>13</v>
      </c>
      <c r="F259" s="42" t="s">
        <v>717</v>
      </c>
      <c r="G259" s="60" t="s">
        <v>225</v>
      </c>
      <c r="H259" s="60" t="s">
        <v>75</v>
      </c>
    </row>
    <row r="260" spans="1:8" ht="41.25" customHeight="1" x14ac:dyDescent="0.4">
      <c r="A260" s="60" t="s">
        <v>718</v>
      </c>
      <c r="B260" s="61">
        <v>44767</v>
      </c>
      <c r="C260" s="60" t="s">
        <v>686</v>
      </c>
      <c r="D260" s="60" t="s">
        <v>222</v>
      </c>
      <c r="E260" s="60">
        <v>13</v>
      </c>
      <c r="F260" s="42" t="s">
        <v>719</v>
      </c>
      <c r="G260" s="60" t="s">
        <v>225</v>
      </c>
      <c r="H260" s="60" t="s">
        <v>81</v>
      </c>
    </row>
    <row r="261" spans="1:8" ht="68.25" customHeight="1" x14ac:dyDescent="0.4">
      <c r="A261" s="60" t="s">
        <v>720</v>
      </c>
      <c r="B261" s="61">
        <v>44767</v>
      </c>
      <c r="C261" s="60" t="s">
        <v>692</v>
      </c>
      <c r="D261" s="60" t="s">
        <v>222</v>
      </c>
      <c r="E261" s="60">
        <v>13</v>
      </c>
      <c r="F261" s="42" t="s">
        <v>721</v>
      </c>
      <c r="G261" s="60" t="s">
        <v>225</v>
      </c>
      <c r="H261" s="60" t="s">
        <v>73</v>
      </c>
    </row>
    <row r="262" spans="1:8" ht="81.75" customHeight="1" x14ac:dyDescent="0.4">
      <c r="A262" s="60" t="s">
        <v>722</v>
      </c>
      <c r="B262" s="61">
        <v>44767</v>
      </c>
      <c r="C262" s="60" t="s">
        <v>281</v>
      </c>
      <c r="D262" s="60" t="s">
        <v>222</v>
      </c>
      <c r="E262" s="60">
        <v>13</v>
      </c>
      <c r="F262" s="42" t="s">
        <v>723</v>
      </c>
      <c r="G262" s="60" t="s">
        <v>225</v>
      </c>
      <c r="H262" s="60" t="s">
        <v>79</v>
      </c>
    </row>
    <row r="263" spans="1:8" ht="54.75" customHeight="1" x14ac:dyDescent="0.4">
      <c r="A263" s="60" t="s">
        <v>724</v>
      </c>
      <c r="B263" s="61">
        <v>44767</v>
      </c>
      <c r="C263" s="60" t="s">
        <v>692</v>
      </c>
      <c r="D263" s="60" t="s">
        <v>222</v>
      </c>
      <c r="E263" s="60">
        <v>13</v>
      </c>
      <c r="F263" s="42" t="s">
        <v>725</v>
      </c>
      <c r="G263" s="60" t="s">
        <v>225</v>
      </c>
      <c r="H263" s="60" t="s">
        <v>70</v>
      </c>
    </row>
    <row r="264" spans="1:8" ht="54.75" customHeight="1" x14ac:dyDescent="0.4">
      <c r="A264" s="60" t="s">
        <v>726</v>
      </c>
      <c r="B264" s="61">
        <v>44767</v>
      </c>
      <c r="C264" s="60" t="s">
        <v>692</v>
      </c>
      <c r="D264" s="60" t="s">
        <v>222</v>
      </c>
      <c r="E264" s="60">
        <v>13</v>
      </c>
      <c r="F264" s="42" t="s">
        <v>727</v>
      </c>
      <c r="G264" s="60" t="s">
        <v>225</v>
      </c>
      <c r="H264" s="60" t="s">
        <v>77</v>
      </c>
    </row>
    <row r="265" spans="1:8" ht="15" customHeight="1" x14ac:dyDescent="0.4">
      <c r="A265" s="60" t="s">
        <v>728</v>
      </c>
      <c r="B265" s="61">
        <v>44767</v>
      </c>
      <c r="C265" s="60" t="s">
        <v>686</v>
      </c>
      <c r="D265" s="60" t="s">
        <v>222</v>
      </c>
      <c r="E265" s="60">
        <v>13</v>
      </c>
      <c r="F265" s="42" t="s">
        <v>729</v>
      </c>
      <c r="G265" s="60" t="s">
        <v>225</v>
      </c>
      <c r="H265" s="60" t="s">
        <v>81</v>
      </c>
    </row>
    <row r="266" spans="1:8" ht="15" customHeight="1" x14ac:dyDescent="0.4">
      <c r="A266" s="60" t="s">
        <v>730</v>
      </c>
      <c r="B266" s="61">
        <v>44767</v>
      </c>
      <c r="C266" s="60" t="s">
        <v>686</v>
      </c>
      <c r="D266" s="60" t="s">
        <v>222</v>
      </c>
      <c r="E266" s="60">
        <v>13</v>
      </c>
      <c r="F266" s="42" t="s">
        <v>731</v>
      </c>
      <c r="G266" s="60" t="s">
        <v>225</v>
      </c>
      <c r="H266" s="60" t="s">
        <v>75</v>
      </c>
    </row>
    <row r="267" spans="1:8" ht="81.75" customHeight="1" x14ac:dyDescent="0.4">
      <c r="A267" s="60" t="s">
        <v>732</v>
      </c>
      <c r="B267" s="61">
        <v>44767</v>
      </c>
      <c r="C267" s="60" t="s">
        <v>692</v>
      </c>
      <c r="D267" s="60" t="s">
        <v>222</v>
      </c>
      <c r="E267" s="60">
        <v>13</v>
      </c>
      <c r="F267" s="42" t="s">
        <v>733</v>
      </c>
      <c r="G267" s="60" t="s">
        <v>225</v>
      </c>
      <c r="H267" s="60" t="s">
        <v>70</v>
      </c>
    </row>
    <row r="268" spans="1:8" ht="95.25" customHeight="1" x14ac:dyDescent="0.4">
      <c r="A268" s="60" t="s">
        <v>734</v>
      </c>
      <c r="B268" s="61">
        <v>44767</v>
      </c>
      <c r="C268" s="60" t="s">
        <v>281</v>
      </c>
      <c r="D268" s="60" t="s">
        <v>222</v>
      </c>
      <c r="E268" s="60">
        <v>13</v>
      </c>
      <c r="F268" s="42" t="s">
        <v>735</v>
      </c>
      <c r="G268" s="60" t="s">
        <v>225</v>
      </c>
      <c r="H268" s="60" t="s">
        <v>83</v>
      </c>
    </row>
    <row r="269" spans="1:8" ht="54.75" customHeight="1" x14ac:dyDescent="0.4">
      <c r="A269" s="60" t="s">
        <v>736</v>
      </c>
      <c r="B269" s="61">
        <v>44767</v>
      </c>
      <c r="C269" s="60" t="s">
        <v>686</v>
      </c>
      <c r="D269" s="60" t="s">
        <v>222</v>
      </c>
      <c r="E269" s="60">
        <v>13</v>
      </c>
      <c r="F269" s="42" t="s">
        <v>737</v>
      </c>
      <c r="G269" s="60" t="s">
        <v>225</v>
      </c>
      <c r="H269" s="60" t="s">
        <v>81</v>
      </c>
    </row>
    <row r="270" spans="1:8" ht="27.75" customHeight="1" x14ac:dyDescent="0.4">
      <c r="A270" s="60" t="s">
        <v>738</v>
      </c>
      <c r="B270" s="61">
        <v>44767</v>
      </c>
      <c r="C270" s="60" t="s">
        <v>692</v>
      </c>
      <c r="D270" s="60" t="s">
        <v>222</v>
      </c>
      <c r="E270" s="60">
        <v>13</v>
      </c>
      <c r="F270" s="42" t="s">
        <v>739</v>
      </c>
      <c r="G270" s="60" t="s">
        <v>225</v>
      </c>
      <c r="H270" s="60" t="s">
        <v>79</v>
      </c>
    </row>
    <row r="271" spans="1:8" ht="27.75" customHeight="1" x14ac:dyDescent="0.4">
      <c r="A271" s="60" t="s">
        <v>740</v>
      </c>
      <c r="B271" s="61">
        <v>44767</v>
      </c>
      <c r="C271" s="60" t="s">
        <v>692</v>
      </c>
      <c r="D271" s="60" t="s">
        <v>222</v>
      </c>
      <c r="E271" s="60">
        <v>13</v>
      </c>
      <c r="F271" s="42" t="s">
        <v>741</v>
      </c>
      <c r="G271" s="60" t="s">
        <v>225</v>
      </c>
      <c r="H271" s="60" t="s">
        <v>89</v>
      </c>
    </row>
    <row r="272" spans="1:8" ht="27.75" customHeight="1" x14ac:dyDescent="0.4">
      <c r="A272" s="60" t="s">
        <v>742</v>
      </c>
      <c r="B272" s="61">
        <v>44767</v>
      </c>
      <c r="C272" s="60" t="s">
        <v>692</v>
      </c>
      <c r="D272" s="60" t="s">
        <v>222</v>
      </c>
      <c r="E272" s="60">
        <v>13</v>
      </c>
      <c r="F272" s="42" t="s">
        <v>743</v>
      </c>
      <c r="G272" s="60" t="s">
        <v>225</v>
      </c>
      <c r="H272" s="60" t="s">
        <v>79</v>
      </c>
    </row>
    <row r="273" spans="1:8" ht="41.25" customHeight="1" x14ac:dyDescent="0.4">
      <c r="A273" s="60" t="s">
        <v>744</v>
      </c>
      <c r="B273" s="61">
        <v>44767</v>
      </c>
      <c r="C273" s="60" t="s">
        <v>692</v>
      </c>
      <c r="D273" s="60" t="s">
        <v>222</v>
      </c>
      <c r="E273" s="60">
        <v>13</v>
      </c>
      <c r="F273" s="42" t="s">
        <v>745</v>
      </c>
      <c r="G273" s="60" t="s">
        <v>225</v>
      </c>
      <c r="H273" s="60" t="s">
        <v>79</v>
      </c>
    </row>
    <row r="274" spans="1:8" ht="15" customHeight="1" x14ac:dyDescent="0.4">
      <c r="A274" s="60" t="s">
        <v>746</v>
      </c>
      <c r="B274" s="61">
        <v>44767</v>
      </c>
      <c r="C274" s="60" t="s">
        <v>281</v>
      </c>
      <c r="D274" s="60" t="s">
        <v>222</v>
      </c>
      <c r="E274" s="60">
        <v>13</v>
      </c>
      <c r="F274" s="42" t="s">
        <v>747</v>
      </c>
      <c r="G274" s="60" t="s">
        <v>225</v>
      </c>
      <c r="H274" s="60" t="s">
        <v>70</v>
      </c>
    </row>
    <row r="275" spans="1:8" ht="54.75" customHeight="1" x14ac:dyDescent="0.4">
      <c r="A275" s="60" t="s">
        <v>748</v>
      </c>
      <c r="B275" s="61">
        <v>44767</v>
      </c>
      <c r="C275" s="60" t="s">
        <v>281</v>
      </c>
      <c r="D275" s="60" t="s">
        <v>222</v>
      </c>
      <c r="E275" s="60">
        <v>13</v>
      </c>
      <c r="F275" s="42" t="s">
        <v>749</v>
      </c>
      <c r="G275" s="60" t="s">
        <v>225</v>
      </c>
      <c r="H275" s="60" t="s">
        <v>77</v>
      </c>
    </row>
    <row r="276" spans="1:8" ht="15" customHeight="1" x14ac:dyDescent="0.4">
      <c r="A276" s="60" t="s">
        <v>750</v>
      </c>
      <c r="B276" s="61">
        <v>44767</v>
      </c>
      <c r="C276" s="60" t="s">
        <v>281</v>
      </c>
      <c r="D276" s="60" t="s">
        <v>222</v>
      </c>
      <c r="E276" s="60">
        <v>13</v>
      </c>
      <c r="F276" s="42" t="s">
        <v>751</v>
      </c>
      <c r="G276" s="60" t="s">
        <v>225</v>
      </c>
      <c r="H276" s="60" t="s">
        <v>89</v>
      </c>
    </row>
    <row r="277" spans="1:8" ht="15" customHeight="1" x14ac:dyDescent="0.4">
      <c r="A277" s="60" t="s">
        <v>752</v>
      </c>
      <c r="B277" s="61">
        <v>44767</v>
      </c>
      <c r="C277" s="60" t="s">
        <v>692</v>
      </c>
      <c r="D277" s="60" t="s">
        <v>222</v>
      </c>
      <c r="E277" s="60">
        <v>13</v>
      </c>
      <c r="F277" s="42" t="s">
        <v>753</v>
      </c>
      <c r="G277" s="60" t="s">
        <v>225</v>
      </c>
      <c r="H277" s="60" t="s">
        <v>70</v>
      </c>
    </row>
    <row r="278" spans="1:8" ht="41.25" customHeight="1" x14ac:dyDescent="0.4">
      <c r="A278" s="60" t="s">
        <v>754</v>
      </c>
      <c r="B278" s="61">
        <v>44767</v>
      </c>
      <c r="C278" s="60" t="s">
        <v>692</v>
      </c>
      <c r="D278" s="60" t="s">
        <v>222</v>
      </c>
      <c r="E278" s="60">
        <v>13</v>
      </c>
      <c r="F278" s="42" t="s">
        <v>755</v>
      </c>
      <c r="G278" s="60" t="s">
        <v>225</v>
      </c>
      <c r="H278" s="60" t="s">
        <v>70</v>
      </c>
    </row>
    <row r="279" spans="1:8" ht="41.25" customHeight="1" x14ac:dyDescent="0.4">
      <c r="A279" s="60" t="s">
        <v>756</v>
      </c>
      <c r="B279" s="61">
        <v>44767</v>
      </c>
      <c r="C279" s="60" t="s">
        <v>281</v>
      </c>
      <c r="D279" s="60" t="s">
        <v>222</v>
      </c>
      <c r="E279" s="60">
        <v>13</v>
      </c>
      <c r="F279" s="42" t="s">
        <v>757</v>
      </c>
      <c r="G279" s="60" t="s">
        <v>225</v>
      </c>
      <c r="H279" s="60" t="s">
        <v>70</v>
      </c>
    </row>
    <row r="280" spans="1:8" ht="15" customHeight="1" x14ac:dyDescent="0.4">
      <c r="A280" s="60" t="s">
        <v>758</v>
      </c>
      <c r="B280" s="61">
        <v>44767</v>
      </c>
      <c r="C280" s="60" t="s">
        <v>281</v>
      </c>
      <c r="D280" s="60" t="s">
        <v>222</v>
      </c>
      <c r="E280" s="60">
        <v>13</v>
      </c>
      <c r="F280" s="42" t="s">
        <v>759</v>
      </c>
      <c r="G280" s="60" t="s">
        <v>225</v>
      </c>
      <c r="H280" s="60" t="s">
        <v>70</v>
      </c>
    </row>
    <row r="281" spans="1:8" ht="41.25" customHeight="1" x14ac:dyDescent="0.4">
      <c r="A281" s="60" t="s">
        <v>760</v>
      </c>
      <c r="B281" s="61">
        <v>44767</v>
      </c>
      <c r="C281" s="60" t="s">
        <v>692</v>
      </c>
      <c r="D281" s="60" t="s">
        <v>222</v>
      </c>
      <c r="E281" s="60">
        <v>13</v>
      </c>
      <c r="F281" s="42" t="s">
        <v>761</v>
      </c>
      <c r="G281" s="60" t="s">
        <v>225</v>
      </c>
      <c r="H281" s="60" t="s">
        <v>73</v>
      </c>
    </row>
    <row r="282" spans="1:8" ht="15" customHeight="1" x14ac:dyDescent="0.4">
      <c r="A282" s="60" t="s">
        <v>762</v>
      </c>
      <c r="B282" s="61">
        <v>44767</v>
      </c>
      <c r="C282" s="60" t="s">
        <v>281</v>
      </c>
      <c r="D282" s="60" t="s">
        <v>222</v>
      </c>
      <c r="E282" s="60">
        <v>13</v>
      </c>
      <c r="F282" s="42" t="s">
        <v>763</v>
      </c>
      <c r="G282" s="60" t="s">
        <v>225</v>
      </c>
      <c r="H282" s="60" t="s">
        <v>75</v>
      </c>
    </row>
    <row r="283" spans="1:8" ht="27.75" customHeight="1" x14ac:dyDescent="0.4">
      <c r="A283" s="60" t="s">
        <v>764</v>
      </c>
      <c r="B283" s="61">
        <v>44767</v>
      </c>
      <c r="C283" s="60" t="s">
        <v>686</v>
      </c>
      <c r="D283" s="60" t="s">
        <v>222</v>
      </c>
      <c r="E283" s="60">
        <v>13</v>
      </c>
      <c r="F283" s="42" t="s">
        <v>765</v>
      </c>
      <c r="G283" s="60" t="s">
        <v>225</v>
      </c>
      <c r="H283" s="60" t="s">
        <v>81</v>
      </c>
    </row>
    <row r="284" spans="1:8" ht="15" customHeight="1" x14ac:dyDescent="0.4">
      <c r="A284" s="60" t="s">
        <v>766</v>
      </c>
      <c r="B284" s="61">
        <v>44767</v>
      </c>
      <c r="C284" s="60" t="s">
        <v>692</v>
      </c>
      <c r="D284" s="60" t="s">
        <v>222</v>
      </c>
      <c r="E284" s="60">
        <v>13</v>
      </c>
      <c r="F284" s="42" t="s">
        <v>767</v>
      </c>
      <c r="G284" s="60" t="s">
        <v>225</v>
      </c>
      <c r="H284" s="60" t="s">
        <v>70</v>
      </c>
    </row>
    <row r="285" spans="1:8" ht="41.25" customHeight="1" x14ac:dyDescent="0.4">
      <c r="A285" s="60" t="s">
        <v>768</v>
      </c>
      <c r="B285" s="61">
        <v>44767</v>
      </c>
      <c r="C285" s="60" t="s">
        <v>281</v>
      </c>
      <c r="D285" s="60" t="s">
        <v>222</v>
      </c>
      <c r="E285" s="60">
        <v>13</v>
      </c>
      <c r="F285" s="42" t="s">
        <v>769</v>
      </c>
      <c r="G285" s="60" t="s">
        <v>225</v>
      </c>
      <c r="H285" s="60" t="s">
        <v>70</v>
      </c>
    </row>
    <row r="286" spans="1:8" ht="15" customHeight="1" x14ac:dyDescent="0.4">
      <c r="A286" s="60" t="s">
        <v>770</v>
      </c>
      <c r="B286" s="61">
        <v>44767</v>
      </c>
      <c r="C286" s="60" t="s">
        <v>281</v>
      </c>
      <c r="D286" s="60" t="s">
        <v>222</v>
      </c>
      <c r="E286" s="60">
        <v>13</v>
      </c>
      <c r="F286" s="42" t="s">
        <v>771</v>
      </c>
      <c r="G286" s="60" t="s">
        <v>225</v>
      </c>
      <c r="H286" s="60" t="s">
        <v>89</v>
      </c>
    </row>
    <row r="287" spans="1:8" ht="15" customHeight="1" x14ac:dyDescent="0.4">
      <c r="A287" s="60" t="s">
        <v>772</v>
      </c>
      <c r="B287" s="61">
        <v>44767</v>
      </c>
      <c r="C287" s="60" t="s">
        <v>281</v>
      </c>
      <c r="D287" s="60" t="s">
        <v>222</v>
      </c>
      <c r="E287" s="60">
        <v>13</v>
      </c>
      <c r="F287" s="42" t="s">
        <v>773</v>
      </c>
      <c r="G287" s="60"/>
      <c r="H287" s="60" t="s">
        <v>73</v>
      </c>
    </row>
    <row r="288" spans="1:8" ht="15" customHeight="1" x14ac:dyDescent="0.4">
      <c r="A288" s="60" t="s">
        <v>774</v>
      </c>
      <c r="B288" s="61">
        <v>44767</v>
      </c>
      <c r="C288" s="60" t="s">
        <v>692</v>
      </c>
      <c r="D288" s="60" t="s">
        <v>222</v>
      </c>
      <c r="E288" s="60">
        <v>13</v>
      </c>
      <c r="F288" s="42" t="s">
        <v>775</v>
      </c>
      <c r="G288" s="60" t="s">
        <v>225</v>
      </c>
      <c r="H288" s="60" t="s">
        <v>89</v>
      </c>
    </row>
    <row r="289" spans="1:8" ht="27.75" customHeight="1" x14ac:dyDescent="0.4">
      <c r="A289" s="60" t="s">
        <v>776</v>
      </c>
      <c r="B289" s="61">
        <v>44767</v>
      </c>
      <c r="C289" s="60" t="s">
        <v>281</v>
      </c>
      <c r="D289" s="60" t="s">
        <v>222</v>
      </c>
      <c r="E289" s="60">
        <v>13</v>
      </c>
      <c r="F289" s="42" t="s">
        <v>777</v>
      </c>
      <c r="G289" s="60" t="s">
        <v>225</v>
      </c>
      <c r="H289" s="60" t="s">
        <v>73</v>
      </c>
    </row>
    <row r="290" spans="1:8" ht="27.75" customHeight="1" x14ac:dyDescent="0.4">
      <c r="A290" s="60" t="s">
        <v>778</v>
      </c>
      <c r="B290" s="61">
        <v>44768</v>
      </c>
      <c r="C290" s="60" t="s">
        <v>281</v>
      </c>
      <c r="D290" s="60" t="s">
        <v>222</v>
      </c>
      <c r="E290" s="60">
        <v>14</v>
      </c>
      <c r="F290" s="42" t="s">
        <v>779</v>
      </c>
      <c r="G290" s="60" t="s">
        <v>225</v>
      </c>
      <c r="H290" s="60" t="s">
        <v>73</v>
      </c>
    </row>
    <row r="291" spans="1:8" ht="27.75" customHeight="1" x14ac:dyDescent="0.4">
      <c r="A291" s="60" t="s">
        <v>780</v>
      </c>
      <c r="B291" s="61">
        <v>44768</v>
      </c>
      <c r="C291" s="60" t="s">
        <v>281</v>
      </c>
      <c r="D291" s="60" t="s">
        <v>222</v>
      </c>
      <c r="E291" s="60">
        <v>14</v>
      </c>
      <c r="F291" s="42" t="s">
        <v>781</v>
      </c>
      <c r="G291" s="60" t="s">
        <v>225</v>
      </c>
      <c r="H291" s="60" t="s">
        <v>70</v>
      </c>
    </row>
    <row r="292" spans="1:8" ht="15" customHeight="1" x14ac:dyDescent="0.4">
      <c r="A292" s="60" t="s">
        <v>782</v>
      </c>
      <c r="B292" s="61">
        <v>44768</v>
      </c>
      <c r="C292" s="60" t="s">
        <v>281</v>
      </c>
      <c r="D292" s="60" t="s">
        <v>222</v>
      </c>
      <c r="E292" s="60">
        <v>14</v>
      </c>
      <c r="F292" s="42" t="s">
        <v>783</v>
      </c>
      <c r="G292" s="60" t="s">
        <v>225</v>
      </c>
      <c r="H292" s="60" t="s">
        <v>70</v>
      </c>
    </row>
    <row r="293" spans="1:8" ht="41.25" customHeight="1" x14ac:dyDescent="0.4">
      <c r="A293" s="60" t="s">
        <v>784</v>
      </c>
      <c r="B293" s="61">
        <v>44768</v>
      </c>
      <c r="C293" s="60" t="s">
        <v>692</v>
      </c>
      <c r="D293" s="60" t="s">
        <v>222</v>
      </c>
      <c r="E293" s="60">
        <v>14</v>
      </c>
      <c r="F293" s="42" t="s">
        <v>785</v>
      </c>
      <c r="G293" s="60" t="s">
        <v>225</v>
      </c>
      <c r="H293" s="60" t="s">
        <v>70</v>
      </c>
    </row>
    <row r="294" spans="1:8" ht="15" customHeight="1" x14ac:dyDescent="0.4">
      <c r="A294" s="60" t="s">
        <v>786</v>
      </c>
      <c r="B294" s="61">
        <v>44768</v>
      </c>
      <c r="C294" s="60" t="s">
        <v>281</v>
      </c>
      <c r="D294" s="60" t="s">
        <v>222</v>
      </c>
      <c r="E294" s="60">
        <v>14</v>
      </c>
      <c r="F294" s="42" t="s">
        <v>787</v>
      </c>
      <c r="G294" s="60" t="s">
        <v>225</v>
      </c>
      <c r="H294" s="60" t="s">
        <v>89</v>
      </c>
    </row>
    <row r="295" spans="1:8" ht="27.75" customHeight="1" x14ac:dyDescent="0.4">
      <c r="A295" s="60" t="s">
        <v>788</v>
      </c>
      <c r="B295" s="61">
        <v>44768</v>
      </c>
      <c r="C295" s="60" t="s">
        <v>692</v>
      </c>
      <c r="D295" s="60" t="s">
        <v>222</v>
      </c>
      <c r="E295" s="60">
        <v>14</v>
      </c>
      <c r="F295" s="42" t="s">
        <v>789</v>
      </c>
      <c r="G295" s="60" t="s">
        <v>225</v>
      </c>
      <c r="H295" s="60" t="s">
        <v>70</v>
      </c>
    </row>
    <row r="296" spans="1:8" ht="41.25" customHeight="1" x14ac:dyDescent="0.4">
      <c r="A296" s="60" t="s">
        <v>790</v>
      </c>
      <c r="B296" s="61">
        <v>44768</v>
      </c>
      <c r="C296" s="60" t="s">
        <v>281</v>
      </c>
      <c r="D296" s="60" t="s">
        <v>222</v>
      </c>
      <c r="E296" s="60">
        <v>14</v>
      </c>
      <c r="F296" s="42" t="s">
        <v>791</v>
      </c>
      <c r="G296" s="60" t="s">
        <v>225</v>
      </c>
      <c r="H296" s="60" t="s">
        <v>77</v>
      </c>
    </row>
    <row r="297" spans="1:8" ht="15" customHeight="1" x14ac:dyDescent="0.4">
      <c r="A297" s="60" t="s">
        <v>792</v>
      </c>
      <c r="B297" s="61">
        <v>44768</v>
      </c>
      <c r="C297" s="60" t="s">
        <v>281</v>
      </c>
      <c r="D297" s="60" t="s">
        <v>222</v>
      </c>
      <c r="E297" s="60">
        <v>14</v>
      </c>
      <c r="F297" s="42" t="s">
        <v>793</v>
      </c>
      <c r="G297" s="60" t="s">
        <v>225</v>
      </c>
      <c r="H297" s="60" t="s">
        <v>81</v>
      </c>
    </row>
    <row r="298" spans="1:8" ht="95.25" customHeight="1" x14ac:dyDescent="0.4">
      <c r="A298" s="60" t="s">
        <v>794</v>
      </c>
      <c r="B298" s="61">
        <v>44768</v>
      </c>
      <c r="C298" s="60" t="s">
        <v>281</v>
      </c>
      <c r="D298" s="60" t="s">
        <v>222</v>
      </c>
      <c r="E298" s="60">
        <v>14</v>
      </c>
      <c r="F298" s="42" t="s">
        <v>795</v>
      </c>
      <c r="G298" s="60" t="s">
        <v>225</v>
      </c>
      <c r="H298" s="60" t="s">
        <v>77</v>
      </c>
    </row>
    <row r="299" spans="1:8" ht="41.25" customHeight="1" x14ac:dyDescent="0.4">
      <c r="A299" s="60" t="s">
        <v>796</v>
      </c>
      <c r="B299" s="61">
        <v>44769</v>
      </c>
      <c r="C299" s="60" t="s">
        <v>281</v>
      </c>
      <c r="D299" s="60" t="s">
        <v>797</v>
      </c>
      <c r="E299" s="60">
        <v>15</v>
      </c>
      <c r="F299" s="42" t="s">
        <v>798</v>
      </c>
      <c r="G299" s="60" t="s">
        <v>225</v>
      </c>
      <c r="H299" s="60" t="s">
        <v>73</v>
      </c>
    </row>
    <row r="300" spans="1:8" ht="27.75" customHeight="1" x14ac:dyDescent="0.4">
      <c r="A300" s="60" t="s">
        <v>799</v>
      </c>
      <c r="B300" s="61">
        <v>44770</v>
      </c>
      <c r="C300" s="60" t="s">
        <v>281</v>
      </c>
      <c r="D300" s="60" t="s">
        <v>797</v>
      </c>
      <c r="E300" s="60">
        <v>16</v>
      </c>
      <c r="F300" s="42" t="s">
        <v>800</v>
      </c>
      <c r="G300" s="60" t="s">
        <v>225</v>
      </c>
      <c r="H300" s="60" t="s">
        <v>79</v>
      </c>
    </row>
    <row r="301" spans="1:8" ht="68.25" customHeight="1" x14ac:dyDescent="0.4">
      <c r="A301" s="60" t="s">
        <v>801</v>
      </c>
      <c r="B301" s="61">
        <v>44770</v>
      </c>
      <c r="C301" s="60" t="s">
        <v>281</v>
      </c>
      <c r="D301" s="60" t="s">
        <v>797</v>
      </c>
      <c r="E301" s="60">
        <v>16</v>
      </c>
      <c r="F301" s="42" t="s">
        <v>802</v>
      </c>
      <c r="G301" s="60" t="s">
        <v>225</v>
      </c>
      <c r="H301" s="60" t="s">
        <v>79</v>
      </c>
    </row>
    <row r="302" spans="1:8" ht="41.25" customHeight="1" x14ac:dyDescent="0.4">
      <c r="A302" s="60" t="s">
        <v>803</v>
      </c>
      <c r="B302" s="61">
        <v>44770</v>
      </c>
      <c r="C302" s="60" t="s">
        <v>281</v>
      </c>
      <c r="D302" s="60" t="s">
        <v>797</v>
      </c>
      <c r="E302" s="60">
        <v>16</v>
      </c>
      <c r="F302" s="42" t="s">
        <v>804</v>
      </c>
      <c r="G302" s="60" t="s">
        <v>225</v>
      </c>
      <c r="H302" s="60" t="s">
        <v>73</v>
      </c>
    </row>
    <row r="303" spans="1:8" ht="68.25" customHeight="1" x14ac:dyDescent="0.4">
      <c r="A303" s="60" t="s">
        <v>805</v>
      </c>
      <c r="B303" s="61">
        <v>44770</v>
      </c>
      <c r="C303" s="60" t="s">
        <v>281</v>
      </c>
      <c r="D303" s="60" t="s">
        <v>797</v>
      </c>
      <c r="E303" s="60">
        <v>16</v>
      </c>
      <c r="F303" s="42" t="s">
        <v>806</v>
      </c>
      <c r="G303" s="60" t="s">
        <v>225</v>
      </c>
      <c r="H303" s="60" t="s">
        <v>79</v>
      </c>
    </row>
    <row r="304" spans="1:8" ht="15" customHeight="1" x14ac:dyDescent="0.4">
      <c r="A304" s="60" t="s">
        <v>807</v>
      </c>
      <c r="B304" s="61">
        <v>44765</v>
      </c>
      <c r="C304" s="60" t="s">
        <v>281</v>
      </c>
      <c r="D304" s="60" t="s">
        <v>222</v>
      </c>
      <c r="E304" s="60">
        <v>11</v>
      </c>
      <c r="F304" s="42" t="s">
        <v>808</v>
      </c>
      <c r="G304" s="60" t="s">
        <v>225</v>
      </c>
      <c r="H304" s="60" t="s">
        <v>77</v>
      </c>
    </row>
    <row r="305" spans="1:8" ht="41.25" customHeight="1" x14ac:dyDescent="0.4">
      <c r="A305" s="60" t="s">
        <v>809</v>
      </c>
      <c r="B305" s="61">
        <v>44771</v>
      </c>
      <c r="C305" s="60" t="s">
        <v>281</v>
      </c>
      <c r="D305" s="60" t="s">
        <v>797</v>
      </c>
      <c r="E305" s="60">
        <v>17</v>
      </c>
      <c r="F305" s="42" t="s">
        <v>810</v>
      </c>
      <c r="G305" s="60" t="s">
        <v>225</v>
      </c>
      <c r="H305" s="60" t="s">
        <v>85</v>
      </c>
    </row>
  </sheetData>
  <autoFilter ref="A1:H305" xr:uid="{00000000-0009-0000-0000-00000500000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AD47"/>
  </sheetPr>
  <dimension ref="A1:O1650"/>
  <sheetViews>
    <sheetView zoomScaleNormal="100" workbookViewId="0">
      <pane xSplit="2" ySplit="1" topLeftCell="C2" activePane="bottomRight" state="frozen"/>
      <selection pane="topRight" activeCell="C1" sqref="C1"/>
      <selection pane="bottomLeft" activeCell="A2" sqref="A2"/>
      <selection pane="bottomRight"/>
    </sheetView>
  </sheetViews>
  <sheetFormatPr defaultColWidth="8.6328125" defaultRowHeight="14.5" x14ac:dyDescent="0.4"/>
  <cols>
    <col min="1" max="1" width="18" customWidth="1"/>
    <col min="2" max="2" width="13" customWidth="1"/>
    <col min="3" max="3" width="11" customWidth="1"/>
    <col min="4" max="4" width="13" customWidth="1"/>
    <col min="5" max="6" width="12" customWidth="1"/>
    <col min="7" max="8" width="11" customWidth="1"/>
    <col min="9" max="11" width="14" customWidth="1"/>
    <col min="12" max="12" width="18" customWidth="1"/>
    <col min="13" max="13" width="13" customWidth="1"/>
    <col min="14" max="14" width="14" customWidth="1"/>
    <col min="15" max="15" width="30" customWidth="1"/>
  </cols>
  <sheetData>
    <row r="1" spans="1:15" ht="41.25" customHeight="1" x14ac:dyDescent="0.4">
      <c r="A1" s="30" t="s">
        <v>811</v>
      </c>
      <c r="B1" s="30" t="s">
        <v>213</v>
      </c>
      <c r="C1" s="30" t="s">
        <v>812</v>
      </c>
      <c r="D1" s="30" t="s">
        <v>813</v>
      </c>
      <c r="E1" s="30" t="s">
        <v>814</v>
      </c>
      <c r="F1" s="30" t="s">
        <v>815</v>
      </c>
      <c r="G1" s="30" t="s">
        <v>816</v>
      </c>
      <c r="H1" s="30" t="s">
        <v>817</v>
      </c>
      <c r="I1" s="30" t="s">
        <v>818</v>
      </c>
      <c r="J1" s="30" t="s">
        <v>819</v>
      </c>
      <c r="K1" s="30" t="s">
        <v>820</v>
      </c>
      <c r="L1" s="30" t="s">
        <v>821</v>
      </c>
      <c r="M1" s="30" t="s">
        <v>822</v>
      </c>
      <c r="N1" s="30" t="s">
        <v>823</v>
      </c>
      <c r="O1" s="30" t="s">
        <v>152</v>
      </c>
    </row>
    <row r="2" spans="1:15" ht="15" customHeight="1" x14ac:dyDescent="0.4">
      <c r="A2" s="62" t="s">
        <v>824</v>
      </c>
      <c r="B2" s="62" t="s">
        <v>419</v>
      </c>
      <c r="C2" s="62" t="s">
        <v>825</v>
      </c>
      <c r="D2" s="63">
        <v>22</v>
      </c>
      <c r="E2" s="63">
        <v>6</v>
      </c>
      <c r="F2" s="63">
        <v>3</v>
      </c>
      <c r="G2" s="64">
        <f t="shared" ref="G2:G65" si="0">IFERROR(E2/D2,0)</f>
        <v>0.27272727272727271</v>
      </c>
      <c r="H2" s="64">
        <f t="shared" ref="H2:H65" si="1">IFERROR(F2/D2,0)</f>
        <v>0.13636363636363635</v>
      </c>
      <c r="I2" s="63">
        <v>1</v>
      </c>
      <c r="J2" s="65">
        <v>75.83</v>
      </c>
      <c r="K2" s="65">
        <v>18.96</v>
      </c>
      <c r="L2" s="62" t="s">
        <v>825</v>
      </c>
      <c r="M2" s="63">
        <v>0</v>
      </c>
      <c r="N2" s="66">
        <f t="shared" ref="N2:N65" si="2">ROUND(IFERROR(K2/100,0)*0.6 + IF(L2="Yes",1,IF(L2="No",0,0.3))*0.25 + IFERROR(J2/100,0)*0.15,3)</f>
        <v>0.47799999999999998</v>
      </c>
      <c r="O2" s="62" t="str">
        <f t="shared" ref="O2:O65" si="3">IF(AND(L2="No",I2=0),"1: Critical (No DBWT + No Wk0)",IF(L2="No","2: High (No DBWT)",IF(I2=0,"3: Elevated (No Wk0)","4: Engaged Early")))</f>
        <v>4: Engaged Early</v>
      </c>
    </row>
    <row r="3" spans="1:15" ht="15" customHeight="1" x14ac:dyDescent="0.4">
      <c r="A3" s="62" t="s">
        <v>824</v>
      </c>
      <c r="B3" s="62" t="s">
        <v>437</v>
      </c>
      <c r="C3" s="62" t="s">
        <v>825</v>
      </c>
      <c r="D3" s="63">
        <v>2</v>
      </c>
      <c r="E3" s="63">
        <v>2</v>
      </c>
      <c r="F3" s="63">
        <v>1</v>
      </c>
      <c r="G3" s="64">
        <f t="shared" si="0"/>
        <v>1</v>
      </c>
      <c r="H3" s="64">
        <f t="shared" si="1"/>
        <v>0.5</v>
      </c>
      <c r="I3" s="63">
        <v>1</v>
      </c>
      <c r="J3" s="65">
        <v>85.42</v>
      </c>
      <c r="K3" s="65">
        <v>12.5</v>
      </c>
      <c r="L3" s="62" t="s">
        <v>826</v>
      </c>
      <c r="M3" s="63">
        <v>0</v>
      </c>
      <c r="N3" s="66">
        <f t="shared" si="2"/>
        <v>0.20300000000000001</v>
      </c>
      <c r="O3" s="62" t="str">
        <f t="shared" si="3"/>
        <v>2: High (No DBWT)</v>
      </c>
    </row>
    <row r="4" spans="1:15" ht="15" customHeight="1" x14ac:dyDescent="0.4">
      <c r="A4" s="62" t="s">
        <v>824</v>
      </c>
      <c r="B4" s="62" t="s">
        <v>827</v>
      </c>
      <c r="C4" s="62" t="s">
        <v>826</v>
      </c>
      <c r="D4" s="63">
        <v>4</v>
      </c>
      <c r="E4" s="63">
        <v>2</v>
      </c>
      <c r="F4" s="63">
        <v>1</v>
      </c>
      <c r="G4" s="64">
        <f t="shared" si="0"/>
        <v>0.5</v>
      </c>
      <c r="H4" s="64">
        <f t="shared" si="1"/>
        <v>0.25</v>
      </c>
      <c r="I4" s="63">
        <v>0</v>
      </c>
      <c r="J4" s="65"/>
      <c r="K4" s="65">
        <v>0</v>
      </c>
      <c r="L4" s="62" t="s">
        <v>826</v>
      </c>
      <c r="M4" s="63">
        <v>0</v>
      </c>
      <c r="N4" s="66">
        <f t="shared" si="2"/>
        <v>0</v>
      </c>
      <c r="O4" s="62" t="str">
        <f t="shared" si="3"/>
        <v>1: Critical (No DBWT + No Wk0)</v>
      </c>
    </row>
    <row r="5" spans="1:15" ht="15" customHeight="1" x14ac:dyDescent="0.4">
      <c r="A5" s="62" t="s">
        <v>824</v>
      </c>
      <c r="B5" s="62" t="s">
        <v>501</v>
      </c>
      <c r="C5" s="62" t="s">
        <v>825</v>
      </c>
      <c r="D5" s="63">
        <v>13</v>
      </c>
      <c r="E5" s="63">
        <v>11</v>
      </c>
      <c r="F5" s="63">
        <v>1</v>
      </c>
      <c r="G5" s="64">
        <f t="shared" si="0"/>
        <v>0.84615384615384615</v>
      </c>
      <c r="H5" s="64">
        <f t="shared" si="1"/>
        <v>7.6923076923076927E-2</v>
      </c>
      <c r="I5" s="63">
        <v>1</v>
      </c>
      <c r="J5" s="65">
        <v>98.515299999999996</v>
      </c>
      <c r="K5" s="65">
        <v>16.02</v>
      </c>
      <c r="L5" s="62" t="s">
        <v>826</v>
      </c>
      <c r="M5" s="63">
        <v>0</v>
      </c>
      <c r="N5" s="66">
        <f t="shared" si="2"/>
        <v>0.24399999999999999</v>
      </c>
      <c r="O5" s="62" t="str">
        <f t="shared" si="3"/>
        <v>2: High (No DBWT)</v>
      </c>
    </row>
    <row r="6" spans="1:15" ht="15" customHeight="1" x14ac:dyDescent="0.4">
      <c r="A6" s="62" t="s">
        <v>824</v>
      </c>
      <c r="B6" s="62" t="s">
        <v>295</v>
      </c>
      <c r="C6" s="62" t="s">
        <v>825</v>
      </c>
      <c r="D6" s="63">
        <v>5</v>
      </c>
      <c r="E6" s="63">
        <v>5</v>
      </c>
      <c r="F6" s="63">
        <v>0</v>
      </c>
      <c r="G6" s="64">
        <f t="shared" si="0"/>
        <v>1</v>
      </c>
      <c r="H6" s="64">
        <f t="shared" si="1"/>
        <v>0</v>
      </c>
      <c r="I6" s="63">
        <v>0</v>
      </c>
      <c r="J6" s="65"/>
      <c r="K6" s="65">
        <v>0.69</v>
      </c>
      <c r="L6" s="62" t="s">
        <v>826</v>
      </c>
      <c r="M6" s="63">
        <v>0</v>
      </c>
      <c r="N6" s="66">
        <f t="shared" si="2"/>
        <v>4.0000000000000001E-3</v>
      </c>
      <c r="O6" s="62" t="str">
        <f t="shared" si="3"/>
        <v>1: Critical (No DBWT + No Wk0)</v>
      </c>
    </row>
    <row r="7" spans="1:15" ht="15" customHeight="1" x14ac:dyDescent="0.4">
      <c r="A7" s="62" t="s">
        <v>824</v>
      </c>
      <c r="B7" s="62" t="s">
        <v>345</v>
      </c>
      <c r="C7" s="62" t="s">
        <v>825</v>
      </c>
      <c r="D7" s="63">
        <v>22</v>
      </c>
      <c r="E7" s="63">
        <v>8</v>
      </c>
      <c r="F7" s="63">
        <v>0</v>
      </c>
      <c r="G7" s="64">
        <f t="shared" si="0"/>
        <v>0.36363636363636365</v>
      </c>
      <c r="H7" s="64">
        <f t="shared" si="1"/>
        <v>0</v>
      </c>
      <c r="I7" s="63">
        <v>2</v>
      </c>
      <c r="J7" s="65">
        <v>33.31315</v>
      </c>
      <c r="K7" s="65">
        <v>17.8</v>
      </c>
      <c r="L7" s="62" t="s">
        <v>825</v>
      </c>
      <c r="M7" s="63">
        <v>0</v>
      </c>
      <c r="N7" s="66">
        <f t="shared" si="2"/>
        <v>0.40699999999999997</v>
      </c>
      <c r="O7" s="62" t="str">
        <f t="shared" si="3"/>
        <v>4: Engaged Early</v>
      </c>
    </row>
    <row r="8" spans="1:15" ht="15" customHeight="1" x14ac:dyDescent="0.4">
      <c r="A8" s="62" t="s">
        <v>824</v>
      </c>
      <c r="B8" s="62" t="s">
        <v>266</v>
      </c>
      <c r="C8" s="62" t="s">
        <v>825</v>
      </c>
      <c r="D8" s="63">
        <v>22</v>
      </c>
      <c r="E8" s="63">
        <v>20</v>
      </c>
      <c r="F8" s="63">
        <v>0</v>
      </c>
      <c r="G8" s="64">
        <f t="shared" si="0"/>
        <v>0.90909090909090906</v>
      </c>
      <c r="H8" s="64">
        <f t="shared" si="1"/>
        <v>0</v>
      </c>
      <c r="I8" s="63">
        <v>0</v>
      </c>
      <c r="J8" s="65"/>
      <c r="K8" s="65">
        <v>0</v>
      </c>
      <c r="L8" s="62" t="s">
        <v>826</v>
      </c>
      <c r="M8" s="63">
        <v>0</v>
      </c>
      <c r="N8" s="66">
        <f t="shared" si="2"/>
        <v>0</v>
      </c>
      <c r="O8" s="62" t="str">
        <f t="shared" si="3"/>
        <v>1: Critical (No DBWT + No Wk0)</v>
      </c>
    </row>
    <row r="9" spans="1:15" ht="15" customHeight="1" x14ac:dyDescent="0.4">
      <c r="A9" s="62" t="s">
        <v>824</v>
      </c>
      <c r="B9" s="62" t="s">
        <v>529</v>
      </c>
      <c r="C9" s="62" t="s">
        <v>825</v>
      </c>
      <c r="D9" s="63">
        <v>10</v>
      </c>
      <c r="E9" s="63">
        <v>9</v>
      </c>
      <c r="F9" s="63">
        <v>2</v>
      </c>
      <c r="G9" s="64">
        <f t="shared" si="0"/>
        <v>0.9</v>
      </c>
      <c r="H9" s="64">
        <f t="shared" si="1"/>
        <v>0.2</v>
      </c>
      <c r="I9" s="63">
        <v>2</v>
      </c>
      <c r="J9" s="65">
        <v>80.507800000000003</v>
      </c>
      <c r="K9" s="65">
        <v>82.86</v>
      </c>
      <c r="L9" s="62" t="s">
        <v>825</v>
      </c>
      <c r="M9" s="63">
        <v>0</v>
      </c>
      <c r="N9" s="66">
        <f t="shared" si="2"/>
        <v>0.86799999999999999</v>
      </c>
      <c r="O9" s="62" t="str">
        <f t="shared" si="3"/>
        <v>4: Engaged Early</v>
      </c>
    </row>
    <row r="10" spans="1:15" ht="15" customHeight="1" x14ac:dyDescent="0.4">
      <c r="A10" s="62" t="s">
        <v>824</v>
      </c>
      <c r="B10" s="62" t="s">
        <v>828</v>
      </c>
      <c r="C10" s="62" t="s">
        <v>826</v>
      </c>
      <c r="D10" s="63">
        <v>7</v>
      </c>
      <c r="E10" s="63">
        <v>7</v>
      </c>
      <c r="F10" s="63">
        <v>4</v>
      </c>
      <c r="G10" s="64">
        <f t="shared" si="0"/>
        <v>1</v>
      </c>
      <c r="H10" s="64">
        <f t="shared" si="1"/>
        <v>0.5714285714285714</v>
      </c>
      <c r="I10" s="63">
        <v>0</v>
      </c>
      <c r="J10" s="65"/>
      <c r="K10" s="65">
        <v>0</v>
      </c>
      <c r="L10" s="62" t="s">
        <v>826</v>
      </c>
      <c r="M10" s="63">
        <v>0</v>
      </c>
      <c r="N10" s="66">
        <f t="shared" si="2"/>
        <v>0</v>
      </c>
      <c r="O10" s="62" t="str">
        <f t="shared" si="3"/>
        <v>1: Critical (No DBWT + No Wk0)</v>
      </c>
    </row>
    <row r="11" spans="1:15" ht="15" customHeight="1" x14ac:dyDescent="0.4">
      <c r="A11" s="62" t="s">
        <v>824</v>
      </c>
      <c r="B11" s="62" t="s">
        <v>258</v>
      </c>
      <c r="C11" s="62" t="s">
        <v>825</v>
      </c>
      <c r="D11" s="63">
        <v>26</v>
      </c>
      <c r="E11" s="63">
        <v>22</v>
      </c>
      <c r="F11" s="63">
        <v>1</v>
      </c>
      <c r="G11" s="64">
        <f t="shared" si="0"/>
        <v>0.84615384615384615</v>
      </c>
      <c r="H11" s="64">
        <f t="shared" si="1"/>
        <v>3.8461538461538464E-2</v>
      </c>
      <c r="I11" s="63">
        <v>0</v>
      </c>
      <c r="J11" s="65"/>
      <c r="K11" s="65">
        <v>0</v>
      </c>
      <c r="L11" s="62" t="s">
        <v>826</v>
      </c>
      <c r="M11" s="63">
        <v>0</v>
      </c>
      <c r="N11" s="66">
        <f t="shared" si="2"/>
        <v>0</v>
      </c>
      <c r="O11" s="62" t="str">
        <f t="shared" si="3"/>
        <v>1: Critical (No DBWT + No Wk0)</v>
      </c>
    </row>
    <row r="12" spans="1:15" ht="15" customHeight="1" x14ac:dyDescent="0.4">
      <c r="A12" s="62" t="s">
        <v>824</v>
      </c>
      <c r="B12" s="62" t="s">
        <v>829</v>
      </c>
      <c r="C12" s="62" t="s">
        <v>826</v>
      </c>
      <c r="D12" s="63">
        <v>7</v>
      </c>
      <c r="E12" s="63">
        <v>5</v>
      </c>
      <c r="F12" s="63">
        <v>1</v>
      </c>
      <c r="G12" s="64">
        <f t="shared" si="0"/>
        <v>0.7142857142857143</v>
      </c>
      <c r="H12" s="64">
        <f t="shared" si="1"/>
        <v>0.14285714285714285</v>
      </c>
      <c r="I12" s="63">
        <v>1</v>
      </c>
      <c r="J12" s="65">
        <v>0.85</v>
      </c>
      <c r="K12" s="65">
        <v>0.12</v>
      </c>
      <c r="L12" s="62" t="s">
        <v>826</v>
      </c>
      <c r="M12" s="63">
        <v>0</v>
      </c>
      <c r="N12" s="66">
        <f t="shared" si="2"/>
        <v>2E-3</v>
      </c>
      <c r="O12" s="62" t="str">
        <f t="shared" si="3"/>
        <v>2: High (No DBWT)</v>
      </c>
    </row>
    <row r="13" spans="1:15" ht="15" customHeight="1" x14ac:dyDescent="0.4">
      <c r="A13" s="62" t="s">
        <v>824</v>
      </c>
      <c r="B13" s="62" t="s">
        <v>268</v>
      </c>
      <c r="C13" s="62" t="s">
        <v>825</v>
      </c>
      <c r="D13" s="63">
        <v>21</v>
      </c>
      <c r="E13" s="63">
        <v>21</v>
      </c>
      <c r="F13" s="63">
        <v>2</v>
      </c>
      <c r="G13" s="64">
        <f t="shared" si="0"/>
        <v>1</v>
      </c>
      <c r="H13" s="64">
        <f t="shared" si="1"/>
        <v>9.5238095238095233E-2</v>
      </c>
      <c r="I13" s="63">
        <v>0</v>
      </c>
      <c r="J13" s="65"/>
      <c r="K13" s="65">
        <v>0</v>
      </c>
      <c r="L13" s="62" t="s">
        <v>826</v>
      </c>
      <c r="M13" s="63">
        <v>0</v>
      </c>
      <c r="N13" s="66">
        <f t="shared" si="2"/>
        <v>0</v>
      </c>
      <c r="O13" s="62" t="str">
        <f t="shared" si="3"/>
        <v>1: Critical (No DBWT + No Wk0)</v>
      </c>
    </row>
    <row r="14" spans="1:15" ht="15" customHeight="1" x14ac:dyDescent="0.4">
      <c r="A14" s="62" t="s">
        <v>824</v>
      </c>
      <c r="B14" s="62" t="s">
        <v>830</v>
      </c>
      <c r="C14" s="62" t="s">
        <v>826</v>
      </c>
      <c r="D14" s="63">
        <v>23</v>
      </c>
      <c r="E14" s="63">
        <v>12</v>
      </c>
      <c r="F14" s="63">
        <v>2</v>
      </c>
      <c r="G14" s="64">
        <f t="shared" si="0"/>
        <v>0.52173913043478259</v>
      </c>
      <c r="H14" s="64">
        <f t="shared" si="1"/>
        <v>8.6956521739130432E-2</v>
      </c>
      <c r="I14" s="63">
        <v>2</v>
      </c>
      <c r="J14" s="65">
        <v>93.057649999999995</v>
      </c>
      <c r="K14" s="65">
        <v>98.38</v>
      </c>
      <c r="L14" s="62" t="s">
        <v>825</v>
      </c>
      <c r="M14" s="63">
        <v>0</v>
      </c>
      <c r="N14" s="66">
        <f t="shared" si="2"/>
        <v>0.98</v>
      </c>
      <c r="O14" s="62" t="str">
        <f t="shared" si="3"/>
        <v>4: Engaged Early</v>
      </c>
    </row>
    <row r="15" spans="1:15" ht="15" customHeight="1" x14ac:dyDescent="0.4">
      <c r="A15" s="62" t="s">
        <v>824</v>
      </c>
      <c r="B15" s="62" t="s">
        <v>367</v>
      </c>
      <c r="C15" s="62" t="s">
        <v>825</v>
      </c>
      <c r="D15" s="63">
        <v>24</v>
      </c>
      <c r="E15" s="63">
        <v>17</v>
      </c>
      <c r="F15" s="63">
        <v>0</v>
      </c>
      <c r="G15" s="64">
        <f t="shared" si="0"/>
        <v>0.70833333333333337</v>
      </c>
      <c r="H15" s="64">
        <f t="shared" si="1"/>
        <v>0</v>
      </c>
      <c r="I15" s="63">
        <v>0</v>
      </c>
      <c r="J15" s="65"/>
      <c r="K15" s="65">
        <v>0</v>
      </c>
      <c r="L15" s="62" t="s">
        <v>826</v>
      </c>
      <c r="M15" s="63">
        <v>0</v>
      </c>
      <c r="N15" s="66">
        <f t="shared" si="2"/>
        <v>0</v>
      </c>
      <c r="O15" s="62" t="str">
        <f t="shared" si="3"/>
        <v>1: Critical (No DBWT + No Wk0)</v>
      </c>
    </row>
    <row r="16" spans="1:15" ht="15" customHeight="1" x14ac:dyDescent="0.4">
      <c r="A16" s="62" t="s">
        <v>824</v>
      </c>
      <c r="B16" s="62" t="s">
        <v>831</v>
      </c>
      <c r="C16" s="62" t="s">
        <v>826</v>
      </c>
      <c r="D16" s="63">
        <v>13</v>
      </c>
      <c r="E16" s="63">
        <v>11</v>
      </c>
      <c r="F16" s="63">
        <v>3</v>
      </c>
      <c r="G16" s="64">
        <f t="shared" si="0"/>
        <v>0.84615384615384615</v>
      </c>
      <c r="H16" s="64">
        <f t="shared" si="1"/>
        <v>0.23076923076923078</v>
      </c>
      <c r="I16" s="63">
        <v>2</v>
      </c>
      <c r="J16" s="65">
        <v>87.175150000000002</v>
      </c>
      <c r="K16" s="65">
        <v>97.37</v>
      </c>
      <c r="L16" s="62" t="s">
        <v>825</v>
      </c>
      <c r="M16" s="63">
        <v>0</v>
      </c>
      <c r="N16" s="66">
        <f t="shared" si="2"/>
        <v>0.96499999999999997</v>
      </c>
      <c r="O16" s="62" t="str">
        <f t="shared" si="3"/>
        <v>4: Engaged Early</v>
      </c>
    </row>
    <row r="17" spans="1:15" ht="15" customHeight="1" x14ac:dyDescent="0.4">
      <c r="A17" s="62" t="s">
        <v>824</v>
      </c>
      <c r="B17" s="62" t="s">
        <v>832</v>
      </c>
      <c r="C17" s="62" t="s">
        <v>826</v>
      </c>
      <c r="D17" s="63">
        <v>20</v>
      </c>
      <c r="E17" s="63">
        <v>17</v>
      </c>
      <c r="F17" s="63">
        <v>1</v>
      </c>
      <c r="G17" s="64">
        <f t="shared" si="0"/>
        <v>0.85</v>
      </c>
      <c r="H17" s="64">
        <f t="shared" si="1"/>
        <v>0.05</v>
      </c>
      <c r="I17" s="63">
        <v>2</v>
      </c>
      <c r="J17" s="65">
        <v>64.68235</v>
      </c>
      <c r="K17" s="65">
        <v>42.89</v>
      </c>
      <c r="L17" s="62" t="s">
        <v>825</v>
      </c>
      <c r="M17" s="63">
        <v>0</v>
      </c>
      <c r="N17" s="66">
        <f t="shared" si="2"/>
        <v>0.60399999999999998</v>
      </c>
      <c r="O17" s="62" t="str">
        <f t="shared" si="3"/>
        <v>4: Engaged Early</v>
      </c>
    </row>
    <row r="18" spans="1:15" ht="15" customHeight="1" x14ac:dyDescent="0.4">
      <c r="A18" s="62" t="s">
        <v>824</v>
      </c>
      <c r="B18" s="62" t="s">
        <v>833</v>
      </c>
      <c r="C18" s="62" t="s">
        <v>826</v>
      </c>
      <c r="D18" s="63">
        <v>13</v>
      </c>
      <c r="E18" s="63">
        <v>7</v>
      </c>
      <c r="F18" s="63">
        <v>1</v>
      </c>
      <c r="G18" s="64">
        <f t="shared" si="0"/>
        <v>0.53846153846153844</v>
      </c>
      <c r="H18" s="64">
        <f t="shared" si="1"/>
        <v>7.6923076923076927E-2</v>
      </c>
      <c r="I18" s="63">
        <v>2</v>
      </c>
      <c r="J18" s="65">
        <v>94.810249999999996</v>
      </c>
      <c r="K18" s="65">
        <v>57.26</v>
      </c>
      <c r="L18" s="62" t="s">
        <v>825</v>
      </c>
      <c r="M18" s="63">
        <v>0</v>
      </c>
      <c r="N18" s="66">
        <f t="shared" si="2"/>
        <v>0.73599999999999999</v>
      </c>
      <c r="O18" s="62" t="str">
        <f t="shared" si="3"/>
        <v>4: Engaged Early</v>
      </c>
    </row>
    <row r="19" spans="1:15" ht="15" customHeight="1" x14ac:dyDescent="0.4">
      <c r="A19" s="62" t="s">
        <v>824</v>
      </c>
      <c r="B19" s="62" t="s">
        <v>321</v>
      </c>
      <c r="C19" s="62" t="s">
        <v>825</v>
      </c>
      <c r="D19" s="63">
        <v>23</v>
      </c>
      <c r="E19" s="63">
        <v>18</v>
      </c>
      <c r="F19" s="63">
        <v>0</v>
      </c>
      <c r="G19" s="64">
        <f t="shared" si="0"/>
        <v>0.78260869565217395</v>
      </c>
      <c r="H19" s="64">
        <f t="shared" si="1"/>
        <v>0</v>
      </c>
      <c r="I19" s="63">
        <v>0</v>
      </c>
      <c r="J19" s="65"/>
      <c r="K19" s="65">
        <v>0</v>
      </c>
      <c r="L19" s="62" t="s">
        <v>826</v>
      </c>
      <c r="M19" s="63">
        <v>0</v>
      </c>
      <c r="N19" s="66">
        <f t="shared" si="2"/>
        <v>0</v>
      </c>
      <c r="O19" s="62" t="str">
        <f t="shared" si="3"/>
        <v>1: Critical (No DBWT + No Wk0)</v>
      </c>
    </row>
    <row r="20" spans="1:15" ht="15" customHeight="1" x14ac:dyDescent="0.4">
      <c r="A20" s="62" t="s">
        <v>824</v>
      </c>
      <c r="B20" s="62" t="s">
        <v>276</v>
      </c>
      <c r="C20" s="62" t="s">
        <v>825</v>
      </c>
      <c r="D20" s="63">
        <v>6</v>
      </c>
      <c r="E20" s="63">
        <v>3</v>
      </c>
      <c r="F20" s="63">
        <v>0</v>
      </c>
      <c r="G20" s="64">
        <f t="shared" si="0"/>
        <v>0.5</v>
      </c>
      <c r="H20" s="64">
        <f t="shared" si="1"/>
        <v>0</v>
      </c>
      <c r="I20" s="63">
        <v>0</v>
      </c>
      <c r="J20" s="65"/>
      <c r="K20" s="65">
        <v>0.05</v>
      </c>
      <c r="L20" s="62" t="s">
        <v>825</v>
      </c>
      <c r="M20" s="63">
        <v>0</v>
      </c>
      <c r="N20" s="66">
        <f t="shared" si="2"/>
        <v>0.25</v>
      </c>
      <c r="O20" s="62" t="str">
        <f t="shared" si="3"/>
        <v>3: Elevated (No Wk0)</v>
      </c>
    </row>
    <row r="21" spans="1:15" ht="15" customHeight="1" x14ac:dyDescent="0.4">
      <c r="A21" s="62" t="s">
        <v>824</v>
      </c>
      <c r="B21" s="62" t="s">
        <v>834</v>
      </c>
      <c r="C21" s="62" t="s">
        <v>826</v>
      </c>
      <c r="D21" s="63">
        <v>0</v>
      </c>
      <c r="E21" s="63">
        <v>0</v>
      </c>
      <c r="F21" s="63">
        <v>0</v>
      </c>
      <c r="G21" s="64">
        <f t="shared" si="0"/>
        <v>0</v>
      </c>
      <c r="H21" s="64">
        <f t="shared" si="1"/>
        <v>0</v>
      </c>
      <c r="I21" s="63">
        <v>0</v>
      </c>
      <c r="J21" s="65"/>
      <c r="K21" s="65">
        <v>1.0900000000000001</v>
      </c>
      <c r="L21" s="62" t="s">
        <v>826</v>
      </c>
      <c r="M21" s="63">
        <v>0</v>
      </c>
      <c r="N21" s="66">
        <f t="shared" si="2"/>
        <v>7.0000000000000001E-3</v>
      </c>
      <c r="O21" s="62" t="str">
        <f t="shared" si="3"/>
        <v>1: Critical (No DBWT + No Wk0)</v>
      </c>
    </row>
    <row r="22" spans="1:15" ht="15" customHeight="1" x14ac:dyDescent="0.4">
      <c r="A22" s="62" t="s">
        <v>824</v>
      </c>
      <c r="B22" s="62" t="s">
        <v>835</v>
      </c>
      <c r="C22" s="62" t="s">
        <v>826</v>
      </c>
      <c r="D22" s="63">
        <v>7</v>
      </c>
      <c r="E22" s="63">
        <v>2</v>
      </c>
      <c r="F22" s="63">
        <v>0</v>
      </c>
      <c r="G22" s="64">
        <f t="shared" si="0"/>
        <v>0.2857142857142857</v>
      </c>
      <c r="H22" s="64">
        <f t="shared" si="1"/>
        <v>0</v>
      </c>
      <c r="I22" s="63">
        <v>2</v>
      </c>
      <c r="J22" s="65">
        <v>79.335949999999997</v>
      </c>
      <c r="K22" s="65">
        <v>95.21</v>
      </c>
      <c r="L22" s="62" t="s">
        <v>825</v>
      </c>
      <c r="M22" s="63">
        <v>0</v>
      </c>
      <c r="N22" s="66">
        <f t="shared" si="2"/>
        <v>0.94</v>
      </c>
      <c r="O22" s="62" t="str">
        <f t="shared" si="3"/>
        <v>4: Engaged Early</v>
      </c>
    </row>
    <row r="23" spans="1:15" ht="15" customHeight="1" x14ac:dyDescent="0.4">
      <c r="A23" s="62" t="s">
        <v>824</v>
      </c>
      <c r="B23" s="62" t="s">
        <v>836</v>
      </c>
      <c r="C23" s="62" t="s">
        <v>826</v>
      </c>
      <c r="D23" s="63">
        <v>3</v>
      </c>
      <c r="E23" s="63">
        <v>2</v>
      </c>
      <c r="F23" s="63">
        <v>0</v>
      </c>
      <c r="G23" s="64">
        <f t="shared" si="0"/>
        <v>0.66666666666666663</v>
      </c>
      <c r="H23" s="64">
        <f t="shared" si="1"/>
        <v>0</v>
      </c>
      <c r="I23" s="63">
        <v>1</v>
      </c>
      <c r="J23" s="65">
        <v>34.46</v>
      </c>
      <c r="K23" s="65">
        <v>10.37</v>
      </c>
      <c r="L23" s="62" t="s">
        <v>825</v>
      </c>
      <c r="M23" s="63">
        <v>0</v>
      </c>
      <c r="N23" s="66">
        <f t="shared" si="2"/>
        <v>0.36399999999999999</v>
      </c>
      <c r="O23" s="62" t="str">
        <f t="shared" si="3"/>
        <v>4: Engaged Early</v>
      </c>
    </row>
    <row r="24" spans="1:15" ht="15" customHeight="1" x14ac:dyDescent="0.4">
      <c r="A24" s="62" t="s">
        <v>824</v>
      </c>
      <c r="B24" s="62" t="s">
        <v>837</v>
      </c>
      <c r="C24" s="62" t="s">
        <v>826</v>
      </c>
      <c r="D24" s="63">
        <v>21</v>
      </c>
      <c r="E24" s="63">
        <v>18</v>
      </c>
      <c r="F24" s="63">
        <v>6</v>
      </c>
      <c r="G24" s="64">
        <f t="shared" si="0"/>
        <v>0.8571428571428571</v>
      </c>
      <c r="H24" s="64">
        <f t="shared" si="1"/>
        <v>0.2857142857142857</v>
      </c>
      <c r="I24" s="63">
        <v>2</v>
      </c>
      <c r="J24" s="65">
        <v>97.273949999999999</v>
      </c>
      <c r="K24" s="65">
        <v>88.89</v>
      </c>
      <c r="L24" s="62" t="s">
        <v>825</v>
      </c>
      <c r="M24" s="63">
        <v>0</v>
      </c>
      <c r="N24" s="66">
        <f t="shared" si="2"/>
        <v>0.92900000000000005</v>
      </c>
      <c r="O24" s="62" t="str">
        <f t="shared" si="3"/>
        <v>4: Engaged Early</v>
      </c>
    </row>
    <row r="25" spans="1:15" ht="15" customHeight="1" x14ac:dyDescent="0.4">
      <c r="A25" s="62" t="s">
        <v>824</v>
      </c>
      <c r="B25" s="62" t="s">
        <v>838</v>
      </c>
      <c r="C25" s="62" t="s">
        <v>826</v>
      </c>
      <c r="D25" s="63">
        <v>5</v>
      </c>
      <c r="E25" s="63">
        <v>5</v>
      </c>
      <c r="F25" s="63">
        <v>0</v>
      </c>
      <c r="G25" s="64">
        <f t="shared" si="0"/>
        <v>1</v>
      </c>
      <c r="H25" s="64">
        <f t="shared" si="1"/>
        <v>0</v>
      </c>
      <c r="I25" s="63">
        <v>0</v>
      </c>
      <c r="J25" s="65"/>
      <c r="K25" s="65">
        <v>0</v>
      </c>
      <c r="L25" s="62" t="s">
        <v>826</v>
      </c>
      <c r="M25" s="63">
        <v>0</v>
      </c>
      <c r="N25" s="66">
        <f t="shared" si="2"/>
        <v>0</v>
      </c>
      <c r="O25" s="62" t="str">
        <f t="shared" si="3"/>
        <v>1: Critical (No DBWT + No Wk0)</v>
      </c>
    </row>
    <row r="26" spans="1:15" ht="15" customHeight="1" x14ac:dyDescent="0.4">
      <c r="A26" s="62" t="s">
        <v>824</v>
      </c>
      <c r="B26" s="62" t="s">
        <v>839</v>
      </c>
      <c r="C26" s="62" t="s">
        <v>826</v>
      </c>
      <c r="D26" s="63">
        <v>0</v>
      </c>
      <c r="E26" s="63">
        <v>0</v>
      </c>
      <c r="F26" s="63">
        <v>0</v>
      </c>
      <c r="G26" s="64">
        <f t="shared" si="0"/>
        <v>0</v>
      </c>
      <c r="H26" s="64">
        <f t="shared" si="1"/>
        <v>0</v>
      </c>
      <c r="I26" s="63">
        <v>0</v>
      </c>
      <c r="J26" s="65"/>
      <c r="K26" s="65">
        <v>49.93</v>
      </c>
      <c r="L26" s="62" t="s">
        <v>840</v>
      </c>
      <c r="M26" s="63">
        <v>0</v>
      </c>
      <c r="N26" s="66">
        <f t="shared" si="2"/>
        <v>0.375</v>
      </c>
      <c r="O26" s="62" t="str">
        <f t="shared" si="3"/>
        <v>3: Elevated (No Wk0)</v>
      </c>
    </row>
    <row r="27" spans="1:15" ht="15" customHeight="1" x14ac:dyDescent="0.4">
      <c r="A27" s="62" t="s">
        <v>824</v>
      </c>
      <c r="B27" s="62" t="s">
        <v>841</v>
      </c>
      <c r="C27" s="62" t="s">
        <v>826</v>
      </c>
      <c r="D27" s="63">
        <v>23</v>
      </c>
      <c r="E27" s="63">
        <v>22</v>
      </c>
      <c r="F27" s="63">
        <v>3</v>
      </c>
      <c r="G27" s="64">
        <f t="shared" si="0"/>
        <v>0.95652173913043481</v>
      </c>
      <c r="H27" s="64">
        <f t="shared" si="1"/>
        <v>0.13043478260869565</v>
      </c>
      <c r="I27" s="63">
        <v>2</v>
      </c>
      <c r="J27" s="65">
        <v>48.300660000000001</v>
      </c>
      <c r="K27" s="65">
        <v>82.13</v>
      </c>
      <c r="L27" s="62" t="s">
        <v>825</v>
      </c>
      <c r="M27" s="63">
        <v>0</v>
      </c>
      <c r="N27" s="66">
        <f t="shared" si="2"/>
        <v>0.81499999999999995</v>
      </c>
      <c r="O27" s="62" t="str">
        <f t="shared" si="3"/>
        <v>4: Engaged Early</v>
      </c>
    </row>
    <row r="28" spans="1:15" ht="15" customHeight="1" x14ac:dyDescent="0.4">
      <c r="A28" s="62" t="s">
        <v>824</v>
      </c>
      <c r="B28" s="62" t="s">
        <v>842</v>
      </c>
      <c r="C28" s="62" t="s">
        <v>826</v>
      </c>
      <c r="D28" s="63">
        <v>10</v>
      </c>
      <c r="E28" s="63">
        <v>6</v>
      </c>
      <c r="F28" s="63">
        <v>0</v>
      </c>
      <c r="G28" s="64">
        <f t="shared" si="0"/>
        <v>0.6</v>
      </c>
      <c r="H28" s="64">
        <f t="shared" si="1"/>
        <v>0</v>
      </c>
      <c r="I28" s="63">
        <v>1</v>
      </c>
      <c r="J28" s="65">
        <v>9.8750999999999998</v>
      </c>
      <c r="K28" s="65">
        <v>12.58</v>
      </c>
      <c r="L28" s="62" t="s">
        <v>825</v>
      </c>
      <c r="M28" s="63">
        <v>0</v>
      </c>
      <c r="N28" s="66">
        <f t="shared" si="2"/>
        <v>0.34</v>
      </c>
      <c r="O28" s="62" t="str">
        <f t="shared" si="3"/>
        <v>4: Engaged Early</v>
      </c>
    </row>
    <row r="29" spans="1:15" ht="15" customHeight="1" x14ac:dyDescent="0.4">
      <c r="A29" s="62" t="s">
        <v>824</v>
      </c>
      <c r="B29" s="62" t="s">
        <v>843</v>
      </c>
      <c r="C29" s="62" t="s">
        <v>826</v>
      </c>
      <c r="D29" s="63">
        <v>13</v>
      </c>
      <c r="E29" s="63">
        <v>8</v>
      </c>
      <c r="F29" s="63">
        <v>2</v>
      </c>
      <c r="G29" s="64">
        <f t="shared" si="0"/>
        <v>0.61538461538461542</v>
      </c>
      <c r="H29" s="64">
        <f t="shared" si="1"/>
        <v>0.15384615384615385</v>
      </c>
      <c r="I29" s="63">
        <v>2</v>
      </c>
      <c r="J29" s="65">
        <v>94.444999999999993</v>
      </c>
      <c r="K29" s="65">
        <v>100</v>
      </c>
      <c r="L29" s="62" t="s">
        <v>825</v>
      </c>
      <c r="M29" s="63">
        <v>0</v>
      </c>
      <c r="N29" s="66">
        <f t="shared" si="2"/>
        <v>0.99199999999999999</v>
      </c>
      <c r="O29" s="62" t="str">
        <f t="shared" si="3"/>
        <v>4: Engaged Early</v>
      </c>
    </row>
    <row r="30" spans="1:15" ht="15" customHeight="1" x14ac:dyDescent="0.4">
      <c r="A30" s="62" t="s">
        <v>824</v>
      </c>
      <c r="B30" s="62" t="s">
        <v>357</v>
      </c>
      <c r="C30" s="62" t="s">
        <v>825</v>
      </c>
      <c r="D30" s="63">
        <v>10</v>
      </c>
      <c r="E30" s="63">
        <v>10</v>
      </c>
      <c r="F30" s="63">
        <v>3</v>
      </c>
      <c r="G30" s="64">
        <f t="shared" si="0"/>
        <v>1</v>
      </c>
      <c r="H30" s="64">
        <f t="shared" si="1"/>
        <v>0.3</v>
      </c>
      <c r="I30" s="63">
        <v>1</v>
      </c>
      <c r="J30" s="65">
        <v>7.02</v>
      </c>
      <c r="K30" s="65">
        <v>9.39</v>
      </c>
      <c r="L30" s="62" t="s">
        <v>826</v>
      </c>
      <c r="M30" s="63">
        <v>0</v>
      </c>
      <c r="N30" s="66">
        <f t="shared" si="2"/>
        <v>6.7000000000000004E-2</v>
      </c>
      <c r="O30" s="62" t="str">
        <f t="shared" si="3"/>
        <v>2: High (No DBWT)</v>
      </c>
    </row>
    <row r="31" spans="1:15" ht="15" customHeight="1" x14ac:dyDescent="0.4">
      <c r="A31" s="62" t="s">
        <v>824</v>
      </c>
      <c r="B31" s="62" t="s">
        <v>844</v>
      </c>
      <c r="C31" s="62" t="s">
        <v>826</v>
      </c>
      <c r="D31" s="63">
        <v>10</v>
      </c>
      <c r="E31" s="63">
        <v>8</v>
      </c>
      <c r="F31" s="63">
        <v>2</v>
      </c>
      <c r="G31" s="64">
        <f t="shared" si="0"/>
        <v>0.8</v>
      </c>
      <c r="H31" s="64">
        <f t="shared" si="1"/>
        <v>0.2</v>
      </c>
      <c r="I31" s="63">
        <v>2</v>
      </c>
      <c r="J31" s="65">
        <v>99.846649999999997</v>
      </c>
      <c r="K31" s="65">
        <v>94.24</v>
      </c>
      <c r="L31" s="62" t="s">
        <v>825</v>
      </c>
      <c r="M31" s="63">
        <v>0</v>
      </c>
      <c r="N31" s="66">
        <f t="shared" si="2"/>
        <v>0.96499999999999997</v>
      </c>
      <c r="O31" s="62" t="str">
        <f t="shared" si="3"/>
        <v>4: Engaged Early</v>
      </c>
    </row>
    <row r="32" spans="1:15" ht="15" customHeight="1" x14ac:dyDescent="0.4">
      <c r="A32" s="62" t="s">
        <v>824</v>
      </c>
      <c r="B32" s="62" t="s">
        <v>262</v>
      </c>
      <c r="C32" s="62" t="s">
        <v>825</v>
      </c>
      <c r="D32" s="63">
        <v>3</v>
      </c>
      <c r="E32" s="63">
        <v>3</v>
      </c>
      <c r="F32" s="63">
        <v>0</v>
      </c>
      <c r="G32" s="64">
        <f t="shared" si="0"/>
        <v>1</v>
      </c>
      <c r="H32" s="64">
        <f t="shared" si="1"/>
        <v>0</v>
      </c>
      <c r="I32" s="63">
        <v>0</v>
      </c>
      <c r="J32" s="65"/>
      <c r="K32" s="65">
        <v>0</v>
      </c>
      <c r="L32" s="62" t="s">
        <v>826</v>
      </c>
      <c r="M32" s="63">
        <v>0</v>
      </c>
      <c r="N32" s="66">
        <f t="shared" si="2"/>
        <v>0</v>
      </c>
      <c r="O32" s="62" t="str">
        <f t="shared" si="3"/>
        <v>1: Critical (No DBWT + No Wk0)</v>
      </c>
    </row>
    <row r="33" spans="1:15" ht="15" customHeight="1" x14ac:dyDescent="0.4">
      <c r="A33" s="62" t="s">
        <v>824</v>
      </c>
      <c r="B33" s="62" t="s">
        <v>845</v>
      </c>
      <c r="C33" s="62" t="s">
        <v>826</v>
      </c>
      <c r="D33" s="63">
        <v>13</v>
      </c>
      <c r="E33" s="63">
        <v>1</v>
      </c>
      <c r="F33" s="63">
        <v>0</v>
      </c>
      <c r="G33" s="64">
        <f t="shared" si="0"/>
        <v>7.6923076923076927E-2</v>
      </c>
      <c r="H33" s="64">
        <f t="shared" si="1"/>
        <v>0</v>
      </c>
      <c r="I33" s="63">
        <v>2</v>
      </c>
      <c r="J33" s="65">
        <v>99.752549999999999</v>
      </c>
      <c r="K33" s="65">
        <v>100</v>
      </c>
      <c r="L33" s="62" t="s">
        <v>825</v>
      </c>
      <c r="M33" s="63">
        <v>0</v>
      </c>
      <c r="N33" s="66">
        <f t="shared" si="2"/>
        <v>1</v>
      </c>
      <c r="O33" s="62" t="str">
        <f t="shared" si="3"/>
        <v>4: Engaged Early</v>
      </c>
    </row>
    <row r="34" spans="1:15" ht="15" customHeight="1" x14ac:dyDescent="0.4">
      <c r="A34" s="62" t="s">
        <v>824</v>
      </c>
      <c r="B34" s="62" t="s">
        <v>523</v>
      </c>
      <c r="C34" s="62" t="s">
        <v>825</v>
      </c>
      <c r="D34" s="63">
        <v>13</v>
      </c>
      <c r="E34" s="63">
        <v>0</v>
      </c>
      <c r="F34" s="63">
        <v>0</v>
      </c>
      <c r="G34" s="64">
        <f t="shared" si="0"/>
        <v>0</v>
      </c>
      <c r="H34" s="64">
        <f t="shared" si="1"/>
        <v>0</v>
      </c>
      <c r="I34" s="63">
        <v>2</v>
      </c>
      <c r="J34" s="65">
        <v>68.114750000000001</v>
      </c>
      <c r="K34" s="65">
        <v>16.84</v>
      </c>
      <c r="L34" s="62" t="s">
        <v>825</v>
      </c>
      <c r="M34" s="63">
        <v>0</v>
      </c>
      <c r="N34" s="66">
        <f t="shared" si="2"/>
        <v>0.45300000000000001</v>
      </c>
      <c r="O34" s="62" t="str">
        <f t="shared" si="3"/>
        <v>4: Engaged Early</v>
      </c>
    </row>
    <row r="35" spans="1:15" ht="15" customHeight="1" x14ac:dyDescent="0.4">
      <c r="A35" s="62" t="s">
        <v>824</v>
      </c>
      <c r="B35" s="62" t="s">
        <v>846</v>
      </c>
      <c r="C35" s="62" t="s">
        <v>826</v>
      </c>
      <c r="D35" s="63">
        <v>15</v>
      </c>
      <c r="E35" s="63">
        <v>9</v>
      </c>
      <c r="F35" s="63">
        <v>1</v>
      </c>
      <c r="G35" s="64">
        <f t="shared" si="0"/>
        <v>0.6</v>
      </c>
      <c r="H35" s="64">
        <f t="shared" si="1"/>
        <v>6.6666666666666666E-2</v>
      </c>
      <c r="I35" s="63">
        <v>2</v>
      </c>
      <c r="J35" s="65">
        <v>88.036249999999995</v>
      </c>
      <c r="K35" s="65">
        <v>100</v>
      </c>
      <c r="L35" s="62" t="s">
        <v>825</v>
      </c>
      <c r="M35" s="63">
        <v>0</v>
      </c>
      <c r="N35" s="66">
        <f t="shared" si="2"/>
        <v>0.98199999999999998</v>
      </c>
      <c r="O35" s="62" t="str">
        <f t="shared" si="3"/>
        <v>4: Engaged Early</v>
      </c>
    </row>
    <row r="36" spans="1:15" ht="15" customHeight="1" x14ac:dyDescent="0.4">
      <c r="A36" s="62" t="s">
        <v>824</v>
      </c>
      <c r="B36" s="62" t="s">
        <v>847</v>
      </c>
      <c r="C36" s="62" t="s">
        <v>826</v>
      </c>
      <c r="D36" s="63">
        <v>22</v>
      </c>
      <c r="E36" s="63">
        <v>12</v>
      </c>
      <c r="F36" s="63">
        <v>1</v>
      </c>
      <c r="G36" s="64">
        <f t="shared" si="0"/>
        <v>0.54545454545454541</v>
      </c>
      <c r="H36" s="64">
        <f t="shared" si="1"/>
        <v>4.5454545454545456E-2</v>
      </c>
      <c r="I36" s="63">
        <v>2</v>
      </c>
      <c r="J36" s="65">
        <v>85.013249999999999</v>
      </c>
      <c r="K36" s="65">
        <v>34.520000000000003</v>
      </c>
      <c r="L36" s="62" t="s">
        <v>825</v>
      </c>
      <c r="M36" s="63">
        <v>0</v>
      </c>
      <c r="N36" s="66">
        <f t="shared" si="2"/>
        <v>0.58499999999999996</v>
      </c>
      <c r="O36" s="62" t="str">
        <f t="shared" si="3"/>
        <v>4: Engaged Early</v>
      </c>
    </row>
    <row r="37" spans="1:15" ht="15" customHeight="1" x14ac:dyDescent="0.4">
      <c r="A37" s="62" t="s">
        <v>824</v>
      </c>
      <c r="B37" s="62" t="s">
        <v>848</v>
      </c>
      <c r="C37" s="62" t="s">
        <v>826</v>
      </c>
      <c r="D37" s="63">
        <v>17</v>
      </c>
      <c r="E37" s="63">
        <v>5</v>
      </c>
      <c r="F37" s="63">
        <v>0</v>
      </c>
      <c r="G37" s="64">
        <f t="shared" si="0"/>
        <v>0.29411764705882354</v>
      </c>
      <c r="H37" s="64">
        <f t="shared" si="1"/>
        <v>0</v>
      </c>
      <c r="I37" s="63">
        <v>2</v>
      </c>
      <c r="J37" s="65">
        <v>94.791650000000004</v>
      </c>
      <c r="K37" s="65">
        <v>100</v>
      </c>
      <c r="L37" s="62" t="s">
        <v>825</v>
      </c>
      <c r="M37" s="63">
        <v>0</v>
      </c>
      <c r="N37" s="66">
        <f t="shared" si="2"/>
        <v>0.99199999999999999</v>
      </c>
      <c r="O37" s="62" t="str">
        <f t="shared" si="3"/>
        <v>4: Engaged Early</v>
      </c>
    </row>
    <row r="38" spans="1:15" ht="15" customHeight="1" x14ac:dyDescent="0.4">
      <c r="A38" s="62" t="s">
        <v>824</v>
      </c>
      <c r="B38" s="62" t="s">
        <v>351</v>
      </c>
      <c r="C38" s="62" t="s">
        <v>825</v>
      </c>
      <c r="D38" s="63">
        <v>4</v>
      </c>
      <c r="E38" s="63">
        <v>4</v>
      </c>
      <c r="F38" s="63">
        <v>2</v>
      </c>
      <c r="G38" s="64">
        <f t="shared" si="0"/>
        <v>1</v>
      </c>
      <c r="H38" s="64">
        <f t="shared" si="1"/>
        <v>0.5</v>
      </c>
      <c r="I38" s="63">
        <v>1</v>
      </c>
      <c r="J38" s="65">
        <v>38.61</v>
      </c>
      <c r="K38" s="65">
        <v>9.65</v>
      </c>
      <c r="L38" s="62" t="s">
        <v>825</v>
      </c>
      <c r="M38" s="63">
        <v>0</v>
      </c>
      <c r="N38" s="66">
        <f t="shared" si="2"/>
        <v>0.36599999999999999</v>
      </c>
      <c r="O38" s="62" t="str">
        <f t="shared" si="3"/>
        <v>4: Engaged Early</v>
      </c>
    </row>
    <row r="39" spans="1:15" ht="15" customHeight="1" x14ac:dyDescent="0.4">
      <c r="A39" s="62" t="s">
        <v>824</v>
      </c>
      <c r="B39" s="62" t="s">
        <v>407</v>
      </c>
      <c r="C39" s="62" t="s">
        <v>825</v>
      </c>
      <c r="D39" s="63">
        <v>15</v>
      </c>
      <c r="E39" s="63">
        <v>10</v>
      </c>
      <c r="F39" s="63">
        <v>0</v>
      </c>
      <c r="G39" s="64">
        <f t="shared" si="0"/>
        <v>0.66666666666666663</v>
      </c>
      <c r="H39" s="64">
        <f t="shared" si="1"/>
        <v>0</v>
      </c>
      <c r="I39" s="63">
        <v>0</v>
      </c>
      <c r="J39" s="65"/>
      <c r="K39" s="65">
        <v>0</v>
      </c>
      <c r="L39" s="62" t="s">
        <v>825</v>
      </c>
      <c r="M39" s="63">
        <v>0</v>
      </c>
      <c r="N39" s="66">
        <f t="shared" si="2"/>
        <v>0.25</v>
      </c>
      <c r="O39" s="62" t="str">
        <f t="shared" si="3"/>
        <v>3: Elevated (No Wk0)</v>
      </c>
    </row>
    <row r="40" spans="1:15" ht="15" customHeight="1" x14ac:dyDescent="0.4">
      <c r="A40" s="62" t="s">
        <v>824</v>
      </c>
      <c r="B40" s="62" t="s">
        <v>849</v>
      </c>
      <c r="C40" s="62" t="s">
        <v>826</v>
      </c>
      <c r="D40" s="63">
        <v>13</v>
      </c>
      <c r="E40" s="63">
        <v>7</v>
      </c>
      <c r="F40" s="63">
        <v>1</v>
      </c>
      <c r="G40" s="64">
        <f t="shared" si="0"/>
        <v>0.53846153846153844</v>
      </c>
      <c r="H40" s="64">
        <f t="shared" si="1"/>
        <v>7.6923076923076927E-2</v>
      </c>
      <c r="I40" s="63">
        <v>1</v>
      </c>
      <c r="J40" s="65">
        <v>63.56</v>
      </c>
      <c r="K40" s="65">
        <v>53.3</v>
      </c>
      <c r="L40" s="62" t="s">
        <v>825</v>
      </c>
      <c r="M40" s="63">
        <v>0</v>
      </c>
      <c r="N40" s="66">
        <f t="shared" si="2"/>
        <v>0.66500000000000004</v>
      </c>
      <c r="O40" s="62" t="str">
        <f t="shared" si="3"/>
        <v>4: Engaged Early</v>
      </c>
    </row>
    <row r="41" spans="1:15" ht="15" customHeight="1" x14ac:dyDescent="0.4">
      <c r="A41" s="62" t="s">
        <v>824</v>
      </c>
      <c r="B41" s="62" t="s">
        <v>850</v>
      </c>
      <c r="C41" s="62" t="s">
        <v>826</v>
      </c>
      <c r="D41" s="63">
        <v>23</v>
      </c>
      <c r="E41" s="63">
        <v>22</v>
      </c>
      <c r="F41" s="63">
        <v>0</v>
      </c>
      <c r="G41" s="64">
        <f t="shared" si="0"/>
        <v>0.95652173913043481</v>
      </c>
      <c r="H41" s="64">
        <f t="shared" si="1"/>
        <v>0</v>
      </c>
      <c r="I41" s="63">
        <v>1</v>
      </c>
      <c r="J41" s="65">
        <v>78.11</v>
      </c>
      <c r="K41" s="65">
        <v>69.87</v>
      </c>
      <c r="L41" s="62" t="s">
        <v>825</v>
      </c>
      <c r="M41" s="63">
        <v>0</v>
      </c>
      <c r="N41" s="66">
        <f t="shared" si="2"/>
        <v>0.78600000000000003</v>
      </c>
      <c r="O41" s="62" t="str">
        <f t="shared" si="3"/>
        <v>4: Engaged Early</v>
      </c>
    </row>
    <row r="42" spans="1:15" ht="15" customHeight="1" x14ac:dyDescent="0.4">
      <c r="A42" s="62" t="s">
        <v>824</v>
      </c>
      <c r="B42" s="62" t="s">
        <v>746</v>
      </c>
      <c r="C42" s="62" t="s">
        <v>825</v>
      </c>
      <c r="D42" s="63">
        <v>4</v>
      </c>
      <c r="E42" s="63">
        <v>0</v>
      </c>
      <c r="F42" s="63">
        <v>0</v>
      </c>
      <c r="G42" s="64">
        <f t="shared" si="0"/>
        <v>0</v>
      </c>
      <c r="H42" s="64">
        <f t="shared" si="1"/>
        <v>0</v>
      </c>
      <c r="I42" s="63">
        <v>0</v>
      </c>
      <c r="J42" s="65"/>
      <c r="K42" s="65">
        <v>0</v>
      </c>
      <c r="L42" s="62" t="s">
        <v>826</v>
      </c>
      <c r="M42" s="63">
        <v>0</v>
      </c>
      <c r="N42" s="66">
        <f t="shared" si="2"/>
        <v>0</v>
      </c>
      <c r="O42" s="62" t="str">
        <f t="shared" si="3"/>
        <v>1: Critical (No DBWT + No Wk0)</v>
      </c>
    </row>
    <row r="43" spans="1:15" ht="15" customHeight="1" x14ac:dyDescent="0.4">
      <c r="A43" s="62" t="s">
        <v>824</v>
      </c>
      <c r="B43" s="62" t="s">
        <v>851</v>
      </c>
      <c r="C43" s="62" t="s">
        <v>826</v>
      </c>
      <c r="D43" s="63">
        <v>26</v>
      </c>
      <c r="E43" s="63">
        <v>9</v>
      </c>
      <c r="F43" s="63">
        <v>0</v>
      </c>
      <c r="G43" s="64">
        <f t="shared" si="0"/>
        <v>0.34615384615384615</v>
      </c>
      <c r="H43" s="64">
        <f t="shared" si="1"/>
        <v>0</v>
      </c>
      <c r="I43" s="63">
        <v>0</v>
      </c>
      <c r="J43" s="65"/>
      <c r="K43" s="65">
        <v>0</v>
      </c>
      <c r="L43" s="62" t="s">
        <v>826</v>
      </c>
      <c r="M43" s="63">
        <v>0</v>
      </c>
      <c r="N43" s="66">
        <f t="shared" si="2"/>
        <v>0</v>
      </c>
      <c r="O43" s="62" t="str">
        <f t="shared" si="3"/>
        <v>1: Critical (No DBWT + No Wk0)</v>
      </c>
    </row>
    <row r="44" spans="1:15" ht="15" customHeight="1" x14ac:dyDescent="0.4">
      <c r="A44" s="62" t="s">
        <v>824</v>
      </c>
      <c r="B44" s="62" t="s">
        <v>299</v>
      </c>
      <c r="C44" s="62" t="s">
        <v>825</v>
      </c>
      <c r="D44" s="63">
        <v>23</v>
      </c>
      <c r="E44" s="63">
        <v>12</v>
      </c>
      <c r="F44" s="63">
        <v>0</v>
      </c>
      <c r="G44" s="64">
        <f t="shared" si="0"/>
        <v>0.52173913043478259</v>
      </c>
      <c r="H44" s="64">
        <f t="shared" si="1"/>
        <v>0</v>
      </c>
      <c r="I44" s="63">
        <v>0</v>
      </c>
      <c r="J44" s="65"/>
      <c r="K44" s="65">
        <v>0</v>
      </c>
      <c r="L44" s="62" t="s">
        <v>826</v>
      </c>
      <c r="M44" s="63">
        <v>0</v>
      </c>
      <c r="N44" s="66">
        <f t="shared" si="2"/>
        <v>0</v>
      </c>
      <c r="O44" s="62" t="str">
        <f t="shared" si="3"/>
        <v>1: Critical (No DBWT + No Wk0)</v>
      </c>
    </row>
    <row r="45" spans="1:15" ht="15" customHeight="1" x14ac:dyDescent="0.4">
      <c r="A45" s="62" t="s">
        <v>824</v>
      </c>
      <c r="B45" s="62" t="s">
        <v>309</v>
      </c>
      <c r="C45" s="62" t="s">
        <v>825</v>
      </c>
      <c r="D45" s="63">
        <v>25</v>
      </c>
      <c r="E45" s="63">
        <v>15</v>
      </c>
      <c r="F45" s="63">
        <v>3</v>
      </c>
      <c r="G45" s="64">
        <f t="shared" si="0"/>
        <v>0.6</v>
      </c>
      <c r="H45" s="64">
        <f t="shared" si="1"/>
        <v>0.12</v>
      </c>
      <c r="I45" s="63">
        <v>0</v>
      </c>
      <c r="J45" s="65"/>
      <c r="K45" s="65">
        <v>0</v>
      </c>
      <c r="L45" s="62" t="s">
        <v>825</v>
      </c>
      <c r="M45" s="63">
        <v>0</v>
      </c>
      <c r="N45" s="66">
        <f t="shared" si="2"/>
        <v>0.25</v>
      </c>
      <c r="O45" s="62" t="str">
        <f t="shared" si="3"/>
        <v>3: Elevated (No Wk0)</v>
      </c>
    </row>
    <row r="46" spans="1:15" ht="15" customHeight="1" x14ac:dyDescent="0.4">
      <c r="A46" s="62" t="s">
        <v>824</v>
      </c>
      <c r="B46" s="62" t="s">
        <v>365</v>
      </c>
      <c r="C46" s="62" t="s">
        <v>825</v>
      </c>
      <c r="D46" s="63">
        <v>10</v>
      </c>
      <c r="E46" s="63">
        <v>7</v>
      </c>
      <c r="F46" s="63">
        <v>0</v>
      </c>
      <c r="G46" s="64">
        <f t="shared" si="0"/>
        <v>0.7</v>
      </c>
      <c r="H46" s="64">
        <f t="shared" si="1"/>
        <v>0</v>
      </c>
      <c r="I46" s="63">
        <v>0</v>
      </c>
      <c r="J46" s="65"/>
      <c r="K46" s="65">
        <v>0</v>
      </c>
      <c r="L46" s="62" t="s">
        <v>826</v>
      </c>
      <c r="M46" s="63">
        <v>0</v>
      </c>
      <c r="N46" s="66">
        <f t="shared" si="2"/>
        <v>0</v>
      </c>
      <c r="O46" s="62" t="str">
        <f t="shared" si="3"/>
        <v>1: Critical (No DBWT + No Wk0)</v>
      </c>
    </row>
    <row r="47" spans="1:15" ht="15" customHeight="1" x14ac:dyDescent="0.4">
      <c r="A47" s="62" t="s">
        <v>824</v>
      </c>
      <c r="B47" s="62" t="s">
        <v>517</v>
      </c>
      <c r="C47" s="62" t="s">
        <v>825</v>
      </c>
      <c r="D47" s="63">
        <v>15</v>
      </c>
      <c r="E47" s="63">
        <v>2</v>
      </c>
      <c r="F47" s="63">
        <v>0</v>
      </c>
      <c r="G47" s="64">
        <f t="shared" si="0"/>
        <v>0.13333333333333333</v>
      </c>
      <c r="H47" s="64">
        <f t="shared" si="1"/>
        <v>0</v>
      </c>
      <c r="I47" s="63">
        <v>0</v>
      </c>
      <c r="J47" s="65"/>
      <c r="K47" s="65">
        <v>0</v>
      </c>
      <c r="L47" s="62" t="s">
        <v>825</v>
      </c>
      <c r="M47" s="63">
        <v>0</v>
      </c>
      <c r="N47" s="66">
        <f t="shared" si="2"/>
        <v>0.25</v>
      </c>
      <c r="O47" s="62" t="str">
        <f t="shared" si="3"/>
        <v>3: Elevated (No Wk0)</v>
      </c>
    </row>
    <row r="48" spans="1:15" ht="15" customHeight="1" x14ac:dyDescent="0.4">
      <c r="A48" s="62" t="s">
        <v>824</v>
      </c>
      <c r="B48" s="62" t="s">
        <v>852</v>
      </c>
      <c r="C48" s="62" t="s">
        <v>826</v>
      </c>
      <c r="D48" s="63">
        <v>0</v>
      </c>
      <c r="E48" s="63">
        <v>0</v>
      </c>
      <c r="F48" s="63">
        <v>0</v>
      </c>
      <c r="G48" s="64">
        <f t="shared" si="0"/>
        <v>0</v>
      </c>
      <c r="H48" s="64">
        <f t="shared" si="1"/>
        <v>0</v>
      </c>
      <c r="I48" s="63">
        <v>0</v>
      </c>
      <c r="J48" s="65"/>
      <c r="K48" s="65">
        <v>0</v>
      </c>
      <c r="L48" s="62" t="s">
        <v>840</v>
      </c>
      <c r="M48" s="63">
        <v>0</v>
      </c>
      <c r="N48" s="66">
        <f t="shared" si="2"/>
        <v>7.4999999999999997E-2</v>
      </c>
      <c r="O48" s="62" t="str">
        <f t="shared" si="3"/>
        <v>3: Elevated (No Wk0)</v>
      </c>
    </row>
    <row r="49" spans="1:15" ht="15" customHeight="1" x14ac:dyDescent="0.4">
      <c r="A49" s="62" t="s">
        <v>824</v>
      </c>
      <c r="B49" s="62" t="s">
        <v>435</v>
      </c>
      <c r="C49" s="62" t="s">
        <v>825</v>
      </c>
      <c r="D49" s="63">
        <v>3</v>
      </c>
      <c r="E49" s="63">
        <v>2</v>
      </c>
      <c r="F49" s="63">
        <v>1</v>
      </c>
      <c r="G49" s="64">
        <f t="shared" si="0"/>
        <v>0.66666666666666663</v>
      </c>
      <c r="H49" s="64">
        <f t="shared" si="1"/>
        <v>0.33333333333333331</v>
      </c>
      <c r="I49" s="63">
        <v>1</v>
      </c>
      <c r="J49" s="65">
        <v>82.35</v>
      </c>
      <c r="K49" s="65">
        <v>16.670000000000002</v>
      </c>
      <c r="L49" s="62" t="s">
        <v>826</v>
      </c>
      <c r="M49" s="63">
        <v>0</v>
      </c>
      <c r="N49" s="66">
        <f t="shared" si="2"/>
        <v>0.224</v>
      </c>
      <c r="O49" s="62" t="str">
        <f t="shared" si="3"/>
        <v>2: High (No DBWT)</v>
      </c>
    </row>
    <row r="50" spans="1:15" ht="15" customHeight="1" x14ac:dyDescent="0.4">
      <c r="A50" s="62" t="s">
        <v>824</v>
      </c>
      <c r="B50" s="62" t="s">
        <v>853</v>
      </c>
      <c r="C50" s="62" t="s">
        <v>826</v>
      </c>
      <c r="D50" s="63">
        <v>22</v>
      </c>
      <c r="E50" s="63">
        <v>20</v>
      </c>
      <c r="F50" s="63">
        <v>6</v>
      </c>
      <c r="G50" s="64">
        <f t="shared" si="0"/>
        <v>0.90909090909090906</v>
      </c>
      <c r="H50" s="64">
        <f t="shared" si="1"/>
        <v>0.27272727272727271</v>
      </c>
      <c r="I50" s="63">
        <v>2</v>
      </c>
      <c r="J50" s="65">
        <v>83.798050000000003</v>
      </c>
      <c r="K50" s="65">
        <v>100</v>
      </c>
      <c r="L50" s="62" t="s">
        <v>825</v>
      </c>
      <c r="M50" s="63">
        <v>1</v>
      </c>
      <c r="N50" s="66">
        <f t="shared" si="2"/>
        <v>0.97599999999999998</v>
      </c>
      <c r="O50" s="62" t="str">
        <f t="shared" si="3"/>
        <v>4: Engaged Early</v>
      </c>
    </row>
    <row r="51" spans="1:15" ht="15" customHeight="1" x14ac:dyDescent="0.4">
      <c r="A51" s="62" t="s">
        <v>824</v>
      </c>
      <c r="B51" s="62" t="s">
        <v>389</v>
      </c>
      <c r="C51" s="62" t="s">
        <v>825</v>
      </c>
      <c r="D51" s="63">
        <v>10</v>
      </c>
      <c r="E51" s="63">
        <v>9</v>
      </c>
      <c r="F51" s="63">
        <v>2</v>
      </c>
      <c r="G51" s="64">
        <f t="shared" si="0"/>
        <v>0.9</v>
      </c>
      <c r="H51" s="64">
        <f t="shared" si="1"/>
        <v>0.2</v>
      </c>
      <c r="I51" s="63">
        <v>1</v>
      </c>
      <c r="J51" s="65">
        <v>81.58</v>
      </c>
      <c r="K51" s="65">
        <v>16.670000000000002</v>
      </c>
      <c r="L51" s="62" t="s">
        <v>825</v>
      </c>
      <c r="M51" s="63">
        <v>0</v>
      </c>
      <c r="N51" s="66">
        <f t="shared" si="2"/>
        <v>0.47199999999999998</v>
      </c>
      <c r="O51" s="62" t="str">
        <f t="shared" si="3"/>
        <v>4: Engaged Early</v>
      </c>
    </row>
    <row r="52" spans="1:15" ht="15" customHeight="1" x14ac:dyDescent="0.4">
      <c r="A52" s="62" t="s">
        <v>824</v>
      </c>
      <c r="B52" s="62" t="s">
        <v>854</v>
      </c>
      <c r="C52" s="62" t="s">
        <v>826</v>
      </c>
      <c r="D52" s="63">
        <v>18</v>
      </c>
      <c r="E52" s="63">
        <v>18</v>
      </c>
      <c r="F52" s="63">
        <v>1</v>
      </c>
      <c r="G52" s="64">
        <f t="shared" si="0"/>
        <v>1</v>
      </c>
      <c r="H52" s="64">
        <f t="shared" si="1"/>
        <v>5.5555555555555552E-2</v>
      </c>
      <c r="I52" s="63">
        <v>1</v>
      </c>
      <c r="J52" s="65">
        <v>44.887599999999999</v>
      </c>
      <c r="K52" s="65">
        <v>74.41</v>
      </c>
      <c r="L52" s="62" t="s">
        <v>825</v>
      </c>
      <c r="M52" s="63">
        <v>1</v>
      </c>
      <c r="N52" s="66">
        <f t="shared" si="2"/>
        <v>0.76400000000000001</v>
      </c>
      <c r="O52" s="62" t="str">
        <f t="shared" si="3"/>
        <v>4: Engaged Early</v>
      </c>
    </row>
    <row r="53" spans="1:15" ht="15" customHeight="1" x14ac:dyDescent="0.4">
      <c r="A53" s="62" t="s">
        <v>824</v>
      </c>
      <c r="B53" s="62" t="s">
        <v>855</v>
      </c>
      <c r="C53" s="62" t="s">
        <v>826</v>
      </c>
      <c r="D53" s="63">
        <v>17</v>
      </c>
      <c r="E53" s="63">
        <v>12</v>
      </c>
      <c r="F53" s="63">
        <v>0</v>
      </c>
      <c r="G53" s="64">
        <f t="shared" si="0"/>
        <v>0.70588235294117652</v>
      </c>
      <c r="H53" s="64">
        <f t="shared" si="1"/>
        <v>0</v>
      </c>
      <c r="I53" s="63">
        <v>1</v>
      </c>
      <c r="J53" s="65">
        <v>90.63</v>
      </c>
      <c r="K53" s="65">
        <v>85.01</v>
      </c>
      <c r="L53" s="62" t="s">
        <v>825</v>
      </c>
      <c r="M53" s="63">
        <v>0</v>
      </c>
      <c r="N53" s="66">
        <f t="shared" si="2"/>
        <v>0.89600000000000002</v>
      </c>
      <c r="O53" s="62" t="str">
        <f t="shared" si="3"/>
        <v>4: Engaged Early</v>
      </c>
    </row>
    <row r="54" spans="1:15" ht="15" customHeight="1" x14ac:dyDescent="0.4">
      <c r="A54" s="62" t="s">
        <v>824</v>
      </c>
      <c r="B54" s="62" t="s">
        <v>856</v>
      </c>
      <c r="C54" s="62" t="s">
        <v>826</v>
      </c>
      <c r="D54" s="63">
        <v>14</v>
      </c>
      <c r="E54" s="63">
        <v>10</v>
      </c>
      <c r="F54" s="63">
        <v>2</v>
      </c>
      <c r="G54" s="64">
        <f t="shared" si="0"/>
        <v>0.7142857142857143</v>
      </c>
      <c r="H54" s="64">
        <f t="shared" si="1"/>
        <v>0.14285714285714285</v>
      </c>
      <c r="I54" s="63">
        <v>2</v>
      </c>
      <c r="J54" s="65">
        <v>96.391149999999996</v>
      </c>
      <c r="K54" s="65">
        <v>100</v>
      </c>
      <c r="L54" s="62" t="s">
        <v>825</v>
      </c>
      <c r="M54" s="63">
        <v>0</v>
      </c>
      <c r="N54" s="66">
        <f t="shared" si="2"/>
        <v>0.995</v>
      </c>
      <c r="O54" s="62" t="str">
        <f t="shared" si="3"/>
        <v>4: Engaged Early</v>
      </c>
    </row>
    <row r="55" spans="1:15" ht="15" customHeight="1" x14ac:dyDescent="0.4">
      <c r="A55" s="62" t="s">
        <v>824</v>
      </c>
      <c r="B55" s="62" t="s">
        <v>857</v>
      </c>
      <c r="C55" s="62" t="s">
        <v>826</v>
      </c>
      <c r="D55" s="63">
        <v>13</v>
      </c>
      <c r="E55" s="63">
        <v>10</v>
      </c>
      <c r="F55" s="63">
        <v>0</v>
      </c>
      <c r="G55" s="64">
        <f t="shared" si="0"/>
        <v>0.76923076923076927</v>
      </c>
      <c r="H55" s="64">
        <f t="shared" si="1"/>
        <v>0</v>
      </c>
      <c r="I55" s="63">
        <v>2</v>
      </c>
      <c r="J55" s="65">
        <v>96.551150000000007</v>
      </c>
      <c r="K55" s="65">
        <v>86.51</v>
      </c>
      <c r="L55" s="62" t="s">
        <v>825</v>
      </c>
      <c r="M55" s="63">
        <v>0</v>
      </c>
      <c r="N55" s="66">
        <f t="shared" si="2"/>
        <v>0.91400000000000003</v>
      </c>
      <c r="O55" s="62" t="str">
        <f t="shared" si="3"/>
        <v>4: Engaged Early</v>
      </c>
    </row>
    <row r="56" spans="1:15" ht="15" customHeight="1" x14ac:dyDescent="0.4">
      <c r="A56" s="62" t="s">
        <v>824</v>
      </c>
      <c r="B56" s="62" t="s">
        <v>858</v>
      </c>
      <c r="C56" s="62" t="s">
        <v>826</v>
      </c>
      <c r="D56" s="63">
        <v>9</v>
      </c>
      <c r="E56" s="63">
        <v>7</v>
      </c>
      <c r="F56" s="63">
        <v>2</v>
      </c>
      <c r="G56" s="64">
        <f t="shared" si="0"/>
        <v>0.77777777777777779</v>
      </c>
      <c r="H56" s="64">
        <f t="shared" si="1"/>
        <v>0.22222222222222221</v>
      </c>
      <c r="I56" s="63">
        <v>2</v>
      </c>
      <c r="J56" s="65">
        <v>81.040450000000007</v>
      </c>
      <c r="K56" s="65">
        <v>90.04</v>
      </c>
      <c r="L56" s="62" t="s">
        <v>825</v>
      </c>
      <c r="M56" s="63">
        <v>0</v>
      </c>
      <c r="N56" s="66">
        <f t="shared" si="2"/>
        <v>0.91200000000000003</v>
      </c>
      <c r="O56" s="62" t="str">
        <f t="shared" si="3"/>
        <v>4: Engaged Early</v>
      </c>
    </row>
    <row r="57" spans="1:15" ht="15" customHeight="1" x14ac:dyDescent="0.4">
      <c r="A57" s="62" t="s">
        <v>824</v>
      </c>
      <c r="B57" s="62" t="s">
        <v>859</v>
      </c>
      <c r="C57" s="62" t="s">
        <v>826</v>
      </c>
      <c r="D57" s="63">
        <v>17</v>
      </c>
      <c r="E57" s="63">
        <v>13</v>
      </c>
      <c r="F57" s="63">
        <v>2</v>
      </c>
      <c r="G57" s="64">
        <f t="shared" si="0"/>
        <v>0.76470588235294112</v>
      </c>
      <c r="H57" s="64">
        <f t="shared" si="1"/>
        <v>0.11764705882352941</v>
      </c>
      <c r="I57" s="63">
        <v>2</v>
      </c>
      <c r="J57" s="65">
        <v>50.039349999999999</v>
      </c>
      <c r="K57" s="65">
        <v>80.12</v>
      </c>
      <c r="L57" s="62" t="s">
        <v>825</v>
      </c>
      <c r="M57" s="63">
        <v>1</v>
      </c>
      <c r="N57" s="66">
        <f t="shared" si="2"/>
        <v>0.80600000000000005</v>
      </c>
      <c r="O57" s="62" t="str">
        <f t="shared" si="3"/>
        <v>4: Engaged Early</v>
      </c>
    </row>
    <row r="58" spans="1:15" ht="15" customHeight="1" x14ac:dyDescent="0.4">
      <c r="A58" s="62" t="s">
        <v>824</v>
      </c>
      <c r="B58" s="62" t="s">
        <v>860</v>
      </c>
      <c r="C58" s="62" t="s">
        <v>826</v>
      </c>
      <c r="D58" s="63">
        <v>17</v>
      </c>
      <c r="E58" s="63">
        <v>5</v>
      </c>
      <c r="F58" s="63">
        <v>5</v>
      </c>
      <c r="G58" s="64">
        <f t="shared" si="0"/>
        <v>0.29411764705882354</v>
      </c>
      <c r="H58" s="64">
        <f t="shared" si="1"/>
        <v>0.29411764705882354</v>
      </c>
      <c r="I58" s="63">
        <v>2</v>
      </c>
      <c r="J58" s="65">
        <v>99.453649999999996</v>
      </c>
      <c r="K58" s="65">
        <v>100</v>
      </c>
      <c r="L58" s="62" t="s">
        <v>825</v>
      </c>
      <c r="M58" s="63">
        <v>0</v>
      </c>
      <c r="N58" s="66">
        <f t="shared" si="2"/>
        <v>0.999</v>
      </c>
      <c r="O58" s="62" t="str">
        <f t="shared" si="3"/>
        <v>4: Engaged Early</v>
      </c>
    </row>
    <row r="59" spans="1:15" ht="15" customHeight="1" x14ac:dyDescent="0.4">
      <c r="A59" s="62" t="s">
        <v>824</v>
      </c>
      <c r="B59" s="62" t="s">
        <v>861</v>
      </c>
      <c r="C59" s="62" t="s">
        <v>826</v>
      </c>
      <c r="D59" s="63">
        <v>6</v>
      </c>
      <c r="E59" s="63">
        <v>4</v>
      </c>
      <c r="F59" s="63">
        <v>2</v>
      </c>
      <c r="G59" s="64">
        <f t="shared" si="0"/>
        <v>0.66666666666666663</v>
      </c>
      <c r="H59" s="64">
        <f t="shared" si="1"/>
        <v>0.33333333333333331</v>
      </c>
      <c r="I59" s="63">
        <v>2</v>
      </c>
      <c r="J59" s="65">
        <v>89.304500000000004</v>
      </c>
      <c r="K59" s="65">
        <v>100</v>
      </c>
      <c r="L59" s="62" t="s">
        <v>825</v>
      </c>
      <c r="M59" s="63">
        <v>1</v>
      </c>
      <c r="N59" s="66">
        <f t="shared" si="2"/>
        <v>0.98399999999999999</v>
      </c>
      <c r="O59" s="62" t="str">
        <f t="shared" si="3"/>
        <v>4: Engaged Early</v>
      </c>
    </row>
    <row r="60" spans="1:15" ht="15" customHeight="1" x14ac:dyDescent="0.4">
      <c r="A60" s="62" t="s">
        <v>824</v>
      </c>
      <c r="B60" s="62" t="s">
        <v>862</v>
      </c>
      <c r="C60" s="62" t="s">
        <v>826</v>
      </c>
      <c r="D60" s="63">
        <v>22</v>
      </c>
      <c r="E60" s="63">
        <v>21</v>
      </c>
      <c r="F60" s="63">
        <v>2</v>
      </c>
      <c r="G60" s="64">
        <f t="shared" si="0"/>
        <v>0.95454545454545459</v>
      </c>
      <c r="H60" s="64">
        <f t="shared" si="1"/>
        <v>9.0909090909090912E-2</v>
      </c>
      <c r="I60" s="63">
        <v>2</v>
      </c>
      <c r="J60" s="65">
        <v>70.752549999999999</v>
      </c>
      <c r="K60" s="65">
        <v>93.35</v>
      </c>
      <c r="L60" s="62" t="s">
        <v>825</v>
      </c>
      <c r="M60" s="63">
        <v>0</v>
      </c>
      <c r="N60" s="66">
        <f t="shared" si="2"/>
        <v>0.91600000000000004</v>
      </c>
      <c r="O60" s="62" t="str">
        <f t="shared" si="3"/>
        <v>4: Engaged Early</v>
      </c>
    </row>
    <row r="61" spans="1:15" ht="15" customHeight="1" x14ac:dyDescent="0.4">
      <c r="A61" s="62" t="s">
        <v>824</v>
      </c>
      <c r="B61" s="62" t="s">
        <v>863</v>
      </c>
      <c r="C61" s="62" t="s">
        <v>826</v>
      </c>
      <c r="D61" s="63">
        <v>10</v>
      </c>
      <c r="E61" s="63">
        <v>8</v>
      </c>
      <c r="F61" s="63">
        <v>3</v>
      </c>
      <c r="G61" s="64">
        <f t="shared" si="0"/>
        <v>0.8</v>
      </c>
      <c r="H61" s="64">
        <f t="shared" si="1"/>
        <v>0.3</v>
      </c>
      <c r="I61" s="63">
        <v>2</v>
      </c>
      <c r="J61" s="65">
        <v>89.165549999999996</v>
      </c>
      <c r="K61" s="65">
        <v>99.89</v>
      </c>
      <c r="L61" s="62" t="s">
        <v>825</v>
      </c>
      <c r="M61" s="63">
        <v>0</v>
      </c>
      <c r="N61" s="66">
        <f t="shared" si="2"/>
        <v>0.98299999999999998</v>
      </c>
      <c r="O61" s="62" t="str">
        <f t="shared" si="3"/>
        <v>4: Engaged Early</v>
      </c>
    </row>
    <row r="62" spans="1:15" ht="15" customHeight="1" x14ac:dyDescent="0.4">
      <c r="A62" s="62" t="s">
        <v>824</v>
      </c>
      <c r="B62" s="62" t="s">
        <v>864</v>
      </c>
      <c r="C62" s="62" t="s">
        <v>826</v>
      </c>
      <c r="D62" s="63">
        <v>8</v>
      </c>
      <c r="E62" s="63">
        <v>7</v>
      </c>
      <c r="F62" s="63">
        <v>3</v>
      </c>
      <c r="G62" s="64">
        <f t="shared" si="0"/>
        <v>0.875</v>
      </c>
      <c r="H62" s="64">
        <f t="shared" si="1"/>
        <v>0.375</v>
      </c>
      <c r="I62" s="63">
        <v>2</v>
      </c>
      <c r="J62" s="65">
        <v>84.799400000000006</v>
      </c>
      <c r="K62" s="65">
        <v>100</v>
      </c>
      <c r="L62" s="62" t="s">
        <v>825</v>
      </c>
      <c r="M62" s="63">
        <v>0</v>
      </c>
      <c r="N62" s="66">
        <f t="shared" si="2"/>
        <v>0.97699999999999998</v>
      </c>
      <c r="O62" s="62" t="str">
        <f t="shared" si="3"/>
        <v>4: Engaged Early</v>
      </c>
    </row>
    <row r="63" spans="1:15" ht="15" customHeight="1" x14ac:dyDescent="0.4">
      <c r="A63" s="62" t="s">
        <v>824</v>
      </c>
      <c r="B63" s="62" t="s">
        <v>865</v>
      </c>
      <c r="C63" s="62" t="s">
        <v>826</v>
      </c>
      <c r="D63" s="63">
        <v>15</v>
      </c>
      <c r="E63" s="63">
        <v>14</v>
      </c>
      <c r="F63" s="63">
        <v>1</v>
      </c>
      <c r="G63" s="64">
        <f t="shared" si="0"/>
        <v>0.93333333333333335</v>
      </c>
      <c r="H63" s="64">
        <f t="shared" si="1"/>
        <v>6.6666666666666666E-2</v>
      </c>
      <c r="I63" s="63">
        <v>2</v>
      </c>
      <c r="J63" s="65">
        <v>98.205299999999994</v>
      </c>
      <c r="K63" s="65">
        <v>100</v>
      </c>
      <c r="L63" s="62" t="s">
        <v>825</v>
      </c>
      <c r="M63" s="63">
        <v>0</v>
      </c>
      <c r="N63" s="66">
        <f t="shared" si="2"/>
        <v>0.997</v>
      </c>
      <c r="O63" s="62" t="str">
        <f t="shared" si="3"/>
        <v>4: Engaged Early</v>
      </c>
    </row>
    <row r="64" spans="1:15" ht="15" customHeight="1" x14ac:dyDescent="0.4">
      <c r="A64" s="62" t="s">
        <v>824</v>
      </c>
      <c r="B64" s="62" t="s">
        <v>866</v>
      </c>
      <c r="C64" s="62" t="s">
        <v>826</v>
      </c>
      <c r="D64" s="63">
        <v>12</v>
      </c>
      <c r="E64" s="63">
        <v>8</v>
      </c>
      <c r="F64" s="63">
        <v>0</v>
      </c>
      <c r="G64" s="64">
        <f t="shared" si="0"/>
        <v>0.66666666666666663</v>
      </c>
      <c r="H64" s="64">
        <f t="shared" si="1"/>
        <v>0</v>
      </c>
      <c r="I64" s="63">
        <v>2</v>
      </c>
      <c r="J64" s="65">
        <v>87.804500000000004</v>
      </c>
      <c r="K64" s="65">
        <v>100</v>
      </c>
      <c r="L64" s="62" t="s">
        <v>825</v>
      </c>
      <c r="M64" s="63">
        <v>0</v>
      </c>
      <c r="N64" s="66">
        <f t="shared" si="2"/>
        <v>0.98199999999999998</v>
      </c>
      <c r="O64" s="62" t="str">
        <f t="shared" si="3"/>
        <v>4: Engaged Early</v>
      </c>
    </row>
    <row r="65" spans="1:15" ht="15" customHeight="1" x14ac:dyDescent="0.4">
      <c r="A65" s="62" t="s">
        <v>824</v>
      </c>
      <c r="B65" s="62" t="s">
        <v>867</v>
      </c>
      <c r="C65" s="62" t="s">
        <v>826</v>
      </c>
      <c r="D65" s="63">
        <v>12</v>
      </c>
      <c r="E65" s="63">
        <v>3</v>
      </c>
      <c r="F65" s="63">
        <v>2</v>
      </c>
      <c r="G65" s="64">
        <f t="shared" si="0"/>
        <v>0.25</v>
      </c>
      <c r="H65" s="64">
        <f t="shared" si="1"/>
        <v>0.16666666666666666</v>
      </c>
      <c r="I65" s="63">
        <v>2</v>
      </c>
      <c r="J65" s="65">
        <v>99.655000000000001</v>
      </c>
      <c r="K65" s="65">
        <v>92.49</v>
      </c>
      <c r="L65" s="62" t="s">
        <v>825</v>
      </c>
      <c r="M65" s="63">
        <v>1</v>
      </c>
      <c r="N65" s="66">
        <f t="shared" si="2"/>
        <v>0.95399999999999996</v>
      </c>
      <c r="O65" s="62" t="str">
        <f t="shared" si="3"/>
        <v>4: Engaged Early</v>
      </c>
    </row>
    <row r="66" spans="1:15" ht="15" customHeight="1" x14ac:dyDescent="0.4">
      <c r="A66" s="62" t="s">
        <v>824</v>
      </c>
      <c r="B66" s="62" t="s">
        <v>303</v>
      </c>
      <c r="C66" s="62" t="s">
        <v>825</v>
      </c>
      <c r="D66" s="63">
        <v>24</v>
      </c>
      <c r="E66" s="63">
        <v>22</v>
      </c>
      <c r="F66" s="63">
        <v>4</v>
      </c>
      <c r="G66" s="64">
        <f t="shared" ref="G66:G129" si="4">IFERROR(E66/D66,0)</f>
        <v>0.91666666666666663</v>
      </c>
      <c r="H66" s="64">
        <f t="shared" ref="H66:H129" si="5">IFERROR(F66/D66,0)</f>
        <v>0.16666666666666666</v>
      </c>
      <c r="I66" s="63">
        <v>1</v>
      </c>
      <c r="J66" s="65">
        <v>71.23</v>
      </c>
      <c r="K66" s="65">
        <v>33.049999999999997</v>
      </c>
      <c r="L66" s="62" t="s">
        <v>826</v>
      </c>
      <c r="M66" s="63">
        <v>0</v>
      </c>
      <c r="N66" s="66">
        <f t="shared" ref="N66:N129" si="6">ROUND(IFERROR(K66/100,0)*0.6 + IF(L66="Yes",1,IF(L66="No",0,0.3))*0.25 + IFERROR(J66/100,0)*0.15,3)</f>
        <v>0.30499999999999999</v>
      </c>
      <c r="O66" s="62" t="str">
        <f t="shared" ref="O66:O129" si="7">IF(AND(L66="No",I66=0),"1: Critical (No DBWT + No Wk0)",IF(L66="No","2: High (No DBWT)",IF(I66=0,"3: Elevated (No Wk0)","4: Engaged Early")))</f>
        <v>2: High (No DBWT)</v>
      </c>
    </row>
    <row r="67" spans="1:15" ht="15" customHeight="1" x14ac:dyDescent="0.4">
      <c r="A67" s="62" t="s">
        <v>824</v>
      </c>
      <c r="B67" s="62" t="s">
        <v>868</v>
      </c>
      <c r="C67" s="62" t="s">
        <v>826</v>
      </c>
      <c r="D67" s="63">
        <v>3</v>
      </c>
      <c r="E67" s="63">
        <v>3</v>
      </c>
      <c r="F67" s="63">
        <v>0</v>
      </c>
      <c r="G67" s="64">
        <f t="shared" si="4"/>
        <v>1</v>
      </c>
      <c r="H67" s="64">
        <f t="shared" si="5"/>
        <v>0</v>
      </c>
      <c r="I67" s="63">
        <v>2</v>
      </c>
      <c r="J67" s="65">
        <v>94.275000000000006</v>
      </c>
      <c r="K67" s="65">
        <v>100</v>
      </c>
      <c r="L67" s="62" t="s">
        <v>825</v>
      </c>
      <c r="M67" s="63">
        <v>1</v>
      </c>
      <c r="N67" s="66">
        <f t="shared" si="6"/>
        <v>0.99099999999999999</v>
      </c>
      <c r="O67" s="62" t="str">
        <f t="shared" si="7"/>
        <v>4: Engaged Early</v>
      </c>
    </row>
    <row r="68" spans="1:15" ht="15" customHeight="1" x14ac:dyDescent="0.4">
      <c r="A68" s="62" t="s">
        <v>824</v>
      </c>
      <c r="B68" s="62" t="s">
        <v>335</v>
      </c>
      <c r="C68" s="62" t="s">
        <v>825</v>
      </c>
      <c r="D68" s="63">
        <v>20</v>
      </c>
      <c r="E68" s="63">
        <v>20</v>
      </c>
      <c r="F68" s="63">
        <v>8</v>
      </c>
      <c r="G68" s="64">
        <f t="shared" si="4"/>
        <v>1</v>
      </c>
      <c r="H68" s="64">
        <f t="shared" si="5"/>
        <v>0.4</v>
      </c>
      <c r="I68" s="63">
        <v>2</v>
      </c>
      <c r="J68" s="65">
        <v>93.1999</v>
      </c>
      <c r="K68" s="65">
        <v>75</v>
      </c>
      <c r="L68" s="62" t="s">
        <v>826</v>
      </c>
      <c r="M68" s="63">
        <v>1</v>
      </c>
      <c r="N68" s="66">
        <f t="shared" si="6"/>
        <v>0.59</v>
      </c>
      <c r="O68" s="62" t="str">
        <f t="shared" si="7"/>
        <v>2: High (No DBWT)</v>
      </c>
    </row>
    <row r="69" spans="1:15" ht="15" customHeight="1" x14ac:dyDescent="0.4">
      <c r="A69" s="62" t="s">
        <v>824</v>
      </c>
      <c r="B69" s="62" t="s">
        <v>869</v>
      </c>
      <c r="C69" s="62" t="s">
        <v>826</v>
      </c>
      <c r="D69" s="63">
        <v>5</v>
      </c>
      <c r="E69" s="63">
        <v>4</v>
      </c>
      <c r="F69" s="63">
        <v>0</v>
      </c>
      <c r="G69" s="64">
        <f t="shared" si="4"/>
        <v>0.8</v>
      </c>
      <c r="H69" s="64">
        <f t="shared" si="5"/>
        <v>0</v>
      </c>
      <c r="I69" s="63">
        <v>2</v>
      </c>
      <c r="J69" s="65">
        <v>57.850099999999998</v>
      </c>
      <c r="K69" s="65">
        <v>82.43</v>
      </c>
      <c r="L69" s="62" t="s">
        <v>825</v>
      </c>
      <c r="M69" s="63">
        <v>0</v>
      </c>
      <c r="N69" s="66">
        <f t="shared" si="6"/>
        <v>0.83099999999999996</v>
      </c>
      <c r="O69" s="62" t="str">
        <f t="shared" si="7"/>
        <v>4: Engaged Early</v>
      </c>
    </row>
    <row r="70" spans="1:15" ht="15" customHeight="1" x14ac:dyDescent="0.4">
      <c r="A70" s="62" t="s">
        <v>824</v>
      </c>
      <c r="B70" s="62" t="s">
        <v>621</v>
      </c>
      <c r="C70" s="62" t="s">
        <v>825</v>
      </c>
      <c r="D70" s="63">
        <v>13</v>
      </c>
      <c r="E70" s="63">
        <v>4</v>
      </c>
      <c r="F70" s="63">
        <v>1</v>
      </c>
      <c r="G70" s="64">
        <f t="shared" si="4"/>
        <v>0.30769230769230771</v>
      </c>
      <c r="H70" s="64">
        <f t="shared" si="5"/>
        <v>7.6923076923076927E-2</v>
      </c>
      <c r="I70" s="63">
        <v>0</v>
      </c>
      <c r="J70" s="65"/>
      <c r="K70" s="65">
        <v>0</v>
      </c>
      <c r="L70" s="62" t="s">
        <v>826</v>
      </c>
      <c r="M70" s="63">
        <v>0</v>
      </c>
      <c r="N70" s="66">
        <f t="shared" si="6"/>
        <v>0</v>
      </c>
      <c r="O70" s="62" t="str">
        <f t="shared" si="7"/>
        <v>1: Critical (No DBWT + No Wk0)</v>
      </c>
    </row>
    <row r="71" spans="1:15" ht="15" customHeight="1" x14ac:dyDescent="0.4">
      <c r="A71" s="62" t="s">
        <v>824</v>
      </c>
      <c r="B71" s="62" t="s">
        <v>233</v>
      </c>
      <c r="C71" s="62" t="s">
        <v>826</v>
      </c>
      <c r="D71" s="63">
        <v>10</v>
      </c>
      <c r="E71" s="63">
        <v>7</v>
      </c>
      <c r="F71" s="63">
        <v>3</v>
      </c>
      <c r="G71" s="64">
        <f t="shared" si="4"/>
        <v>0.7</v>
      </c>
      <c r="H71" s="64">
        <f t="shared" si="5"/>
        <v>0.3</v>
      </c>
      <c r="I71" s="63">
        <v>2</v>
      </c>
      <c r="J71" s="65">
        <v>99.947900000000004</v>
      </c>
      <c r="K71" s="65">
        <v>100</v>
      </c>
      <c r="L71" s="62" t="s">
        <v>825</v>
      </c>
      <c r="M71" s="63">
        <v>0</v>
      </c>
      <c r="N71" s="66">
        <f t="shared" si="6"/>
        <v>1</v>
      </c>
      <c r="O71" s="62" t="str">
        <f t="shared" si="7"/>
        <v>4: Engaged Early</v>
      </c>
    </row>
    <row r="72" spans="1:15" ht="15" customHeight="1" x14ac:dyDescent="0.4">
      <c r="A72" s="62" t="s">
        <v>824</v>
      </c>
      <c r="B72" s="62" t="s">
        <v>381</v>
      </c>
      <c r="C72" s="62" t="s">
        <v>825</v>
      </c>
      <c r="D72" s="63">
        <v>13</v>
      </c>
      <c r="E72" s="63">
        <v>9</v>
      </c>
      <c r="F72" s="63">
        <v>2</v>
      </c>
      <c r="G72" s="64">
        <f t="shared" si="4"/>
        <v>0.69230769230769229</v>
      </c>
      <c r="H72" s="64">
        <f t="shared" si="5"/>
        <v>0.15384615384615385</v>
      </c>
      <c r="I72" s="63">
        <v>0</v>
      </c>
      <c r="J72" s="65"/>
      <c r="K72" s="65">
        <v>0.21</v>
      </c>
      <c r="L72" s="62" t="s">
        <v>826</v>
      </c>
      <c r="M72" s="63">
        <v>0</v>
      </c>
      <c r="N72" s="66">
        <f t="shared" si="6"/>
        <v>1E-3</v>
      </c>
      <c r="O72" s="62" t="str">
        <f t="shared" si="7"/>
        <v>1: Critical (No DBWT + No Wk0)</v>
      </c>
    </row>
    <row r="73" spans="1:15" ht="15" customHeight="1" x14ac:dyDescent="0.4">
      <c r="A73" s="62" t="s">
        <v>824</v>
      </c>
      <c r="B73" s="62" t="s">
        <v>870</v>
      </c>
      <c r="C73" s="62" t="s">
        <v>826</v>
      </c>
      <c r="D73" s="63">
        <v>22</v>
      </c>
      <c r="E73" s="63">
        <v>12</v>
      </c>
      <c r="F73" s="63">
        <v>3</v>
      </c>
      <c r="G73" s="64">
        <f t="shared" si="4"/>
        <v>0.54545454545454541</v>
      </c>
      <c r="H73" s="64">
        <f t="shared" si="5"/>
        <v>0.13636363636363635</v>
      </c>
      <c r="I73" s="63">
        <v>1</v>
      </c>
      <c r="J73" s="65">
        <v>73.73</v>
      </c>
      <c r="K73" s="65">
        <v>41.47</v>
      </c>
      <c r="L73" s="62" t="s">
        <v>825</v>
      </c>
      <c r="M73" s="63">
        <v>0</v>
      </c>
      <c r="N73" s="66">
        <f t="shared" si="6"/>
        <v>0.60899999999999999</v>
      </c>
      <c r="O73" s="62" t="str">
        <f t="shared" si="7"/>
        <v>4: Engaged Early</v>
      </c>
    </row>
    <row r="74" spans="1:15" ht="15" customHeight="1" x14ac:dyDescent="0.4">
      <c r="A74" s="62" t="s">
        <v>824</v>
      </c>
      <c r="B74" s="62" t="s">
        <v>871</v>
      </c>
      <c r="C74" s="62" t="s">
        <v>826</v>
      </c>
      <c r="D74" s="63">
        <v>15</v>
      </c>
      <c r="E74" s="63">
        <v>7</v>
      </c>
      <c r="F74" s="63">
        <v>5</v>
      </c>
      <c r="G74" s="64">
        <f t="shared" si="4"/>
        <v>0.46666666666666667</v>
      </c>
      <c r="H74" s="64">
        <f t="shared" si="5"/>
        <v>0.33333333333333331</v>
      </c>
      <c r="I74" s="63">
        <v>2</v>
      </c>
      <c r="J74" s="65">
        <v>69.737200000000001</v>
      </c>
      <c r="K74" s="65">
        <v>80.06</v>
      </c>
      <c r="L74" s="62" t="s">
        <v>825</v>
      </c>
      <c r="M74" s="63">
        <v>0</v>
      </c>
      <c r="N74" s="66">
        <f t="shared" si="6"/>
        <v>0.83499999999999996</v>
      </c>
      <c r="O74" s="62" t="str">
        <f t="shared" si="7"/>
        <v>4: Engaged Early</v>
      </c>
    </row>
    <row r="75" spans="1:15" ht="15" customHeight="1" x14ac:dyDescent="0.4">
      <c r="A75" s="62" t="s">
        <v>824</v>
      </c>
      <c r="B75" s="62" t="s">
        <v>872</v>
      </c>
      <c r="C75" s="62" t="s">
        <v>826</v>
      </c>
      <c r="D75" s="63">
        <v>21</v>
      </c>
      <c r="E75" s="63">
        <v>17</v>
      </c>
      <c r="F75" s="63">
        <v>1</v>
      </c>
      <c r="G75" s="64">
        <f t="shared" si="4"/>
        <v>0.80952380952380953</v>
      </c>
      <c r="H75" s="64">
        <f t="shared" si="5"/>
        <v>4.7619047619047616E-2</v>
      </c>
      <c r="I75" s="63">
        <v>2</v>
      </c>
      <c r="J75" s="65">
        <v>98.61</v>
      </c>
      <c r="K75" s="65">
        <v>100</v>
      </c>
      <c r="L75" s="62" t="s">
        <v>825</v>
      </c>
      <c r="M75" s="63">
        <v>0</v>
      </c>
      <c r="N75" s="66">
        <f t="shared" si="6"/>
        <v>0.998</v>
      </c>
      <c r="O75" s="62" t="str">
        <f t="shared" si="7"/>
        <v>4: Engaged Early</v>
      </c>
    </row>
    <row r="76" spans="1:15" ht="15" customHeight="1" x14ac:dyDescent="0.4">
      <c r="A76" s="62" t="s">
        <v>824</v>
      </c>
      <c r="B76" s="62" t="s">
        <v>533</v>
      </c>
      <c r="C76" s="62" t="s">
        <v>825</v>
      </c>
      <c r="D76" s="63">
        <v>26</v>
      </c>
      <c r="E76" s="63">
        <v>3</v>
      </c>
      <c r="F76" s="63">
        <v>0</v>
      </c>
      <c r="G76" s="64">
        <f t="shared" si="4"/>
        <v>0.11538461538461539</v>
      </c>
      <c r="H76" s="64">
        <f t="shared" si="5"/>
        <v>0</v>
      </c>
      <c r="I76" s="63">
        <v>1</v>
      </c>
      <c r="J76" s="65">
        <v>80.75</v>
      </c>
      <c r="K76" s="65">
        <v>16.670000000000002</v>
      </c>
      <c r="L76" s="62" t="s">
        <v>825</v>
      </c>
      <c r="M76" s="63">
        <v>0</v>
      </c>
      <c r="N76" s="66">
        <f t="shared" si="6"/>
        <v>0.47099999999999997</v>
      </c>
      <c r="O76" s="62" t="str">
        <f t="shared" si="7"/>
        <v>4: Engaged Early</v>
      </c>
    </row>
    <row r="77" spans="1:15" ht="15" customHeight="1" x14ac:dyDescent="0.4">
      <c r="A77" s="62" t="s">
        <v>824</v>
      </c>
      <c r="B77" s="62" t="s">
        <v>873</v>
      </c>
      <c r="C77" s="62" t="s">
        <v>826</v>
      </c>
      <c r="D77" s="63">
        <v>25</v>
      </c>
      <c r="E77" s="63">
        <v>18</v>
      </c>
      <c r="F77" s="63">
        <v>4</v>
      </c>
      <c r="G77" s="64">
        <f t="shared" si="4"/>
        <v>0.72</v>
      </c>
      <c r="H77" s="64">
        <f t="shared" si="5"/>
        <v>0.16</v>
      </c>
      <c r="I77" s="63">
        <v>2</v>
      </c>
      <c r="J77" s="65">
        <v>85.038499999999999</v>
      </c>
      <c r="K77" s="65">
        <v>100</v>
      </c>
      <c r="L77" s="62" t="s">
        <v>825</v>
      </c>
      <c r="M77" s="63">
        <v>1</v>
      </c>
      <c r="N77" s="66">
        <f t="shared" si="6"/>
        <v>0.97799999999999998</v>
      </c>
      <c r="O77" s="62" t="str">
        <f t="shared" si="7"/>
        <v>4: Engaged Early</v>
      </c>
    </row>
    <row r="78" spans="1:15" ht="15" customHeight="1" x14ac:dyDescent="0.4">
      <c r="A78" s="62" t="s">
        <v>824</v>
      </c>
      <c r="B78" s="62" t="s">
        <v>443</v>
      </c>
      <c r="C78" s="62" t="s">
        <v>825</v>
      </c>
      <c r="D78" s="63">
        <v>10</v>
      </c>
      <c r="E78" s="63">
        <v>9</v>
      </c>
      <c r="F78" s="63">
        <v>6</v>
      </c>
      <c r="G78" s="64">
        <f t="shared" si="4"/>
        <v>0.9</v>
      </c>
      <c r="H78" s="64">
        <f t="shared" si="5"/>
        <v>0.6</v>
      </c>
      <c r="I78" s="63">
        <v>2</v>
      </c>
      <c r="J78" s="65">
        <v>61.441699999999997</v>
      </c>
      <c r="K78" s="65">
        <v>24.32</v>
      </c>
      <c r="L78" s="62" t="s">
        <v>826</v>
      </c>
      <c r="M78" s="63">
        <v>0</v>
      </c>
      <c r="N78" s="66">
        <f t="shared" si="6"/>
        <v>0.23799999999999999</v>
      </c>
      <c r="O78" s="62" t="str">
        <f t="shared" si="7"/>
        <v>2: High (No DBWT)</v>
      </c>
    </row>
    <row r="79" spans="1:15" ht="15" customHeight="1" x14ac:dyDescent="0.4">
      <c r="A79" s="62" t="s">
        <v>824</v>
      </c>
      <c r="B79" s="62" t="s">
        <v>874</v>
      </c>
      <c r="C79" s="62" t="s">
        <v>826</v>
      </c>
      <c r="D79" s="63">
        <v>12</v>
      </c>
      <c r="E79" s="63">
        <v>11</v>
      </c>
      <c r="F79" s="63">
        <v>8</v>
      </c>
      <c r="G79" s="64">
        <f t="shared" si="4"/>
        <v>0.91666666666666663</v>
      </c>
      <c r="H79" s="64">
        <f t="shared" si="5"/>
        <v>0.66666666666666663</v>
      </c>
      <c r="I79" s="63">
        <v>2</v>
      </c>
      <c r="J79" s="65">
        <v>82.036000000000001</v>
      </c>
      <c r="K79" s="65">
        <v>100</v>
      </c>
      <c r="L79" s="62" t="s">
        <v>825</v>
      </c>
      <c r="M79" s="63">
        <v>0</v>
      </c>
      <c r="N79" s="66">
        <f t="shared" si="6"/>
        <v>0.97299999999999998</v>
      </c>
      <c r="O79" s="62" t="str">
        <f t="shared" si="7"/>
        <v>4: Engaged Early</v>
      </c>
    </row>
    <row r="80" spans="1:15" ht="15" customHeight="1" x14ac:dyDescent="0.4">
      <c r="A80" s="62" t="s">
        <v>824</v>
      </c>
      <c r="B80" s="62" t="s">
        <v>875</v>
      </c>
      <c r="C80" s="62" t="s">
        <v>826</v>
      </c>
      <c r="D80" s="63">
        <v>13</v>
      </c>
      <c r="E80" s="63">
        <v>3</v>
      </c>
      <c r="F80" s="63">
        <v>1</v>
      </c>
      <c r="G80" s="64">
        <f t="shared" si="4"/>
        <v>0.23076923076923078</v>
      </c>
      <c r="H80" s="64">
        <f t="shared" si="5"/>
        <v>7.6923076923076927E-2</v>
      </c>
      <c r="I80" s="63">
        <v>0</v>
      </c>
      <c r="J80" s="65"/>
      <c r="K80" s="65">
        <v>0</v>
      </c>
      <c r="L80" s="62" t="s">
        <v>826</v>
      </c>
      <c r="M80" s="63">
        <v>0</v>
      </c>
      <c r="N80" s="66">
        <f t="shared" si="6"/>
        <v>0</v>
      </c>
      <c r="O80" s="62" t="str">
        <f t="shared" si="7"/>
        <v>1: Critical (No DBWT + No Wk0)</v>
      </c>
    </row>
    <row r="81" spans="1:15" ht="15" customHeight="1" x14ac:dyDescent="0.4">
      <c r="A81" s="62" t="s">
        <v>824</v>
      </c>
      <c r="B81" s="62" t="s">
        <v>706</v>
      </c>
      <c r="C81" s="62" t="s">
        <v>825</v>
      </c>
      <c r="D81" s="63">
        <v>10</v>
      </c>
      <c r="E81" s="63">
        <v>6</v>
      </c>
      <c r="F81" s="63">
        <v>2</v>
      </c>
      <c r="G81" s="64">
        <f t="shared" si="4"/>
        <v>0.6</v>
      </c>
      <c r="H81" s="64">
        <f t="shared" si="5"/>
        <v>0.2</v>
      </c>
      <c r="I81" s="63">
        <v>2</v>
      </c>
      <c r="J81" s="65">
        <v>45.78125</v>
      </c>
      <c r="K81" s="65">
        <v>14.81</v>
      </c>
      <c r="L81" s="62" t="s">
        <v>826</v>
      </c>
      <c r="M81" s="63">
        <v>0</v>
      </c>
      <c r="N81" s="66">
        <f t="shared" si="6"/>
        <v>0.158</v>
      </c>
      <c r="O81" s="62" t="str">
        <f t="shared" si="7"/>
        <v>2: High (No DBWT)</v>
      </c>
    </row>
    <row r="82" spans="1:15" ht="15" customHeight="1" x14ac:dyDescent="0.4">
      <c r="A82" s="62" t="s">
        <v>824</v>
      </c>
      <c r="B82" s="62" t="s">
        <v>297</v>
      </c>
      <c r="C82" s="62" t="s">
        <v>825</v>
      </c>
      <c r="D82" s="63">
        <v>18</v>
      </c>
      <c r="E82" s="63">
        <v>13</v>
      </c>
      <c r="F82" s="63">
        <v>1</v>
      </c>
      <c r="G82" s="64">
        <f t="shared" si="4"/>
        <v>0.72222222222222221</v>
      </c>
      <c r="H82" s="64">
        <f t="shared" si="5"/>
        <v>5.5555555555555552E-2</v>
      </c>
      <c r="I82" s="63">
        <v>0</v>
      </c>
      <c r="J82" s="65"/>
      <c r="K82" s="65">
        <v>0</v>
      </c>
      <c r="L82" s="62" t="s">
        <v>825</v>
      </c>
      <c r="M82" s="63">
        <v>0</v>
      </c>
      <c r="N82" s="66">
        <f t="shared" si="6"/>
        <v>0.25</v>
      </c>
      <c r="O82" s="62" t="str">
        <f t="shared" si="7"/>
        <v>3: Elevated (No Wk0)</v>
      </c>
    </row>
    <row r="83" spans="1:15" ht="15" customHeight="1" x14ac:dyDescent="0.4">
      <c r="A83" s="62" t="s">
        <v>824</v>
      </c>
      <c r="B83" s="62" t="s">
        <v>551</v>
      </c>
      <c r="C83" s="62" t="s">
        <v>825</v>
      </c>
      <c r="D83" s="63">
        <v>22</v>
      </c>
      <c r="E83" s="63">
        <v>13</v>
      </c>
      <c r="F83" s="63">
        <v>1</v>
      </c>
      <c r="G83" s="64">
        <f t="shared" si="4"/>
        <v>0.59090909090909094</v>
      </c>
      <c r="H83" s="64">
        <f t="shared" si="5"/>
        <v>4.5454545454545456E-2</v>
      </c>
      <c r="I83" s="63">
        <v>1</v>
      </c>
      <c r="J83" s="65">
        <v>96.63</v>
      </c>
      <c r="K83" s="65">
        <v>16.670000000000002</v>
      </c>
      <c r="L83" s="62" t="s">
        <v>825</v>
      </c>
      <c r="M83" s="63">
        <v>0</v>
      </c>
      <c r="N83" s="66">
        <f t="shared" si="6"/>
        <v>0.495</v>
      </c>
      <c r="O83" s="62" t="str">
        <f t="shared" si="7"/>
        <v>4: Engaged Early</v>
      </c>
    </row>
    <row r="84" spans="1:15" ht="15" customHeight="1" x14ac:dyDescent="0.4">
      <c r="A84" s="62" t="s">
        <v>824</v>
      </c>
      <c r="B84" s="62" t="s">
        <v>603</v>
      </c>
      <c r="C84" s="62" t="s">
        <v>825</v>
      </c>
      <c r="D84" s="63">
        <v>15</v>
      </c>
      <c r="E84" s="63">
        <v>4</v>
      </c>
      <c r="F84" s="63">
        <v>0</v>
      </c>
      <c r="G84" s="64">
        <f t="shared" si="4"/>
        <v>0.26666666666666666</v>
      </c>
      <c r="H84" s="64">
        <f t="shared" si="5"/>
        <v>0</v>
      </c>
      <c r="I84" s="63">
        <v>0</v>
      </c>
      <c r="J84" s="65"/>
      <c r="K84" s="65">
        <v>0</v>
      </c>
      <c r="L84" s="62" t="s">
        <v>826</v>
      </c>
      <c r="M84" s="63">
        <v>0</v>
      </c>
      <c r="N84" s="66">
        <f t="shared" si="6"/>
        <v>0</v>
      </c>
      <c r="O84" s="62" t="str">
        <f t="shared" si="7"/>
        <v>1: Critical (No DBWT + No Wk0)</v>
      </c>
    </row>
    <row r="85" spans="1:15" ht="15" customHeight="1" x14ac:dyDescent="0.4">
      <c r="A85" s="62" t="s">
        <v>824</v>
      </c>
      <c r="B85" s="62" t="s">
        <v>876</v>
      </c>
      <c r="C85" s="62" t="s">
        <v>826</v>
      </c>
      <c r="D85" s="63">
        <v>17</v>
      </c>
      <c r="E85" s="63">
        <v>7</v>
      </c>
      <c r="F85" s="63">
        <v>0</v>
      </c>
      <c r="G85" s="64">
        <f t="shared" si="4"/>
        <v>0.41176470588235292</v>
      </c>
      <c r="H85" s="64">
        <f t="shared" si="5"/>
        <v>0</v>
      </c>
      <c r="I85" s="63">
        <v>0</v>
      </c>
      <c r="J85" s="65"/>
      <c r="K85" s="65">
        <v>3.66</v>
      </c>
      <c r="L85" s="62" t="s">
        <v>825</v>
      </c>
      <c r="M85" s="63">
        <v>0</v>
      </c>
      <c r="N85" s="66">
        <f t="shared" si="6"/>
        <v>0.27200000000000002</v>
      </c>
      <c r="O85" s="62" t="str">
        <f t="shared" si="7"/>
        <v>3: Elevated (No Wk0)</v>
      </c>
    </row>
    <row r="86" spans="1:15" ht="15" customHeight="1" x14ac:dyDescent="0.4">
      <c r="A86" s="62" t="s">
        <v>824</v>
      </c>
      <c r="B86" s="62" t="s">
        <v>877</v>
      </c>
      <c r="C86" s="62" t="s">
        <v>826</v>
      </c>
      <c r="D86" s="63">
        <v>26</v>
      </c>
      <c r="E86" s="63">
        <v>16</v>
      </c>
      <c r="F86" s="63">
        <v>3</v>
      </c>
      <c r="G86" s="64">
        <f t="shared" si="4"/>
        <v>0.61538461538461542</v>
      </c>
      <c r="H86" s="64">
        <f t="shared" si="5"/>
        <v>0.11538461538461539</v>
      </c>
      <c r="I86" s="63">
        <v>2</v>
      </c>
      <c r="J86" s="65">
        <v>64.175700000000006</v>
      </c>
      <c r="K86" s="65">
        <v>92.04</v>
      </c>
      <c r="L86" s="62" t="s">
        <v>825</v>
      </c>
      <c r="M86" s="63">
        <v>0</v>
      </c>
      <c r="N86" s="66">
        <f t="shared" si="6"/>
        <v>0.89900000000000002</v>
      </c>
      <c r="O86" s="62" t="str">
        <f t="shared" si="7"/>
        <v>4: Engaged Early</v>
      </c>
    </row>
    <row r="87" spans="1:15" ht="15" customHeight="1" x14ac:dyDescent="0.4">
      <c r="A87" s="62" t="s">
        <v>824</v>
      </c>
      <c r="B87" s="62" t="s">
        <v>531</v>
      </c>
      <c r="C87" s="62" t="s">
        <v>825</v>
      </c>
      <c r="D87" s="63">
        <v>25</v>
      </c>
      <c r="E87" s="63">
        <v>15</v>
      </c>
      <c r="F87" s="63">
        <v>1</v>
      </c>
      <c r="G87" s="64">
        <f t="shared" si="4"/>
        <v>0.6</v>
      </c>
      <c r="H87" s="64">
        <f t="shared" si="5"/>
        <v>0.04</v>
      </c>
      <c r="I87" s="63">
        <v>0</v>
      </c>
      <c r="J87" s="65"/>
      <c r="K87" s="65">
        <v>0</v>
      </c>
      <c r="L87" s="62" t="s">
        <v>825</v>
      </c>
      <c r="M87" s="63">
        <v>0</v>
      </c>
      <c r="N87" s="66">
        <f t="shared" si="6"/>
        <v>0.25</v>
      </c>
      <c r="O87" s="62" t="str">
        <f t="shared" si="7"/>
        <v>3: Elevated (No Wk0)</v>
      </c>
    </row>
    <row r="88" spans="1:15" ht="15" customHeight="1" x14ac:dyDescent="0.4">
      <c r="A88" s="62" t="s">
        <v>824</v>
      </c>
      <c r="B88" s="62" t="s">
        <v>878</v>
      </c>
      <c r="C88" s="62" t="s">
        <v>826</v>
      </c>
      <c r="D88" s="63">
        <v>4</v>
      </c>
      <c r="E88" s="63">
        <v>4</v>
      </c>
      <c r="F88" s="63">
        <v>2</v>
      </c>
      <c r="G88" s="64">
        <f t="shared" si="4"/>
        <v>1</v>
      </c>
      <c r="H88" s="64">
        <f t="shared" si="5"/>
        <v>0.5</v>
      </c>
      <c r="I88" s="63">
        <v>2</v>
      </c>
      <c r="J88" s="65">
        <v>84.374049999999997</v>
      </c>
      <c r="K88" s="65">
        <v>98.51</v>
      </c>
      <c r="L88" s="62" t="s">
        <v>825</v>
      </c>
      <c r="M88" s="63">
        <v>0</v>
      </c>
      <c r="N88" s="66">
        <f t="shared" si="6"/>
        <v>0.96799999999999997</v>
      </c>
      <c r="O88" s="62" t="str">
        <f t="shared" si="7"/>
        <v>4: Engaged Early</v>
      </c>
    </row>
    <row r="89" spans="1:15" ht="15" customHeight="1" x14ac:dyDescent="0.4">
      <c r="A89" s="62" t="s">
        <v>824</v>
      </c>
      <c r="B89" s="62" t="s">
        <v>387</v>
      </c>
      <c r="C89" s="62" t="s">
        <v>825</v>
      </c>
      <c r="D89" s="63">
        <v>13</v>
      </c>
      <c r="E89" s="63">
        <v>4</v>
      </c>
      <c r="F89" s="63">
        <v>1</v>
      </c>
      <c r="G89" s="64">
        <f t="shared" si="4"/>
        <v>0.30769230769230771</v>
      </c>
      <c r="H89" s="64">
        <f t="shared" si="5"/>
        <v>7.6923076923076927E-2</v>
      </c>
      <c r="I89" s="63">
        <v>0</v>
      </c>
      <c r="J89" s="65"/>
      <c r="K89" s="65">
        <v>0</v>
      </c>
      <c r="L89" s="62" t="s">
        <v>826</v>
      </c>
      <c r="M89" s="63">
        <v>0</v>
      </c>
      <c r="N89" s="66">
        <f t="shared" si="6"/>
        <v>0</v>
      </c>
      <c r="O89" s="62" t="str">
        <f t="shared" si="7"/>
        <v>1: Critical (No DBWT + No Wk0)</v>
      </c>
    </row>
    <row r="90" spans="1:15" ht="15" customHeight="1" x14ac:dyDescent="0.4">
      <c r="A90" s="62" t="s">
        <v>824</v>
      </c>
      <c r="B90" s="62" t="s">
        <v>879</v>
      </c>
      <c r="C90" s="62" t="s">
        <v>826</v>
      </c>
      <c r="D90" s="63">
        <v>4</v>
      </c>
      <c r="E90" s="63">
        <v>4</v>
      </c>
      <c r="F90" s="63">
        <v>3</v>
      </c>
      <c r="G90" s="64">
        <f t="shared" si="4"/>
        <v>1</v>
      </c>
      <c r="H90" s="64">
        <f t="shared" si="5"/>
        <v>0.75</v>
      </c>
      <c r="I90" s="63">
        <v>2</v>
      </c>
      <c r="J90" s="65">
        <v>83.565250000000006</v>
      </c>
      <c r="K90" s="65">
        <v>100</v>
      </c>
      <c r="L90" s="62" t="s">
        <v>825</v>
      </c>
      <c r="M90" s="63">
        <v>0</v>
      </c>
      <c r="N90" s="66">
        <f t="shared" si="6"/>
        <v>0.97499999999999998</v>
      </c>
      <c r="O90" s="62" t="str">
        <f t="shared" si="7"/>
        <v>4: Engaged Early</v>
      </c>
    </row>
    <row r="91" spans="1:15" ht="15" customHeight="1" x14ac:dyDescent="0.4">
      <c r="A91" s="62" t="s">
        <v>824</v>
      </c>
      <c r="B91" s="62" t="s">
        <v>289</v>
      </c>
      <c r="C91" s="62" t="s">
        <v>825</v>
      </c>
      <c r="D91" s="63">
        <v>23</v>
      </c>
      <c r="E91" s="63">
        <v>15</v>
      </c>
      <c r="F91" s="63">
        <v>0</v>
      </c>
      <c r="G91" s="64">
        <f t="shared" si="4"/>
        <v>0.65217391304347827</v>
      </c>
      <c r="H91" s="64">
        <f t="shared" si="5"/>
        <v>0</v>
      </c>
      <c r="I91" s="63">
        <v>0</v>
      </c>
      <c r="J91" s="65"/>
      <c r="K91" s="65">
        <v>0</v>
      </c>
      <c r="L91" s="62" t="s">
        <v>825</v>
      </c>
      <c r="M91" s="63">
        <v>0</v>
      </c>
      <c r="N91" s="66">
        <f t="shared" si="6"/>
        <v>0.25</v>
      </c>
      <c r="O91" s="62" t="str">
        <f t="shared" si="7"/>
        <v>3: Elevated (No Wk0)</v>
      </c>
    </row>
    <row r="92" spans="1:15" ht="15" customHeight="1" x14ac:dyDescent="0.4">
      <c r="A92" s="62" t="s">
        <v>824</v>
      </c>
      <c r="B92" s="62" t="s">
        <v>571</v>
      </c>
      <c r="C92" s="62" t="s">
        <v>825</v>
      </c>
      <c r="D92" s="63">
        <v>2</v>
      </c>
      <c r="E92" s="63">
        <v>1</v>
      </c>
      <c r="F92" s="63">
        <v>0</v>
      </c>
      <c r="G92" s="64">
        <f t="shared" si="4"/>
        <v>0.5</v>
      </c>
      <c r="H92" s="64">
        <f t="shared" si="5"/>
        <v>0</v>
      </c>
      <c r="I92" s="63">
        <v>1</v>
      </c>
      <c r="J92" s="65">
        <v>7.23</v>
      </c>
      <c r="K92" s="65">
        <v>1.51</v>
      </c>
      <c r="L92" s="62" t="s">
        <v>826</v>
      </c>
      <c r="M92" s="63">
        <v>0</v>
      </c>
      <c r="N92" s="66">
        <f t="shared" si="6"/>
        <v>0.02</v>
      </c>
      <c r="O92" s="62" t="str">
        <f t="shared" si="7"/>
        <v>2: High (No DBWT)</v>
      </c>
    </row>
    <row r="93" spans="1:15" ht="15" customHeight="1" x14ac:dyDescent="0.4">
      <c r="A93" s="62" t="s">
        <v>824</v>
      </c>
      <c r="B93" s="62" t="s">
        <v>441</v>
      </c>
      <c r="C93" s="62" t="s">
        <v>825</v>
      </c>
      <c r="D93" s="63">
        <v>15</v>
      </c>
      <c r="E93" s="63">
        <v>12</v>
      </c>
      <c r="F93" s="63">
        <v>2</v>
      </c>
      <c r="G93" s="64">
        <f t="shared" si="4"/>
        <v>0.8</v>
      </c>
      <c r="H93" s="64">
        <f t="shared" si="5"/>
        <v>0.13333333333333333</v>
      </c>
      <c r="I93" s="63">
        <v>1</v>
      </c>
      <c r="J93" s="65">
        <v>7.5</v>
      </c>
      <c r="K93" s="65">
        <v>1.87</v>
      </c>
      <c r="L93" s="62" t="s">
        <v>826</v>
      </c>
      <c r="M93" s="63">
        <v>0</v>
      </c>
      <c r="N93" s="66">
        <f t="shared" si="6"/>
        <v>2.1999999999999999E-2</v>
      </c>
      <c r="O93" s="62" t="str">
        <f t="shared" si="7"/>
        <v>2: High (No DBWT)</v>
      </c>
    </row>
    <row r="94" spans="1:15" ht="15" customHeight="1" x14ac:dyDescent="0.4">
      <c r="A94" s="62" t="s">
        <v>824</v>
      </c>
      <c r="B94" s="62" t="s">
        <v>631</v>
      </c>
      <c r="C94" s="62" t="s">
        <v>825</v>
      </c>
      <c r="D94" s="63">
        <v>12</v>
      </c>
      <c r="E94" s="63">
        <v>11</v>
      </c>
      <c r="F94" s="63">
        <v>3</v>
      </c>
      <c r="G94" s="64">
        <f t="shared" si="4"/>
        <v>0.91666666666666663</v>
      </c>
      <c r="H94" s="64">
        <f t="shared" si="5"/>
        <v>0.25</v>
      </c>
      <c r="I94" s="63">
        <v>2</v>
      </c>
      <c r="J94" s="65">
        <v>72.281850000000006</v>
      </c>
      <c r="K94" s="65">
        <v>36.97</v>
      </c>
      <c r="L94" s="62" t="s">
        <v>825</v>
      </c>
      <c r="M94" s="63">
        <v>0</v>
      </c>
      <c r="N94" s="66">
        <f t="shared" si="6"/>
        <v>0.57999999999999996</v>
      </c>
      <c r="O94" s="62" t="str">
        <f t="shared" si="7"/>
        <v>4: Engaged Early</v>
      </c>
    </row>
    <row r="95" spans="1:15" ht="15" customHeight="1" x14ac:dyDescent="0.4">
      <c r="A95" s="62" t="s">
        <v>824</v>
      </c>
      <c r="B95" s="62" t="s">
        <v>426</v>
      </c>
      <c r="C95" s="62" t="s">
        <v>825</v>
      </c>
      <c r="D95" s="63">
        <v>1</v>
      </c>
      <c r="E95" s="63">
        <v>1</v>
      </c>
      <c r="F95" s="63">
        <v>1</v>
      </c>
      <c r="G95" s="64">
        <f t="shared" si="4"/>
        <v>1</v>
      </c>
      <c r="H95" s="64">
        <f t="shared" si="5"/>
        <v>1</v>
      </c>
      <c r="I95" s="63">
        <v>1</v>
      </c>
      <c r="J95" s="65">
        <v>87.05</v>
      </c>
      <c r="K95" s="65">
        <v>12.5</v>
      </c>
      <c r="L95" s="62" t="s">
        <v>825</v>
      </c>
      <c r="M95" s="63">
        <v>0</v>
      </c>
      <c r="N95" s="66">
        <f t="shared" si="6"/>
        <v>0.45600000000000002</v>
      </c>
      <c r="O95" s="62" t="str">
        <f t="shared" si="7"/>
        <v>4: Engaged Early</v>
      </c>
    </row>
    <row r="96" spans="1:15" ht="15" customHeight="1" x14ac:dyDescent="0.4">
      <c r="A96" s="62" t="s">
        <v>824</v>
      </c>
      <c r="B96" s="62" t="s">
        <v>880</v>
      </c>
      <c r="C96" s="62" t="s">
        <v>826</v>
      </c>
      <c r="D96" s="63">
        <v>13</v>
      </c>
      <c r="E96" s="63">
        <v>12</v>
      </c>
      <c r="F96" s="63">
        <v>5</v>
      </c>
      <c r="G96" s="64">
        <f t="shared" si="4"/>
        <v>0.92307692307692313</v>
      </c>
      <c r="H96" s="64">
        <f t="shared" si="5"/>
        <v>0.38461538461538464</v>
      </c>
      <c r="I96" s="63">
        <v>1</v>
      </c>
      <c r="J96" s="65">
        <v>95.19</v>
      </c>
      <c r="K96" s="65">
        <v>11.47</v>
      </c>
      <c r="L96" s="62" t="s">
        <v>825</v>
      </c>
      <c r="M96" s="63">
        <v>0</v>
      </c>
      <c r="N96" s="66">
        <f t="shared" si="6"/>
        <v>0.46200000000000002</v>
      </c>
      <c r="O96" s="62" t="str">
        <f t="shared" si="7"/>
        <v>4: Engaged Early</v>
      </c>
    </row>
    <row r="97" spans="1:15" ht="15" customHeight="1" x14ac:dyDescent="0.4">
      <c r="A97" s="62" t="s">
        <v>824</v>
      </c>
      <c r="B97" s="62" t="s">
        <v>625</v>
      </c>
      <c r="C97" s="62" t="s">
        <v>825</v>
      </c>
      <c r="D97" s="63">
        <v>13</v>
      </c>
      <c r="E97" s="63">
        <v>0</v>
      </c>
      <c r="F97" s="63">
        <v>0</v>
      </c>
      <c r="G97" s="64">
        <f t="shared" si="4"/>
        <v>0</v>
      </c>
      <c r="H97" s="64">
        <f t="shared" si="5"/>
        <v>0</v>
      </c>
      <c r="I97" s="63">
        <v>0</v>
      </c>
      <c r="J97" s="65"/>
      <c r="K97" s="65">
        <v>0</v>
      </c>
      <c r="L97" s="62" t="s">
        <v>825</v>
      </c>
      <c r="M97" s="63">
        <v>0</v>
      </c>
      <c r="N97" s="66">
        <f t="shared" si="6"/>
        <v>0.25</v>
      </c>
      <c r="O97" s="62" t="str">
        <f t="shared" si="7"/>
        <v>3: Elevated (No Wk0)</v>
      </c>
    </row>
    <row r="98" spans="1:15" ht="15" customHeight="1" x14ac:dyDescent="0.4">
      <c r="A98" s="62" t="s">
        <v>824</v>
      </c>
      <c r="B98" s="62" t="s">
        <v>256</v>
      </c>
      <c r="C98" s="62" t="s">
        <v>825</v>
      </c>
      <c r="D98" s="63">
        <v>23</v>
      </c>
      <c r="E98" s="63">
        <v>17</v>
      </c>
      <c r="F98" s="63">
        <v>2</v>
      </c>
      <c r="G98" s="64">
        <f t="shared" si="4"/>
        <v>0.73913043478260865</v>
      </c>
      <c r="H98" s="64">
        <f t="shared" si="5"/>
        <v>8.6956521739130432E-2</v>
      </c>
      <c r="I98" s="63">
        <v>0</v>
      </c>
      <c r="J98" s="65"/>
      <c r="K98" s="65">
        <v>0</v>
      </c>
      <c r="L98" s="62" t="s">
        <v>826</v>
      </c>
      <c r="M98" s="63">
        <v>0</v>
      </c>
      <c r="N98" s="66">
        <f t="shared" si="6"/>
        <v>0</v>
      </c>
      <c r="O98" s="62" t="str">
        <f t="shared" si="7"/>
        <v>1: Critical (No DBWT + No Wk0)</v>
      </c>
    </row>
    <row r="99" spans="1:15" ht="15" customHeight="1" x14ac:dyDescent="0.4">
      <c r="A99" s="62" t="s">
        <v>824</v>
      </c>
      <c r="B99" s="62" t="s">
        <v>881</v>
      </c>
      <c r="C99" s="62" t="s">
        <v>826</v>
      </c>
      <c r="D99" s="63">
        <v>23</v>
      </c>
      <c r="E99" s="63">
        <v>10</v>
      </c>
      <c r="F99" s="63">
        <v>2</v>
      </c>
      <c r="G99" s="64">
        <f t="shared" si="4"/>
        <v>0.43478260869565216</v>
      </c>
      <c r="H99" s="64">
        <f t="shared" si="5"/>
        <v>8.6956521739130432E-2</v>
      </c>
      <c r="I99" s="63">
        <v>2</v>
      </c>
      <c r="J99" s="65">
        <v>45.570050000000002</v>
      </c>
      <c r="K99" s="65">
        <v>31.51</v>
      </c>
      <c r="L99" s="62" t="s">
        <v>825</v>
      </c>
      <c r="M99" s="63">
        <v>0</v>
      </c>
      <c r="N99" s="66">
        <f t="shared" si="6"/>
        <v>0.50700000000000001</v>
      </c>
      <c r="O99" s="62" t="str">
        <f t="shared" si="7"/>
        <v>4: Engaged Early</v>
      </c>
    </row>
    <row r="100" spans="1:15" ht="15" customHeight="1" x14ac:dyDescent="0.4">
      <c r="A100" s="62" t="s">
        <v>824</v>
      </c>
      <c r="B100" s="62" t="s">
        <v>882</v>
      </c>
      <c r="C100" s="62" t="s">
        <v>826</v>
      </c>
      <c r="D100" s="63">
        <v>10</v>
      </c>
      <c r="E100" s="63">
        <v>6</v>
      </c>
      <c r="F100" s="63">
        <v>0</v>
      </c>
      <c r="G100" s="64">
        <f t="shared" si="4"/>
        <v>0.6</v>
      </c>
      <c r="H100" s="64">
        <f t="shared" si="5"/>
        <v>0</v>
      </c>
      <c r="I100" s="63">
        <v>2</v>
      </c>
      <c r="J100" s="65">
        <v>61.753050000000002</v>
      </c>
      <c r="K100" s="65">
        <v>38.6</v>
      </c>
      <c r="L100" s="62" t="s">
        <v>826</v>
      </c>
      <c r="M100" s="63">
        <v>0</v>
      </c>
      <c r="N100" s="66">
        <f t="shared" si="6"/>
        <v>0.32400000000000001</v>
      </c>
      <c r="O100" s="62" t="str">
        <f t="shared" si="7"/>
        <v>2: High (No DBWT)</v>
      </c>
    </row>
    <row r="101" spans="1:15" ht="15" customHeight="1" x14ac:dyDescent="0.4">
      <c r="A101" s="62" t="s">
        <v>824</v>
      </c>
      <c r="B101" s="62" t="s">
        <v>883</v>
      </c>
      <c r="C101" s="62" t="s">
        <v>826</v>
      </c>
      <c r="D101" s="63">
        <v>12</v>
      </c>
      <c r="E101" s="63">
        <v>7</v>
      </c>
      <c r="F101" s="63">
        <v>1</v>
      </c>
      <c r="G101" s="64">
        <f t="shared" si="4"/>
        <v>0.58333333333333337</v>
      </c>
      <c r="H101" s="64">
        <f t="shared" si="5"/>
        <v>8.3333333333333329E-2</v>
      </c>
      <c r="I101" s="63">
        <v>2</v>
      </c>
      <c r="J101" s="65">
        <v>59.243699999999997</v>
      </c>
      <c r="K101" s="65">
        <v>87.51</v>
      </c>
      <c r="L101" s="62" t="s">
        <v>825</v>
      </c>
      <c r="M101" s="63">
        <v>1</v>
      </c>
      <c r="N101" s="66">
        <f t="shared" si="6"/>
        <v>0.86399999999999999</v>
      </c>
      <c r="O101" s="62" t="str">
        <f t="shared" si="7"/>
        <v>4: Engaged Early</v>
      </c>
    </row>
    <row r="102" spans="1:15" ht="15" customHeight="1" x14ac:dyDescent="0.4">
      <c r="A102" s="62" t="s">
        <v>824</v>
      </c>
      <c r="B102" s="62" t="s">
        <v>601</v>
      </c>
      <c r="C102" s="62" t="s">
        <v>825</v>
      </c>
      <c r="D102" s="63">
        <v>4</v>
      </c>
      <c r="E102" s="63">
        <v>4</v>
      </c>
      <c r="F102" s="63">
        <v>0</v>
      </c>
      <c r="G102" s="64">
        <f t="shared" si="4"/>
        <v>1</v>
      </c>
      <c r="H102" s="64">
        <f t="shared" si="5"/>
        <v>0</v>
      </c>
      <c r="I102" s="63">
        <v>0</v>
      </c>
      <c r="J102" s="65"/>
      <c r="K102" s="65">
        <v>0</v>
      </c>
      <c r="L102" s="62" t="s">
        <v>826</v>
      </c>
      <c r="M102" s="63">
        <v>0</v>
      </c>
      <c r="N102" s="66">
        <f t="shared" si="6"/>
        <v>0</v>
      </c>
      <c r="O102" s="62" t="str">
        <f t="shared" si="7"/>
        <v>1: Critical (No DBWT + No Wk0)</v>
      </c>
    </row>
    <row r="103" spans="1:15" ht="15" customHeight="1" x14ac:dyDescent="0.4">
      <c r="A103" s="62" t="s">
        <v>824</v>
      </c>
      <c r="B103" s="62" t="s">
        <v>884</v>
      </c>
      <c r="C103" s="62" t="s">
        <v>826</v>
      </c>
      <c r="D103" s="63">
        <v>20</v>
      </c>
      <c r="E103" s="63">
        <v>15</v>
      </c>
      <c r="F103" s="63">
        <v>1</v>
      </c>
      <c r="G103" s="64">
        <f t="shared" si="4"/>
        <v>0.75</v>
      </c>
      <c r="H103" s="64">
        <f t="shared" si="5"/>
        <v>0.05</v>
      </c>
      <c r="I103" s="63">
        <v>2</v>
      </c>
      <c r="J103" s="65">
        <v>77.913600000000002</v>
      </c>
      <c r="K103" s="65">
        <v>88.02</v>
      </c>
      <c r="L103" s="62" t="s">
        <v>825</v>
      </c>
      <c r="M103" s="63">
        <v>0</v>
      </c>
      <c r="N103" s="66">
        <f t="shared" si="6"/>
        <v>0.89500000000000002</v>
      </c>
      <c r="O103" s="62" t="str">
        <f t="shared" si="7"/>
        <v>4: Engaged Early</v>
      </c>
    </row>
    <row r="104" spans="1:15" ht="15" customHeight="1" x14ac:dyDescent="0.4">
      <c r="A104" s="62" t="s">
        <v>824</v>
      </c>
      <c r="B104" s="62" t="s">
        <v>766</v>
      </c>
      <c r="C104" s="62" t="s">
        <v>825</v>
      </c>
      <c r="D104" s="63">
        <v>20</v>
      </c>
      <c r="E104" s="63">
        <v>3</v>
      </c>
      <c r="F104" s="63">
        <v>5</v>
      </c>
      <c r="G104" s="64">
        <f t="shared" si="4"/>
        <v>0.15</v>
      </c>
      <c r="H104" s="64">
        <f t="shared" si="5"/>
        <v>0.25</v>
      </c>
      <c r="I104" s="63">
        <v>1</v>
      </c>
      <c r="J104" s="65">
        <v>60.39</v>
      </c>
      <c r="K104" s="65">
        <v>9.44</v>
      </c>
      <c r="L104" s="62" t="s">
        <v>825</v>
      </c>
      <c r="M104" s="63">
        <v>0</v>
      </c>
      <c r="N104" s="66">
        <f t="shared" si="6"/>
        <v>0.39700000000000002</v>
      </c>
      <c r="O104" s="62" t="str">
        <f t="shared" si="7"/>
        <v>4: Engaged Early</v>
      </c>
    </row>
    <row r="105" spans="1:15" ht="15" customHeight="1" x14ac:dyDescent="0.4">
      <c r="A105" s="62" t="s">
        <v>824</v>
      </c>
      <c r="B105" s="62" t="s">
        <v>885</v>
      </c>
      <c r="C105" s="62" t="s">
        <v>826</v>
      </c>
      <c r="D105" s="63">
        <v>3</v>
      </c>
      <c r="E105" s="63">
        <v>0</v>
      </c>
      <c r="F105" s="63">
        <v>0</v>
      </c>
      <c r="G105" s="64">
        <f t="shared" si="4"/>
        <v>0</v>
      </c>
      <c r="H105" s="64">
        <f t="shared" si="5"/>
        <v>0</v>
      </c>
      <c r="I105" s="63">
        <v>2</v>
      </c>
      <c r="J105" s="65">
        <v>83.870500000000007</v>
      </c>
      <c r="K105" s="65">
        <v>100</v>
      </c>
      <c r="L105" s="62" t="s">
        <v>825</v>
      </c>
      <c r="M105" s="63">
        <v>1</v>
      </c>
      <c r="N105" s="66">
        <f t="shared" si="6"/>
        <v>0.97599999999999998</v>
      </c>
      <c r="O105" s="62" t="str">
        <f t="shared" si="7"/>
        <v>4: Engaged Early</v>
      </c>
    </row>
    <row r="106" spans="1:15" ht="15" customHeight="1" x14ac:dyDescent="0.4">
      <c r="A106" s="62" t="s">
        <v>824</v>
      </c>
      <c r="B106" s="62" t="s">
        <v>653</v>
      </c>
      <c r="C106" s="62" t="s">
        <v>825</v>
      </c>
      <c r="D106" s="63">
        <v>22</v>
      </c>
      <c r="E106" s="63">
        <v>19</v>
      </c>
      <c r="F106" s="63">
        <v>2</v>
      </c>
      <c r="G106" s="64">
        <f t="shared" si="4"/>
        <v>0.86363636363636365</v>
      </c>
      <c r="H106" s="64">
        <f t="shared" si="5"/>
        <v>9.0909090909090912E-2</v>
      </c>
      <c r="I106" s="63">
        <v>0</v>
      </c>
      <c r="J106" s="65"/>
      <c r="K106" s="65">
        <v>0</v>
      </c>
      <c r="L106" s="62" t="s">
        <v>826</v>
      </c>
      <c r="M106" s="63">
        <v>0</v>
      </c>
      <c r="N106" s="66">
        <f t="shared" si="6"/>
        <v>0</v>
      </c>
      <c r="O106" s="62" t="str">
        <f t="shared" si="7"/>
        <v>1: Critical (No DBWT + No Wk0)</v>
      </c>
    </row>
    <row r="107" spans="1:15" ht="15" customHeight="1" x14ac:dyDescent="0.4">
      <c r="A107" s="62" t="s">
        <v>824</v>
      </c>
      <c r="B107" s="62" t="s">
        <v>886</v>
      </c>
      <c r="C107" s="62" t="s">
        <v>826</v>
      </c>
      <c r="D107" s="63">
        <v>0</v>
      </c>
      <c r="E107" s="63">
        <v>0</v>
      </c>
      <c r="F107" s="63">
        <v>0</v>
      </c>
      <c r="G107" s="64">
        <f t="shared" si="4"/>
        <v>0</v>
      </c>
      <c r="H107" s="64">
        <f t="shared" si="5"/>
        <v>0</v>
      </c>
      <c r="I107" s="63">
        <v>1</v>
      </c>
      <c r="J107" s="65">
        <v>80.033299999999997</v>
      </c>
      <c r="K107" s="65">
        <v>97.03</v>
      </c>
      <c r="L107" s="62" t="s">
        <v>840</v>
      </c>
      <c r="M107" s="63">
        <v>0</v>
      </c>
      <c r="N107" s="66">
        <f t="shared" si="6"/>
        <v>0.77700000000000002</v>
      </c>
      <c r="O107" s="62" t="str">
        <f t="shared" si="7"/>
        <v>4: Engaged Early</v>
      </c>
    </row>
    <row r="108" spans="1:15" ht="15" customHeight="1" x14ac:dyDescent="0.4">
      <c r="A108" s="62" t="s">
        <v>824</v>
      </c>
      <c r="B108" s="62" t="s">
        <v>887</v>
      </c>
      <c r="C108" s="62" t="s">
        <v>826</v>
      </c>
      <c r="D108" s="63">
        <v>5</v>
      </c>
      <c r="E108" s="63">
        <v>0</v>
      </c>
      <c r="F108" s="63">
        <v>0</v>
      </c>
      <c r="G108" s="64">
        <f t="shared" si="4"/>
        <v>0</v>
      </c>
      <c r="H108" s="64">
        <f t="shared" si="5"/>
        <v>0</v>
      </c>
      <c r="I108" s="63">
        <v>1</v>
      </c>
      <c r="J108" s="65">
        <v>36.611199999999997</v>
      </c>
      <c r="K108" s="65">
        <v>38.96</v>
      </c>
      <c r="L108" s="62" t="s">
        <v>826</v>
      </c>
      <c r="M108" s="63">
        <v>0</v>
      </c>
      <c r="N108" s="66">
        <f t="shared" si="6"/>
        <v>0.28899999999999998</v>
      </c>
      <c r="O108" s="62" t="str">
        <f t="shared" si="7"/>
        <v>2: High (No DBWT)</v>
      </c>
    </row>
    <row r="109" spans="1:15" ht="15" customHeight="1" x14ac:dyDescent="0.4">
      <c r="A109" s="62" t="s">
        <v>824</v>
      </c>
      <c r="B109" s="62" t="s">
        <v>888</v>
      </c>
      <c r="C109" s="62" t="s">
        <v>826</v>
      </c>
      <c r="D109" s="63">
        <v>7</v>
      </c>
      <c r="E109" s="63">
        <v>1</v>
      </c>
      <c r="F109" s="63">
        <v>0</v>
      </c>
      <c r="G109" s="64">
        <f t="shared" si="4"/>
        <v>0.14285714285714285</v>
      </c>
      <c r="H109" s="64">
        <f t="shared" si="5"/>
        <v>0</v>
      </c>
      <c r="I109" s="63">
        <v>2</v>
      </c>
      <c r="J109" s="65">
        <v>99.701800000000006</v>
      </c>
      <c r="K109" s="65">
        <v>99.21</v>
      </c>
      <c r="L109" s="62" t="s">
        <v>825</v>
      </c>
      <c r="M109" s="63">
        <v>0</v>
      </c>
      <c r="N109" s="66">
        <f t="shared" si="6"/>
        <v>0.995</v>
      </c>
      <c r="O109" s="62" t="str">
        <f t="shared" si="7"/>
        <v>4: Engaged Early</v>
      </c>
    </row>
    <row r="110" spans="1:15" ht="15" customHeight="1" x14ac:dyDescent="0.4">
      <c r="A110" s="62" t="s">
        <v>824</v>
      </c>
      <c r="B110" s="62" t="s">
        <v>270</v>
      </c>
      <c r="C110" s="62" t="s">
        <v>825</v>
      </c>
      <c r="D110" s="63">
        <v>7</v>
      </c>
      <c r="E110" s="63">
        <v>7</v>
      </c>
      <c r="F110" s="63">
        <v>1</v>
      </c>
      <c r="G110" s="64">
        <f t="shared" si="4"/>
        <v>1</v>
      </c>
      <c r="H110" s="64">
        <f t="shared" si="5"/>
        <v>0.14285714285714285</v>
      </c>
      <c r="I110" s="63">
        <v>0</v>
      </c>
      <c r="J110" s="65"/>
      <c r="K110" s="65">
        <v>0</v>
      </c>
      <c r="L110" s="62" t="s">
        <v>826</v>
      </c>
      <c r="M110" s="63">
        <v>0</v>
      </c>
      <c r="N110" s="66">
        <f t="shared" si="6"/>
        <v>0</v>
      </c>
      <c r="O110" s="62" t="str">
        <f t="shared" si="7"/>
        <v>1: Critical (No DBWT + No Wk0)</v>
      </c>
    </row>
    <row r="111" spans="1:15" ht="15" customHeight="1" x14ac:dyDescent="0.4">
      <c r="A111" s="62" t="s">
        <v>824</v>
      </c>
      <c r="B111" s="62" t="s">
        <v>331</v>
      </c>
      <c r="C111" s="62" t="s">
        <v>825</v>
      </c>
      <c r="D111" s="63">
        <v>22</v>
      </c>
      <c r="E111" s="63">
        <v>8</v>
      </c>
      <c r="F111" s="63">
        <v>0</v>
      </c>
      <c r="G111" s="64">
        <f t="shared" si="4"/>
        <v>0.36363636363636365</v>
      </c>
      <c r="H111" s="64">
        <f t="shared" si="5"/>
        <v>0</v>
      </c>
      <c r="I111" s="63">
        <v>0</v>
      </c>
      <c r="J111" s="65"/>
      <c r="K111" s="65">
        <v>0</v>
      </c>
      <c r="L111" s="62" t="s">
        <v>826</v>
      </c>
      <c r="M111" s="63">
        <v>0</v>
      </c>
      <c r="N111" s="66">
        <f t="shared" si="6"/>
        <v>0</v>
      </c>
      <c r="O111" s="62" t="str">
        <f t="shared" si="7"/>
        <v>1: Critical (No DBWT + No Wk0)</v>
      </c>
    </row>
    <row r="112" spans="1:15" ht="15" customHeight="1" x14ac:dyDescent="0.4">
      <c r="A112" s="62" t="s">
        <v>824</v>
      </c>
      <c r="B112" s="62" t="s">
        <v>889</v>
      </c>
      <c r="C112" s="62" t="s">
        <v>826</v>
      </c>
      <c r="D112" s="63">
        <v>25</v>
      </c>
      <c r="E112" s="63">
        <v>20</v>
      </c>
      <c r="F112" s="63">
        <v>2</v>
      </c>
      <c r="G112" s="64">
        <f t="shared" si="4"/>
        <v>0.8</v>
      </c>
      <c r="H112" s="64">
        <f t="shared" si="5"/>
        <v>0.08</v>
      </c>
      <c r="I112" s="63">
        <v>1</v>
      </c>
      <c r="J112" s="65">
        <v>78.692800000000005</v>
      </c>
      <c r="K112" s="65">
        <v>81.569999999999993</v>
      </c>
      <c r="L112" s="62" t="s">
        <v>825</v>
      </c>
      <c r="M112" s="63">
        <v>0</v>
      </c>
      <c r="N112" s="66">
        <f t="shared" si="6"/>
        <v>0.85699999999999998</v>
      </c>
      <c r="O112" s="62" t="str">
        <f t="shared" si="7"/>
        <v>4: Engaged Early</v>
      </c>
    </row>
    <row r="113" spans="1:15" ht="15" customHeight="1" x14ac:dyDescent="0.4">
      <c r="A113" s="62" t="s">
        <v>824</v>
      </c>
      <c r="B113" s="62" t="s">
        <v>323</v>
      </c>
      <c r="C113" s="62" t="s">
        <v>825</v>
      </c>
      <c r="D113" s="63">
        <v>5</v>
      </c>
      <c r="E113" s="63">
        <v>5</v>
      </c>
      <c r="F113" s="63">
        <v>0</v>
      </c>
      <c r="G113" s="64">
        <f t="shared" si="4"/>
        <v>1</v>
      </c>
      <c r="H113" s="64">
        <f t="shared" si="5"/>
        <v>0</v>
      </c>
      <c r="I113" s="63">
        <v>0</v>
      </c>
      <c r="J113" s="65"/>
      <c r="K113" s="65">
        <v>0</v>
      </c>
      <c r="L113" s="62" t="s">
        <v>826</v>
      </c>
      <c r="M113" s="63">
        <v>0</v>
      </c>
      <c r="N113" s="66">
        <f t="shared" si="6"/>
        <v>0</v>
      </c>
      <c r="O113" s="62" t="str">
        <f t="shared" si="7"/>
        <v>1: Critical (No DBWT + No Wk0)</v>
      </c>
    </row>
    <row r="114" spans="1:15" ht="15" customHeight="1" x14ac:dyDescent="0.4">
      <c r="A114" s="62" t="s">
        <v>824</v>
      </c>
      <c r="B114" s="62" t="s">
        <v>890</v>
      </c>
      <c r="C114" s="62" t="s">
        <v>826</v>
      </c>
      <c r="D114" s="63">
        <v>0</v>
      </c>
      <c r="E114" s="63">
        <v>0</v>
      </c>
      <c r="F114" s="63">
        <v>0</v>
      </c>
      <c r="G114" s="64">
        <f t="shared" si="4"/>
        <v>0</v>
      </c>
      <c r="H114" s="64">
        <f t="shared" si="5"/>
        <v>0</v>
      </c>
      <c r="I114" s="63">
        <v>1</v>
      </c>
      <c r="J114" s="65">
        <v>100</v>
      </c>
      <c r="K114" s="65">
        <v>71.53</v>
      </c>
      <c r="L114" s="62" t="s">
        <v>840</v>
      </c>
      <c r="M114" s="63">
        <v>0</v>
      </c>
      <c r="N114" s="66">
        <f t="shared" si="6"/>
        <v>0.65400000000000003</v>
      </c>
      <c r="O114" s="62" t="str">
        <f t="shared" si="7"/>
        <v>4: Engaged Early</v>
      </c>
    </row>
    <row r="115" spans="1:15" ht="15" customHeight="1" x14ac:dyDescent="0.4">
      <c r="A115" s="62" t="s">
        <v>824</v>
      </c>
      <c r="B115" s="62" t="s">
        <v>891</v>
      </c>
      <c r="C115" s="62" t="s">
        <v>826</v>
      </c>
      <c r="D115" s="63">
        <v>17</v>
      </c>
      <c r="E115" s="63">
        <v>12</v>
      </c>
      <c r="F115" s="63">
        <v>2</v>
      </c>
      <c r="G115" s="64">
        <f t="shared" si="4"/>
        <v>0.70588235294117652</v>
      </c>
      <c r="H115" s="64">
        <f t="shared" si="5"/>
        <v>0.11764705882352941</v>
      </c>
      <c r="I115" s="63">
        <v>2</v>
      </c>
      <c r="J115" s="65">
        <v>73.569050000000004</v>
      </c>
      <c r="K115" s="65">
        <v>28.85</v>
      </c>
      <c r="L115" s="62" t="s">
        <v>825</v>
      </c>
      <c r="M115" s="63">
        <v>0</v>
      </c>
      <c r="N115" s="66">
        <f t="shared" si="6"/>
        <v>0.53300000000000003</v>
      </c>
      <c r="O115" s="62" t="str">
        <f t="shared" si="7"/>
        <v>4: Engaged Early</v>
      </c>
    </row>
    <row r="116" spans="1:15" ht="15" customHeight="1" x14ac:dyDescent="0.4">
      <c r="A116" s="62" t="s">
        <v>824</v>
      </c>
      <c r="B116" s="62" t="s">
        <v>892</v>
      </c>
      <c r="C116" s="62" t="s">
        <v>826</v>
      </c>
      <c r="D116" s="63">
        <v>18</v>
      </c>
      <c r="E116" s="63">
        <v>16</v>
      </c>
      <c r="F116" s="63">
        <v>1</v>
      </c>
      <c r="G116" s="64">
        <f t="shared" si="4"/>
        <v>0.88888888888888884</v>
      </c>
      <c r="H116" s="64">
        <f t="shared" si="5"/>
        <v>5.5555555555555552E-2</v>
      </c>
      <c r="I116" s="63">
        <v>2</v>
      </c>
      <c r="J116" s="65">
        <v>81.266499999999994</v>
      </c>
      <c r="K116" s="65">
        <v>100</v>
      </c>
      <c r="L116" s="62" t="s">
        <v>825</v>
      </c>
      <c r="M116" s="63">
        <v>0</v>
      </c>
      <c r="N116" s="66">
        <f t="shared" si="6"/>
        <v>0.97199999999999998</v>
      </c>
      <c r="O116" s="62" t="str">
        <f t="shared" si="7"/>
        <v>4: Engaged Early</v>
      </c>
    </row>
    <row r="117" spans="1:15" ht="15" customHeight="1" x14ac:dyDescent="0.4">
      <c r="A117" s="62" t="s">
        <v>824</v>
      </c>
      <c r="B117" s="62" t="s">
        <v>677</v>
      </c>
      <c r="C117" s="62" t="s">
        <v>825</v>
      </c>
      <c r="D117" s="63">
        <v>20</v>
      </c>
      <c r="E117" s="63">
        <v>18</v>
      </c>
      <c r="F117" s="63">
        <v>6</v>
      </c>
      <c r="G117" s="64">
        <f t="shared" si="4"/>
        <v>0.9</v>
      </c>
      <c r="H117" s="64">
        <f t="shared" si="5"/>
        <v>0.3</v>
      </c>
      <c r="I117" s="63">
        <v>2</v>
      </c>
      <c r="J117" s="65">
        <v>99.575149999999994</v>
      </c>
      <c r="K117" s="65">
        <v>99.69</v>
      </c>
      <c r="L117" s="62" t="s">
        <v>825</v>
      </c>
      <c r="M117" s="63">
        <v>0</v>
      </c>
      <c r="N117" s="66">
        <f t="shared" si="6"/>
        <v>0.998</v>
      </c>
      <c r="O117" s="62" t="str">
        <f t="shared" si="7"/>
        <v>4: Engaged Early</v>
      </c>
    </row>
    <row r="118" spans="1:15" ht="15" customHeight="1" x14ac:dyDescent="0.4">
      <c r="A118" s="62" t="s">
        <v>824</v>
      </c>
      <c r="B118" s="62" t="s">
        <v>893</v>
      </c>
      <c r="C118" s="62" t="s">
        <v>826</v>
      </c>
      <c r="D118" s="63">
        <v>17</v>
      </c>
      <c r="E118" s="63">
        <v>8</v>
      </c>
      <c r="F118" s="63">
        <v>4</v>
      </c>
      <c r="G118" s="64">
        <f t="shared" si="4"/>
        <v>0.47058823529411764</v>
      </c>
      <c r="H118" s="64">
        <f t="shared" si="5"/>
        <v>0.23529411764705882</v>
      </c>
      <c r="I118" s="63">
        <v>2</v>
      </c>
      <c r="J118" s="65">
        <v>100</v>
      </c>
      <c r="K118" s="65">
        <v>87.33</v>
      </c>
      <c r="L118" s="62" t="s">
        <v>825</v>
      </c>
      <c r="M118" s="63">
        <v>0</v>
      </c>
      <c r="N118" s="66">
        <f t="shared" si="6"/>
        <v>0.92400000000000004</v>
      </c>
      <c r="O118" s="62" t="str">
        <f t="shared" si="7"/>
        <v>4: Engaged Early</v>
      </c>
    </row>
    <row r="119" spans="1:15" ht="15" customHeight="1" x14ac:dyDescent="0.4">
      <c r="A119" s="62" t="s">
        <v>824</v>
      </c>
      <c r="B119" s="62" t="s">
        <v>894</v>
      </c>
      <c r="C119" s="62" t="s">
        <v>826</v>
      </c>
      <c r="D119" s="63">
        <v>26</v>
      </c>
      <c r="E119" s="63">
        <v>26</v>
      </c>
      <c r="F119" s="63">
        <v>0</v>
      </c>
      <c r="G119" s="64">
        <f t="shared" si="4"/>
        <v>1</v>
      </c>
      <c r="H119" s="64">
        <f t="shared" si="5"/>
        <v>0</v>
      </c>
      <c r="I119" s="63">
        <v>1</v>
      </c>
      <c r="J119" s="65">
        <v>82.39</v>
      </c>
      <c r="K119" s="65">
        <v>66.67</v>
      </c>
      <c r="L119" s="62" t="s">
        <v>825</v>
      </c>
      <c r="M119" s="63">
        <v>0</v>
      </c>
      <c r="N119" s="66">
        <f t="shared" si="6"/>
        <v>0.77400000000000002</v>
      </c>
      <c r="O119" s="62" t="str">
        <f t="shared" si="7"/>
        <v>4: Engaged Early</v>
      </c>
    </row>
    <row r="120" spans="1:15" ht="15" customHeight="1" x14ac:dyDescent="0.4">
      <c r="A120" s="62" t="s">
        <v>824</v>
      </c>
      <c r="B120" s="62" t="s">
        <v>311</v>
      </c>
      <c r="C120" s="62" t="s">
        <v>825</v>
      </c>
      <c r="D120" s="63">
        <v>15</v>
      </c>
      <c r="E120" s="63">
        <v>11</v>
      </c>
      <c r="F120" s="63">
        <v>0</v>
      </c>
      <c r="G120" s="64">
        <f t="shared" si="4"/>
        <v>0.73333333333333328</v>
      </c>
      <c r="H120" s="64">
        <f t="shared" si="5"/>
        <v>0</v>
      </c>
      <c r="I120" s="63">
        <v>0</v>
      </c>
      <c r="J120" s="65"/>
      <c r="K120" s="65">
        <v>0</v>
      </c>
      <c r="L120" s="62" t="s">
        <v>826</v>
      </c>
      <c r="M120" s="63">
        <v>0</v>
      </c>
      <c r="N120" s="66">
        <f t="shared" si="6"/>
        <v>0</v>
      </c>
      <c r="O120" s="62" t="str">
        <f t="shared" si="7"/>
        <v>1: Critical (No DBWT + No Wk0)</v>
      </c>
    </row>
    <row r="121" spans="1:15" ht="15" customHeight="1" x14ac:dyDescent="0.4">
      <c r="A121" s="62" t="s">
        <v>824</v>
      </c>
      <c r="B121" s="62" t="s">
        <v>895</v>
      </c>
      <c r="C121" s="62" t="s">
        <v>826</v>
      </c>
      <c r="D121" s="63">
        <v>4</v>
      </c>
      <c r="E121" s="63">
        <v>1</v>
      </c>
      <c r="F121" s="63">
        <v>0</v>
      </c>
      <c r="G121" s="64">
        <f t="shared" si="4"/>
        <v>0.25</v>
      </c>
      <c r="H121" s="64">
        <f t="shared" si="5"/>
        <v>0</v>
      </c>
      <c r="I121" s="63">
        <v>0</v>
      </c>
      <c r="J121" s="65"/>
      <c r="K121" s="65">
        <v>0</v>
      </c>
      <c r="L121" s="62" t="s">
        <v>826</v>
      </c>
      <c r="M121" s="63">
        <v>0</v>
      </c>
      <c r="N121" s="66">
        <f t="shared" si="6"/>
        <v>0</v>
      </c>
      <c r="O121" s="62" t="str">
        <f t="shared" si="7"/>
        <v>1: Critical (No DBWT + No Wk0)</v>
      </c>
    </row>
    <row r="122" spans="1:15" ht="15" customHeight="1" x14ac:dyDescent="0.4">
      <c r="A122" s="62" t="s">
        <v>824</v>
      </c>
      <c r="B122" s="62" t="s">
        <v>293</v>
      </c>
      <c r="C122" s="62" t="s">
        <v>825</v>
      </c>
      <c r="D122" s="63">
        <v>11</v>
      </c>
      <c r="E122" s="63">
        <v>10</v>
      </c>
      <c r="F122" s="63">
        <v>0</v>
      </c>
      <c r="G122" s="64">
        <f t="shared" si="4"/>
        <v>0.90909090909090906</v>
      </c>
      <c r="H122" s="64">
        <f t="shared" si="5"/>
        <v>0</v>
      </c>
      <c r="I122" s="63">
        <v>0</v>
      </c>
      <c r="J122" s="65"/>
      <c r="K122" s="65">
        <v>0</v>
      </c>
      <c r="L122" s="62" t="s">
        <v>825</v>
      </c>
      <c r="M122" s="63">
        <v>0</v>
      </c>
      <c r="N122" s="66">
        <f t="shared" si="6"/>
        <v>0.25</v>
      </c>
      <c r="O122" s="62" t="str">
        <f t="shared" si="7"/>
        <v>3: Elevated (No Wk0)</v>
      </c>
    </row>
    <row r="123" spans="1:15" ht="15" customHeight="1" x14ac:dyDescent="0.4">
      <c r="A123" s="62" t="s">
        <v>824</v>
      </c>
      <c r="B123" s="62" t="s">
        <v>291</v>
      </c>
      <c r="C123" s="62" t="s">
        <v>825</v>
      </c>
      <c r="D123" s="63">
        <v>20</v>
      </c>
      <c r="E123" s="63">
        <v>19</v>
      </c>
      <c r="F123" s="63">
        <v>3</v>
      </c>
      <c r="G123" s="64">
        <f t="shared" si="4"/>
        <v>0.95</v>
      </c>
      <c r="H123" s="64">
        <f t="shared" si="5"/>
        <v>0.15</v>
      </c>
      <c r="I123" s="63">
        <v>0</v>
      </c>
      <c r="J123" s="65"/>
      <c r="K123" s="65">
        <v>0</v>
      </c>
      <c r="L123" s="62" t="s">
        <v>825</v>
      </c>
      <c r="M123" s="63">
        <v>0</v>
      </c>
      <c r="N123" s="66">
        <f t="shared" si="6"/>
        <v>0.25</v>
      </c>
      <c r="O123" s="62" t="str">
        <f t="shared" si="7"/>
        <v>3: Elevated (No Wk0)</v>
      </c>
    </row>
    <row r="124" spans="1:15" ht="15" customHeight="1" x14ac:dyDescent="0.4">
      <c r="A124" s="62" t="s">
        <v>824</v>
      </c>
      <c r="B124" s="62" t="s">
        <v>896</v>
      </c>
      <c r="C124" s="62" t="s">
        <v>826</v>
      </c>
      <c r="D124" s="63">
        <v>20</v>
      </c>
      <c r="E124" s="63">
        <v>12</v>
      </c>
      <c r="F124" s="63">
        <v>5</v>
      </c>
      <c r="G124" s="64">
        <f t="shared" si="4"/>
        <v>0.6</v>
      </c>
      <c r="H124" s="64">
        <f t="shared" si="5"/>
        <v>0.25</v>
      </c>
      <c r="I124" s="63">
        <v>0</v>
      </c>
      <c r="J124" s="65"/>
      <c r="K124" s="65">
        <v>11.11</v>
      </c>
      <c r="L124" s="62" t="s">
        <v>825</v>
      </c>
      <c r="M124" s="63">
        <v>0</v>
      </c>
      <c r="N124" s="66">
        <f t="shared" si="6"/>
        <v>0.317</v>
      </c>
      <c r="O124" s="62" t="str">
        <f t="shared" si="7"/>
        <v>3: Elevated (No Wk0)</v>
      </c>
    </row>
    <row r="125" spans="1:15" ht="15" customHeight="1" x14ac:dyDescent="0.4">
      <c r="A125" s="62" t="s">
        <v>824</v>
      </c>
      <c r="B125" s="62" t="s">
        <v>362</v>
      </c>
      <c r="C125" s="62" t="s">
        <v>825</v>
      </c>
      <c r="D125" s="63">
        <v>8</v>
      </c>
      <c r="E125" s="63">
        <v>3</v>
      </c>
      <c r="F125" s="63">
        <v>0</v>
      </c>
      <c r="G125" s="64">
        <f t="shared" si="4"/>
        <v>0.375</v>
      </c>
      <c r="H125" s="64">
        <f t="shared" si="5"/>
        <v>0</v>
      </c>
      <c r="I125" s="63">
        <v>0</v>
      </c>
      <c r="J125" s="65"/>
      <c r="K125" s="65">
        <v>0</v>
      </c>
      <c r="L125" s="62" t="s">
        <v>826</v>
      </c>
      <c r="M125" s="63">
        <v>0</v>
      </c>
      <c r="N125" s="66">
        <f t="shared" si="6"/>
        <v>0</v>
      </c>
      <c r="O125" s="62" t="str">
        <f t="shared" si="7"/>
        <v>1: Critical (No DBWT + No Wk0)</v>
      </c>
    </row>
    <row r="126" spans="1:15" ht="15" customHeight="1" x14ac:dyDescent="0.4">
      <c r="A126" s="62" t="s">
        <v>824</v>
      </c>
      <c r="B126" s="62" t="s">
        <v>764</v>
      </c>
      <c r="C126" s="62" t="s">
        <v>825</v>
      </c>
      <c r="D126" s="63">
        <v>5</v>
      </c>
      <c r="E126" s="63">
        <v>0</v>
      </c>
      <c r="F126" s="63">
        <v>2</v>
      </c>
      <c r="G126" s="64">
        <f t="shared" si="4"/>
        <v>0</v>
      </c>
      <c r="H126" s="64">
        <f t="shared" si="5"/>
        <v>0.4</v>
      </c>
      <c r="I126" s="63">
        <v>2</v>
      </c>
      <c r="J126" s="65">
        <v>86.555750000000003</v>
      </c>
      <c r="K126" s="65">
        <v>92.58</v>
      </c>
      <c r="L126" s="62" t="s">
        <v>825</v>
      </c>
      <c r="M126" s="63">
        <v>0</v>
      </c>
      <c r="N126" s="66">
        <f t="shared" si="6"/>
        <v>0.93500000000000005</v>
      </c>
      <c r="O126" s="62" t="str">
        <f t="shared" si="7"/>
        <v>4: Engaged Early</v>
      </c>
    </row>
    <row r="127" spans="1:15" ht="15" customHeight="1" x14ac:dyDescent="0.4">
      <c r="A127" s="62" t="s">
        <v>824</v>
      </c>
      <c r="B127" s="62" t="s">
        <v>897</v>
      </c>
      <c r="C127" s="62" t="s">
        <v>826</v>
      </c>
      <c r="D127" s="63">
        <v>13</v>
      </c>
      <c r="E127" s="63">
        <v>8</v>
      </c>
      <c r="F127" s="63">
        <v>0</v>
      </c>
      <c r="G127" s="64">
        <f t="shared" si="4"/>
        <v>0.61538461538461542</v>
      </c>
      <c r="H127" s="64">
        <f t="shared" si="5"/>
        <v>0</v>
      </c>
      <c r="I127" s="63">
        <v>0</v>
      </c>
      <c r="J127" s="65"/>
      <c r="K127" s="65">
        <v>0</v>
      </c>
      <c r="L127" s="62" t="s">
        <v>825</v>
      </c>
      <c r="M127" s="63">
        <v>0</v>
      </c>
      <c r="N127" s="66">
        <f t="shared" si="6"/>
        <v>0.25</v>
      </c>
      <c r="O127" s="62" t="str">
        <f t="shared" si="7"/>
        <v>3: Elevated (No Wk0)</v>
      </c>
    </row>
    <row r="128" spans="1:15" ht="15" customHeight="1" x14ac:dyDescent="0.4">
      <c r="A128" s="62" t="s">
        <v>824</v>
      </c>
      <c r="B128" s="62" t="s">
        <v>465</v>
      </c>
      <c r="C128" s="62" t="s">
        <v>825</v>
      </c>
      <c r="D128" s="63">
        <v>15</v>
      </c>
      <c r="E128" s="63">
        <v>11</v>
      </c>
      <c r="F128" s="63">
        <v>0</v>
      </c>
      <c r="G128" s="64">
        <f t="shared" si="4"/>
        <v>0.73333333333333328</v>
      </c>
      <c r="H128" s="64">
        <f t="shared" si="5"/>
        <v>0</v>
      </c>
      <c r="I128" s="63">
        <v>0</v>
      </c>
      <c r="J128" s="65"/>
      <c r="K128" s="65">
        <v>0</v>
      </c>
      <c r="L128" s="62" t="s">
        <v>826</v>
      </c>
      <c r="M128" s="63">
        <v>0</v>
      </c>
      <c r="N128" s="66">
        <f t="shared" si="6"/>
        <v>0</v>
      </c>
      <c r="O128" s="62" t="str">
        <f t="shared" si="7"/>
        <v>1: Critical (No DBWT + No Wk0)</v>
      </c>
    </row>
    <row r="129" spans="1:15" ht="15" customHeight="1" x14ac:dyDescent="0.4">
      <c r="A129" s="62" t="s">
        <v>824</v>
      </c>
      <c r="B129" s="62" t="s">
        <v>379</v>
      </c>
      <c r="C129" s="62" t="s">
        <v>825</v>
      </c>
      <c r="D129" s="63">
        <v>4</v>
      </c>
      <c r="E129" s="63">
        <v>0</v>
      </c>
      <c r="F129" s="63">
        <v>0</v>
      </c>
      <c r="G129" s="64">
        <f t="shared" si="4"/>
        <v>0</v>
      </c>
      <c r="H129" s="64">
        <f t="shared" si="5"/>
        <v>0</v>
      </c>
      <c r="I129" s="63">
        <v>0</v>
      </c>
      <c r="J129" s="65"/>
      <c r="K129" s="65">
        <v>0</v>
      </c>
      <c r="L129" s="62" t="s">
        <v>826</v>
      </c>
      <c r="M129" s="63">
        <v>0</v>
      </c>
      <c r="N129" s="66">
        <f t="shared" si="6"/>
        <v>0</v>
      </c>
      <c r="O129" s="62" t="str">
        <f t="shared" si="7"/>
        <v>1: Critical (No DBWT + No Wk0)</v>
      </c>
    </row>
    <row r="130" spans="1:15" ht="15" customHeight="1" x14ac:dyDescent="0.4">
      <c r="A130" s="62" t="s">
        <v>824</v>
      </c>
      <c r="B130" s="62" t="s">
        <v>467</v>
      </c>
      <c r="C130" s="62" t="s">
        <v>825</v>
      </c>
      <c r="D130" s="63">
        <v>25</v>
      </c>
      <c r="E130" s="63">
        <v>18</v>
      </c>
      <c r="F130" s="63">
        <v>11</v>
      </c>
      <c r="G130" s="64">
        <f t="shared" ref="G130:G193" si="8">IFERROR(E130/D130,0)</f>
        <v>0.72</v>
      </c>
      <c r="H130" s="64">
        <f t="shared" ref="H130:H193" si="9">IFERROR(F130/D130,0)</f>
        <v>0.44</v>
      </c>
      <c r="I130" s="63">
        <v>0</v>
      </c>
      <c r="J130" s="65"/>
      <c r="K130" s="65">
        <v>0.12</v>
      </c>
      <c r="L130" s="62" t="s">
        <v>825</v>
      </c>
      <c r="M130" s="63">
        <v>0</v>
      </c>
      <c r="N130" s="66">
        <f t="shared" ref="N130:N193" si="10">ROUND(IFERROR(K130/100,0)*0.6 + IF(L130="Yes",1,IF(L130="No",0,0.3))*0.25 + IFERROR(J130/100,0)*0.15,3)</f>
        <v>0.251</v>
      </c>
      <c r="O130" s="62" t="str">
        <f t="shared" ref="O130:O193" si="11">IF(AND(L130="No",I130=0),"1: Critical (No DBWT + No Wk0)",IF(L130="No","2: High (No DBWT)",IF(I130=0,"3: Elevated (No Wk0)","4: Engaged Early")))</f>
        <v>3: Elevated (No Wk0)</v>
      </c>
    </row>
    <row r="131" spans="1:15" ht="15" customHeight="1" x14ac:dyDescent="0.4">
      <c r="A131" s="62" t="s">
        <v>824</v>
      </c>
      <c r="B131" s="62" t="s">
        <v>545</v>
      </c>
      <c r="C131" s="62" t="s">
        <v>825</v>
      </c>
      <c r="D131" s="63">
        <v>3</v>
      </c>
      <c r="E131" s="63">
        <v>3</v>
      </c>
      <c r="F131" s="63">
        <v>0</v>
      </c>
      <c r="G131" s="64">
        <f t="shared" si="8"/>
        <v>1</v>
      </c>
      <c r="H131" s="64">
        <f t="shared" si="9"/>
        <v>0</v>
      </c>
      <c r="I131" s="63">
        <v>1</v>
      </c>
      <c r="J131" s="65">
        <v>34.549999999999997</v>
      </c>
      <c r="K131" s="65">
        <v>26.05</v>
      </c>
      <c r="L131" s="62" t="s">
        <v>826</v>
      </c>
      <c r="M131" s="63">
        <v>0</v>
      </c>
      <c r="N131" s="66">
        <f t="shared" si="10"/>
        <v>0.20799999999999999</v>
      </c>
      <c r="O131" s="62" t="str">
        <f t="shared" si="11"/>
        <v>2: High (No DBWT)</v>
      </c>
    </row>
    <row r="132" spans="1:15" ht="15" customHeight="1" x14ac:dyDescent="0.4">
      <c r="A132" s="62" t="s">
        <v>824</v>
      </c>
      <c r="B132" s="62" t="s">
        <v>898</v>
      </c>
      <c r="C132" s="62" t="s">
        <v>826</v>
      </c>
      <c r="D132" s="63">
        <v>16</v>
      </c>
      <c r="E132" s="63">
        <v>1</v>
      </c>
      <c r="F132" s="63">
        <v>4</v>
      </c>
      <c r="G132" s="64">
        <f t="shared" si="8"/>
        <v>6.25E-2</v>
      </c>
      <c r="H132" s="64">
        <f t="shared" si="9"/>
        <v>0.25</v>
      </c>
      <c r="I132" s="63">
        <v>2</v>
      </c>
      <c r="J132" s="65">
        <v>84.310050000000004</v>
      </c>
      <c r="K132" s="65">
        <v>44.84</v>
      </c>
      <c r="L132" s="62" t="s">
        <v>825</v>
      </c>
      <c r="M132" s="63">
        <v>0</v>
      </c>
      <c r="N132" s="66">
        <f t="shared" si="10"/>
        <v>0.64600000000000002</v>
      </c>
      <c r="O132" s="62" t="str">
        <f t="shared" si="11"/>
        <v>4: Engaged Early</v>
      </c>
    </row>
    <row r="133" spans="1:15" ht="15" customHeight="1" x14ac:dyDescent="0.4">
      <c r="A133" s="62" t="s">
        <v>824</v>
      </c>
      <c r="B133" s="62" t="s">
        <v>899</v>
      </c>
      <c r="C133" s="62" t="s">
        <v>826</v>
      </c>
      <c r="D133" s="63">
        <v>2</v>
      </c>
      <c r="E133" s="63">
        <v>1</v>
      </c>
      <c r="F133" s="63">
        <v>0</v>
      </c>
      <c r="G133" s="64">
        <f t="shared" si="8"/>
        <v>0.5</v>
      </c>
      <c r="H133" s="64">
        <f t="shared" si="9"/>
        <v>0</v>
      </c>
      <c r="I133" s="63">
        <v>0</v>
      </c>
      <c r="J133" s="65"/>
      <c r="K133" s="65">
        <v>0</v>
      </c>
      <c r="L133" s="62" t="s">
        <v>826</v>
      </c>
      <c r="M133" s="63">
        <v>0</v>
      </c>
      <c r="N133" s="66">
        <f t="shared" si="10"/>
        <v>0</v>
      </c>
      <c r="O133" s="62" t="str">
        <f t="shared" si="11"/>
        <v>1: Critical (No DBWT + No Wk0)</v>
      </c>
    </row>
    <row r="134" spans="1:15" ht="15" customHeight="1" x14ac:dyDescent="0.4">
      <c r="A134" s="62" t="s">
        <v>824</v>
      </c>
      <c r="B134" s="62" t="s">
        <v>728</v>
      </c>
      <c r="C134" s="62" t="s">
        <v>825</v>
      </c>
      <c r="D134" s="63">
        <v>17</v>
      </c>
      <c r="E134" s="63">
        <v>0</v>
      </c>
      <c r="F134" s="63">
        <v>0</v>
      </c>
      <c r="G134" s="64">
        <f t="shared" si="8"/>
        <v>0</v>
      </c>
      <c r="H134" s="64">
        <f t="shared" si="9"/>
        <v>0</v>
      </c>
      <c r="I134" s="63">
        <v>0</v>
      </c>
      <c r="J134" s="65"/>
      <c r="K134" s="65">
        <v>0</v>
      </c>
      <c r="L134" s="62" t="s">
        <v>825</v>
      </c>
      <c r="M134" s="63">
        <v>0</v>
      </c>
      <c r="N134" s="66">
        <f t="shared" si="10"/>
        <v>0.25</v>
      </c>
      <c r="O134" s="62" t="str">
        <f t="shared" si="11"/>
        <v>3: Elevated (No Wk0)</v>
      </c>
    </row>
    <row r="135" spans="1:15" ht="15" customHeight="1" x14ac:dyDescent="0.4">
      <c r="A135" s="62" t="s">
        <v>824</v>
      </c>
      <c r="B135" s="62" t="s">
        <v>900</v>
      </c>
      <c r="C135" s="62" t="s">
        <v>826</v>
      </c>
      <c r="D135" s="63">
        <v>4</v>
      </c>
      <c r="E135" s="63">
        <v>4</v>
      </c>
      <c r="F135" s="63">
        <v>0</v>
      </c>
      <c r="G135" s="64">
        <f t="shared" si="8"/>
        <v>1</v>
      </c>
      <c r="H135" s="64">
        <f t="shared" si="9"/>
        <v>0</v>
      </c>
      <c r="I135" s="63">
        <v>1</v>
      </c>
      <c r="J135" s="65">
        <v>99.59</v>
      </c>
      <c r="K135" s="65">
        <v>77.78</v>
      </c>
      <c r="L135" s="62" t="s">
        <v>825</v>
      </c>
      <c r="M135" s="63">
        <v>0</v>
      </c>
      <c r="N135" s="66">
        <f t="shared" si="10"/>
        <v>0.86599999999999999</v>
      </c>
      <c r="O135" s="62" t="str">
        <f t="shared" si="11"/>
        <v>4: Engaged Early</v>
      </c>
    </row>
    <row r="136" spans="1:15" ht="15" customHeight="1" x14ac:dyDescent="0.4">
      <c r="A136" s="62" t="s">
        <v>824</v>
      </c>
      <c r="B136" s="62" t="s">
        <v>422</v>
      </c>
      <c r="C136" s="62" t="s">
        <v>825</v>
      </c>
      <c r="D136" s="63">
        <v>5</v>
      </c>
      <c r="E136" s="63">
        <v>5</v>
      </c>
      <c r="F136" s="63">
        <v>1</v>
      </c>
      <c r="G136" s="64">
        <f t="shared" si="8"/>
        <v>1</v>
      </c>
      <c r="H136" s="64">
        <f t="shared" si="9"/>
        <v>0.2</v>
      </c>
      <c r="I136" s="63">
        <v>1</v>
      </c>
      <c r="J136" s="65">
        <v>92.62</v>
      </c>
      <c r="K136" s="65">
        <v>20</v>
      </c>
      <c r="L136" s="62" t="s">
        <v>825</v>
      </c>
      <c r="M136" s="63">
        <v>0</v>
      </c>
      <c r="N136" s="66">
        <f t="shared" si="10"/>
        <v>0.50900000000000001</v>
      </c>
      <c r="O136" s="62" t="str">
        <f t="shared" si="11"/>
        <v>4: Engaged Early</v>
      </c>
    </row>
    <row r="137" spans="1:15" ht="15" customHeight="1" x14ac:dyDescent="0.4">
      <c r="A137" s="62" t="s">
        <v>824</v>
      </c>
      <c r="B137" s="62" t="s">
        <v>901</v>
      </c>
      <c r="C137" s="62" t="s">
        <v>826</v>
      </c>
      <c r="D137" s="63">
        <v>0</v>
      </c>
      <c r="E137" s="63">
        <v>0</v>
      </c>
      <c r="F137" s="63">
        <v>0</v>
      </c>
      <c r="G137" s="64">
        <f t="shared" si="8"/>
        <v>0</v>
      </c>
      <c r="H137" s="64">
        <f t="shared" si="9"/>
        <v>0</v>
      </c>
      <c r="I137" s="63">
        <v>0</v>
      </c>
      <c r="J137" s="65"/>
      <c r="K137" s="65">
        <v>95.02</v>
      </c>
      <c r="L137" s="62" t="s">
        <v>840</v>
      </c>
      <c r="M137" s="63">
        <v>1</v>
      </c>
      <c r="N137" s="66">
        <f t="shared" si="10"/>
        <v>0.64500000000000002</v>
      </c>
      <c r="O137" s="62" t="str">
        <f t="shared" si="11"/>
        <v>3: Elevated (No Wk0)</v>
      </c>
    </row>
    <row r="138" spans="1:15" ht="15" customHeight="1" x14ac:dyDescent="0.4">
      <c r="A138" s="62" t="s">
        <v>824</v>
      </c>
      <c r="B138" s="62" t="s">
        <v>391</v>
      </c>
      <c r="C138" s="62" t="s">
        <v>825</v>
      </c>
      <c r="D138" s="63">
        <v>5</v>
      </c>
      <c r="E138" s="63">
        <v>5</v>
      </c>
      <c r="F138" s="63">
        <v>0</v>
      </c>
      <c r="G138" s="64">
        <f t="shared" si="8"/>
        <v>1</v>
      </c>
      <c r="H138" s="64">
        <f t="shared" si="9"/>
        <v>0</v>
      </c>
      <c r="I138" s="63">
        <v>0</v>
      </c>
      <c r="J138" s="65"/>
      <c r="K138" s="65">
        <v>0</v>
      </c>
      <c r="L138" s="62" t="s">
        <v>826</v>
      </c>
      <c r="M138" s="63">
        <v>0</v>
      </c>
      <c r="N138" s="66">
        <f t="shared" si="10"/>
        <v>0</v>
      </c>
      <c r="O138" s="62" t="str">
        <f t="shared" si="11"/>
        <v>1: Critical (No DBWT + No Wk0)</v>
      </c>
    </row>
    <row r="139" spans="1:15" ht="15" customHeight="1" x14ac:dyDescent="0.4">
      <c r="A139" s="62" t="s">
        <v>824</v>
      </c>
      <c r="B139" s="62" t="s">
        <v>902</v>
      </c>
      <c r="C139" s="62" t="s">
        <v>826</v>
      </c>
      <c r="D139" s="63">
        <v>13</v>
      </c>
      <c r="E139" s="63">
        <v>5</v>
      </c>
      <c r="F139" s="63">
        <v>3</v>
      </c>
      <c r="G139" s="64">
        <f t="shared" si="8"/>
        <v>0.38461538461538464</v>
      </c>
      <c r="H139" s="64">
        <f t="shared" si="9"/>
        <v>0.23076923076923078</v>
      </c>
      <c r="I139" s="63">
        <v>2</v>
      </c>
      <c r="J139" s="65">
        <v>72.1096</v>
      </c>
      <c r="K139" s="65">
        <v>77.81</v>
      </c>
      <c r="L139" s="62" t="s">
        <v>826</v>
      </c>
      <c r="M139" s="63">
        <v>0</v>
      </c>
      <c r="N139" s="66">
        <f t="shared" si="10"/>
        <v>0.57499999999999996</v>
      </c>
      <c r="O139" s="62" t="str">
        <f t="shared" si="11"/>
        <v>2: High (No DBWT)</v>
      </c>
    </row>
    <row r="140" spans="1:15" ht="15" customHeight="1" x14ac:dyDescent="0.4">
      <c r="A140" s="62" t="s">
        <v>824</v>
      </c>
      <c r="B140" s="62" t="s">
        <v>459</v>
      </c>
      <c r="C140" s="62" t="s">
        <v>825</v>
      </c>
      <c r="D140" s="63">
        <v>1</v>
      </c>
      <c r="E140" s="63">
        <v>0</v>
      </c>
      <c r="F140" s="63">
        <v>0</v>
      </c>
      <c r="G140" s="64">
        <f t="shared" si="8"/>
        <v>0</v>
      </c>
      <c r="H140" s="64">
        <f t="shared" si="9"/>
        <v>0</v>
      </c>
      <c r="I140" s="63">
        <v>0</v>
      </c>
      <c r="J140" s="65"/>
      <c r="K140" s="65">
        <v>0</v>
      </c>
      <c r="L140" s="62" t="s">
        <v>826</v>
      </c>
      <c r="M140" s="63">
        <v>0</v>
      </c>
      <c r="N140" s="66">
        <f t="shared" si="10"/>
        <v>0</v>
      </c>
      <c r="O140" s="62" t="str">
        <f t="shared" si="11"/>
        <v>1: Critical (No DBWT + No Wk0)</v>
      </c>
    </row>
    <row r="141" spans="1:15" ht="15" customHeight="1" x14ac:dyDescent="0.4">
      <c r="A141" s="62" t="s">
        <v>824</v>
      </c>
      <c r="B141" s="62" t="s">
        <v>903</v>
      </c>
      <c r="C141" s="62" t="s">
        <v>826</v>
      </c>
      <c r="D141" s="63">
        <v>17</v>
      </c>
      <c r="E141" s="63">
        <v>7</v>
      </c>
      <c r="F141" s="63">
        <v>2</v>
      </c>
      <c r="G141" s="64">
        <f t="shared" si="8"/>
        <v>0.41176470588235292</v>
      </c>
      <c r="H141" s="64">
        <f t="shared" si="9"/>
        <v>0.11764705882352941</v>
      </c>
      <c r="I141" s="63">
        <v>0</v>
      </c>
      <c r="J141" s="65"/>
      <c r="K141" s="65">
        <v>0</v>
      </c>
      <c r="L141" s="62" t="s">
        <v>826</v>
      </c>
      <c r="M141" s="63">
        <v>0</v>
      </c>
      <c r="N141" s="66">
        <f t="shared" si="10"/>
        <v>0</v>
      </c>
      <c r="O141" s="62" t="str">
        <f t="shared" si="11"/>
        <v>1: Critical (No DBWT + No Wk0)</v>
      </c>
    </row>
    <row r="142" spans="1:15" ht="15" customHeight="1" x14ac:dyDescent="0.4">
      <c r="A142" s="62" t="s">
        <v>824</v>
      </c>
      <c r="B142" s="62" t="s">
        <v>904</v>
      </c>
      <c r="C142" s="62" t="s">
        <v>826</v>
      </c>
      <c r="D142" s="63">
        <v>10</v>
      </c>
      <c r="E142" s="63">
        <v>8</v>
      </c>
      <c r="F142" s="63">
        <v>3</v>
      </c>
      <c r="G142" s="64">
        <f t="shared" si="8"/>
        <v>0.8</v>
      </c>
      <c r="H142" s="64">
        <f t="shared" si="9"/>
        <v>0.3</v>
      </c>
      <c r="I142" s="63">
        <v>2</v>
      </c>
      <c r="J142" s="65">
        <v>99.251750000000001</v>
      </c>
      <c r="K142" s="65">
        <v>88.89</v>
      </c>
      <c r="L142" s="62" t="s">
        <v>825</v>
      </c>
      <c r="M142" s="63">
        <v>0</v>
      </c>
      <c r="N142" s="66">
        <f t="shared" si="10"/>
        <v>0.93200000000000005</v>
      </c>
      <c r="O142" s="62" t="str">
        <f t="shared" si="11"/>
        <v>4: Engaged Early</v>
      </c>
    </row>
    <row r="143" spans="1:15" ht="15" customHeight="1" x14ac:dyDescent="0.4">
      <c r="A143" s="62" t="s">
        <v>824</v>
      </c>
      <c r="B143" s="62" t="s">
        <v>784</v>
      </c>
      <c r="C143" s="62" t="s">
        <v>825</v>
      </c>
      <c r="D143" s="63">
        <v>26</v>
      </c>
      <c r="E143" s="63">
        <v>9</v>
      </c>
      <c r="F143" s="63">
        <v>0</v>
      </c>
      <c r="G143" s="64">
        <f t="shared" si="8"/>
        <v>0.34615384615384615</v>
      </c>
      <c r="H143" s="64">
        <f t="shared" si="9"/>
        <v>0</v>
      </c>
      <c r="I143" s="63">
        <v>0</v>
      </c>
      <c r="J143" s="65"/>
      <c r="K143" s="65">
        <v>0</v>
      </c>
      <c r="L143" s="62" t="s">
        <v>825</v>
      </c>
      <c r="M143" s="63">
        <v>0</v>
      </c>
      <c r="N143" s="66">
        <f t="shared" si="10"/>
        <v>0.25</v>
      </c>
      <c r="O143" s="62" t="str">
        <f t="shared" si="11"/>
        <v>3: Elevated (No Wk0)</v>
      </c>
    </row>
    <row r="144" spans="1:15" ht="15" customHeight="1" x14ac:dyDescent="0.4">
      <c r="A144" s="62" t="s">
        <v>824</v>
      </c>
      <c r="B144" s="62" t="s">
        <v>905</v>
      </c>
      <c r="C144" s="62" t="s">
        <v>826</v>
      </c>
      <c r="D144" s="63">
        <v>21</v>
      </c>
      <c r="E144" s="63">
        <v>3</v>
      </c>
      <c r="F144" s="63">
        <v>0</v>
      </c>
      <c r="G144" s="64">
        <f t="shared" si="8"/>
        <v>0.14285714285714285</v>
      </c>
      <c r="H144" s="64">
        <f t="shared" si="9"/>
        <v>0</v>
      </c>
      <c r="I144" s="63">
        <v>2</v>
      </c>
      <c r="J144" s="65">
        <v>88.662350000000004</v>
      </c>
      <c r="K144" s="65">
        <v>100</v>
      </c>
      <c r="L144" s="62" t="s">
        <v>825</v>
      </c>
      <c r="M144" s="63">
        <v>0</v>
      </c>
      <c r="N144" s="66">
        <f t="shared" si="10"/>
        <v>0.98299999999999998</v>
      </c>
      <c r="O144" s="62" t="str">
        <f t="shared" si="11"/>
        <v>4: Engaged Early</v>
      </c>
    </row>
    <row r="145" spans="1:15" ht="15" customHeight="1" x14ac:dyDescent="0.4">
      <c r="A145" s="62" t="s">
        <v>824</v>
      </c>
      <c r="B145" s="62" t="s">
        <v>906</v>
      </c>
      <c r="C145" s="62" t="s">
        <v>826</v>
      </c>
      <c r="D145" s="63">
        <v>10</v>
      </c>
      <c r="E145" s="63">
        <v>8</v>
      </c>
      <c r="F145" s="63">
        <v>2</v>
      </c>
      <c r="G145" s="64">
        <f t="shared" si="8"/>
        <v>0.8</v>
      </c>
      <c r="H145" s="64">
        <f t="shared" si="9"/>
        <v>0.2</v>
      </c>
      <c r="I145" s="63">
        <v>2</v>
      </c>
      <c r="J145" s="65">
        <v>91.115700000000004</v>
      </c>
      <c r="K145" s="65">
        <v>22.22</v>
      </c>
      <c r="L145" s="62" t="s">
        <v>825</v>
      </c>
      <c r="M145" s="63">
        <v>0</v>
      </c>
      <c r="N145" s="66">
        <f t="shared" si="10"/>
        <v>0.52</v>
      </c>
      <c r="O145" s="62" t="str">
        <f t="shared" si="11"/>
        <v>4: Engaged Early</v>
      </c>
    </row>
    <row r="146" spans="1:15" ht="15" customHeight="1" x14ac:dyDescent="0.4">
      <c r="A146" s="62" t="s">
        <v>824</v>
      </c>
      <c r="B146" s="62" t="s">
        <v>907</v>
      </c>
      <c r="C146" s="62" t="s">
        <v>826</v>
      </c>
      <c r="D146" s="63">
        <v>12</v>
      </c>
      <c r="E146" s="63">
        <v>12</v>
      </c>
      <c r="F146" s="63">
        <v>0</v>
      </c>
      <c r="G146" s="64">
        <f t="shared" si="8"/>
        <v>1</v>
      </c>
      <c r="H146" s="64">
        <f t="shared" si="9"/>
        <v>0</v>
      </c>
      <c r="I146" s="63">
        <v>2</v>
      </c>
      <c r="J146" s="65">
        <v>85.443650000000005</v>
      </c>
      <c r="K146" s="65">
        <v>100</v>
      </c>
      <c r="L146" s="62" t="s">
        <v>825</v>
      </c>
      <c r="M146" s="63">
        <v>0</v>
      </c>
      <c r="N146" s="66">
        <f t="shared" si="10"/>
        <v>0.97799999999999998</v>
      </c>
      <c r="O146" s="62" t="str">
        <f t="shared" si="11"/>
        <v>4: Engaged Early</v>
      </c>
    </row>
    <row r="147" spans="1:15" ht="15" customHeight="1" x14ac:dyDescent="0.4">
      <c r="A147" s="62" t="s">
        <v>824</v>
      </c>
      <c r="B147" s="62" t="s">
        <v>908</v>
      </c>
      <c r="C147" s="62" t="s">
        <v>826</v>
      </c>
      <c r="D147" s="63">
        <v>23</v>
      </c>
      <c r="E147" s="63">
        <v>11</v>
      </c>
      <c r="F147" s="63">
        <v>0</v>
      </c>
      <c r="G147" s="64">
        <f t="shared" si="8"/>
        <v>0.47826086956521741</v>
      </c>
      <c r="H147" s="64">
        <f t="shared" si="9"/>
        <v>0</v>
      </c>
      <c r="I147" s="63">
        <v>2</v>
      </c>
      <c r="J147" s="65">
        <v>81.40325</v>
      </c>
      <c r="K147" s="65">
        <v>45.03</v>
      </c>
      <c r="L147" s="62" t="s">
        <v>825</v>
      </c>
      <c r="M147" s="63">
        <v>0</v>
      </c>
      <c r="N147" s="66">
        <f t="shared" si="10"/>
        <v>0.64200000000000002</v>
      </c>
      <c r="O147" s="62" t="str">
        <f t="shared" si="11"/>
        <v>4: Engaged Early</v>
      </c>
    </row>
    <row r="148" spans="1:15" ht="15" customHeight="1" x14ac:dyDescent="0.4">
      <c r="A148" s="62" t="s">
        <v>824</v>
      </c>
      <c r="B148" s="62" t="s">
        <v>909</v>
      </c>
      <c r="C148" s="62" t="s">
        <v>826</v>
      </c>
      <c r="D148" s="63">
        <v>13</v>
      </c>
      <c r="E148" s="63">
        <v>0</v>
      </c>
      <c r="F148" s="63">
        <v>1</v>
      </c>
      <c r="G148" s="64">
        <f t="shared" si="8"/>
        <v>0</v>
      </c>
      <c r="H148" s="64">
        <f t="shared" si="9"/>
        <v>7.6923076923076927E-2</v>
      </c>
      <c r="I148" s="63">
        <v>2</v>
      </c>
      <c r="J148" s="65">
        <v>90.816000000000003</v>
      </c>
      <c r="K148" s="65">
        <v>39.880000000000003</v>
      </c>
      <c r="L148" s="62" t="s">
        <v>826</v>
      </c>
      <c r="M148" s="63">
        <v>0</v>
      </c>
      <c r="N148" s="66">
        <f t="shared" si="10"/>
        <v>0.376</v>
      </c>
      <c r="O148" s="62" t="str">
        <f t="shared" si="11"/>
        <v>2: High (No DBWT)</v>
      </c>
    </row>
    <row r="149" spans="1:15" ht="15" customHeight="1" x14ac:dyDescent="0.4">
      <c r="A149" s="62" t="s">
        <v>824</v>
      </c>
      <c r="B149" s="62" t="s">
        <v>910</v>
      </c>
      <c r="C149" s="62" t="s">
        <v>826</v>
      </c>
      <c r="D149" s="63">
        <v>25</v>
      </c>
      <c r="E149" s="63">
        <v>17</v>
      </c>
      <c r="F149" s="63">
        <v>2</v>
      </c>
      <c r="G149" s="64">
        <f t="shared" si="8"/>
        <v>0.68</v>
      </c>
      <c r="H149" s="64">
        <f t="shared" si="9"/>
        <v>0.08</v>
      </c>
      <c r="I149" s="63">
        <v>0</v>
      </c>
      <c r="J149" s="65"/>
      <c r="K149" s="65">
        <v>0</v>
      </c>
      <c r="L149" s="62" t="s">
        <v>825</v>
      </c>
      <c r="M149" s="63">
        <v>0</v>
      </c>
      <c r="N149" s="66">
        <f t="shared" si="10"/>
        <v>0.25</v>
      </c>
      <c r="O149" s="62" t="str">
        <f t="shared" si="11"/>
        <v>3: Elevated (No Wk0)</v>
      </c>
    </row>
    <row r="150" spans="1:15" ht="15" customHeight="1" x14ac:dyDescent="0.4">
      <c r="A150" s="62" t="s">
        <v>824</v>
      </c>
      <c r="B150" s="62" t="s">
        <v>911</v>
      </c>
      <c r="C150" s="62" t="s">
        <v>826</v>
      </c>
      <c r="D150" s="63">
        <v>26</v>
      </c>
      <c r="E150" s="63">
        <v>19</v>
      </c>
      <c r="F150" s="63">
        <v>7</v>
      </c>
      <c r="G150" s="64">
        <f t="shared" si="8"/>
        <v>0.73076923076923073</v>
      </c>
      <c r="H150" s="64">
        <f t="shared" si="9"/>
        <v>0.26923076923076922</v>
      </c>
      <c r="I150" s="63">
        <v>2</v>
      </c>
      <c r="J150" s="65">
        <v>68.004450000000006</v>
      </c>
      <c r="K150" s="65">
        <v>96.51</v>
      </c>
      <c r="L150" s="62" t="s">
        <v>825</v>
      </c>
      <c r="M150" s="63">
        <v>0</v>
      </c>
      <c r="N150" s="66">
        <f t="shared" si="10"/>
        <v>0.93100000000000005</v>
      </c>
      <c r="O150" s="62" t="str">
        <f t="shared" si="11"/>
        <v>4: Engaged Early</v>
      </c>
    </row>
    <row r="151" spans="1:15" ht="15" customHeight="1" x14ac:dyDescent="0.4">
      <c r="A151" s="62" t="s">
        <v>824</v>
      </c>
      <c r="B151" s="62" t="s">
        <v>431</v>
      </c>
      <c r="C151" s="62" t="s">
        <v>825</v>
      </c>
      <c r="D151" s="63">
        <v>17</v>
      </c>
      <c r="E151" s="63">
        <v>12</v>
      </c>
      <c r="F151" s="63">
        <v>0</v>
      </c>
      <c r="G151" s="64">
        <f t="shared" si="8"/>
        <v>0.70588235294117652</v>
      </c>
      <c r="H151" s="64">
        <f t="shared" si="9"/>
        <v>0</v>
      </c>
      <c r="I151" s="63">
        <v>0</v>
      </c>
      <c r="J151" s="65"/>
      <c r="K151" s="65">
        <v>0.9</v>
      </c>
      <c r="L151" s="62" t="s">
        <v>826</v>
      </c>
      <c r="M151" s="63">
        <v>0</v>
      </c>
      <c r="N151" s="66">
        <f t="shared" si="10"/>
        <v>5.0000000000000001E-3</v>
      </c>
      <c r="O151" s="62" t="str">
        <f t="shared" si="11"/>
        <v>1: Critical (No DBWT + No Wk0)</v>
      </c>
    </row>
    <row r="152" spans="1:15" ht="15" customHeight="1" x14ac:dyDescent="0.4">
      <c r="A152" s="62" t="s">
        <v>824</v>
      </c>
      <c r="B152" s="62" t="s">
        <v>912</v>
      </c>
      <c r="C152" s="62" t="s">
        <v>826</v>
      </c>
      <c r="D152" s="63">
        <v>9</v>
      </c>
      <c r="E152" s="63">
        <v>9</v>
      </c>
      <c r="F152" s="63">
        <v>2</v>
      </c>
      <c r="G152" s="64">
        <f t="shared" si="8"/>
        <v>1</v>
      </c>
      <c r="H152" s="64">
        <f t="shared" si="9"/>
        <v>0.22222222222222221</v>
      </c>
      <c r="I152" s="63">
        <v>2</v>
      </c>
      <c r="J152" s="65">
        <v>93.167850000000001</v>
      </c>
      <c r="K152" s="65">
        <v>100</v>
      </c>
      <c r="L152" s="62" t="s">
        <v>826</v>
      </c>
      <c r="M152" s="63">
        <v>1</v>
      </c>
      <c r="N152" s="66">
        <f t="shared" si="10"/>
        <v>0.74</v>
      </c>
      <c r="O152" s="62" t="str">
        <f t="shared" si="11"/>
        <v>2: High (No DBWT)</v>
      </c>
    </row>
    <row r="153" spans="1:15" ht="15" customHeight="1" x14ac:dyDescent="0.4">
      <c r="A153" s="62" t="s">
        <v>824</v>
      </c>
      <c r="B153" s="62" t="s">
        <v>411</v>
      </c>
      <c r="C153" s="62" t="s">
        <v>825</v>
      </c>
      <c r="D153" s="63">
        <v>5</v>
      </c>
      <c r="E153" s="63">
        <v>4</v>
      </c>
      <c r="F153" s="63">
        <v>3</v>
      </c>
      <c r="G153" s="64">
        <f t="shared" si="8"/>
        <v>0.8</v>
      </c>
      <c r="H153" s="64">
        <f t="shared" si="9"/>
        <v>0.6</v>
      </c>
      <c r="I153" s="63">
        <v>1</v>
      </c>
      <c r="J153" s="65">
        <v>80.408000000000001</v>
      </c>
      <c r="K153" s="65">
        <v>50</v>
      </c>
      <c r="L153" s="62" t="s">
        <v>825</v>
      </c>
      <c r="M153" s="63">
        <v>0</v>
      </c>
      <c r="N153" s="66">
        <f t="shared" si="10"/>
        <v>0.67100000000000004</v>
      </c>
      <c r="O153" s="62" t="str">
        <f t="shared" si="11"/>
        <v>4: Engaged Early</v>
      </c>
    </row>
    <row r="154" spans="1:15" ht="15" customHeight="1" x14ac:dyDescent="0.4">
      <c r="A154" s="62" t="s">
        <v>824</v>
      </c>
      <c r="B154" s="62" t="s">
        <v>913</v>
      </c>
      <c r="C154" s="62" t="s">
        <v>826</v>
      </c>
      <c r="D154" s="63">
        <v>0</v>
      </c>
      <c r="E154" s="63">
        <v>0</v>
      </c>
      <c r="F154" s="63">
        <v>0</v>
      </c>
      <c r="G154" s="64">
        <f t="shared" si="8"/>
        <v>0</v>
      </c>
      <c r="H154" s="64">
        <f t="shared" si="9"/>
        <v>0</v>
      </c>
      <c r="I154" s="63">
        <v>2</v>
      </c>
      <c r="J154" s="65">
        <v>97.965950000000007</v>
      </c>
      <c r="K154" s="65">
        <v>100</v>
      </c>
      <c r="L154" s="62" t="s">
        <v>825</v>
      </c>
      <c r="M154" s="63">
        <v>0</v>
      </c>
      <c r="N154" s="66">
        <f t="shared" si="10"/>
        <v>0.997</v>
      </c>
      <c r="O154" s="62" t="str">
        <f t="shared" si="11"/>
        <v>4: Engaged Early</v>
      </c>
    </row>
    <row r="155" spans="1:15" ht="15" customHeight="1" x14ac:dyDescent="0.4">
      <c r="A155" s="62" t="s">
        <v>824</v>
      </c>
      <c r="B155" s="62" t="s">
        <v>375</v>
      </c>
      <c r="C155" s="62" t="s">
        <v>825</v>
      </c>
      <c r="D155" s="63">
        <v>8</v>
      </c>
      <c r="E155" s="63">
        <v>2</v>
      </c>
      <c r="F155" s="63">
        <v>0</v>
      </c>
      <c r="G155" s="64">
        <f t="shared" si="8"/>
        <v>0.25</v>
      </c>
      <c r="H155" s="64">
        <f t="shared" si="9"/>
        <v>0</v>
      </c>
      <c r="I155" s="63">
        <v>0</v>
      </c>
      <c r="J155" s="65"/>
      <c r="K155" s="65">
        <v>0</v>
      </c>
      <c r="L155" s="62" t="s">
        <v>826</v>
      </c>
      <c r="M155" s="63">
        <v>0</v>
      </c>
      <c r="N155" s="66">
        <f t="shared" si="10"/>
        <v>0</v>
      </c>
      <c r="O155" s="62" t="str">
        <f t="shared" si="11"/>
        <v>1: Critical (No DBWT + No Wk0)</v>
      </c>
    </row>
    <row r="156" spans="1:15" ht="15" customHeight="1" x14ac:dyDescent="0.4">
      <c r="A156" s="62" t="s">
        <v>824</v>
      </c>
      <c r="B156" s="62" t="s">
        <v>914</v>
      </c>
      <c r="C156" s="62" t="s">
        <v>826</v>
      </c>
      <c r="D156" s="63">
        <v>5</v>
      </c>
      <c r="E156" s="63">
        <v>5</v>
      </c>
      <c r="F156" s="63">
        <v>3</v>
      </c>
      <c r="G156" s="64">
        <f t="shared" si="8"/>
        <v>1</v>
      </c>
      <c r="H156" s="64">
        <f t="shared" si="9"/>
        <v>0.6</v>
      </c>
      <c r="I156" s="63">
        <v>2</v>
      </c>
      <c r="J156" s="65">
        <v>82.689599999999999</v>
      </c>
      <c r="K156" s="65">
        <v>100</v>
      </c>
      <c r="L156" s="62" t="s">
        <v>825</v>
      </c>
      <c r="M156" s="63">
        <v>0</v>
      </c>
      <c r="N156" s="66">
        <f t="shared" si="10"/>
        <v>0.97399999999999998</v>
      </c>
      <c r="O156" s="62" t="str">
        <f t="shared" si="11"/>
        <v>4: Engaged Early</v>
      </c>
    </row>
    <row r="157" spans="1:15" ht="15" customHeight="1" x14ac:dyDescent="0.4">
      <c r="A157" s="62" t="s">
        <v>824</v>
      </c>
      <c r="B157" s="62" t="s">
        <v>401</v>
      </c>
      <c r="C157" s="62" t="s">
        <v>825</v>
      </c>
      <c r="D157" s="63">
        <v>3</v>
      </c>
      <c r="E157" s="63">
        <v>3</v>
      </c>
      <c r="F157" s="63">
        <v>2</v>
      </c>
      <c r="G157" s="64">
        <f t="shared" si="8"/>
        <v>1</v>
      </c>
      <c r="H157" s="64">
        <f t="shared" si="9"/>
        <v>0.66666666666666663</v>
      </c>
      <c r="I157" s="63">
        <v>0</v>
      </c>
      <c r="J157" s="65"/>
      <c r="K157" s="65">
        <v>0</v>
      </c>
      <c r="L157" s="62" t="s">
        <v>826</v>
      </c>
      <c r="M157" s="63">
        <v>0</v>
      </c>
      <c r="N157" s="66">
        <f t="shared" si="10"/>
        <v>0</v>
      </c>
      <c r="O157" s="62" t="str">
        <f t="shared" si="11"/>
        <v>1: Critical (No DBWT + No Wk0)</v>
      </c>
    </row>
    <row r="158" spans="1:15" ht="15" customHeight="1" x14ac:dyDescent="0.4">
      <c r="A158" s="62" t="s">
        <v>824</v>
      </c>
      <c r="B158" s="62" t="s">
        <v>915</v>
      </c>
      <c r="C158" s="62" t="s">
        <v>826</v>
      </c>
      <c r="D158" s="63">
        <v>5</v>
      </c>
      <c r="E158" s="63">
        <v>5</v>
      </c>
      <c r="F158" s="63">
        <v>3</v>
      </c>
      <c r="G158" s="64">
        <f t="shared" si="8"/>
        <v>1</v>
      </c>
      <c r="H158" s="64">
        <f t="shared" si="9"/>
        <v>0.6</v>
      </c>
      <c r="I158" s="63">
        <v>2</v>
      </c>
      <c r="J158" s="65">
        <v>77.897049999999993</v>
      </c>
      <c r="K158" s="65">
        <v>82.2</v>
      </c>
      <c r="L158" s="62" t="s">
        <v>825</v>
      </c>
      <c r="M158" s="63">
        <v>0</v>
      </c>
      <c r="N158" s="66">
        <f t="shared" si="10"/>
        <v>0.86</v>
      </c>
      <c r="O158" s="62" t="str">
        <f t="shared" si="11"/>
        <v>4: Engaged Early</v>
      </c>
    </row>
    <row r="159" spans="1:15" ht="15" customHeight="1" x14ac:dyDescent="0.4">
      <c r="A159" s="62" t="s">
        <v>824</v>
      </c>
      <c r="B159" s="62" t="s">
        <v>916</v>
      </c>
      <c r="C159" s="62" t="s">
        <v>826</v>
      </c>
      <c r="D159" s="63">
        <v>31</v>
      </c>
      <c r="E159" s="63">
        <v>23</v>
      </c>
      <c r="F159" s="63">
        <v>4</v>
      </c>
      <c r="G159" s="64">
        <f t="shared" si="8"/>
        <v>0.74193548387096775</v>
      </c>
      <c r="H159" s="64">
        <f t="shared" si="9"/>
        <v>0.12903225806451613</v>
      </c>
      <c r="I159" s="63">
        <v>2</v>
      </c>
      <c r="J159" s="65">
        <v>79.0959</v>
      </c>
      <c r="K159" s="65">
        <v>97.36</v>
      </c>
      <c r="L159" s="62" t="s">
        <v>825</v>
      </c>
      <c r="M159" s="63">
        <v>0</v>
      </c>
      <c r="N159" s="66">
        <f t="shared" si="10"/>
        <v>0.95299999999999996</v>
      </c>
      <c r="O159" s="62" t="str">
        <f t="shared" si="11"/>
        <v>4: Engaged Early</v>
      </c>
    </row>
    <row r="160" spans="1:15" ht="15" customHeight="1" x14ac:dyDescent="0.4">
      <c r="A160" s="62" t="s">
        <v>824</v>
      </c>
      <c r="B160" s="62" t="s">
        <v>917</v>
      </c>
      <c r="C160" s="62" t="s">
        <v>826</v>
      </c>
      <c r="D160" s="63">
        <v>0</v>
      </c>
      <c r="E160" s="63">
        <v>0</v>
      </c>
      <c r="F160" s="63">
        <v>0</v>
      </c>
      <c r="G160" s="64">
        <f t="shared" si="8"/>
        <v>0</v>
      </c>
      <c r="H160" s="64">
        <f t="shared" si="9"/>
        <v>0</v>
      </c>
      <c r="I160" s="63">
        <v>1</v>
      </c>
      <c r="J160" s="65">
        <v>27.94</v>
      </c>
      <c r="K160" s="65">
        <v>100</v>
      </c>
      <c r="L160" s="62" t="s">
        <v>840</v>
      </c>
      <c r="M160" s="63">
        <v>0</v>
      </c>
      <c r="N160" s="66">
        <f t="shared" si="10"/>
        <v>0.71699999999999997</v>
      </c>
      <c r="O160" s="62" t="str">
        <f t="shared" si="11"/>
        <v>4: Engaged Early</v>
      </c>
    </row>
    <row r="161" spans="1:15" ht="15" customHeight="1" x14ac:dyDescent="0.4">
      <c r="A161" s="62" t="s">
        <v>824</v>
      </c>
      <c r="B161" s="62" t="s">
        <v>918</v>
      </c>
      <c r="C161" s="62" t="s">
        <v>826</v>
      </c>
      <c r="D161" s="63">
        <v>17</v>
      </c>
      <c r="E161" s="63">
        <v>9</v>
      </c>
      <c r="F161" s="63">
        <v>5</v>
      </c>
      <c r="G161" s="64">
        <f t="shared" si="8"/>
        <v>0.52941176470588236</v>
      </c>
      <c r="H161" s="64">
        <f t="shared" si="9"/>
        <v>0.29411764705882354</v>
      </c>
      <c r="I161" s="63">
        <v>2</v>
      </c>
      <c r="J161" s="65">
        <v>84.830449999999999</v>
      </c>
      <c r="K161" s="65">
        <v>100</v>
      </c>
      <c r="L161" s="62" t="s">
        <v>825</v>
      </c>
      <c r="M161" s="63">
        <v>0</v>
      </c>
      <c r="N161" s="66">
        <f t="shared" si="10"/>
        <v>0.97699999999999998</v>
      </c>
      <c r="O161" s="62" t="str">
        <f t="shared" si="11"/>
        <v>4: Engaged Early</v>
      </c>
    </row>
    <row r="162" spans="1:15" ht="15" customHeight="1" x14ac:dyDescent="0.4">
      <c r="A162" s="62" t="s">
        <v>824</v>
      </c>
      <c r="B162" s="62" t="s">
        <v>607</v>
      </c>
      <c r="C162" s="62" t="s">
        <v>825</v>
      </c>
      <c r="D162" s="63">
        <v>15</v>
      </c>
      <c r="E162" s="63">
        <v>3</v>
      </c>
      <c r="F162" s="63">
        <v>0</v>
      </c>
      <c r="G162" s="64">
        <f t="shared" si="8"/>
        <v>0.2</v>
      </c>
      <c r="H162" s="64">
        <f t="shared" si="9"/>
        <v>0</v>
      </c>
      <c r="I162" s="63">
        <v>1</v>
      </c>
      <c r="J162" s="65">
        <v>44.04</v>
      </c>
      <c r="K162" s="65">
        <v>6.88</v>
      </c>
      <c r="L162" s="62" t="s">
        <v>826</v>
      </c>
      <c r="M162" s="63">
        <v>0</v>
      </c>
      <c r="N162" s="66">
        <f t="shared" si="10"/>
        <v>0.107</v>
      </c>
      <c r="O162" s="62" t="str">
        <f t="shared" si="11"/>
        <v>2: High (No DBWT)</v>
      </c>
    </row>
    <row r="163" spans="1:15" ht="15" customHeight="1" x14ac:dyDescent="0.4">
      <c r="A163" s="62" t="s">
        <v>824</v>
      </c>
      <c r="B163" s="62" t="s">
        <v>919</v>
      </c>
      <c r="C163" s="62" t="s">
        <v>826</v>
      </c>
      <c r="D163" s="63">
        <v>17</v>
      </c>
      <c r="E163" s="63">
        <v>11</v>
      </c>
      <c r="F163" s="63">
        <v>6</v>
      </c>
      <c r="G163" s="64">
        <f t="shared" si="8"/>
        <v>0.6470588235294118</v>
      </c>
      <c r="H163" s="64">
        <f t="shared" si="9"/>
        <v>0.35294117647058826</v>
      </c>
      <c r="I163" s="63">
        <v>2</v>
      </c>
      <c r="J163" s="65">
        <v>99.631299999999996</v>
      </c>
      <c r="K163" s="65">
        <v>100</v>
      </c>
      <c r="L163" s="62" t="s">
        <v>825</v>
      </c>
      <c r="M163" s="63">
        <v>0</v>
      </c>
      <c r="N163" s="66">
        <f t="shared" si="10"/>
        <v>0.999</v>
      </c>
      <c r="O163" s="62" t="str">
        <f t="shared" si="11"/>
        <v>4: Engaged Early</v>
      </c>
    </row>
    <row r="164" spans="1:15" ht="15" customHeight="1" x14ac:dyDescent="0.4">
      <c r="A164" s="62" t="s">
        <v>824</v>
      </c>
      <c r="B164" s="62" t="s">
        <v>768</v>
      </c>
      <c r="C164" s="62" t="s">
        <v>825</v>
      </c>
      <c r="D164" s="63">
        <v>17</v>
      </c>
      <c r="E164" s="63">
        <v>8</v>
      </c>
      <c r="F164" s="63">
        <v>0</v>
      </c>
      <c r="G164" s="64">
        <f t="shared" si="8"/>
        <v>0.47058823529411764</v>
      </c>
      <c r="H164" s="64">
        <f t="shared" si="9"/>
        <v>0</v>
      </c>
      <c r="I164" s="63">
        <v>0</v>
      </c>
      <c r="J164" s="65"/>
      <c r="K164" s="65">
        <v>0</v>
      </c>
      <c r="L164" s="62" t="s">
        <v>826</v>
      </c>
      <c r="M164" s="63">
        <v>0</v>
      </c>
      <c r="N164" s="66">
        <f t="shared" si="10"/>
        <v>0</v>
      </c>
      <c r="O164" s="62" t="str">
        <f t="shared" si="11"/>
        <v>1: Critical (No DBWT + No Wk0)</v>
      </c>
    </row>
    <row r="165" spans="1:15" ht="15" customHeight="1" x14ac:dyDescent="0.4">
      <c r="A165" s="62" t="s">
        <v>824</v>
      </c>
      <c r="B165" s="62" t="s">
        <v>920</v>
      </c>
      <c r="C165" s="62" t="s">
        <v>826</v>
      </c>
      <c r="D165" s="63">
        <v>17</v>
      </c>
      <c r="E165" s="63">
        <v>14</v>
      </c>
      <c r="F165" s="63">
        <v>1</v>
      </c>
      <c r="G165" s="64">
        <f t="shared" si="8"/>
        <v>0.82352941176470584</v>
      </c>
      <c r="H165" s="64">
        <f t="shared" si="9"/>
        <v>5.8823529411764705E-2</v>
      </c>
      <c r="I165" s="63">
        <v>2</v>
      </c>
      <c r="J165" s="65">
        <v>85.114199999999997</v>
      </c>
      <c r="K165" s="65">
        <v>98.48</v>
      </c>
      <c r="L165" s="62" t="s">
        <v>825</v>
      </c>
      <c r="M165" s="63">
        <v>0</v>
      </c>
      <c r="N165" s="66">
        <f t="shared" si="10"/>
        <v>0.96899999999999997</v>
      </c>
      <c r="O165" s="62" t="str">
        <f t="shared" si="11"/>
        <v>4: Engaged Early</v>
      </c>
    </row>
    <row r="166" spans="1:15" ht="15" customHeight="1" x14ac:dyDescent="0.4">
      <c r="A166" s="62" t="s">
        <v>824</v>
      </c>
      <c r="B166" s="62" t="s">
        <v>921</v>
      </c>
      <c r="C166" s="62" t="s">
        <v>826</v>
      </c>
      <c r="D166" s="63">
        <v>8</v>
      </c>
      <c r="E166" s="63">
        <v>7</v>
      </c>
      <c r="F166" s="63">
        <v>1</v>
      </c>
      <c r="G166" s="64">
        <f t="shared" si="8"/>
        <v>0.875</v>
      </c>
      <c r="H166" s="64">
        <f t="shared" si="9"/>
        <v>0.125</v>
      </c>
      <c r="I166" s="63">
        <v>2</v>
      </c>
      <c r="J166" s="65">
        <v>35.910469999999997</v>
      </c>
      <c r="K166" s="65">
        <v>16.68</v>
      </c>
      <c r="L166" s="62" t="s">
        <v>825</v>
      </c>
      <c r="M166" s="63">
        <v>0</v>
      </c>
      <c r="N166" s="66">
        <f t="shared" si="10"/>
        <v>0.40400000000000003</v>
      </c>
      <c r="O166" s="62" t="str">
        <f t="shared" si="11"/>
        <v>4: Engaged Early</v>
      </c>
    </row>
    <row r="167" spans="1:15" ht="15" customHeight="1" x14ac:dyDescent="0.4">
      <c r="A167" s="62" t="s">
        <v>824</v>
      </c>
      <c r="B167" s="62" t="s">
        <v>473</v>
      </c>
      <c r="C167" s="62" t="s">
        <v>825</v>
      </c>
      <c r="D167" s="63">
        <v>17</v>
      </c>
      <c r="E167" s="63">
        <v>12</v>
      </c>
      <c r="F167" s="63">
        <v>3</v>
      </c>
      <c r="G167" s="64">
        <f t="shared" si="8"/>
        <v>0.70588235294117652</v>
      </c>
      <c r="H167" s="64">
        <f t="shared" si="9"/>
        <v>0.17647058823529413</v>
      </c>
      <c r="I167" s="63">
        <v>1</v>
      </c>
      <c r="J167" s="65">
        <v>33.31</v>
      </c>
      <c r="K167" s="65">
        <v>8.33</v>
      </c>
      <c r="L167" s="62" t="s">
        <v>826</v>
      </c>
      <c r="M167" s="63">
        <v>0</v>
      </c>
      <c r="N167" s="66">
        <f t="shared" si="10"/>
        <v>0.1</v>
      </c>
      <c r="O167" s="62" t="str">
        <f t="shared" si="11"/>
        <v>2: High (No DBWT)</v>
      </c>
    </row>
    <row r="168" spans="1:15" ht="15" customHeight="1" x14ac:dyDescent="0.4">
      <c r="A168" s="62" t="s">
        <v>824</v>
      </c>
      <c r="B168" s="62" t="s">
        <v>922</v>
      </c>
      <c r="C168" s="62" t="s">
        <v>826</v>
      </c>
      <c r="D168" s="63">
        <v>4</v>
      </c>
      <c r="E168" s="63">
        <v>4</v>
      </c>
      <c r="F168" s="63">
        <v>0</v>
      </c>
      <c r="G168" s="64">
        <f t="shared" si="8"/>
        <v>1</v>
      </c>
      <c r="H168" s="64">
        <f t="shared" si="9"/>
        <v>0</v>
      </c>
      <c r="I168" s="63">
        <v>1</v>
      </c>
      <c r="J168" s="65">
        <v>85.44</v>
      </c>
      <c r="K168" s="65">
        <v>40.869999999999997</v>
      </c>
      <c r="L168" s="62" t="s">
        <v>826</v>
      </c>
      <c r="M168" s="63">
        <v>0</v>
      </c>
      <c r="N168" s="66">
        <f t="shared" si="10"/>
        <v>0.373</v>
      </c>
      <c r="O168" s="62" t="str">
        <f t="shared" si="11"/>
        <v>2: High (No DBWT)</v>
      </c>
    </row>
    <row r="169" spans="1:15" ht="15" customHeight="1" x14ac:dyDescent="0.4">
      <c r="A169" s="62" t="s">
        <v>824</v>
      </c>
      <c r="B169" s="62" t="s">
        <v>923</v>
      </c>
      <c r="C169" s="62" t="s">
        <v>826</v>
      </c>
      <c r="D169" s="63">
        <v>15</v>
      </c>
      <c r="E169" s="63">
        <v>5</v>
      </c>
      <c r="F169" s="63">
        <v>3</v>
      </c>
      <c r="G169" s="64">
        <f t="shared" si="8"/>
        <v>0.33333333333333331</v>
      </c>
      <c r="H169" s="64">
        <f t="shared" si="9"/>
        <v>0.2</v>
      </c>
      <c r="I169" s="63">
        <v>0</v>
      </c>
      <c r="J169" s="65"/>
      <c r="K169" s="65">
        <v>9</v>
      </c>
      <c r="L169" s="62" t="s">
        <v>825</v>
      </c>
      <c r="M169" s="63">
        <v>0</v>
      </c>
      <c r="N169" s="66">
        <f t="shared" si="10"/>
        <v>0.30399999999999999</v>
      </c>
      <c r="O169" s="62" t="str">
        <f t="shared" si="11"/>
        <v>3: Elevated (No Wk0)</v>
      </c>
    </row>
    <row r="170" spans="1:15" ht="15" customHeight="1" x14ac:dyDescent="0.4">
      <c r="A170" s="62" t="s">
        <v>824</v>
      </c>
      <c r="B170" s="62" t="s">
        <v>349</v>
      </c>
      <c r="C170" s="62" t="s">
        <v>825</v>
      </c>
      <c r="D170" s="63">
        <v>12</v>
      </c>
      <c r="E170" s="63">
        <v>3</v>
      </c>
      <c r="F170" s="63">
        <v>0</v>
      </c>
      <c r="G170" s="64">
        <f t="shared" si="8"/>
        <v>0.25</v>
      </c>
      <c r="H170" s="64">
        <f t="shared" si="9"/>
        <v>0</v>
      </c>
      <c r="I170" s="63">
        <v>1</v>
      </c>
      <c r="J170" s="65">
        <v>4.9042500000000002</v>
      </c>
      <c r="K170" s="65">
        <v>2.5099999999999998</v>
      </c>
      <c r="L170" s="62" t="s">
        <v>825</v>
      </c>
      <c r="M170" s="63">
        <v>0</v>
      </c>
      <c r="N170" s="66">
        <f t="shared" si="10"/>
        <v>0.27200000000000002</v>
      </c>
      <c r="O170" s="62" t="str">
        <f t="shared" si="11"/>
        <v>4: Engaged Early</v>
      </c>
    </row>
    <row r="171" spans="1:15" ht="15" customHeight="1" x14ac:dyDescent="0.4">
      <c r="A171" s="62" t="s">
        <v>824</v>
      </c>
      <c r="B171" s="62" t="s">
        <v>278</v>
      </c>
      <c r="C171" s="62" t="s">
        <v>825</v>
      </c>
      <c r="D171" s="63">
        <v>14</v>
      </c>
      <c r="E171" s="63">
        <v>1</v>
      </c>
      <c r="F171" s="63">
        <v>3</v>
      </c>
      <c r="G171" s="64">
        <f t="shared" si="8"/>
        <v>7.1428571428571425E-2</v>
      </c>
      <c r="H171" s="64">
        <f t="shared" si="9"/>
        <v>0.21428571428571427</v>
      </c>
      <c r="I171" s="63">
        <v>2</v>
      </c>
      <c r="J171" s="65">
        <v>91.171099999999996</v>
      </c>
      <c r="K171" s="65">
        <v>66.67</v>
      </c>
      <c r="L171" s="62" t="s">
        <v>825</v>
      </c>
      <c r="M171" s="63">
        <v>0</v>
      </c>
      <c r="N171" s="66">
        <f t="shared" si="10"/>
        <v>0.78700000000000003</v>
      </c>
      <c r="O171" s="62" t="str">
        <f t="shared" si="11"/>
        <v>4: Engaged Early</v>
      </c>
    </row>
    <row r="172" spans="1:15" ht="15" customHeight="1" x14ac:dyDescent="0.4">
      <c r="A172" s="62" t="s">
        <v>824</v>
      </c>
      <c r="B172" s="62" t="s">
        <v>924</v>
      </c>
      <c r="C172" s="62" t="s">
        <v>826</v>
      </c>
      <c r="D172" s="63">
        <v>23</v>
      </c>
      <c r="E172" s="63">
        <v>1</v>
      </c>
      <c r="F172" s="63">
        <v>0</v>
      </c>
      <c r="G172" s="64">
        <f t="shared" si="8"/>
        <v>4.3478260869565216E-2</v>
      </c>
      <c r="H172" s="64">
        <f t="shared" si="9"/>
        <v>0</v>
      </c>
      <c r="I172" s="63">
        <v>2</v>
      </c>
      <c r="J172" s="65">
        <v>36.041550000000001</v>
      </c>
      <c r="K172" s="65">
        <v>10.09</v>
      </c>
      <c r="L172" s="62" t="s">
        <v>825</v>
      </c>
      <c r="M172" s="63">
        <v>0</v>
      </c>
      <c r="N172" s="66">
        <f t="shared" si="10"/>
        <v>0.36499999999999999</v>
      </c>
      <c r="O172" s="62" t="str">
        <f t="shared" si="11"/>
        <v>4: Engaged Early</v>
      </c>
    </row>
    <row r="173" spans="1:15" ht="15" customHeight="1" x14ac:dyDescent="0.4">
      <c r="A173" s="62" t="s">
        <v>824</v>
      </c>
      <c r="B173" s="62" t="s">
        <v>511</v>
      </c>
      <c r="C173" s="62" t="s">
        <v>825</v>
      </c>
      <c r="D173" s="63">
        <v>10</v>
      </c>
      <c r="E173" s="63">
        <v>10</v>
      </c>
      <c r="F173" s="63">
        <v>2</v>
      </c>
      <c r="G173" s="64">
        <f t="shared" si="8"/>
        <v>1</v>
      </c>
      <c r="H173" s="64">
        <f t="shared" si="9"/>
        <v>0.2</v>
      </c>
      <c r="I173" s="63">
        <v>2</v>
      </c>
      <c r="J173" s="65">
        <v>57.710050000000003</v>
      </c>
      <c r="K173" s="65">
        <v>31.69</v>
      </c>
      <c r="L173" s="62" t="s">
        <v>826</v>
      </c>
      <c r="M173" s="63">
        <v>0</v>
      </c>
      <c r="N173" s="66">
        <f t="shared" si="10"/>
        <v>0.27700000000000002</v>
      </c>
      <c r="O173" s="62" t="str">
        <f t="shared" si="11"/>
        <v>2: High (No DBWT)</v>
      </c>
    </row>
    <row r="174" spans="1:15" ht="15" customHeight="1" x14ac:dyDescent="0.4">
      <c r="A174" s="62" t="s">
        <v>824</v>
      </c>
      <c r="B174" s="62" t="s">
        <v>637</v>
      </c>
      <c r="C174" s="62" t="s">
        <v>825</v>
      </c>
      <c r="D174" s="63">
        <v>4</v>
      </c>
      <c r="E174" s="63">
        <v>1</v>
      </c>
      <c r="F174" s="63">
        <v>0</v>
      </c>
      <c r="G174" s="64">
        <f t="shared" si="8"/>
        <v>0.25</v>
      </c>
      <c r="H174" s="64">
        <f t="shared" si="9"/>
        <v>0</v>
      </c>
      <c r="I174" s="63">
        <v>0</v>
      </c>
      <c r="J174" s="65"/>
      <c r="K174" s="65">
        <v>0</v>
      </c>
      <c r="L174" s="62" t="s">
        <v>826</v>
      </c>
      <c r="M174" s="63">
        <v>0</v>
      </c>
      <c r="N174" s="66">
        <f t="shared" si="10"/>
        <v>0</v>
      </c>
      <c r="O174" s="62" t="str">
        <f t="shared" si="11"/>
        <v>1: Critical (No DBWT + No Wk0)</v>
      </c>
    </row>
    <row r="175" spans="1:15" ht="15" customHeight="1" x14ac:dyDescent="0.4">
      <c r="A175" s="62" t="s">
        <v>824</v>
      </c>
      <c r="B175" s="62" t="s">
        <v>925</v>
      </c>
      <c r="C175" s="62" t="s">
        <v>826</v>
      </c>
      <c r="D175" s="63">
        <v>13</v>
      </c>
      <c r="E175" s="63">
        <v>7</v>
      </c>
      <c r="F175" s="63">
        <v>3</v>
      </c>
      <c r="G175" s="64">
        <f t="shared" si="8"/>
        <v>0.53846153846153844</v>
      </c>
      <c r="H175" s="64">
        <f t="shared" si="9"/>
        <v>0.23076923076923078</v>
      </c>
      <c r="I175" s="63">
        <v>1</v>
      </c>
      <c r="J175" s="65">
        <v>31.92</v>
      </c>
      <c r="K175" s="65">
        <v>4.43</v>
      </c>
      <c r="L175" s="62" t="s">
        <v>825</v>
      </c>
      <c r="M175" s="63">
        <v>0</v>
      </c>
      <c r="N175" s="66">
        <f t="shared" si="10"/>
        <v>0.32400000000000001</v>
      </c>
      <c r="O175" s="62" t="str">
        <f t="shared" si="11"/>
        <v>4: Engaged Early</v>
      </c>
    </row>
    <row r="176" spans="1:15" ht="15" customHeight="1" x14ac:dyDescent="0.4">
      <c r="A176" s="62" t="s">
        <v>824</v>
      </c>
      <c r="B176" s="62" t="s">
        <v>926</v>
      </c>
      <c r="C176" s="62" t="s">
        <v>826</v>
      </c>
      <c r="D176" s="63">
        <v>3</v>
      </c>
      <c r="E176" s="63">
        <v>3</v>
      </c>
      <c r="F176" s="63">
        <v>0</v>
      </c>
      <c r="G176" s="64">
        <f t="shared" si="8"/>
        <v>1</v>
      </c>
      <c r="H176" s="64">
        <f t="shared" si="9"/>
        <v>0</v>
      </c>
      <c r="I176" s="63">
        <v>2</v>
      </c>
      <c r="J176" s="65">
        <v>93.49</v>
      </c>
      <c r="K176" s="65">
        <v>55.56</v>
      </c>
      <c r="L176" s="62" t="s">
        <v>825</v>
      </c>
      <c r="M176" s="63">
        <v>0</v>
      </c>
      <c r="N176" s="66">
        <f t="shared" si="10"/>
        <v>0.72399999999999998</v>
      </c>
      <c r="O176" s="62" t="str">
        <f t="shared" si="11"/>
        <v>4: Engaged Early</v>
      </c>
    </row>
    <row r="177" spans="1:15" ht="15" customHeight="1" x14ac:dyDescent="0.4">
      <c r="A177" s="62" t="s">
        <v>824</v>
      </c>
      <c r="B177" s="62" t="s">
        <v>505</v>
      </c>
      <c r="C177" s="62" t="s">
        <v>825</v>
      </c>
      <c r="D177" s="63">
        <v>13</v>
      </c>
      <c r="E177" s="63">
        <v>12</v>
      </c>
      <c r="F177" s="63">
        <v>2</v>
      </c>
      <c r="G177" s="64">
        <f t="shared" si="8"/>
        <v>0.92307692307692313</v>
      </c>
      <c r="H177" s="64">
        <f t="shared" si="9"/>
        <v>0.15384615384615385</v>
      </c>
      <c r="I177" s="63">
        <v>0</v>
      </c>
      <c r="J177" s="65"/>
      <c r="K177" s="65">
        <v>0</v>
      </c>
      <c r="L177" s="62" t="s">
        <v>826</v>
      </c>
      <c r="M177" s="63">
        <v>0</v>
      </c>
      <c r="N177" s="66">
        <f t="shared" si="10"/>
        <v>0</v>
      </c>
      <c r="O177" s="62" t="str">
        <f t="shared" si="11"/>
        <v>1: Critical (No DBWT + No Wk0)</v>
      </c>
    </row>
    <row r="178" spans="1:15" ht="15" customHeight="1" x14ac:dyDescent="0.4">
      <c r="A178" s="62" t="s">
        <v>824</v>
      </c>
      <c r="B178" s="62" t="s">
        <v>565</v>
      </c>
      <c r="C178" s="62" t="s">
        <v>825</v>
      </c>
      <c r="D178" s="63">
        <v>3</v>
      </c>
      <c r="E178" s="63">
        <v>2</v>
      </c>
      <c r="F178" s="63">
        <v>0</v>
      </c>
      <c r="G178" s="64">
        <f t="shared" si="8"/>
        <v>0.66666666666666663</v>
      </c>
      <c r="H178" s="64">
        <f t="shared" si="9"/>
        <v>0</v>
      </c>
      <c r="I178" s="63">
        <v>0</v>
      </c>
      <c r="J178" s="65"/>
      <c r="K178" s="65">
        <v>0</v>
      </c>
      <c r="L178" s="62" t="s">
        <v>826</v>
      </c>
      <c r="M178" s="63">
        <v>0</v>
      </c>
      <c r="N178" s="66">
        <f t="shared" si="10"/>
        <v>0</v>
      </c>
      <c r="O178" s="62" t="str">
        <f t="shared" si="11"/>
        <v>1: Critical (No DBWT + No Wk0)</v>
      </c>
    </row>
    <row r="179" spans="1:15" ht="15" customHeight="1" x14ac:dyDescent="0.4">
      <c r="A179" s="62" t="s">
        <v>824</v>
      </c>
      <c r="B179" s="62" t="s">
        <v>393</v>
      </c>
      <c r="C179" s="62" t="s">
        <v>825</v>
      </c>
      <c r="D179" s="63">
        <v>23</v>
      </c>
      <c r="E179" s="63">
        <v>19</v>
      </c>
      <c r="F179" s="63">
        <v>0</v>
      </c>
      <c r="G179" s="64">
        <f t="shared" si="8"/>
        <v>0.82608695652173914</v>
      </c>
      <c r="H179" s="64">
        <f t="shared" si="9"/>
        <v>0</v>
      </c>
      <c r="I179" s="63">
        <v>0</v>
      </c>
      <c r="J179" s="65"/>
      <c r="K179" s="65">
        <v>0</v>
      </c>
      <c r="L179" s="62" t="s">
        <v>825</v>
      </c>
      <c r="M179" s="63">
        <v>0</v>
      </c>
      <c r="N179" s="66">
        <f t="shared" si="10"/>
        <v>0.25</v>
      </c>
      <c r="O179" s="62" t="str">
        <f t="shared" si="11"/>
        <v>3: Elevated (No Wk0)</v>
      </c>
    </row>
    <row r="180" spans="1:15" ht="15" customHeight="1" x14ac:dyDescent="0.4">
      <c r="A180" s="62" t="s">
        <v>824</v>
      </c>
      <c r="B180" s="62" t="s">
        <v>247</v>
      </c>
      <c r="C180" s="62" t="s">
        <v>826</v>
      </c>
      <c r="D180" s="63">
        <v>3</v>
      </c>
      <c r="E180" s="63">
        <v>1</v>
      </c>
      <c r="F180" s="63">
        <v>0</v>
      </c>
      <c r="G180" s="64">
        <f t="shared" si="8"/>
        <v>0.33333333333333331</v>
      </c>
      <c r="H180" s="64">
        <f t="shared" si="9"/>
        <v>0</v>
      </c>
      <c r="I180" s="63">
        <v>0</v>
      </c>
      <c r="J180" s="65"/>
      <c r="K180" s="65">
        <v>0.34</v>
      </c>
      <c r="L180" s="62" t="s">
        <v>826</v>
      </c>
      <c r="M180" s="63">
        <v>0</v>
      </c>
      <c r="N180" s="66">
        <f t="shared" si="10"/>
        <v>2E-3</v>
      </c>
      <c r="O180" s="62" t="str">
        <f t="shared" si="11"/>
        <v>1: Critical (No DBWT + No Wk0)</v>
      </c>
    </row>
    <row r="181" spans="1:15" ht="15" customHeight="1" x14ac:dyDescent="0.4">
      <c r="A181" s="62" t="s">
        <v>824</v>
      </c>
      <c r="B181" s="62" t="s">
        <v>927</v>
      </c>
      <c r="C181" s="62" t="s">
        <v>826</v>
      </c>
      <c r="D181" s="63">
        <v>23</v>
      </c>
      <c r="E181" s="63">
        <v>15</v>
      </c>
      <c r="F181" s="63">
        <v>2</v>
      </c>
      <c r="G181" s="64">
        <f t="shared" si="8"/>
        <v>0.65217391304347827</v>
      </c>
      <c r="H181" s="64">
        <f t="shared" si="9"/>
        <v>8.6956521739130432E-2</v>
      </c>
      <c r="I181" s="63">
        <v>0</v>
      </c>
      <c r="J181" s="65"/>
      <c r="K181" s="65">
        <v>0</v>
      </c>
      <c r="L181" s="62" t="s">
        <v>825</v>
      </c>
      <c r="M181" s="63">
        <v>0</v>
      </c>
      <c r="N181" s="66">
        <f t="shared" si="10"/>
        <v>0.25</v>
      </c>
      <c r="O181" s="62" t="str">
        <f t="shared" si="11"/>
        <v>3: Elevated (No Wk0)</v>
      </c>
    </row>
    <row r="182" spans="1:15" ht="15" customHeight="1" x14ac:dyDescent="0.4">
      <c r="A182" s="62" t="s">
        <v>824</v>
      </c>
      <c r="B182" s="62" t="s">
        <v>928</v>
      </c>
      <c r="C182" s="62" t="s">
        <v>826</v>
      </c>
      <c r="D182" s="63">
        <v>5</v>
      </c>
      <c r="E182" s="63">
        <v>5</v>
      </c>
      <c r="F182" s="63">
        <v>1</v>
      </c>
      <c r="G182" s="64">
        <f t="shared" si="8"/>
        <v>1</v>
      </c>
      <c r="H182" s="64">
        <f t="shared" si="9"/>
        <v>0.2</v>
      </c>
      <c r="I182" s="63">
        <v>2</v>
      </c>
      <c r="J182" s="65">
        <v>91.719099999999997</v>
      </c>
      <c r="K182" s="65">
        <v>100</v>
      </c>
      <c r="L182" s="62" t="s">
        <v>825</v>
      </c>
      <c r="M182" s="63">
        <v>1</v>
      </c>
      <c r="N182" s="66">
        <f t="shared" si="10"/>
        <v>0.98799999999999999</v>
      </c>
      <c r="O182" s="62" t="str">
        <f t="shared" si="11"/>
        <v>4: Engaged Early</v>
      </c>
    </row>
    <row r="183" spans="1:15" ht="15" customHeight="1" x14ac:dyDescent="0.4">
      <c r="A183" s="62" t="s">
        <v>824</v>
      </c>
      <c r="B183" s="62" t="s">
        <v>495</v>
      </c>
      <c r="C183" s="62" t="s">
        <v>825</v>
      </c>
      <c r="D183" s="63">
        <v>4</v>
      </c>
      <c r="E183" s="63">
        <v>0</v>
      </c>
      <c r="F183" s="63">
        <v>0</v>
      </c>
      <c r="G183" s="64">
        <f t="shared" si="8"/>
        <v>0</v>
      </c>
      <c r="H183" s="64">
        <f t="shared" si="9"/>
        <v>0</v>
      </c>
      <c r="I183" s="63">
        <v>0</v>
      </c>
      <c r="J183" s="65"/>
      <c r="K183" s="65">
        <v>0</v>
      </c>
      <c r="L183" s="62" t="s">
        <v>826</v>
      </c>
      <c r="M183" s="63">
        <v>0</v>
      </c>
      <c r="N183" s="66">
        <f t="shared" si="10"/>
        <v>0</v>
      </c>
      <c r="O183" s="62" t="str">
        <f t="shared" si="11"/>
        <v>1: Critical (No DBWT + No Wk0)</v>
      </c>
    </row>
    <row r="184" spans="1:15" ht="15" customHeight="1" x14ac:dyDescent="0.4">
      <c r="A184" s="62" t="s">
        <v>824</v>
      </c>
      <c r="B184" s="62" t="s">
        <v>929</v>
      </c>
      <c r="C184" s="62" t="s">
        <v>826</v>
      </c>
      <c r="D184" s="63">
        <v>23</v>
      </c>
      <c r="E184" s="63">
        <v>21</v>
      </c>
      <c r="F184" s="63">
        <v>5</v>
      </c>
      <c r="G184" s="64">
        <f t="shared" si="8"/>
        <v>0.91304347826086951</v>
      </c>
      <c r="H184" s="64">
        <f t="shared" si="9"/>
        <v>0.21739130434782608</v>
      </c>
      <c r="I184" s="63">
        <v>2</v>
      </c>
      <c r="J184" s="65">
        <v>61.347450000000002</v>
      </c>
      <c r="K184" s="65">
        <v>87.13</v>
      </c>
      <c r="L184" s="62" t="s">
        <v>825</v>
      </c>
      <c r="M184" s="63">
        <v>0</v>
      </c>
      <c r="N184" s="66">
        <f t="shared" si="10"/>
        <v>0.86499999999999999</v>
      </c>
      <c r="O184" s="62" t="str">
        <f t="shared" si="11"/>
        <v>4: Engaged Early</v>
      </c>
    </row>
    <row r="185" spans="1:15" ht="15" customHeight="1" x14ac:dyDescent="0.4">
      <c r="A185" s="62" t="s">
        <v>824</v>
      </c>
      <c r="B185" s="62" t="s">
        <v>930</v>
      </c>
      <c r="C185" s="62" t="s">
        <v>826</v>
      </c>
      <c r="D185" s="63">
        <v>22</v>
      </c>
      <c r="E185" s="63">
        <v>18</v>
      </c>
      <c r="F185" s="63">
        <v>1</v>
      </c>
      <c r="G185" s="64">
        <f t="shared" si="8"/>
        <v>0.81818181818181823</v>
      </c>
      <c r="H185" s="64">
        <f t="shared" si="9"/>
        <v>4.5454545454545456E-2</v>
      </c>
      <c r="I185" s="63">
        <v>1</v>
      </c>
      <c r="J185" s="65">
        <v>2.0399699999999998</v>
      </c>
      <c r="K185" s="65">
        <v>25.07</v>
      </c>
      <c r="L185" s="62" t="s">
        <v>826</v>
      </c>
      <c r="M185" s="63">
        <v>0</v>
      </c>
      <c r="N185" s="66">
        <f t="shared" si="10"/>
        <v>0.153</v>
      </c>
      <c r="O185" s="62" t="str">
        <f t="shared" si="11"/>
        <v>2: High (No DBWT)</v>
      </c>
    </row>
    <row r="186" spans="1:15" ht="15" customHeight="1" x14ac:dyDescent="0.4">
      <c r="A186" s="62" t="s">
        <v>824</v>
      </c>
      <c r="B186" s="62" t="s">
        <v>931</v>
      </c>
      <c r="C186" s="62" t="s">
        <v>826</v>
      </c>
      <c r="D186" s="63">
        <v>15</v>
      </c>
      <c r="E186" s="63">
        <v>13</v>
      </c>
      <c r="F186" s="63">
        <v>1</v>
      </c>
      <c r="G186" s="64">
        <f t="shared" si="8"/>
        <v>0.8666666666666667</v>
      </c>
      <c r="H186" s="64">
        <f t="shared" si="9"/>
        <v>6.6666666666666666E-2</v>
      </c>
      <c r="I186" s="63">
        <v>2</v>
      </c>
      <c r="J186" s="65">
        <v>86.155550000000005</v>
      </c>
      <c r="K186" s="65">
        <v>94.64</v>
      </c>
      <c r="L186" s="62" t="s">
        <v>825</v>
      </c>
      <c r="M186" s="63">
        <v>0</v>
      </c>
      <c r="N186" s="66">
        <f t="shared" si="10"/>
        <v>0.94699999999999995</v>
      </c>
      <c r="O186" s="62" t="str">
        <f t="shared" si="11"/>
        <v>4: Engaged Early</v>
      </c>
    </row>
    <row r="187" spans="1:15" ht="15" customHeight="1" x14ac:dyDescent="0.4">
      <c r="A187" s="62" t="s">
        <v>824</v>
      </c>
      <c r="B187" s="62" t="s">
        <v>932</v>
      </c>
      <c r="C187" s="62" t="s">
        <v>826</v>
      </c>
      <c r="D187" s="63">
        <v>13</v>
      </c>
      <c r="E187" s="63">
        <v>1</v>
      </c>
      <c r="F187" s="63">
        <v>1</v>
      </c>
      <c r="G187" s="64">
        <f t="shared" si="8"/>
        <v>7.6923076923076927E-2</v>
      </c>
      <c r="H187" s="64">
        <f t="shared" si="9"/>
        <v>7.6923076923076927E-2</v>
      </c>
      <c r="I187" s="63">
        <v>2</v>
      </c>
      <c r="J187" s="65">
        <v>54.730649999999997</v>
      </c>
      <c r="K187" s="65">
        <v>91.26</v>
      </c>
      <c r="L187" s="62" t="s">
        <v>826</v>
      </c>
      <c r="M187" s="63">
        <v>0</v>
      </c>
      <c r="N187" s="66">
        <f t="shared" si="10"/>
        <v>0.63</v>
      </c>
      <c r="O187" s="62" t="str">
        <f t="shared" si="11"/>
        <v>2: High (No DBWT)</v>
      </c>
    </row>
    <row r="188" spans="1:15" ht="15" customHeight="1" x14ac:dyDescent="0.4">
      <c r="A188" s="62" t="s">
        <v>824</v>
      </c>
      <c r="B188" s="62" t="s">
        <v>933</v>
      </c>
      <c r="C188" s="62" t="s">
        <v>826</v>
      </c>
      <c r="D188" s="63">
        <v>13</v>
      </c>
      <c r="E188" s="63">
        <v>12</v>
      </c>
      <c r="F188" s="63">
        <v>3</v>
      </c>
      <c r="G188" s="64">
        <f t="shared" si="8"/>
        <v>0.92307692307692313</v>
      </c>
      <c r="H188" s="64">
        <f t="shared" si="9"/>
        <v>0.23076923076923078</v>
      </c>
      <c r="I188" s="63">
        <v>2</v>
      </c>
      <c r="J188" s="65">
        <v>20.484220000000001</v>
      </c>
      <c r="K188" s="65">
        <v>23.85</v>
      </c>
      <c r="L188" s="62" t="s">
        <v>825</v>
      </c>
      <c r="M188" s="63">
        <v>1</v>
      </c>
      <c r="N188" s="66">
        <f t="shared" si="10"/>
        <v>0.42399999999999999</v>
      </c>
      <c r="O188" s="62" t="str">
        <f t="shared" si="11"/>
        <v>4: Engaged Early</v>
      </c>
    </row>
    <row r="189" spans="1:15" ht="15" customHeight="1" x14ac:dyDescent="0.4">
      <c r="A189" s="62" t="s">
        <v>824</v>
      </c>
      <c r="B189" s="62" t="s">
        <v>934</v>
      </c>
      <c r="C189" s="62" t="s">
        <v>826</v>
      </c>
      <c r="D189" s="63">
        <v>0</v>
      </c>
      <c r="E189" s="63">
        <v>0</v>
      </c>
      <c r="F189" s="63">
        <v>0</v>
      </c>
      <c r="G189" s="64">
        <f t="shared" si="8"/>
        <v>0</v>
      </c>
      <c r="H189" s="64">
        <f t="shared" si="9"/>
        <v>0</v>
      </c>
      <c r="I189" s="63">
        <v>0</v>
      </c>
      <c r="J189" s="65"/>
      <c r="K189" s="65">
        <v>82.5</v>
      </c>
      <c r="L189" s="62" t="s">
        <v>826</v>
      </c>
      <c r="M189" s="63">
        <v>0</v>
      </c>
      <c r="N189" s="66">
        <f t="shared" si="10"/>
        <v>0.495</v>
      </c>
      <c r="O189" s="62" t="str">
        <f t="shared" si="11"/>
        <v>1: Critical (No DBWT + No Wk0)</v>
      </c>
    </row>
    <row r="190" spans="1:15" ht="15" customHeight="1" x14ac:dyDescent="0.4">
      <c r="A190" s="62" t="s">
        <v>824</v>
      </c>
      <c r="B190" s="62" t="s">
        <v>935</v>
      </c>
      <c r="C190" s="62" t="s">
        <v>826</v>
      </c>
      <c r="D190" s="63">
        <v>10</v>
      </c>
      <c r="E190" s="63">
        <v>9</v>
      </c>
      <c r="F190" s="63">
        <v>1</v>
      </c>
      <c r="G190" s="64">
        <f t="shared" si="8"/>
        <v>0.9</v>
      </c>
      <c r="H190" s="64">
        <f t="shared" si="9"/>
        <v>0.1</v>
      </c>
      <c r="I190" s="63">
        <v>2</v>
      </c>
      <c r="J190" s="65">
        <v>89.560299999999998</v>
      </c>
      <c r="K190" s="65">
        <v>100</v>
      </c>
      <c r="L190" s="62" t="s">
        <v>825</v>
      </c>
      <c r="M190" s="63">
        <v>0</v>
      </c>
      <c r="N190" s="66">
        <f t="shared" si="10"/>
        <v>0.98399999999999999</v>
      </c>
      <c r="O190" s="62" t="str">
        <f t="shared" si="11"/>
        <v>4: Engaged Early</v>
      </c>
    </row>
    <row r="191" spans="1:15" ht="15" customHeight="1" x14ac:dyDescent="0.4">
      <c r="A191" s="62" t="s">
        <v>824</v>
      </c>
      <c r="B191" s="62" t="s">
        <v>936</v>
      </c>
      <c r="C191" s="62" t="s">
        <v>826</v>
      </c>
      <c r="D191" s="63">
        <v>7</v>
      </c>
      <c r="E191" s="63">
        <v>7</v>
      </c>
      <c r="F191" s="63">
        <v>5</v>
      </c>
      <c r="G191" s="64">
        <f t="shared" si="8"/>
        <v>1</v>
      </c>
      <c r="H191" s="64">
        <f t="shared" si="9"/>
        <v>0.7142857142857143</v>
      </c>
      <c r="I191" s="63">
        <v>2</v>
      </c>
      <c r="J191" s="65">
        <v>90.0762</v>
      </c>
      <c r="K191" s="65">
        <v>95.59</v>
      </c>
      <c r="L191" s="62" t="s">
        <v>825</v>
      </c>
      <c r="M191" s="63">
        <v>0</v>
      </c>
      <c r="N191" s="66">
        <f t="shared" si="10"/>
        <v>0.95899999999999996</v>
      </c>
      <c r="O191" s="62" t="str">
        <f t="shared" si="11"/>
        <v>4: Engaged Early</v>
      </c>
    </row>
    <row r="192" spans="1:15" ht="15" customHeight="1" x14ac:dyDescent="0.4">
      <c r="A192" s="62" t="s">
        <v>824</v>
      </c>
      <c r="B192" s="62" t="s">
        <v>937</v>
      </c>
      <c r="C192" s="62" t="s">
        <v>826</v>
      </c>
      <c r="D192" s="63">
        <v>4</v>
      </c>
      <c r="E192" s="63">
        <v>4</v>
      </c>
      <c r="F192" s="63">
        <v>0</v>
      </c>
      <c r="G192" s="64">
        <f t="shared" si="8"/>
        <v>1</v>
      </c>
      <c r="H192" s="64">
        <f t="shared" si="9"/>
        <v>0</v>
      </c>
      <c r="I192" s="63">
        <v>2</v>
      </c>
      <c r="J192" s="65">
        <v>79.331050000000005</v>
      </c>
      <c r="K192" s="65">
        <v>95.13</v>
      </c>
      <c r="L192" s="62" t="s">
        <v>826</v>
      </c>
      <c r="M192" s="63">
        <v>0</v>
      </c>
      <c r="N192" s="66">
        <f t="shared" si="10"/>
        <v>0.69</v>
      </c>
      <c r="O192" s="62" t="str">
        <f t="shared" si="11"/>
        <v>2: High (No DBWT)</v>
      </c>
    </row>
    <row r="193" spans="1:15" ht="15" customHeight="1" x14ac:dyDescent="0.4">
      <c r="A193" s="62" t="s">
        <v>824</v>
      </c>
      <c r="B193" s="62" t="s">
        <v>938</v>
      </c>
      <c r="C193" s="62" t="s">
        <v>826</v>
      </c>
      <c r="D193" s="63">
        <v>1</v>
      </c>
      <c r="E193" s="63">
        <v>1</v>
      </c>
      <c r="F193" s="63">
        <v>0</v>
      </c>
      <c r="G193" s="64">
        <f t="shared" si="8"/>
        <v>1</v>
      </c>
      <c r="H193" s="64">
        <f t="shared" si="9"/>
        <v>0</v>
      </c>
      <c r="I193" s="63">
        <v>2</v>
      </c>
      <c r="J193" s="65">
        <v>73.202699999999993</v>
      </c>
      <c r="K193" s="65">
        <v>100</v>
      </c>
      <c r="L193" s="62" t="s">
        <v>825</v>
      </c>
      <c r="M193" s="63">
        <v>0</v>
      </c>
      <c r="N193" s="66">
        <f t="shared" si="10"/>
        <v>0.96</v>
      </c>
      <c r="O193" s="62" t="str">
        <f t="shared" si="11"/>
        <v>4: Engaged Early</v>
      </c>
    </row>
    <row r="194" spans="1:15" ht="15" customHeight="1" x14ac:dyDescent="0.4">
      <c r="A194" s="62" t="s">
        <v>824</v>
      </c>
      <c r="B194" s="62" t="s">
        <v>939</v>
      </c>
      <c r="C194" s="62" t="s">
        <v>826</v>
      </c>
      <c r="D194" s="63">
        <v>0</v>
      </c>
      <c r="E194" s="63">
        <v>0</v>
      </c>
      <c r="F194" s="63">
        <v>0</v>
      </c>
      <c r="G194" s="64">
        <f t="shared" ref="G194:G257" si="12">IFERROR(E194/D194,0)</f>
        <v>0</v>
      </c>
      <c r="H194" s="64">
        <f t="shared" ref="H194:H257" si="13">IFERROR(F194/D194,0)</f>
        <v>0</v>
      </c>
      <c r="I194" s="63">
        <v>1</v>
      </c>
      <c r="J194" s="65">
        <v>67.319999999999993</v>
      </c>
      <c r="K194" s="65">
        <v>84.46</v>
      </c>
      <c r="L194" s="62" t="s">
        <v>840</v>
      </c>
      <c r="M194" s="63">
        <v>0</v>
      </c>
      <c r="N194" s="66">
        <f t="shared" ref="N194:N257" si="14">ROUND(IFERROR(K194/100,0)*0.6 + IF(L194="Yes",1,IF(L194="No",0,0.3))*0.25 + IFERROR(J194/100,0)*0.15,3)</f>
        <v>0.68300000000000005</v>
      </c>
      <c r="O194" s="62" t="str">
        <f t="shared" ref="O194:O257" si="15">IF(AND(L194="No",I194=0),"1: Critical (No DBWT + No Wk0)",IF(L194="No","2: High (No DBWT)",IF(I194=0,"3: Elevated (No Wk0)","4: Engaged Early")))</f>
        <v>4: Engaged Early</v>
      </c>
    </row>
    <row r="195" spans="1:15" ht="15" customHeight="1" x14ac:dyDescent="0.4">
      <c r="A195" s="62" t="s">
        <v>824</v>
      </c>
      <c r="B195" s="62" t="s">
        <v>940</v>
      </c>
      <c r="C195" s="62" t="s">
        <v>826</v>
      </c>
      <c r="D195" s="63">
        <v>4</v>
      </c>
      <c r="E195" s="63">
        <v>4</v>
      </c>
      <c r="F195" s="63">
        <v>3</v>
      </c>
      <c r="G195" s="64">
        <f t="shared" si="12"/>
        <v>1</v>
      </c>
      <c r="H195" s="64">
        <f t="shared" si="13"/>
        <v>0.75</v>
      </c>
      <c r="I195" s="63">
        <v>1</v>
      </c>
      <c r="J195" s="65">
        <v>99.96</v>
      </c>
      <c r="K195" s="65">
        <v>88.89</v>
      </c>
      <c r="L195" s="62" t="s">
        <v>825</v>
      </c>
      <c r="M195" s="63">
        <v>0</v>
      </c>
      <c r="N195" s="66">
        <f t="shared" si="14"/>
        <v>0.93300000000000005</v>
      </c>
      <c r="O195" s="62" t="str">
        <f t="shared" si="15"/>
        <v>4: Engaged Early</v>
      </c>
    </row>
    <row r="196" spans="1:15" ht="15" customHeight="1" x14ac:dyDescent="0.4">
      <c r="A196" s="62" t="s">
        <v>824</v>
      </c>
      <c r="B196" s="62" t="s">
        <v>941</v>
      </c>
      <c r="C196" s="62" t="s">
        <v>826</v>
      </c>
      <c r="D196" s="63">
        <v>0</v>
      </c>
      <c r="E196" s="63">
        <v>0</v>
      </c>
      <c r="F196" s="63">
        <v>0</v>
      </c>
      <c r="G196" s="64">
        <f t="shared" si="12"/>
        <v>0</v>
      </c>
      <c r="H196" s="64">
        <f t="shared" si="13"/>
        <v>0</v>
      </c>
      <c r="I196" s="63">
        <v>0</v>
      </c>
      <c r="J196" s="65"/>
      <c r="K196" s="65">
        <v>68.69</v>
      </c>
      <c r="L196" s="62" t="s">
        <v>840</v>
      </c>
      <c r="M196" s="63">
        <v>0</v>
      </c>
      <c r="N196" s="66">
        <f t="shared" si="14"/>
        <v>0.48699999999999999</v>
      </c>
      <c r="O196" s="62" t="str">
        <f t="shared" si="15"/>
        <v>3: Elevated (No Wk0)</v>
      </c>
    </row>
    <row r="197" spans="1:15" ht="15" customHeight="1" x14ac:dyDescent="0.4">
      <c r="A197" s="62" t="s">
        <v>824</v>
      </c>
      <c r="B197" s="62" t="s">
        <v>334</v>
      </c>
      <c r="C197" s="62" t="s">
        <v>825</v>
      </c>
      <c r="D197" s="63">
        <v>17</v>
      </c>
      <c r="E197" s="63">
        <v>12</v>
      </c>
      <c r="F197" s="63">
        <v>0</v>
      </c>
      <c r="G197" s="64">
        <f t="shared" si="12"/>
        <v>0.70588235294117652</v>
      </c>
      <c r="H197" s="64">
        <f t="shared" si="13"/>
        <v>0</v>
      </c>
      <c r="I197" s="63">
        <v>0</v>
      </c>
      <c r="J197" s="65"/>
      <c r="K197" s="65">
        <v>0</v>
      </c>
      <c r="L197" s="62" t="s">
        <v>826</v>
      </c>
      <c r="M197" s="63">
        <v>0</v>
      </c>
      <c r="N197" s="66">
        <f t="shared" si="14"/>
        <v>0</v>
      </c>
      <c r="O197" s="62" t="str">
        <f t="shared" si="15"/>
        <v>1: Critical (No DBWT + No Wk0)</v>
      </c>
    </row>
    <row r="198" spans="1:15" ht="15" customHeight="1" x14ac:dyDescent="0.4">
      <c r="A198" s="62" t="s">
        <v>824</v>
      </c>
      <c r="B198" s="62" t="s">
        <v>942</v>
      </c>
      <c r="C198" s="62" t="s">
        <v>826</v>
      </c>
      <c r="D198" s="63">
        <v>13</v>
      </c>
      <c r="E198" s="63">
        <v>8</v>
      </c>
      <c r="F198" s="63">
        <v>2</v>
      </c>
      <c r="G198" s="64">
        <f t="shared" si="12"/>
        <v>0.61538461538461542</v>
      </c>
      <c r="H198" s="64">
        <f t="shared" si="13"/>
        <v>0.15384615384615385</v>
      </c>
      <c r="I198" s="63">
        <v>2</v>
      </c>
      <c r="J198" s="65">
        <v>81.27655</v>
      </c>
      <c r="K198" s="65">
        <v>93.46</v>
      </c>
      <c r="L198" s="62" t="s">
        <v>825</v>
      </c>
      <c r="M198" s="63">
        <v>0</v>
      </c>
      <c r="N198" s="66">
        <f t="shared" si="14"/>
        <v>0.93300000000000005</v>
      </c>
      <c r="O198" s="62" t="str">
        <f t="shared" si="15"/>
        <v>4: Engaged Early</v>
      </c>
    </row>
    <row r="199" spans="1:15" ht="15" customHeight="1" x14ac:dyDescent="0.4">
      <c r="A199" s="62" t="s">
        <v>824</v>
      </c>
      <c r="B199" s="62" t="s">
        <v>337</v>
      </c>
      <c r="C199" s="62" t="s">
        <v>825</v>
      </c>
      <c r="D199" s="63">
        <v>15</v>
      </c>
      <c r="E199" s="63">
        <v>4</v>
      </c>
      <c r="F199" s="63">
        <v>4</v>
      </c>
      <c r="G199" s="64">
        <f t="shared" si="12"/>
        <v>0.26666666666666666</v>
      </c>
      <c r="H199" s="64">
        <f t="shared" si="13"/>
        <v>0.26666666666666666</v>
      </c>
      <c r="I199" s="63">
        <v>0</v>
      </c>
      <c r="J199" s="65"/>
      <c r="K199" s="65">
        <v>0</v>
      </c>
      <c r="L199" s="62" t="s">
        <v>826</v>
      </c>
      <c r="M199" s="63">
        <v>0</v>
      </c>
      <c r="N199" s="66">
        <f t="shared" si="14"/>
        <v>0</v>
      </c>
      <c r="O199" s="62" t="str">
        <f t="shared" si="15"/>
        <v>1: Critical (No DBWT + No Wk0)</v>
      </c>
    </row>
    <row r="200" spans="1:15" ht="15" customHeight="1" x14ac:dyDescent="0.4">
      <c r="A200" s="62" t="s">
        <v>824</v>
      </c>
      <c r="B200" s="62" t="s">
        <v>943</v>
      </c>
      <c r="C200" s="62" t="s">
        <v>826</v>
      </c>
      <c r="D200" s="63">
        <v>1</v>
      </c>
      <c r="E200" s="63">
        <v>1</v>
      </c>
      <c r="F200" s="63">
        <v>0</v>
      </c>
      <c r="G200" s="64">
        <f t="shared" si="12"/>
        <v>1</v>
      </c>
      <c r="H200" s="64">
        <f t="shared" si="13"/>
        <v>0</v>
      </c>
      <c r="I200" s="63">
        <v>2</v>
      </c>
      <c r="J200" s="65">
        <v>83.062150000000003</v>
      </c>
      <c r="K200" s="65">
        <v>100</v>
      </c>
      <c r="L200" s="62" t="s">
        <v>825</v>
      </c>
      <c r="M200" s="63">
        <v>1</v>
      </c>
      <c r="N200" s="66">
        <f t="shared" si="14"/>
        <v>0.97499999999999998</v>
      </c>
      <c r="O200" s="62" t="str">
        <f t="shared" si="15"/>
        <v>4: Engaged Early</v>
      </c>
    </row>
    <row r="201" spans="1:15" ht="15" customHeight="1" x14ac:dyDescent="0.4">
      <c r="A201" s="62" t="s">
        <v>824</v>
      </c>
      <c r="B201" s="62" t="s">
        <v>493</v>
      </c>
      <c r="C201" s="62" t="s">
        <v>825</v>
      </c>
      <c r="D201" s="63">
        <v>13</v>
      </c>
      <c r="E201" s="63">
        <v>10</v>
      </c>
      <c r="F201" s="63">
        <v>0</v>
      </c>
      <c r="G201" s="64">
        <f t="shared" si="12"/>
        <v>0.76923076923076927</v>
      </c>
      <c r="H201" s="64">
        <f t="shared" si="13"/>
        <v>0</v>
      </c>
      <c r="I201" s="63">
        <v>1</v>
      </c>
      <c r="J201" s="65">
        <v>93.52</v>
      </c>
      <c r="K201" s="65">
        <v>16.670000000000002</v>
      </c>
      <c r="L201" s="62" t="s">
        <v>825</v>
      </c>
      <c r="M201" s="63">
        <v>0</v>
      </c>
      <c r="N201" s="66">
        <f t="shared" si="14"/>
        <v>0.49</v>
      </c>
      <c r="O201" s="62" t="str">
        <f t="shared" si="15"/>
        <v>4: Engaged Early</v>
      </c>
    </row>
    <row r="202" spans="1:15" ht="15" customHeight="1" x14ac:dyDescent="0.4">
      <c r="A202" s="62" t="s">
        <v>824</v>
      </c>
      <c r="B202" s="62" t="s">
        <v>944</v>
      </c>
      <c r="C202" s="62" t="s">
        <v>826</v>
      </c>
      <c r="D202" s="63">
        <v>4</v>
      </c>
      <c r="E202" s="63">
        <v>4</v>
      </c>
      <c r="F202" s="63">
        <v>2</v>
      </c>
      <c r="G202" s="64">
        <f t="shared" si="12"/>
        <v>1</v>
      </c>
      <c r="H202" s="64">
        <f t="shared" si="13"/>
        <v>0.5</v>
      </c>
      <c r="I202" s="63">
        <v>0</v>
      </c>
      <c r="J202" s="65"/>
      <c r="K202" s="65">
        <v>0</v>
      </c>
      <c r="L202" s="62" t="s">
        <v>825</v>
      </c>
      <c r="M202" s="63">
        <v>0</v>
      </c>
      <c r="N202" s="66">
        <f t="shared" si="14"/>
        <v>0.25</v>
      </c>
      <c r="O202" s="62" t="str">
        <f t="shared" si="15"/>
        <v>3: Elevated (No Wk0)</v>
      </c>
    </row>
    <row r="203" spans="1:15" ht="15" customHeight="1" x14ac:dyDescent="0.4">
      <c r="A203" s="62" t="s">
        <v>824</v>
      </c>
      <c r="B203" s="62" t="s">
        <v>945</v>
      </c>
      <c r="C203" s="62" t="s">
        <v>826</v>
      </c>
      <c r="D203" s="63">
        <v>10</v>
      </c>
      <c r="E203" s="63">
        <v>10</v>
      </c>
      <c r="F203" s="63">
        <v>2</v>
      </c>
      <c r="G203" s="64">
        <f t="shared" si="12"/>
        <v>1</v>
      </c>
      <c r="H203" s="64">
        <f t="shared" si="13"/>
        <v>0.2</v>
      </c>
      <c r="I203" s="63">
        <v>2</v>
      </c>
      <c r="J203" s="65">
        <v>99.704999999999998</v>
      </c>
      <c r="K203" s="65">
        <v>100</v>
      </c>
      <c r="L203" s="62" t="s">
        <v>825</v>
      </c>
      <c r="M203" s="63">
        <v>0</v>
      </c>
      <c r="N203" s="66">
        <f t="shared" si="14"/>
        <v>1</v>
      </c>
      <c r="O203" s="62" t="str">
        <f t="shared" si="15"/>
        <v>4: Engaged Early</v>
      </c>
    </row>
    <row r="204" spans="1:15" ht="15" customHeight="1" x14ac:dyDescent="0.4">
      <c r="A204" s="62" t="s">
        <v>824</v>
      </c>
      <c r="B204" s="62" t="s">
        <v>946</v>
      </c>
      <c r="C204" s="62" t="s">
        <v>826</v>
      </c>
      <c r="D204" s="63">
        <v>0</v>
      </c>
      <c r="E204" s="63">
        <v>0</v>
      </c>
      <c r="F204" s="63">
        <v>0</v>
      </c>
      <c r="G204" s="64">
        <f t="shared" si="12"/>
        <v>0</v>
      </c>
      <c r="H204" s="64">
        <f t="shared" si="13"/>
        <v>0</v>
      </c>
      <c r="I204" s="63">
        <v>0</v>
      </c>
      <c r="J204" s="65"/>
      <c r="K204" s="65">
        <v>0</v>
      </c>
      <c r="L204" s="62" t="s">
        <v>840</v>
      </c>
      <c r="M204" s="63">
        <v>0</v>
      </c>
      <c r="N204" s="66">
        <f t="shared" si="14"/>
        <v>7.4999999999999997E-2</v>
      </c>
      <c r="O204" s="62" t="str">
        <f t="shared" si="15"/>
        <v>3: Elevated (No Wk0)</v>
      </c>
    </row>
    <row r="205" spans="1:15" ht="15" customHeight="1" x14ac:dyDescent="0.4">
      <c r="A205" s="62" t="s">
        <v>824</v>
      </c>
      <c r="B205" s="62" t="s">
        <v>469</v>
      </c>
      <c r="C205" s="62" t="s">
        <v>825</v>
      </c>
      <c r="D205" s="63">
        <v>10</v>
      </c>
      <c r="E205" s="63">
        <v>1</v>
      </c>
      <c r="F205" s="63">
        <v>1</v>
      </c>
      <c r="G205" s="64">
        <f t="shared" si="12"/>
        <v>0.1</v>
      </c>
      <c r="H205" s="64">
        <f t="shared" si="13"/>
        <v>0.1</v>
      </c>
      <c r="I205" s="63">
        <v>1</v>
      </c>
      <c r="J205" s="65">
        <v>70.05</v>
      </c>
      <c r="K205" s="65">
        <v>14.59</v>
      </c>
      <c r="L205" s="62" t="s">
        <v>826</v>
      </c>
      <c r="M205" s="63">
        <v>0</v>
      </c>
      <c r="N205" s="66">
        <f t="shared" si="14"/>
        <v>0.193</v>
      </c>
      <c r="O205" s="62" t="str">
        <f t="shared" si="15"/>
        <v>2: High (No DBWT)</v>
      </c>
    </row>
    <row r="206" spans="1:15" ht="15" customHeight="1" x14ac:dyDescent="0.4">
      <c r="A206" s="62" t="s">
        <v>824</v>
      </c>
      <c r="B206" s="62" t="s">
        <v>947</v>
      </c>
      <c r="C206" s="62" t="s">
        <v>826</v>
      </c>
      <c r="D206" s="63">
        <v>13</v>
      </c>
      <c r="E206" s="63">
        <v>8</v>
      </c>
      <c r="F206" s="63">
        <v>0</v>
      </c>
      <c r="G206" s="64">
        <f t="shared" si="12"/>
        <v>0.61538461538461542</v>
      </c>
      <c r="H206" s="64">
        <f t="shared" si="13"/>
        <v>0</v>
      </c>
      <c r="I206" s="63">
        <v>0</v>
      </c>
      <c r="J206" s="65"/>
      <c r="K206" s="65">
        <v>0</v>
      </c>
      <c r="L206" s="62" t="s">
        <v>826</v>
      </c>
      <c r="M206" s="63">
        <v>0</v>
      </c>
      <c r="N206" s="66">
        <f t="shared" si="14"/>
        <v>0</v>
      </c>
      <c r="O206" s="62" t="str">
        <f t="shared" si="15"/>
        <v>1: Critical (No DBWT + No Wk0)</v>
      </c>
    </row>
    <row r="207" spans="1:15" ht="15" customHeight="1" x14ac:dyDescent="0.4">
      <c r="A207" s="62" t="s">
        <v>824</v>
      </c>
      <c r="B207" s="62" t="s">
        <v>397</v>
      </c>
      <c r="C207" s="62" t="s">
        <v>825</v>
      </c>
      <c r="D207" s="63">
        <v>5</v>
      </c>
      <c r="E207" s="63">
        <v>4</v>
      </c>
      <c r="F207" s="63">
        <v>0</v>
      </c>
      <c r="G207" s="64">
        <f t="shared" si="12"/>
        <v>0.8</v>
      </c>
      <c r="H207" s="64">
        <f t="shared" si="13"/>
        <v>0</v>
      </c>
      <c r="I207" s="63">
        <v>0</v>
      </c>
      <c r="J207" s="65"/>
      <c r="K207" s="65">
        <v>0</v>
      </c>
      <c r="L207" s="62" t="s">
        <v>826</v>
      </c>
      <c r="M207" s="63">
        <v>0</v>
      </c>
      <c r="N207" s="66">
        <f t="shared" si="14"/>
        <v>0</v>
      </c>
      <c r="O207" s="62" t="str">
        <f t="shared" si="15"/>
        <v>1: Critical (No DBWT + No Wk0)</v>
      </c>
    </row>
    <row r="208" spans="1:15" ht="15" customHeight="1" x14ac:dyDescent="0.4">
      <c r="A208" s="62" t="s">
        <v>824</v>
      </c>
      <c r="B208" s="62" t="s">
        <v>477</v>
      </c>
      <c r="C208" s="62" t="s">
        <v>825</v>
      </c>
      <c r="D208" s="63">
        <v>26</v>
      </c>
      <c r="E208" s="63">
        <v>22</v>
      </c>
      <c r="F208" s="63">
        <v>1</v>
      </c>
      <c r="G208" s="64">
        <f t="shared" si="12"/>
        <v>0.84615384615384615</v>
      </c>
      <c r="H208" s="64">
        <f t="shared" si="13"/>
        <v>3.8461538461538464E-2</v>
      </c>
      <c r="I208" s="63">
        <v>0</v>
      </c>
      <c r="J208" s="65"/>
      <c r="K208" s="65">
        <v>0</v>
      </c>
      <c r="L208" s="62" t="s">
        <v>826</v>
      </c>
      <c r="M208" s="63">
        <v>0</v>
      </c>
      <c r="N208" s="66">
        <f t="shared" si="14"/>
        <v>0</v>
      </c>
      <c r="O208" s="62" t="str">
        <f t="shared" si="15"/>
        <v>1: Critical (No DBWT + No Wk0)</v>
      </c>
    </row>
    <row r="209" spans="1:15" ht="15" customHeight="1" x14ac:dyDescent="0.4">
      <c r="A209" s="62" t="s">
        <v>824</v>
      </c>
      <c r="B209" s="62" t="s">
        <v>373</v>
      </c>
      <c r="C209" s="62" t="s">
        <v>825</v>
      </c>
      <c r="D209" s="63">
        <v>7</v>
      </c>
      <c r="E209" s="63">
        <v>5</v>
      </c>
      <c r="F209" s="63">
        <v>1</v>
      </c>
      <c r="G209" s="64">
        <f t="shared" si="12"/>
        <v>0.7142857142857143</v>
      </c>
      <c r="H209" s="64">
        <f t="shared" si="13"/>
        <v>0.14285714285714285</v>
      </c>
      <c r="I209" s="63">
        <v>1</v>
      </c>
      <c r="J209" s="65">
        <v>99.31</v>
      </c>
      <c r="K209" s="65">
        <v>20</v>
      </c>
      <c r="L209" s="62" t="s">
        <v>826</v>
      </c>
      <c r="M209" s="63">
        <v>0</v>
      </c>
      <c r="N209" s="66">
        <f t="shared" si="14"/>
        <v>0.26900000000000002</v>
      </c>
      <c r="O209" s="62" t="str">
        <f t="shared" si="15"/>
        <v>2: High (No DBWT)</v>
      </c>
    </row>
    <row r="210" spans="1:15" ht="15" customHeight="1" x14ac:dyDescent="0.4">
      <c r="A210" s="62" t="s">
        <v>824</v>
      </c>
      <c r="B210" s="62" t="s">
        <v>369</v>
      </c>
      <c r="C210" s="62" t="s">
        <v>825</v>
      </c>
      <c r="D210" s="63">
        <v>5</v>
      </c>
      <c r="E210" s="63">
        <v>1</v>
      </c>
      <c r="F210" s="63">
        <v>0</v>
      </c>
      <c r="G210" s="64">
        <f t="shared" si="12"/>
        <v>0.2</v>
      </c>
      <c r="H210" s="64">
        <f t="shared" si="13"/>
        <v>0</v>
      </c>
      <c r="I210" s="63">
        <v>1</v>
      </c>
      <c r="J210" s="65">
        <v>97.42</v>
      </c>
      <c r="K210" s="65">
        <v>20</v>
      </c>
      <c r="L210" s="62" t="s">
        <v>825</v>
      </c>
      <c r="M210" s="63">
        <v>0</v>
      </c>
      <c r="N210" s="66">
        <f t="shared" si="14"/>
        <v>0.51600000000000001</v>
      </c>
      <c r="O210" s="62" t="str">
        <f t="shared" si="15"/>
        <v>4: Engaged Early</v>
      </c>
    </row>
    <row r="211" spans="1:15" ht="15" customHeight="1" x14ac:dyDescent="0.4">
      <c r="A211" s="62" t="s">
        <v>824</v>
      </c>
      <c r="B211" s="62" t="s">
        <v>948</v>
      </c>
      <c r="C211" s="62" t="s">
        <v>826</v>
      </c>
      <c r="D211" s="63">
        <v>7</v>
      </c>
      <c r="E211" s="63">
        <v>7</v>
      </c>
      <c r="F211" s="63">
        <v>3</v>
      </c>
      <c r="G211" s="64">
        <f t="shared" si="12"/>
        <v>1</v>
      </c>
      <c r="H211" s="64">
        <f t="shared" si="13"/>
        <v>0.42857142857142855</v>
      </c>
      <c r="I211" s="63">
        <v>2</v>
      </c>
      <c r="J211" s="65">
        <v>54.163350000000001</v>
      </c>
      <c r="K211" s="65">
        <v>31.07</v>
      </c>
      <c r="L211" s="62" t="s">
        <v>826</v>
      </c>
      <c r="M211" s="63">
        <v>0</v>
      </c>
      <c r="N211" s="66">
        <f t="shared" si="14"/>
        <v>0.26800000000000002</v>
      </c>
      <c r="O211" s="62" t="str">
        <f t="shared" si="15"/>
        <v>2: High (No DBWT)</v>
      </c>
    </row>
    <row r="212" spans="1:15" ht="15" customHeight="1" x14ac:dyDescent="0.4">
      <c r="A212" s="62" t="s">
        <v>824</v>
      </c>
      <c r="B212" s="62" t="s">
        <v>647</v>
      </c>
      <c r="C212" s="62" t="s">
        <v>825</v>
      </c>
      <c r="D212" s="63">
        <v>5</v>
      </c>
      <c r="E212" s="63">
        <v>4</v>
      </c>
      <c r="F212" s="63">
        <v>0</v>
      </c>
      <c r="G212" s="64">
        <f t="shared" si="12"/>
        <v>0.8</v>
      </c>
      <c r="H212" s="64">
        <f t="shared" si="13"/>
        <v>0</v>
      </c>
      <c r="I212" s="63">
        <v>2</v>
      </c>
      <c r="J212" s="65">
        <v>29.462299999999999</v>
      </c>
      <c r="K212" s="65">
        <v>26.08</v>
      </c>
      <c r="L212" s="62" t="s">
        <v>826</v>
      </c>
      <c r="M212" s="63">
        <v>0</v>
      </c>
      <c r="N212" s="66">
        <f t="shared" si="14"/>
        <v>0.20100000000000001</v>
      </c>
      <c r="O212" s="62" t="str">
        <f t="shared" si="15"/>
        <v>2: High (No DBWT)</v>
      </c>
    </row>
    <row r="213" spans="1:15" ht="15" customHeight="1" x14ac:dyDescent="0.4">
      <c r="A213" s="62" t="s">
        <v>824</v>
      </c>
      <c r="B213" s="62" t="s">
        <v>605</v>
      </c>
      <c r="C213" s="62" t="s">
        <v>825</v>
      </c>
      <c r="D213" s="63">
        <v>23</v>
      </c>
      <c r="E213" s="63">
        <v>21</v>
      </c>
      <c r="F213" s="63">
        <v>0</v>
      </c>
      <c r="G213" s="64">
        <f t="shared" si="12"/>
        <v>0.91304347826086951</v>
      </c>
      <c r="H213" s="64">
        <f t="shared" si="13"/>
        <v>0</v>
      </c>
      <c r="I213" s="63">
        <v>0</v>
      </c>
      <c r="J213" s="65"/>
      <c r="K213" s="65">
        <v>0</v>
      </c>
      <c r="L213" s="62" t="s">
        <v>826</v>
      </c>
      <c r="M213" s="63">
        <v>0</v>
      </c>
      <c r="N213" s="66">
        <f t="shared" si="14"/>
        <v>0</v>
      </c>
      <c r="O213" s="62" t="str">
        <f t="shared" si="15"/>
        <v>1: Critical (No DBWT + No Wk0)</v>
      </c>
    </row>
    <row r="214" spans="1:15" ht="15" customHeight="1" x14ac:dyDescent="0.4">
      <c r="A214" s="62" t="s">
        <v>824</v>
      </c>
      <c r="B214" s="62" t="s">
        <v>732</v>
      </c>
      <c r="C214" s="62" t="s">
        <v>825</v>
      </c>
      <c r="D214" s="63">
        <v>17</v>
      </c>
      <c r="E214" s="63">
        <v>11</v>
      </c>
      <c r="F214" s="63">
        <v>0</v>
      </c>
      <c r="G214" s="64">
        <f t="shared" si="12"/>
        <v>0.6470588235294118</v>
      </c>
      <c r="H214" s="64">
        <f t="shared" si="13"/>
        <v>0</v>
      </c>
      <c r="I214" s="63">
        <v>0</v>
      </c>
      <c r="J214" s="65"/>
      <c r="K214" s="65">
        <v>0</v>
      </c>
      <c r="L214" s="62" t="s">
        <v>825</v>
      </c>
      <c r="M214" s="63">
        <v>0</v>
      </c>
      <c r="N214" s="66">
        <f t="shared" si="14"/>
        <v>0.25</v>
      </c>
      <c r="O214" s="62" t="str">
        <f t="shared" si="15"/>
        <v>3: Elevated (No Wk0)</v>
      </c>
    </row>
    <row r="215" spans="1:15" ht="15" customHeight="1" x14ac:dyDescent="0.4">
      <c r="A215" s="62" t="s">
        <v>824</v>
      </c>
      <c r="B215" s="62" t="s">
        <v>339</v>
      </c>
      <c r="C215" s="62" t="s">
        <v>825</v>
      </c>
      <c r="D215" s="63">
        <v>17</v>
      </c>
      <c r="E215" s="63">
        <v>17</v>
      </c>
      <c r="F215" s="63">
        <v>2</v>
      </c>
      <c r="G215" s="64">
        <f t="shared" si="12"/>
        <v>1</v>
      </c>
      <c r="H215" s="64">
        <f t="shared" si="13"/>
        <v>0.11764705882352941</v>
      </c>
      <c r="I215" s="63">
        <v>0</v>
      </c>
      <c r="J215" s="65"/>
      <c r="K215" s="65">
        <v>0</v>
      </c>
      <c r="L215" s="62" t="s">
        <v>826</v>
      </c>
      <c r="M215" s="63">
        <v>0</v>
      </c>
      <c r="N215" s="66">
        <f t="shared" si="14"/>
        <v>0</v>
      </c>
      <c r="O215" s="62" t="str">
        <f t="shared" si="15"/>
        <v>1: Critical (No DBWT + No Wk0)</v>
      </c>
    </row>
    <row r="216" spans="1:15" ht="15" customHeight="1" x14ac:dyDescent="0.4">
      <c r="A216" s="62" t="s">
        <v>824</v>
      </c>
      <c r="B216" s="62" t="s">
        <v>325</v>
      </c>
      <c r="C216" s="62" t="s">
        <v>825</v>
      </c>
      <c r="D216" s="63">
        <v>15</v>
      </c>
      <c r="E216" s="63">
        <v>12</v>
      </c>
      <c r="F216" s="63">
        <v>4</v>
      </c>
      <c r="G216" s="64">
        <f t="shared" si="12"/>
        <v>0.8</v>
      </c>
      <c r="H216" s="64">
        <f t="shared" si="13"/>
        <v>0.26666666666666666</v>
      </c>
      <c r="I216" s="63">
        <v>0</v>
      </c>
      <c r="J216" s="65"/>
      <c r="K216" s="65">
        <v>0.08</v>
      </c>
      <c r="L216" s="62" t="s">
        <v>826</v>
      </c>
      <c r="M216" s="63">
        <v>0</v>
      </c>
      <c r="N216" s="66">
        <f t="shared" si="14"/>
        <v>0</v>
      </c>
      <c r="O216" s="62" t="str">
        <f t="shared" si="15"/>
        <v>1: Critical (No DBWT + No Wk0)</v>
      </c>
    </row>
    <row r="217" spans="1:15" ht="15" customHeight="1" x14ac:dyDescent="0.4">
      <c r="A217" s="62" t="s">
        <v>824</v>
      </c>
      <c r="B217" s="62" t="s">
        <v>481</v>
      </c>
      <c r="C217" s="62" t="s">
        <v>825</v>
      </c>
      <c r="D217" s="63">
        <v>23</v>
      </c>
      <c r="E217" s="63">
        <v>22</v>
      </c>
      <c r="F217" s="63">
        <v>4</v>
      </c>
      <c r="G217" s="64">
        <f t="shared" si="12"/>
        <v>0.95652173913043481</v>
      </c>
      <c r="H217" s="64">
        <f t="shared" si="13"/>
        <v>0.17391304347826086</v>
      </c>
      <c r="I217" s="63">
        <v>2</v>
      </c>
      <c r="J217" s="65">
        <v>77.745900000000006</v>
      </c>
      <c r="K217" s="65">
        <v>38.229999999999997</v>
      </c>
      <c r="L217" s="62" t="s">
        <v>825</v>
      </c>
      <c r="M217" s="63">
        <v>0</v>
      </c>
      <c r="N217" s="66">
        <f t="shared" si="14"/>
        <v>0.59599999999999997</v>
      </c>
      <c r="O217" s="62" t="str">
        <f t="shared" si="15"/>
        <v>4: Engaged Early</v>
      </c>
    </row>
    <row r="218" spans="1:15" ht="15" customHeight="1" x14ac:dyDescent="0.4">
      <c r="A218" s="62" t="s">
        <v>824</v>
      </c>
      <c r="B218" s="62" t="s">
        <v>471</v>
      </c>
      <c r="C218" s="62" t="s">
        <v>825</v>
      </c>
      <c r="D218" s="63">
        <v>4</v>
      </c>
      <c r="E218" s="63">
        <v>4</v>
      </c>
      <c r="F218" s="63">
        <v>0</v>
      </c>
      <c r="G218" s="64">
        <f t="shared" si="12"/>
        <v>1</v>
      </c>
      <c r="H218" s="64">
        <f t="shared" si="13"/>
        <v>0</v>
      </c>
      <c r="I218" s="63">
        <v>1</v>
      </c>
      <c r="J218" s="65">
        <v>98.79</v>
      </c>
      <c r="K218" s="65">
        <v>12.5</v>
      </c>
      <c r="L218" s="62" t="s">
        <v>826</v>
      </c>
      <c r="M218" s="63">
        <v>0</v>
      </c>
      <c r="N218" s="66">
        <f t="shared" si="14"/>
        <v>0.223</v>
      </c>
      <c r="O218" s="62" t="str">
        <f t="shared" si="15"/>
        <v>2: High (No DBWT)</v>
      </c>
    </row>
    <row r="219" spans="1:15" ht="15" customHeight="1" x14ac:dyDescent="0.4">
      <c r="A219" s="62" t="s">
        <v>824</v>
      </c>
      <c r="B219" s="62" t="s">
        <v>497</v>
      </c>
      <c r="C219" s="62" t="s">
        <v>825</v>
      </c>
      <c r="D219" s="63">
        <v>7</v>
      </c>
      <c r="E219" s="63">
        <v>5</v>
      </c>
      <c r="F219" s="63">
        <v>0</v>
      </c>
      <c r="G219" s="64">
        <f t="shared" si="12"/>
        <v>0.7142857142857143</v>
      </c>
      <c r="H219" s="64">
        <f t="shared" si="13"/>
        <v>0</v>
      </c>
      <c r="I219" s="63">
        <v>0</v>
      </c>
      <c r="J219" s="65"/>
      <c r="K219" s="65">
        <v>4.3099999999999996</v>
      </c>
      <c r="L219" s="62" t="s">
        <v>826</v>
      </c>
      <c r="M219" s="63">
        <v>0</v>
      </c>
      <c r="N219" s="66">
        <f t="shared" si="14"/>
        <v>2.5999999999999999E-2</v>
      </c>
      <c r="O219" s="62" t="str">
        <f t="shared" si="15"/>
        <v>1: Critical (No DBWT + No Wk0)</v>
      </c>
    </row>
    <row r="220" spans="1:15" ht="15" customHeight="1" x14ac:dyDescent="0.4">
      <c r="A220" s="62" t="s">
        <v>824</v>
      </c>
      <c r="B220" s="62" t="s">
        <v>347</v>
      </c>
      <c r="C220" s="62" t="s">
        <v>825</v>
      </c>
      <c r="D220" s="63">
        <v>3</v>
      </c>
      <c r="E220" s="63">
        <v>3</v>
      </c>
      <c r="F220" s="63">
        <v>0</v>
      </c>
      <c r="G220" s="64">
        <f t="shared" si="12"/>
        <v>1</v>
      </c>
      <c r="H220" s="64">
        <f t="shared" si="13"/>
        <v>0</v>
      </c>
      <c r="I220" s="63">
        <v>1</v>
      </c>
      <c r="J220" s="65">
        <v>0.441299</v>
      </c>
      <c r="K220" s="65">
        <v>0.49</v>
      </c>
      <c r="L220" s="62" t="s">
        <v>826</v>
      </c>
      <c r="M220" s="63">
        <v>0</v>
      </c>
      <c r="N220" s="66">
        <f t="shared" si="14"/>
        <v>4.0000000000000001E-3</v>
      </c>
      <c r="O220" s="62" t="str">
        <f t="shared" si="15"/>
        <v>2: High (No DBWT)</v>
      </c>
    </row>
    <row r="221" spans="1:15" ht="15" customHeight="1" x14ac:dyDescent="0.4">
      <c r="A221" s="62" t="s">
        <v>824</v>
      </c>
      <c r="B221" s="62" t="s">
        <v>395</v>
      </c>
      <c r="C221" s="62" t="s">
        <v>825</v>
      </c>
      <c r="D221" s="63">
        <v>7</v>
      </c>
      <c r="E221" s="63">
        <v>5</v>
      </c>
      <c r="F221" s="63">
        <v>0</v>
      </c>
      <c r="G221" s="64">
        <f t="shared" si="12"/>
        <v>0.7142857142857143</v>
      </c>
      <c r="H221" s="64">
        <f t="shared" si="13"/>
        <v>0</v>
      </c>
      <c r="I221" s="63">
        <v>1</v>
      </c>
      <c r="J221" s="65">
        <v>86.55</v>
      </c>
      <c r="K221" s="65">
        <v>16.670000000000002</v>
      </c>
      <c r="L221" s="62" t="s">
        <v>826</v>
      </c>
      <c r="M221" s="63">
        <v>0</v>
      </c>
      <c r="N221" s="66">
        <f t="shared" si="14"/>
        <v>0.23</v>
      </c>
      <c r="O221" s="62" t="str">
        <f t="shared" si="15"/>
        <v>2: High (No DBWT)</v>
      </c>
    </row>
    <row r="222" spans="1:15" ht="15" customHeight="1" x14ac:dyDescent="0.4">
      <c r="A222" s="62" t="s">
        <v>824</v>
      </c>
      <c r="B222" s="62" t="s">
        <v>949</v>
      </c>
      <c r="C222" s="62" t="s">
        <v>826</v>
      </c>
      <c r="D222" s="63">
        <v>3</v>
      </c>
      <c r="E222" s="63">
        <v>2</v>
      </c>
      <c r="F222" s="63">
        <v>0</v>
      </c>
      <c r="G222" s="64">
        <f t="shared" si="12"/>
        <v>0.66666666666666663</v>
      </c>
      <c r="H222" s="64">
        <f t="shared" si="13"/>
        <v>0</v>
      </c>
      <c r="I222" s="63">
        <v>1</v>
      </c>
      <c r="J222" s="65">
        <v>75.06</v>
      </c>
      <c r="K222" s="65">
        <v>10.43</v>
      </c>
      <c r="L222" s="62" t="s">
        <v>826</v>
      </c>
      <c r="M222" s="63">
        <v>0</v>
      </c>
      <c r="N222" s="66">
        <f t="shared" si="14"/>
        <v>0.17499999999999999</v>
      </c>
      <c r="O222" s="62" t="str">
        <f t="shared" si="15"/>
        <v>2: High (No DBWT)</v>
      </c>
    </row>
    <row r="223" spans="1:15" ht="15" customHeight="1" x14ac:dyDescent="0.4">
      <c r="A223" s="62" t="s">
        <v>824</v>
      </c>
      <c r="B223" s="62" t="s">
        <v>264</v>
      </c>
      <c r="C223" s="62" t="s">
        <v>825</v>
      </c>
      <c r="D223" s="63">
        <v>7</v>
      </c>
      <c r="E223" s="63">
        <v>5</v>
      </c>
      <c r="F223" s="63">
        <v>0</v>
      </c>
      <c r="G223" s="64">
        <f t="shared" si="12"/>
        <v>0.7142857142857143</v>
      </c>
      <c r="H223" s="64">
        <f t="shared" si="13"/>
        <v>0</v>
      </c>
      <c r="I223" s="63">
        <v>0</v>
      </c>
      <c r="J223" s="65"/>
      <c r="K223" s="65">
        <v>0</v>
      </c>
      <c r="L223" s="62" t="s">
        <v>826</v>
      </c>
      <c r="M223" s="63">
        <v>0</v>
      </c>
      <c r="N223" s="66">
        <f t="shared" si="14"/>
        <v>0</v>
      </c>
      <c r="O223" s="62" t="str">
        <f t="shared" si="15"/>
        <v>1: Critical (No DBWT + No Wk0)</v>
      </c>
    </row>
    <row r="224" spans="1:15" ht="15" customHeight="1" x14ac:dyDescent="0.4">
      <c r="A224" s="62" t="s">
        <v>824</v>
      </c>
      <c r="B224" s="62" t="s">
        <v>690</v>
      </c>
      <c r="C224" s="62" t="s">
        <v>825</v>
      </c>
      <c r="D224" s="63">
        <v>13</v>
      </c>
      <c r="E224" s="63">
        <v>2</v>
      </c>
      <c r="F224" s="63">
        <v>0</v>
      </c>
      <c r="G224" s="64">
        <f t="shared" si="12"/>
        <v>0.15384615384615385</v>
      </c>
      <c r="H224" s="64">
        <f t="shared" si="13"/>
        <v>0</v>
      </c>
      <c r="I224" s="63">
        <v>0</v>
      </c>
      <c r="J224" s="65"/>
      <c r="K224" s="65">
        <v>0</v>
      </c>
      <c r="L224" s="62" t="s">
        <v>825</v>
      </c>
      <c r="M224" s="63">
        <v>0</v>
      </c>
      <c r="N224" s="66">
        <f t="shared" si="14"/>
        <v>0.25</v>
      </c>
      <c r="O224" s="62" t="str">
        <f t="shared" si="15"/>
        <v>3: Elevated (No Wk0)</v>
      </c>
    </row>
    <row r="225" spans="1:15" ht="15" customHeight="1" x14ac:dyDescent="0.4">
      <c r="A225" s="62" t="s">
        <v>824</v>
      </c>
      <c r="B225" s="62" t="s">
        <v>383</v>
      </c>
      <c r="C225" s="62" t="s">
        <v>825</v>
      </c>
      <c r="D225" s="63">
        <v>4</v>
      </c>
      <c r="E225" s="63">
        <v>3</v>
      </c>
      <c r="F225" s="63">
        <v>0</v>
      </c>
      <c r="G225" s="64">
        <f t="shared" si="12"/>
        <v>0.75</v>
      </c>
      <c r="H225" s="64">
        <f t="shared" si="13"/>
        <v>0</v>
      </c>
      <c r="I225" s="63">
        <v>1</v>
      </c>
      <c r="J225" s="65">
        <v>18.73</v>
      </c>
      <c r="K225" s="65">
        <v>5</v>
      </c>
      <c r="L225" s="62" t="s">
        <v>826</v>
      </c>
      <c r="M225" s="63">
        <v>0</v>
      </c>
      <c r="N225" s="66">
        <f t="shared" si="14"/>
        <v>5.8000000000000003E-2</v>
      </c>
      <c r="O225" s="62" t="str">
        <f t="shared" si="15"/>
        <v>2: High (No DBWT)</v>
      </c>
    </row>
    <row r="226" spans="1:15" ht="15" customHeight="1" x14ac:dyDescent="0.4">
      <c r="A226" s="62" t="s">
        <v>824</v>
      </c>
      <c r="B226" s="62" t="s">
        <v>950</v>
      </c>
      <c r="C226" s="62" t="s">
        <v>826</v>
      </c>
      <c r="D226" s="63">
        <v>13</v>
      </c>
      <c r="E226" s="63">
        <v>10</v>
      </c>
      <c r="F226" s="63">
        <v>0</v>
      </c>
      <c r="G226" s="64">
        <f t="shared" si="12"/>
        <v>0.76923076923076927</v>
      </c>
      <c r="H226" s="64">
        <f t="shared" si="13"/>
        <v>0</v>
      </c>
      <c r="I226" s="63">
        <v>0</v>
      </c>
      <c r="J226" s="65"/>
      <c r="K226" s="65">
        <v>26.56</v>
      </c>
      <c r="L226" s="62" t="s">
        <v>825</v>
      </c>
      <c r="M226" s="63">
        <v>0</v>
      </c>
      <c r="N226" s="66">
        <f t="shared" si="14"/>
        <v>0.40899999999999997</v>
      </c>
      <c r="O226" s="62" t="str">
        <f t="shared" si="15"/>
        <v>3: Elevated (No Wk0)</v>
      </c>
    </row>
    <row r="227" spans="1:15" ht="15" customHeight="1" x14ac:dyDescent="0.4">
      <c r="A227" s="62" t="s">
        <v>824</v>
      </c>
      <c r="B227" s="62" t="s">
        <v>951</v>
      </c>
      <c r="C227" s="62" t="s">
        <v>826</v>
      </c>
      <c r="D227" s="63">
        <v>20</v>
      </c>
      <c r="E227" s="63">
        <v>15</v>
      </c>
      <c r="F227" s="63">
        <v>6</v>
      </c>
      <c r="G227" s="64">
        <f t="shared" si="12"/>
        <v>0.75</v>
      </c>
      <c r="H227" s="64">
        <f t="shared" si="13"/>
        <v>0.3</v>
      </c>
      <c r="I227" s="63">
        <v>2</v>
      </c>
      <c r="J227" s="65">
        <v>99.97</v>
      </c>
      <c r="K227" s="65">
        <v>98.93</v>
      </c>
      <c r="L227" s="62" t="s">
        <v>825</v>
      </c>
      <c r="M227" s="63">
        <v>0</v>
      </c>
      <c r="N227" s="66">
        <f t="shared" si="14"/>
        <v>0.99399999999999999</v>
      </c>
      <c r="O227" s="62" t="str">
        <f t="shared" si="15"/>
        <v>4: Engaged Early</v>
      </c>
    </row>
    <row r="228" spans="1:15" ht="15" customHeight="1" x14ac:dyDescent="0.4">
      <c r="A228" s="62" t="s">
        <v>824</v>
      </c>
      <c r="B228" s="62" t="s">
        <v>952</v>
      </c>
      <c r="C228" s="62" t="s">
        <v>826</v>
      </c>
      <c r="D228" s="63">
        <v>5</v>
      </c>
      <c r="E228" s="63">
        <v>5</v>
      </c>
      <c r="F228" s="63">
        <v>0</v>
      </c>
      <c r="G228" s="64">
        <f t="shared" si="12"/>
        <v>1</v>
      </c>
      <c r="H228" s="64">
        <f t="shared" si="13"/>
        <v>0</v>
      </c>
      <c r="I228" s="63">
        <v>2</v>
      </c>
      <c r="J228" s="65">
        <v>82.931049999999999</v>
      </c>
      <c r="K228" s="65">
        <v>92.37</v>
      </c>
      <c r="L228" s="62" t="s">
        <v>826</v>
      </c>
      <c r="M228" s="63">
        <v>0</v>
      </c>
      <c r="N228" s="66">
        <f t="shared" si="14"/>
        <v>0.67900000000000005</v>
      </c>
      <c r="O228" s="62" t="str">
        <f t="shared" si="15"/>
        <v>2: High (No DBWT)</v>
      </c>
    </row>
    <row r="229" spans="1:15" ht="15" customHeight="1" x14ac:dyDescent="0.4">
      <c r="A229" s="62" t="s">
        <v>824</v>
      </c>
      <c r="B229" s="62" t="s">
        <v>953</v>
      </c>
      <c r="C229" s="62" t="s">
        <v>826</v>
      </c>
      <c r="D229" s="63">
        <v>4</v>
      </c>
      <c r="E229" s="63">
        <v>2</v>
      </c>
      <c r="F229" s="63">
        <v>1</v>
      </c>
      <c r="G229" s="64">
        <f t="shared" si="12"/>
        <v>0.5</v>
      </c>
      <c r="H229" s="64">
        <f t="shared" si="13"/>
        <v>0.25</v>
      </c>
      <c r="I229" s="63">
        <v>2</v>
      </c>
      <c r="J229" s="65">
        <v>66.276049999999998</v>
      </c>
      <c r="K229" s="65">
        <v>95.64</v>
      </c>
      <c r="L229" s="62" t="s">
        <v>825</v>
      </c>
      <c r="M229" s="63">
        <v>0</v>
      </c>
      <c r="N229" s="66">
        <f t="shared" si="14"/>
        <v>0.92300000000000004</v>
      </c>
      <c r="O229" s="62" t="str">
        <f t="shared" si="15"/>
        <v>4: Engaged Early</v>
      </c>
    </row>
    <row r="230" spans="1:15" ht="15" customHeight="1" x14ac:dyDescent="0.4">
      <c r="A230" s="62" t="s">
        <v>824</v>
      </c>
      <c r="B230" s="62" t="s">
        <v>954</v>
      </c>
      <c r="C230" s="62" t="s">
        <v>826</v>
      </c>
      <c r="D230" s="63">
        <v>18</v>
      </c>
      <c r="E230" s="63">
        <v>18</v>
      </c>
      <c r="F230" s="63">
        <v>3</v>
      </c>
      <c r="G230" s="64">
        <f t="shared" si="12"/>
        <v>1</v>
      </c>
      <c r="H230" s="64">
        <f t="shared" si="13"/>
        <v>0.16666666666666666</v>
      </c>
      <c r="I230" s="63">
        <v>2</v>
      </c>
      <c r="J230" s="65">
        <v>99.928749999999994</v>
      </c>
      <c r="K230" s="65">
        <v>100</v>
      </c>
      <c r="L230" s="62" t="s">
        <v>825</v>
      </c>
      <c r="M230" s="63">
        <v>0</v>
      </c>
      <c r="N230" s="66">
        <f t="shared" si="14"/>
        <v>1</v>
      </c>
      <c r="O230" s="62" t="str">
        <f t="shared" si="15"/>
        <v>4: Engaged Early</v>
      </c>
    </row>
    <row r="231" spans="1:15" ht="15" customHeight="1" x14ac:dyDescent="0.4">
      <c r="A231" s="62" t="s">
        <v>824</v>
      </c>
      <c r="B231" s="62" t="s">
        <v>955</v>
      </c>
      <c r="C231" s="62" t="s">
        <v>826</v>
      </c>
      <c r="D231" s="63">
        <v>0</v>
      </c>
      <c r="E231" s="63">
        <v>0</v>
      </c>
      <c r="F231" s="63">
        <v>0</v>
      </c>
      <c r="G231" s="64">
        <f t="shared" si="12"/>
        <v>0</v>
      </c>
      <c r="H231" s="64">
        <f t="shared" si="13"/>
        <v>0</v>
      </c>
      <c r="I231" s="63">
        <v>0</v>
      </c>
      <c r="J231" s="65"/>
      <c r="K231" s="65">
        <v>58.33</v>
      </c>
      <c r="L231" s="62" t="s">
        <v>840</v>
      </c>
      <c r="M231" s="63">
        <v>0</v>
      </c>
      <c r="N231" s="66">
        <f t="shared" si="14"/>
        <v>0.42499999999999999</v>
      </c>
      <c r="O231" s="62" t="str">
        <f t="shared" si="15"/>
        <v>3: Elevated (No Wk0)</v>
      </c>
    </row>
    <row r="232" spans="1:15" ht="15" customHeight="1" x14ac:dyDescent="0.4">
      <c r="A232" s="62" t="s">
        <v>824</v>
      </c>
      <c r="B232" s="62" t="s">
        <v>364</v>
      </c>
      <c r="C232" s="62" t="s">
        <v>825</v>
      </c>
      <c r="D232" s="63">
        <v>16</v>
      </c>
      <c r="E232" s="63">
        <v>14</v>
      </c>
      <c r="F232" s="63">
        <v>1</v>
      </c>
      <c r="G232" s="64">
        <f t="shared" si="12"/>
        <v>0.875</v>
      </c>
      <c r="H232" s="64">
        <f t="shared" si="13"/>
        <v>6.25E-2</v>
      </c>
      <c r="I232" s="63">
        <v>1</v>
      </c>
      <c r="J232" s="65">
        <v>22.75</v>
      </c>
      <c r="K232" s="65">
        <v>5.69</v>
      </c>
      <c r="L232" s="62" t="s">
        <v>825</v>
      </c>
      <c r="M232" s="63">
        <v>0</v>
      </c>
      <c r="N232" s="66">
        <f t="shared" si="14"/>
        <v>0.318</v>
      </c>
      <c r="O232" s="62" t="str">
        <f t="shared" si="15"/>
        <v>4: Engaged Early</v>
      </c>
    </row>
    <row r="233" spans="1:15" ht="15" customHeight="1" x14ac:dyDescent="0.4">
      <c r="A233" s="62" t="s">
        <v>824</v>
      </c>
      <c r="B233" s="62" t="s">
        <v>956</v>
      </c>
      <c r="C233" s="62" t="s">
        <v>826</v>
      </c>
      <c r="D233" s="63">
        <v>20</v>
      </c>
      <c r="E233" s="63">
        <v>17</v>
      </c>
      <c r="F233" s="63">
        <v>1</v>
      </c>
      <c r="G233" s="64">
        <f t="shared" si="12"/>
        <v>0.85</v>
      </c>
      <c r="H233" s="64">
        <f t="shared" si="13"/>
        <v>0.05</v>
      </c>
      <c r="I233" s="63">
        <v>2</v>
      </c>
      <c r="J233" s="65">
        <v>76.773949999999999</v>
      </c>
      <c r="K233" s="65">
        <v>96.52</v>
      </c>
      <c r="L233" s="62" t="s">
        <v>825</v>
      </c>
      <c r="M233" s="63">
        <v>0</v>
      </c>
      <c r="N233" s="66">
        <f t="shared" si="14"/>
        <v>0.94399999999999995</v>
      </c>
      <c r="O233" s="62" t="str">
        <f t="shared" si="15"/>
        <v>4: Engaged Early</v>
      </c>
    </row>
    <row r="234" spans="1:15" ht="15" customHeight="1" x14ac:dyDescent="0.4">
      <c r="A234" s="62" t="s">
        <v>824</v>
      </c>
      <c r="B234" s="62" t="s">
        <v>307</v>
      </c>
      <c r="C234" s="62" t="s">
        <v>825</v>
      </c>
      <c r="D234" s="63">
        <v>25</v>
      </c>
      <c r="E234" s="63">
        <v>14</v>
      </c>
      <c r="F234" s="63">
        <v>0</v>
      </c>
      <c r="G234" s="64">
        <f t="shared" si="12"/>
        <v>0.56000000000000005</v>
      </c>
      <c r="H234" s="64">
        <f t="shared" si="13"/>
        <v>0</v>
      </c>
      <c r="I234" s="63">
        <v>0</v>
      </c>
      <c r="J234" s="65"/>
      <c r="K234" s="65">
        <v>0</v>
      </c>
      <c r="L234" s="62" t="s">
        <v>826</v>
      </c>
      <c r="M234" s="63">
        <v>0</v>
      </c>
      <c r="N234" s="66">
        <f t="shared" si="14"/>
        <v>0</v>
      </c>
      <c r="O234" s="62" t="str">
        <f t="shared" si="15"/>
        <v>1: Critical (No DBWT + No Wk0)</v>
      </c>
    </row>
    <row r="235" spans="1:15" ht="15" customHeight="1" x14ac:dyDescent="0.4">
      <c r="A235" s="62" t="s">
        <v>824</v>
      </c>
      <c r="B235" s="62" t="s">
        <v>957</v>
      </c>
      <c r="C235" s="62" t="s">
        <v>826</v>
      </c>
      <c r="D235" s="63">
        <v>13</v>
      </c>
      <c r="E235" s="63">
        <v>9</v>
      </c>
      <c r="F235" s="63">
        <v>1</v>
      </c>
      <c r="G235" s="64">
        <f t="shared" si="12"/>
        <v>0.69230769230769229</v>
      </c>
      <c r="H235" s="64">
        <f t="shared" si="13"/>
        <v>7.6923076923076927E-2</v>
      </c>
      <c r="I235" s="63">
        <v>2</v>
      </c>
      <c r="J235" s="65">
        <v>92.9739</v>
      </c>
      <c r="K235" s="65">
        <v>91.93</v>
      </c>
      <c r="L235" s="62" t="s">
        <v>825</v>
      </c>
      <c r="M235" s="63">
        <v>0</v>
      </c>
      <c r="N235" s="66">
        <f t="shared" si="14"/>
        <v>0.94099999999999995</v>
      </c>
      <c r="O235" s="62" t="str">
        <f t="shared" si="15"/>
        <v>4: Engaged Early</v>
      </c>
    </row>
    <row r="236" spans="1:15" ht="15" customHeight="1" x14ac:dyDescent="0.4">
      <c r="A236" s="62" t="s">
        <v>824</v>
      </c>
      <c r="B236" s="62" t="s">
        <v>958</v>
      </c>
      <c r="C236" s="62" t="s">
        <v>826</v>
      </c>
      <c r="D236" s="63">
        <v>17</v>
      </c>
      <c r="E236" s="63">
        <v>0</v>
      </c>
      <c r="F236" s="63">
        <v>3</v>
      </c>
      <c r="G236" s="64">
        <f t="shared" si="12"/>
        <v>0</v>
      </c>
      <c r="H236" s="64">
        <f t="shared" si="13"/>
        <v>0.17647058823529413</v>
      </c>
      <c r="I236" s="63">
        <v>2</v>
      </c>
      <c r="J236" s="65">
        <v>88.906000000000006</v>
      </c>
      <c r="K236" s="65">
        <v>50.27</v>
      </c>
      <c r="L236" s="62" t="s">
        <v>825</v>
      </c>
      <c r="M236" s="63">
        <v>0</v>
      </c>
      <c r="N236" s="66">
        <f t="shared" si="14"/>
        <v>0.68500000000000005</v>
      </c>
      <c r="O236" s="62" t="str">
        <f t="shared" si="15"/>
        <v>4: Engaged Early</v>
      </c>
    </row>
    <row r="237" spans="1:15" ht="15" customHeight="1" x14ac:dyDescent="0.4">
      <c r="A237" s="62" t="s">
        <v>824</v>
      </c>
      <c r="B237" s="62" t="s">
        <v>959</v>
      </c>
      <c r="C237" s="62" t="s">
        <v>826</v>
      </c>
      <c r="D237" s="63">
        <v>8</v>
      </c>
      <c r="E237" s="63">
        <v>7</v>
      </c>
      <c r="F237" s="63">
        <v>3</v>
      </c>
      <c r="G237" s="64">
        <f t="shared" si="12"/>
        <v>0.875</v>
      </c>
      <c r="H237" s="64">
        <f t="shared" si="13"/>
        <v>0.375</v>
      </c>
      <c r="I237" s="63">
        <v>2</v>
      </c>
      <c r="J237" s="65">
        <v>91.178550000000001</v>
      </c>
      <c r="K237" s="65">
        <v>71.13</v>
      </c>
      <c r="L237" s="62" t="s">
        <v>825</v>
      </c>
      <c r="M237" s="63">
        <v>1</v>
      </c>
      <c r="N237" s="66">
        <f t="shared" si="14"/>
        <v>0.81399999999999995</v>
      </c>
      <c r="O237" s="62" t="str">
        <f t="shared" si="15"/>
        <v>4: Engaged Early</v>
      </c>
    </row>
    <row r="238" spans="1:15" ht="15" customHeight="1" x14ac:dyDescent="0.4">
      <c r="A238" s="62" t="s">
        <v>824</v>
      </c>
      <c r="B238" s="62" t="s">
        <v>355</v>
      </c>
      <c r="C238" s="62" t="s">
        <v>825</v>
      </c>
      <c r="D238" s="63">
        <v>17</v>
      </c>
      <c r="E238" s="63">
        <v>11</v>
      </c>
      <c r="F238" s="63">
        <v>2</v>
      </c>
      <c r="G238" s="64">
        <f t="shared" si="12"/>
        <v>0.6470588235294118</v>
      </c>
      <c r="H238" s="64">
        <f t="shared" si="13"/>
        <v>0.11764705882352941</v>
      </c>
      <c r="I238" s="63">
        <v>0</v>
      </c>
      <c r="J238" s="65"/>
      <c r="K238" s="65">
        <v>0</v>
      </c>
      <c r="L238" s="62" t="s">
        <v>825</v>
      </c>
      <c r="M238" s="63">
        <v>0</v>
      </c>
      <c r="N238" s="66">
        <f t="shared" si="14"/>
        <v>0.25</v>
      </c>
      <c r="O238" s="62" t="str">
        <f t="shared" si="15"/>
        <v>3: Elevated (No Wk0)</v>
      </c>
    </row>
    <row r="239" spans="1:15" ht="15" customHeight="1" x14ac:dyDescent="0.4">
      <c r="A239" s="62" t="s">
        <v>824</v>
      </c>
      <c r="B239" s="62" t="s">
        <v>960</v>
      </c>
      <c r="C239" s="62" t="s">
        <v>826</v>
      </c>
      <c r="D239" s="63">
        <v>12</v>
      </c>
      <c r="E239" s="63">
        <v>3</v>
      </c>
      <c r="F239" s="63">
        <v>2</v>
      </c>
      <c r="G239" s="64">
        <f t="shared" si="12"/>
        <v>0.25</v>
      </c>
      <c r="H239" s="64">
        <f t="shared" si="13"/>
        <v>0.16666666666666666</v>
      </c>
      <c r="I239" s="63">
        <v>2</v>
      </c>
      <c r="J239" s="65">
        <v>86.58475</v>
      </c>
      <c r="K239" s="65">
        <v>100</v>
      </c>
      <c r="L239" s="62" t="s">
        <v>825</v>
      </c>
      <c r="M239" s="63">
        <v>1</v>
      </c>
      <c r="N239" s="66">
        <f t="shared" si="14"/>
        <v>0.98</v>
      </c>
      <c r="O239" s="62" t="str">
        <f t="shared" si="15"/>
        <v>4: Engaged Early</v>
      </c>
    </row>
    <row r="240" spans="1:15" ht="15" customHeight="1" x14ac:dyDescent="0.4">
      <c r="A240" s="62" t="s">
        <v>824</v>
      </c>
      <c r="B240" s="62" t="s">
        <v>734</v>
      </c>
      <c r="C240" s="62" t="s">
        <v>825</v>
      </c>
      <c r="D240" s="63">
        <v>13</v>
      </c>
      <c r="E240" s="63">
        <v>13</v>
      </c>
      <c r="F240" s="63">
        <v>1</v>
      </c>
      <c r="G240" s="64">
        <f t="shared" si="12"/>
        <v>1</v>
      </c>
      <c r="H240" s="64">
        <f t="shared" si="13"/>
        <v>7.6923076923076927E-2</v>
      </c>
      <c r="I240" s="63">
        <v>2</v>
      </c>
      <c r="J240" s="65">
        <v>97.896299999999997</v>
      </c>
      <c r="K240" s="65">
        <v>56.53</v>
      </c>
      <c r="L240" s="62" t="s">
        <v>825</v>
      </c>
      <c r="M240" s="63">
        <v>0</v>
      </c>
      <c r="N240" s="66">
        <f t="shared" si="14"/>
        <v>0.73599999999999999</v>
      </c>
      <c r="O240" s="62" t="str">
        <f t="shared" si="15"/>
        <v>4: Engaged Early</v>
      </c>
    </row>
    <row r="241" spans="1:15" ht="15" customHeight="1" x14ac:dyDescent="0.4">
      <c r="A241" s="62" t="s">
        <v>824</v>
      </c>
      <c r="B241" s="62" t="s">
        <v>961</v>
      </c>
      <c r="C241" s="62" t="s">
        <v>826</v>
      </c>
      <c r="D241" s="63">
        <v>13</v>
      </c>
      <c r="E241" s="63">
        <v>4</v>
      </c>
      <c r="F241" s="63">
        <v>0</v>
      </c>
      <c r="G241" s="64">
        <f t="shared" si="12"/>
        <v>0.30769230769230771</v>
      </c>
      <c r="H241" s="64">
        <f t="shared" si="13"/>
        <v>0</v>
      </c>
      <c r="I241" s="63">
        <v>2</v>
      </c>
      <c r="J241" s="65">
        <v>64.858649999999997</v>
      </c>
      <c r="K241" s="65">
        <v>59.71</v>
      </c>
      <c r="L241" s="62" t="s">
        <v>825</v>
      </c>
      <c r="M241" s="63">
        <v>0</v>
      </c>
      <c r="N241" s="66">
        <f t="shared" si="14"/>
        <v>0.70599999999999996</v>
      </c>
      <c r="O241" s="62" t="str">
        <f t="shared" si="15"/>
        <v>4: Engaged Early</v>
      </c>
    </row>
    <row r="242" spans="1:15" ht="15" customHeight="1" x14ac:dyDescent="0.4">
      <c r="A242" s="62" t="s">
        <v>824</v>
      </c>
      <c r="B242" s="62" t="s">
        <v>962</v>
      </c>
      <c r="C242" s="62" t="s">
        <v>826</v>
      </c>
      <c r="D242" s="63">
        <v>0</v>
      </c>
      <c r="E242" s="63">
        <v>0</v>
      </c>
      <c r="F242" s="63">
        <v>0</v>
      </c>
      <c r="G242" s="64">
        <f t="shared" si="12"/>
        <v>0</v>
      </c>
      <c r="H242" s="64">
        <f t="shared" si="13"/>
        <v>0</v>
      </c>
      <c r="I242" s="63">
        <v>0</v>
      </c>
      <c r="J242" s="65"/>
      <c r="K242" s="65">
        <v>24.48</v>
      </c>
      <c r="L242" s="62" t="s">
        <v>840</v>
      </c>
      <c r="M242" s="63">
        <v>0</v>
      </c>
      <c r="N242" s="66">
        <f t="shared" si="14"/>
        <v>0.222</v>
      </c>
      <c r="O242" s="62" t="str">
        <f t="shared" si="15"/>
        <v>3: Elevated (No Wk0)</v>
      </c>
    </row>
    <row r="243" spans="1:15" ht="15" customHeight="1" x14ac:dyDescent="0.4">
      <c r="A243" s="62" t="s">
        <v>824</v>
      </c>
      <c r="B243" s="62" t="s">
        <v>963</v>
      </c>
      <c r="C243" s="62" t="s">
        <v>826</v>
      </c>
      <c r="D243" s="63">
        <v>5</v>
      </c>
      <c r="E243" s="63">
        <v>5</v>
      </c>
      <c r="F243" s="63">
        <v>1</v>
      </c>
      <c r="G243" s="64">
        <f t="shared" si="12"/>
        <v>1</v>
      </c>
      <c r="H243" s="64">
        <f t="shared" si="13"/>
        <v>0.2</v>
      </c>
      <c r="I243" s="63">
        <v>2</v>
      </c>
      <c r="J243" s="65">
        <v>89.593800000000002</v>
      </c>
      <c r="K243" s="65">
        <v>100</v>
      </c>
      <c r="L243" s="62" t="s">
        <v>825</v>
      </c>
      <c r="M243" s="63">
        <v>0</v>
      </c>
      <c r="N243" s="66">
        <f t="shared" si="14"/>
        <v>0.98399999999999999</v>
      </c>
      <c r="O243" s="62" t="str">
        <f t="shared" si="15"/>
        <v>4: Engaged Early</v>
      </c>
    </row>
    <row r="244" spans="1:15" ht="15" customHeight="1" x14ac:dyDescent="0.4">
      <c r="A244" s="62" t="s">
        <v>824</v>
      </c>
      <c r="B244" s="62" t="s">
        <v>698</v>
      </c>
      <c r="C244" s="62" t="s">
        <v>825</v>
      </c>
      <c r="D244" s="63">
        <v>5</v>
      </c>
      <c r="E244" s="63">
        <v>4</v>
      </c>
      <c r="F244" s="63">
        <v>0</v>
      </c>
      <c r="G244" s="64">
        <f t="shared" si="12"/>
        <v>0.8</v>
      </c>
      <c r="H244" s="64">
        <f t="shared" si="13"/>
        <v>0</v>
      </c>
      <c r="I244" s="63">
        <v>2</v>
      </c>
      <c r="J244" s="65">
        <v>70.514200000000002</v>
      </c>
      <c r="K244" s="65">
        <v>24.85</v>
      </c>
      <c r="L244" s="62" t="s">
        <v>825</v>
      </c>
      <c r="M244" s="63">
        <v>3</v>
      </c>
      <c r="N244" s="66">
        <f t="shared" si="14"/>
        <v>0.505</v>
      </c>
      <c r="O244" s="62" t="str">
        <f t="shared" si="15"/>
        <v>4: Engaged Early</v>
      </c>
    </row>
    <row r="245" spans="1:15" ht="15" customHeight="1" x14ac:dyDescent="0.4">
      <c r="A245" s="62" t="s">
        <v>824</v>
      </c>
      <c r="B245" s="62" t="s">
        <v>964</v>
      </c>
      <c r="C245" s="62" t="s">
        <v>826</v>
      </c>
      <c r="D245" s="63">
        <v>8</v>
      </c>
      <c r="E245" s="63">
        <v>1</v>
      </c>
      <c r="F245" s="63">
        <v>0</v>
      </c>
      <c r="G245" s="64">
        <f t="shared" si="12"/>
        <v>0.125</v>
      </c>
      <c r="H245" s="64">
        <f t="shared" si="13"/>
        <v>0</v>
      </c>
      <c r="I245" s="63">
        <v>2</v>
      </c>
      <c r="J245" s="65">
        <v>99.467799999999997</v>
      </c>
      <c r="K245" s="65">
        <v>100</v>
      </c>
      <c r="L245" s="62" t="s">
        <v>825</v>
      </c>
      <c r="M245" s="63">
        <v>0</v>
      </c>
      <c r="N245" s="66">
        <f t="shared" si="14"/>
        <v>0.999</v>
      </c>
      <c r="O245" s="62" t="str">
        <f t="shared" si="15"/>
        <v>4: Engaged Early</v>
      </c>
    </row>
    <row r="246" spans="1:15" ht="15" customHeight="1" x14ac:dyDescent="0.4">
      <c r="A246" s="62" t="s">
        <v>824</v>
      </c>
      <c r="B246" s="62" t="s">
        <v>327</v>
      </c>
      <c r="C246" s="62" t="s">
        <v>825</v>
      </c>
      <c r="D246" s="63">
        <v>7</v>
      </c>
      <c r="E246" s="63">
        <v>6</v>
      </c>
      <c r="F246" s="63">
        <v>0</v>
      </c>
      <c r="G246" s="64">
        <f t="shared" si="12"/>
        <v>0.8571428571428571</v>
      </c>
      <c r="H246" s="64">
        <f t="shared" si="13"/>
        <v>0</v>
      </c>
      <c r="I246" s="63">
        <v>0</v>
      </c>
      <c r="J246" s="65"/>
      <c r="K246" s="65">
        <v>0</v>
      </c>
      <c r="L246" s="62" t="s">
        <v>826</v>
      </c>
      <c r="M246" s="63">
        <v>0</v>
      </c>
      <c r="N246" s="66">
        <f t="shared" si="14"/>
        <v>0</v>
      </c>
      <c r="O246" s="62" t="str">
        <f t="shared" si="15"/>
        <v>1: Critical (No DBWT + No Wk0)</v>
      </c>
    </row>
    <row r="247" spans="1:15" ht="15" customHeight="1" x14ac:dyDescent="0.4">
      <c r="A247" s="62" t="s">
        <v>824</v>
      </c>
      <c r="B247" s="62" t="s">
        <v>507</v>
      </c>
      <c r="C247" s="62" t="s">
        <v>825</v>
      </c>
      <c r="D247" s="63">
        <v>13</v>
      </c>
      <c r="E247" s="63">
        <v>0</v>
      </c>
      <c r="F247" s="63">
        <v>1</v>
      </c>
      <c r="G247" s="64">
        <f t="shared" si="12"/>
        <v>0</v>
      </c>
      <c r="H247" s="64">
        <f t="shared" si="13"/>
        <v>7.6923076923076927E-2</v>
      </c>
      <c r="I247" s="63">
        <v>0</v>
      </c>
      <c r="J247" s="65"/>
      <c r="K247" s="65">
        <v>0</v>
      </c>
      <c r="L247" s="62" t="s">
        <v>826</v>
      </c>
      <c r="M247" s="63">
        <v>0</v>
      </c>
      <c r="N247" s="66">
        <f t="shared" si="14"/>
        <v>0</v>
      </c>
      <c r="O247" s="62" t="str">
        <f t="shared" si="15"/>
        <v>1: Critical (No DBWT + No Wk0)</v>
      </c>
    </row>
    <row r="248" spans="1:15" ht="15" customHeight="1" x14ac:dyDescent="0.4">
      <c r="A248" s="62" t="s">
        <v>824</v>
      </c>
      <c r="B248" s="62" t="s">
        <v>553</v>
      </c>
      <c r="C248" s="62" t="s">
        <v>825</v>
      </c>
      <c r="D248" s="63">
        <v>10</v>
      </c>
      <c r="E248" s="63">
        <v>9</v>
      </c>
      <c r="F248" s="63">
        <v>0</v>
      </c>
      <c r="G248" s="64">
        <f t="shared" si="12"/>
        <v>0.9</v>
      </c>
      <c r="H248" s="64">
        <f t="shared" si="13"/>
        <v>0</v>
      </c>
      <c r="I248" s="63">
        <v>0</v>
      </c>
      <c r="J248" s="65"/>
      <c r="K248" s="65">
        <v>0</v>
      </c>
      <c r="L248" s="62" t="s">
        <v>826</v>
      </c>
      <c r="M248" s="63">
        <v>0</v>
      </c>
      <c r="N248" s="66">
        <f t="shared" si="14"/>
        <v>0</v>
      </c>
      <c r="O248" s="62" t="str">
        <f t="shared" si="15"/>
        <v>1: Critical (No DBWT + No Wk0)</v>
      </c>
    </row>
    <row r="249" spans="1:15" ht="15" customHeight="1" x14ac:dyDescent="0.4">
      <c r="A249" s="62" t="s">
        <v>824</v>
      </c>
      <c r="B249" s="62" t="s">
        <v>489</v>
      </c>
      <c r="C249" s="62" t="s">
        <v>825</v>
      </c>
      <c r="D249" s="63">
        <v>10</v>
      </c>
      <c r="E249" s="63">
        <v>9</v>
      </c>
      <c r="F249" s="63">
        <v>0</v>
      </c>
      <c r="G249" s="64">
        <f t="shared" si="12"/>
        <v>0.9</v>
      </c>
      <c r="H249" s="64">
        <f t="shared" si="13"/>
        <v>0</v>
      </c>
      <c r="I249" s="63">
        <v>1</v>
      </c>
      <c r="J249" s="65">
        <v>68.48</v>
      </c>
      <c r="K249" s="65">
        <v>14.27</v>
      </c>
      <c r="L249" s="62" t="s">
        <v>826</v>
      </c>
      <c r="M249" s="63">
        <v>0</v>
      </c>
      <c r="N249" s="66">
        <f t="shared" si="14"/>
        <v>0.188</v>
      </c>
      <c r="O249" s="62" t="str">
        <f t="shared" si="15"/>
        <v>2: High (No DBWT)</v>
      </c>
    </row>
    <row r="250" spans="1:15" ht="15" customHeight="1" x14ac:dyDescent="0.4">
      <c r="A250" s="62" t="s">
        <v>824</v>
      </c>
      <c r="B250" s="62" t="s">
        <v>609</v>
      </c>
      <c r="C250" s="62" t="s">
        <v>825</v>
      </c>
      <c r="D250" s="63">
        <v>14</v>
      </c>
      <c r="E250" s="63">
        <v>1</v>
      </c>
      <c r="F250" s="63">
        <v>0</v>
      </c>
      <c r="G250" s="64">
        <f t="shared" si="12"/>
        <v>7.1428571428571425E-2</v>
      </c>
      <c r="H250" s="64">
        <f t="shared" si="13"/>
        <v>0</v>
      </c>
      <c r="I250" s="63">
        <v>0</v>
      </c>
      <c r="J250" s="65"/>
      <c r="K250" s="65">
        <v>0</v>
      </c>
      <c r="L250" s="62" t="s">
        <v>825</v>
      </c>
      <c r="M250" s="63">
        <v>2</v>
      </c>
      <c r="N250" s="66">
        <f t="shared" si="14"/>
        <v>0.25</v>
      </c>
      <c r="O250" s="62" t="str">
        <f t="shared" si="15"/>
        <v>3: Elevated (No Wk0)</v>
      </c>
    </row>
    <row r="251" spans="1:15" ht="15" customHeight="1" x14ac:dyDescent="0.4">
      <c r="A251" s="62" t="s">
        <v>824</v>
      </c>
      <c r="B251" s="62" t="s">
        <v>547</v>
      </c>
      <c r="C251" s="62" t="s">
        <v>825</v>
      </c>
      <c r="D251" s="63">
        <v>13</v>
      </c>
      <c r="E251" s="63">
        <v>12</v>
      </c>
      <c r="F251" s="63">
        <v>1</v>
      </c>
      <c r="G251" s="64">
        <f t="shared" si="12"/>
        <v>0.92307692307692313</v>
      </c>
      <c r="H251" s="64">
        <f t="shared" si="13"/>
        <v>7.6923076923076927E-2</v>
      </c>
      <c r="I251" s="63">
        <v>0</v>
      </c>
      <c r="J251" s="65"/>
      <c r="K251" s="65">
        <v>2.36</v>
      </c>
      <c r="L251" s="62" t="s">
        <v>825</v>
      </c>
      <c r="M251" s="63">
        <v>0</v>
      </c>
      <c r="N251" s="66">
        <f t="shared" si="14"/>
        <v>0.26400000000000001</v>
      </c>
      <c r="O251" s="62" t="str">
        <f t="shared" si="15"/>
        <v>3: Elevated (No Wk0)</v>
      </c>
    </row>
    <row r="252" spans="1:15" ht="15" customHeight="1" x14ac:dyDescent="0.4">
      <c r="A252" s="62" t="s">
        <v>824</v>
      </c>
      <c r="B252" s="62" t="s">
        <v>965</v>
      </c>
      <c r="C252" s="62" t="s">
        <v>826</v>
      </c>
      <c r="D252" s="63">
        <v>12</v>
      </c>
      <c r="E252" s="63">
        <v>10</v>
      </c>
      <c r="F252" s="63">
        <v>1</v>
      </c>
      <c r="G252" s="64">
        <f t="shared" si="12"/>
        <v>0.83333333333333337</v>
      </c>
      <c r="H252" s="64">
        <f t="shared" si="13"/>
        <v>8.3333333333333329E-2</v>
      </c>
      <c r="I252" s="63">
        <v>1</v>
      </c>
      <c r="J252" s="65">
        <v>95.353300000000004</v>
      </c>
      <c r="K252" s="65">
        <v>11.99</v>
      </c>
      <c r="L252" s="62" t="s">
        <v>825</v>
      </c>
      <c r="M252" s="63">
        <v>0</v>
      </c>
      <c r="N252" s="66">
        <f t="shared" si="14"/>
        <v>0.46500000000000002</v>
      </c>
      <c r="O252" s="62" t="str">
        <f t="shared" si="15"/>
        <v>4: Engaged Early</v>
      </c>
    </row>
    <row r="253" spans="1:15" ht="15" customHeight="1" x14ac:dyDescent="0.4">
      <c r="A253" s="62" t="s">
        <v>824</v>
      </c>
      <c r="B253" s="62" t="s">
        <v>966</v>
      </c>
      <c r="C253" s="62" t="s">
        <v>826</v>
      </c>
      <c r="D253" s="63">
        <v>8</v>
      </c>
      <c r="E253" s="63">
        <v>1</v>
      </c>
      <c r="F253" s="63">
        <v>0</v>
      </c>
      <c r="G253" s="64">
        <f t="shared" si="12"/>
        <v>0.125</v>
      </c>
      <c r="H253" s="64">
        <f t="shared" si="13"/>
        <v>0</v>
      </c>
      <c r="I253" s="63">
        <v>2</v>
      </c>
      <c r="J253" s="65">
        <v>13.6225</v>
      </c>
      <c r="K253" s="65">
        <v>5.78</v>
      </c>
      <c r="L253" s="62" t="s">
        <v>825</v>
      </c>
      <c r="M253" s="63">
        <v>0</v>
      </c>
      <c r="N253" s="66">
        <f t="shared" si="14"/>
        <v>0.30499999999999999</v>
      </c>
      <c r="O253" s="62" t="str">
        <f t="shared" si="15"/>
        <v>4: Engaged Early</v>
      </c>
    </row>
    <row r="254" spans="1:15" ht="15" customHeight="1" x14ac:dyDescent="0.4">
      <c r="A254" s="62" t="s">
        <v>824</v>
      </c>
      <c r="B254" s="62" t="s">
        <v>615</v>
      </c>
      <c r="C254" s="62" t="s">
        <v>825</v>
      </c>
      <c r="D254" s="63">
        <v>17</v>
      </c>
      <c r="E254" s="63">
        <v>5</v>
      </c>
      <c r="F254" s="63">
        <v>0</v>
      </c>
      <c r="G254" s="64">
        <f t="shared" si="12"/>
        <v>0.29411764705882354</v>
      </c>
      <c r="H254" s="64">
        <f t="shared" si="13"/>
        <v>0</v>
      </c>
      <c r="I254" s="63">
        <v>0</v>
      </c>
      <c r="J254" s="65"/>
      <c r="K254" s="65">
        <v>0</v>
      </c>
      <c r="L254" s="62" t="s">
        <v>825</v>
      </c>
      <c r="M254" s="63">
        <v>0</v>
      </c>
      <c r="N254" s="66">
        <f t="shared" si="14"/>
        <v>0.25</v>
      </c>
      <c r="O254" s="62" t="str">
        <f t="shared" si="15"/>
        <v>3: Elevated (No Wk0)</v>
      </c>
    </row>
    <row r="255" spans="1:15" ht="15" customHeight="1" x14ac:dyDescent="0.4">
      <c r="A255" s="62" t="s">
        <v>824</v>
      </c>
      <c r="B255" s="62" t="s">
        <v>967</v>
      </c>
      <c r="C255" s="62" t="s">
        <v>826</v>
      </c>
      <c r="D255" s="63">
        <v>0</v>
      </c>
      <c r="E255" s="63">
        <v>0</v>
      </c>
      <c r="F255" s="63">
        <v>0</v>
      </c>
      <c r="G255" s="64">
        <f t="shared" si="12"/>
        <v>0</v>
      </c>
      <c r="H255" s="64">
        <f t="shared" si="13"/>
        <v>0</v>
      </c>
      <c r="I255" s="63">
        <v>1</v>
      </c>
      <c r="J255" s="65">
        <v>93.014200000000002</v>
      </c>
      <c r="K255" s="65">
        <v>22.22</v>
      </c>
      <c r="L255" s="62" t="s">
        <v>840</v>
      </c>
      <c r="M255" s="63">
        <v>0</v>
      </c>
      <c r="N255" s="66">
        <f t="shared" si="14"/>
        <v>0.34799999999999998</v>
      </c>
      <c r="O255" s="62" t="str">
        <f t="shared" si="15"/>
        <v>4: Engaged Early</v>
      </c>
    </row>
    <row r="256" spans="1:15" ht="15" customHeight="1" x14ac:dyDescent="0.4">
      <c r="A256" s="62" t="s">
        <v>824</v>
      </c>
      <c r="B256" s="62" t="s">
        <v>420</v>
      </c>
      <c r="C256" s="62" t="s">
        <v>825</v>
      </c>
      <c r="D256" s="63">
        <v>8</v>
      </c>
      <c r="E256" s="63">
        <v>5</v>
      </c>
      <c r="F256" s="63">
        <v>2</v>
      </c>
      <c r="G256" s="64">
        <f t="shared" si="12"/>
        <v>0.625</v>
      </c>
      <c r="H256" s="64">
        <f t="shared" si="13"/>
        <v>0.25</v>
      </c>
      <c r="I256" s="63">
        <v>1</v>
      </c>
      <c r="J256" s="65">
        <v>94.4</v>
      </c>
      <c r="K256" s="65">
        <v>20</v>
      </c>
      <c r="L256" s="62" t="s">
        <v>826</v>
      </c>
      <c r="M256" s="63">
        <v>0</v>
      </c>
      <c r="N256" s="66">
        <f t="shared" si="14"/>
        <v>0.26200000000000001</v>
      </c>
      <c r="O256" s="62" t="str">
        <f t="shared" si="15"/>
        <v>2: High (No DBWT)</v>
      </c>
    </row>
    <row r="257" spans="1:15" ht="15" customHeight="1" x14ac:dyDescent="0.4">
      <c r="A257" s="62" t="s">
        <v>824</v>
      </c>
      <c r="B257" s="62" t="s">
        <v>254</v>
      </c>
      <c r="C257" s="62" t="s">
        <v>825</v>
      </c>
      <c r="D257" s="63">
        <v>25</v>
      </c>
      <c r="E257" s="63">
        <v>7</v>
      </c>
      <c r="F257" s="63">
        <v>0</v>
      </c>
      <c r="G257" s="64">
        <f t="shared" si="12"/>
        <v>0.28000000000000003</v>
      </c>
      <c r="H257" s="64">
        <f t="shared" si="13"/>
        <v>0</v>
      </c>
      <c r="I257" s="63">
        <v>0</v>
      </c>
      <c r="J257" s="65"/>
      <c r="K257" s="65">
        <v>0</v>
      </c>
      <c r="L257" s="62" t="s">
        <v>826</v>
      </c>
      <c r="M257" s="63">
        <v>0</v>
      </c>
      <c r="N257" s="66">
        <f t="shared" si="14"/>
        <v>0</v>
      </c>
      <c r="O257" s="62" t="str">
        <f t="shared" si="15"/>
        <v>1: Critical (No DBWT + No Wk0)</v>
      </c>
    </row>
    <row r="258" spans="1:15" ht="15" customHeight="1" x14ac:dyDescent="0.4">
      <c r="A258" s="62" t="s">
        <v>824</v>
      </c>
      <c r="B258" s="62" t="s">
        <v>333</v>
      </c>
      <c r="C258" s="62" t="s">
        <v>825</v>
      </c>
      <c r="D258" s="63">
        <v>17</v>
      </c>
      <c r="E258" s="63">
        <v>9</v>
      </c>
      <c r="F258" s="63">
        <v>0</v>
      </c>
      <c r="G258" s="64">
        <f t="shared" ref="G258:G321" si="16">IFERROR(E258/D258,0)</f>
        <v>0.52941176470588236</v>
      </c>
      <c r="H258" s="64">
        <f t="shared" ref="H258:H321" si="17">IFERROR(F258/D258,0)</f>
        <v>0</v>
      </c>
      <c r="I258" s="63">
        <v>0</v>
      </c>
      <c r="J258" s="65"/>
      <c r="K258" s="65">
        <v>5.33</v>
      </c>
      <c r="L258" s="62" t="s">
        <v>825</v>
      </c>
      <c r="M258" s="63">
        <v>0</v>
      </c>
      <c r="N258" s="66">
        <f t="shared" ref="N258:N321" si="18">ROUND(IFERROR(K258/100,0)*0.6 + IF(L258="Yes",1,IF(L258="No",0,0.3))*0.25 + IFERROR(J258/100,0)*0.15,3)</f>
        <v>0.28199999999999997</v>
      </c>
      <c r="O258" s="62" t="str">
        <f t="shared" ref="O258:O321" si="19">IF(AND(L258="No",I258=0),"1: Critical (No DBWT + No Wk0)",IF(L258="No","2: High (No DBWT)",IF(I258=0,"3: Elevated (No Wk0)","4: Engaged Early")))</f>
        <v>3: Elevated (No Wk0)</v>
      </c>
    </row>
    <row r="259" spans="1:15" ht="15" customHeight="1" x14ac:dyDescent="0.4">
      <c r="A259" s="62" t="s">
        <v>824</v>
      </c>
      <c r="B259" s="62" t="s">
        <v>968</v>
      </c>
      <c r="C259" s="62" t="s">
        <v>826</v>
      </c>
      <c r="D259" s="63">
        <v>17</v>
      </c>
      <c r="E259" s="63">
        <v>14</v>
      </c>
      <c r="F259" s="63">
        <v>2</v>
      </c>
      <c r="G259" s="64">
        <f t="shared" si="16"/>
        <v>0.82352941176470584</v>
      </c>
      <c r="H259" s="64">
        <f t="shared" si="17"/>
        <v>0.11764705882352941</v>
      </c>
      <c r="I259" s="63">
        <v>1</v>
      </c>
      <c r="J259" s="65">
        <v>25.645299999999999</v>
      </c>
      <c r="K259" s="65">
        <v>13.42</v>
      </c>
      <c r="L259" s="62" t="s">
        <v>825</v>
      </c>
      <c r="M259" s="63">
        <v>0</v>
      </c>
      <c r="N259" s="66">
        <f t="shared" si="18"/>
        <v>0.36899999999999999</v>
      </c>
      <c r="O259" s="62" t="str">
        <f t="shared" si="19"/>
        <v>4: Engaged Early</v>
      </c>
    </row>
    <row r="260" spans="1:15" ht="15" customHeight="1" x14ac:dyDescent="0.4">
      <c r="A260" s="62" t="s">
        <v>824</v>
      </c>
      <c r="B260" s="62" t="s">
        <v>415</v>
      </c>
      <c r="C260" s="62" t="s">
        <v>825</v>
      </c>
      <c r="D260" s="63">
        <v>5</v>
      </c>
      <c r="E260" s="63">
        <v>5</v>
      </c>
      <c r="F260" s="63">
        <v>0</v>
      </c>
      <c r="G260" s="64">
        <f t="shared" si="16"/>
        <v>1</v>
      </c>
      <c r="H260" s="64">
        <f t="shared" si="17"/>
        <v>0</v>
      </c>
      <c r="I260" s="63">
        <v>2</v>
      </c>
      <c r="J260" s="65">
        <v>43.206319499999999</v>
      </c>
      <c r="K260" s="65">
        <v>16.850000000000001</v>
      </c>
      <c r="L260" s="62" t="s">
        <v>826</v>
      </c>
      <c r="M260" s="63">
        <v>0</v>
      </c>
      <c r="N260" s="66">
        <f t="shared" si="18"/>
        <v>0.16600000000000001</v>
      </c>
      <c r="O260" s="62" t="str">
        <f t="shared" si="19"/>
        <v>2: High (No DBWT)</v>
      </c>
    </row>
    <row r="261" spans="1:15" ht="15" customHeight="1" x14ac:dyDescent="0.4">
      <c r="A261" s="62" t="s">
        <v>824</v>
      </c>
      <c r="B261" s="62" t="s">
        <v>724</v>
      </c>
      <c r="C261" s="62" t="s">
        <v>825</v>
      </c>
      <c r="D261" s="63">
        <v>4</v>
      </c>
      <c r="E261" s="63">
        <v>4</v>
      </c>
      <c r="F261" s="63">
        <v>0</v>
      </c>
      <c r="G261" s="64">
        <f t="shared" si="16"/>
        <v>1</v>
      </c>
      <c r="H261" s="64">
        <f t="shared" si="17"/>
        <v>0</v>
      </c>
      <c r="I261" s="63">
        <v>0</v>
      </c>
      <c r="J261" s="65"/>
      <c r="K261" s="65">
        <v>7.4</v>
      </c>
      <c r="L261" s="62" t="s">
        <v>825</v>
      </c>
      <c r="M261" s="63">
        <v>0</v>
      </c>
      <c r="N261" s="66">
        <f t="shared" si="18"/>
        <v>0.29399999999999998</v>
      </c>
      <c r="O261" s="62" t="str">
        <f t="shared" si="19"/>
        <v>3: Elevated (No Wk0)</v>
      </c>
    </row>
    <row r="262" spans="1:15" ht="15" customHeight="1" x14ac:dyDescent="0.4">
      <c r="A262" s="62" t="s">
        <v>824</v>
      </c>
      <c r="B262" s="62" t="s">
        <v>315</v>
      </c>
      <c r="C262" s="62" t="s">
        <v>825</v>
      </c>
      <c r="D262" s="63">
        <v>17</v>
      </c>
      <c r="E262" s="63">
        <v>14</v>
      </c>
      <c r="F262" s="63">
        <v>0</v>
      </c>
      <c r="G262" s="64">
        <f t="shared" si="16"/>
        <v>0.82352941176470584</v>
      </c>
      <c r="H262" s="64">
        <f t="shared" si="17"/>
        <v>0</v>
      </c>
      <c r="I262" s="63">
        <v>0</v>
      </c>
      <c r="J262" s="65"/>
      <c r="K262" s="65">
        <v>0</v>
      </c>
      <c r="L262" s="62" t="s">
        <v>826</v>
      </c>
      <c r="M262" s="63">
        <v>0</v>
      </c>
      <c r="N262" s="66">
        <f t="shared" si="18"/>
        <v>0</v>
      </c>
      <c r="O262" s="62" t="str">
        <f t="shared" si="19"/>
        <v>1: Critical (No DBWT + No Wk0)</v>
      </c>
    </row>
    <row r="263" spans="1:15" ht="15" customHeight="1" x14ac:dyDescent="0.4">
      <c r="A263" s="62" t="s">
        <v>824</v>
      </c>
      <c r="B263" s="62" t="s">
        <v>457</v>
      </c>
      <c r="C263" s="62" t="s">
        <v>825</v>
      </c>
      <c r="D263" s="63">
        <v>3</v>
      </c>
      <c r="E263" s="63">
        <v>2</v>
      </c>
      <c r="F263" s="63">
        <v>0</v>
      </c>
      <c r="G263" s="64">
        <f t="shared" si="16"/>
        <v>0.66666666666666663</v>
      </c>
      <c r="H263" s="64">
        <f t="shared" si="17"/>
        <v>0</v>
      </c>
      <c r="I263" s="63">
        <v>0</v>
      </c>
      <c r="J263" s="65"/>
      <c r="K263" s="65">
        <v>0</v>
      </c>
      <c r="L263" s="62" t="s">
        <v>826</v>
      </c>
      <c r="M263" s="63">
        <v>0</v>
      </c>
      <c r="N263" s="66">
        <f t="shared" si="18"/>
        <v>0</v>
      </c>
      <c r="O263" s="62" t="str">
        <f t="shared" si="19"/>
        <v>1: Critical (No DBWT + No Wk0)</v>
      </c>
    </row>
    <row r="264" spans="1:15" ht="15" customHeight="1" x14ac:dyDescent="0.4">
      <c r="A264" s="62" t="s">
        <v>824</v>
      </c>
      <c r="B264" s="62" t="s">
        <v>329</v>
      </c>
      <c r="C264" s="62" t="s">
        <v>825</v>
      </c>
      <c r="D264" s="63">
        <v>22</v>
      </c>
      <c r="E264" s="63">
        <v>15</v>
      </c>
      <c r="F264" s="63">
        <v>2</v>
      </c>
      <c r="G264" s="64">
        <f t="shared" si="16"/>
        <v>0.68181818181818177</v>
      </c>
      <c r="H264" s="64">
        <f t="shared" si="17"/>
        <v>9.0909090909090912E-2</v>
      </c>
      <c r="I264" s="63">
        <v>0</v>
      </c>
      <c r="J264" s="65"/>
      <c r="K264" s="65">
        <v>0</v>
      </c>
      <c r="L264" s="62" t="s">
        <v>825</v>
      </c>
      <c r="M264" s="63">
        <v>0</v>
      </c>
      <c r="N264" s="66">
        <f t="shared" si="18"/>
        <v>0.25</v>
      </c>
      <c r="O264" s="62" t="str">
        <f t="shared" si="19"/>
        <v>3: Elevated (No Wk0)</v>
      </c>
    </row>
    <row r="265" spans="1:15" ht="15" customHeight="1" x14ac:dyDescent="0.4">
      <c r="A265" s="62" t="s">
        <v>824</v>
      </c>
      <c r="B265" s="62" t="s">
        <v>651</v>
      </c>
      <c r="C265" s="62" t="s">
        <v>825</v>
      </c>
      <c r="D265" s="63">
        <v>3</v>
      </c>
      <c r="E265" s="63">
        <v>3</v>
      </c>
      <c r="F265" s="63">
        <v>0</v>
      </c>
      <c r="G265" s="64">
        <f t="shared" si="16"/>
        <v>1</v>
      </c>
      <c r="H265" s="64">
        <f t="shared" si="17"/>
        <v>0</v>
      </c>
      <c r="I265" s="63">
        <v>1</v>
      </c>
      <c r="J265" s="65">
        <v>35.75</v>
      </c>
      <c r="K265" s="65">
        <v>7.45</v>
      </c>
      <c r="L265" s="62" t="s">
        <v>825</v>
      </c>
      <c r="M265" s="63">
        <v>0</v>
      </c>
      <c r="N265" s="66">
        <f t="shared" si="18"/>
        <v>0.34799999999999998</v>
      </c>
      <c r="O265" s="62" t="str">
        <f t="shared" si="19"/>
        <v>4: Engaged Early</v>
      </c>
    </row>
    <row r="266" spans="1:15" ht="15" customHeight="1" x14ac:dyDescent="0.4">
      <c r="A266" s="62" t="s">
        <v>824</v>
      </c>
      <c r="B266" s="62" t="s">
        <v>969</v>
      </c>
      <c r="C266" s="62" t="s">
        <v>826</v>
      </c>
      <c r="D266" s="63">
        <v>21</v>
      </c>
      <c r="E266" s="63">
        <v>13</v>
      </c>
      <c r="F266" s="63">
        <v>2</v>
      </c>
      <c r="G266" s="64">
        <f t="shared" si="16"/>
        <v>0.61904761904761907</v>
      </c>
      <c r="H266" s="64">
        <f t="shared" si="17"/>
        <v>9.5238095238095233E-2</v>
      </c>
      <c r="I266" s="63">
        <v>2</v>
      </c>
      <c r="J266" s="65">
        <v>67.067049999999995</v>
      </c>
      <c r="K266" s="65">
        <v>67.599999999999994</v>
      </c>
      <c r="L266" s="62" t="s">
        <v>825</v>
      </c>
      <c r="M266" s="63">
        <v>0</v>
      </c>
      <c r="N266" s="66">
        <f t="shared" si="18"/>
        <v>0.75600000000000001</v>
      </c>
      <c r="O266" s="62" t="str">
        <f t="shared" si="19"/>
        <v>4: Engaged Early</v>
      </c>
    </row>
    <row r="267" spans="1:15" ht="15" customHeight="1" x14ac:dyDescent="0.4">
      <c r="A267" s="62" t="s">
        <v>824</v>
      </c>
      <c r="B267" s="62" t="s">
        <v>537</v>
      </c>
      <c r="C267" s="62" t="s">
        <v>825</v>
      </c>
      <c r="D267" s="63">
        <v>1</v>
      </c>
      <c r="E267" s="63">
        <v>0</v>
      </c>
      <c r="F267" s="63">
        <v>0</v>
      </c>
      <c r="G267" s="64">
        <f t="shared" si="16"/>
        <v>0</v>
      </c>
      <c r="H267" s="64">
        <f t="shared" si="17"/>
        <v>0</v>
      </c>
      <c r="I267" s="63">
        <v>0</v>
      </c>
      <c r="J267" s="65"/>
      <c r="K267" s="65">
        <v>0</v>
      </c>
      <c r="L267" s="62" t="s">
        <v>826</v>
      </c>
      <c r="M267" s="63">
        <v>0</v>
      </c>
      <c r="N267" s="66">
        <f t="shared" si="18"/>
        <v>0</v>
      </c>
      <c r="O267" s="62" t="str">
        <f t="shared" si="19"/>
        <v>1: Critical (No DBWT + No Wk0)</v>
      </c>
    </row>
    <row r="268" spans="1:15" ht="15" customHeight="1" x14ac:dyDescent="0.4">
      <c r="A268" s="62" t="s">
        <v>824</v>
      </c>
      <c r="B268" s="62" t="s">
        <v>503</v>
      </c>
      <c r="C268" s="62" t="s">
        <v>825</v>
      </c>
      <c r="D268" s="63">
        <v>13</v>
      </c>
      <c r="E268" s="63">
        <v>8</v>
      </c>
      <c r="F268" s="63">
        <v>1</v>
      </c>
      <c r="G268" s="64">
        <f t="shared" si="16"/>
        <v>0.61538461538461542</v>
      </c>
      <c r="H268" s="64">
        <f t="shared" si="17"/>
        <v>7.6923076923076927E-2</v>
      </c>
      <c r="I268" s="63">
        <v>1</v>
      </c>
      <c r="J268" s="65">
        <v>45.412199999999999</v>
      </c>
      <c r="K268" s="65">
        <v>10.23</v>
      </c>
      <c r="L268" s="62" t="s">
        <v>826</v>
      </c>
      <c r="M268" s="63">
        <v>0</v>
      </c>
      <c r="N268" s="66">
        <f t="shared" si="18"/>
        <v>0.129</v>
      </c>
      <c r="O268" s="62" t="str">
        <f t="shared" si="19"/>
        <v>2: High (No DBWT)</v>
      </c>
    </row>
    <row r="269" spans="1:15" ht="15" customHeight="1" x14ac:dyDescent="0.4">
      <c r="A269" s="62" t="s">
        <v>824</v>
      </c>
      <c r="B269" s="62" t="s">
        <v>970</v>
      </c>
      <c r="C269" s="62" t="s">
        <v>826</v>
      </c>
      <c r="D269" s="63">
        <v>23</v>
      </c>
      <c r="E269" s="63">
        <v>12</v>
      </c>
      <c r="F269" s="63">
        <v>2</v>
      </c>
      <c r="G269" s="64">
        <f t="shared" si="16"/>
        <v>0.52173913043478259</v>
      </c>
      <c r="H269" s="64">
        <f t="shared" si="17"/>
        <v>8.6956521739130432E-2</v>
      </c>
      <c r="I269" s="63">
        <v>1</v>
      </c>
      <c r="J269" s="65">
        <v>56.26</v>
      </c>
      <c r="K269" s="65">
        <v>62.64</v>
      </c>
      <c r="L269" s="62" t="s">
        <v>825</v>
      </c>
      <c r="M269" s="63">
        <v>0</v>
      </c>
      <c r="N269" s="66">
        <f t="shared" si="18"/>
        <v>0.71</v>
      </c>
      <c r="O269" s="62" t="str">
        <f t="shared" si="19"/>
        <v>4: Engaged Early</v>
      </c>
    </row>
    <row r="270" spans="1:15" ht="15" customHeight="1" x14ac:dyDescent="0.4">
      <c r="A270" s="62" t="s">
        <v>824</v>
      </c>
      <c r="B270" s="62" t="s">
        <v>971</v>
      </c>
      <c r="C270" s="62" t="s">
        <v>826</v>
      </c>
      <c r="D270" s="63">
        <v>12</v>
      </c>
      <c r="E270" s="63">
        <v>6</v>
      </c>
      <c r="F270" s="63">
        <v>0</v>
      </c>
      <c r="G270" s="64">
        <f t="shared" si="16"/>
        <v>0.5</v>
      </c>
      <c r="H270" s="64">
        <f t="shared" si="17"/>
        <v>0</v>
      </c>
      <c r="I270" s="63">
        <v>0</v>
      </c>
      <c r="J270" s="65"/>
      <c r="K270" s="65">
        <v>0.08</v>
      </c>
      <c r="L270" s="62" t="s">
        <v>825</v>
      </c>
      <c r="M270" s="63">
        <v>0</v>
      </c>
      <c r="N270" s="66">
        <f t="shared" si="18"/>
        <v>0.25</v>
      </c>
      <c r="O270" s="62" t="str">
        <f t="shared" si="19"/>
        <v>3: Elevated (No Wk0)</v>
      </c>
    </row>
    <row r="271" spans="1:15" ht="15" customHeight="1" x14ac:dyDescent="0.4">
      <c r="A271" s="62" t="s">
        <v>824</v>
      </c>
      <c r="B271" s="62" t="s">
        <v>287</v>
      </c>
      <c r="C271" s="62" t="s">
        <v>825</v>
      </c>
      <c r="D271" s="63">
        <v>18</v>
      </c>
      <c r="E271" s="63">
        <v>16</v>
      </c>
      <c r="F271" s="63">
        <v>8</v>
      </c>
      <c r="G271" s="64">
        <f t="shared" si="16"/>
        <v>0.88888888888888884</v>
      </c>
      <c r="H271" s="64">
        <f t="shared" si="17"/>
        <v>0.44444444444444442</v>
      </c>
      <c r="I271" s="63">
        <v>2</v>
      </c>
      <c r="J271" s="65">
        <v>17.60266</v>
      </c>
      <c r="K271" s="65">
        <v>6.62</v>
      </c>
      <c r="L271" s="62" t="s">
        <v>825</v>
      </c>
      <c r="M271" s="63">
        <v>0</v>
      </c>
      <c r="N271" s="66">
        <f t="shared" si="18"/>
        <v>0.316</v>
      </c>
      <c r="O271" s="62" t="str">
        <f t="shared" si="19"/>
        <v>4: Engaged Early</v>
      </c>
    </row>
    <row r="272" spans="1:15" ht="15" customHeight="1" x14ac:dyDescent="0.4">
      <c r="A272" s="62" t="s">
        <v>824</v>
      </c>
      <c r="B272" s="62" t="s">
        <v>972</v>
      </c>
      <c r="C272" s="62" t="s">
        <v>826</v>
      </c>
      <c r="D272" s="63">
        <v>17</v>
      </c>
      <c r="E272" s="63">
        <v>13</v>
      </c>
      <c r="F272" s="63">
        <v>0</v>
      </c>
      <c r="G272" s="64">
        <f t="shared" si="16"/>
        <v>0.76470588235294112</v>
      </c>
      <c r="H272" s="64">
        <f t="shared" si="17"/>
        <v>0</v>
      </c>
      <c r="I272" s="63">
        <v>2</v>
      </c>
      <c r="J272" s="65">
        <v>79.494299999999996</v>
      </c>
      <c r="K272" s="65">
        <v>86.18</v>
      </c>
      <c r="L272" s="62" t="s">
        <v>825</v>
      </c>
      <c r="M272" s="63">
        <v>1</v>
      </c>
      <c r="N272" s="66">
        <f t="shared" si="18"/>
        <v>0.88600000000000001</v>
      </c>
      <c r="O272" s="62" t="str">
        <f t="shared" si="19"/>
        <v>4: Engaged Early</v>
      </c>
    </row>
    <row r="273" spans="1:15" ht="15" customHeight="1" x14ac:dyDescent="0.4">
      <c r="A273" s="62" t="s">
        <v>824</v>
      </c>
      <c r="B273" s="62" t="s">
        <v>973</v>
      </c>
      <c r="C273" s="62" t="s">
        <v>826</v>
      </c>
      <c r="D273" s="63">
        <v>12</v>
      </c>
      <c r="E273" s="63">
        <v>6</v>
      </c>
      <c r="F273" s="63">
        <v>1</v>
      </c>
      <c r="G273" s="64">
        <f t="shared" si="16"/>
        <v>0.5</v>
      </c>
      <c r="H273" s="64">
        <f t="shared" si="17"/>
        <v>8.3333333333333329E-2</v>
      </c>
      <c r="I273" s="63">
        <v>2</v>
      </c>
      <c r="J273" s="65">
        <v>82.014449999999997</v>
      </c>
      <c r="K273" s="65">
        <v>99.1</v>
      </c>
      <c r="L273" s="62" t="s">
        <v>825</v>
      </c>
      <c r="M273" s="63">
        <v>0</v>
      </c>
      <c r="N273" s="66">
        <f t="shared" si="18"/>
        <v>0.96799999999999997</v>
      </c>
      <c r="O273" s="62" t="str">
        <f t="shared" si="19"/>
        <v>4: Engaged Early</v>
      </c>
    </row>
    <row r="274" spans="1:15" ht="15" customHeight="1" x14ac:dyDescent="0.4">
      <c r="A274" s="62" t="s">
        <v>824</v>
      </c>
      <c r="B274" s="62" t="s">
        <v>974</v>
      </c>
      <c r="C274" s="62" t="s">
        <v>826</v>
      </c>
      <c r="D274" s="63">
        <v>10</v>
      </c>
      <c r="E274" s="63">
        <v>6</v>
      </c>
      <c r="F274" s="63">
        <v>4</v>
      </c>
      <c r="G274" s="64">
        <f t="shared" si="16"/>
        <v>0.6</v>
      </c>
      <c r="H274" s="64">
        <f t="shared" si="17"/>
        <v>0.4</v>
      </c>
      <c r="I274" s="63">
        <v>2</v>
      </c>
      <c r="J274" s="65">
        <v>96.896950000000004</v>
      </c>
      <c r="K274" s="65">
        <v>77.78</v>
      </c>
      <c r="L274" s="62" t="s">
        <v>826</v>
      </c>
      <c r="M274" s="63">
        <v>0</v>
      </c>
      <c r="N274" s="66">
        <f t="shared" si="18"/>
        <v>0.61199999999999999</v>
      </c>
      <c r="O274" s="62" t="str">
        <f t="shared" si="19"/>
        <v>2: High (No DBWT)</v>
      </c>
    </row>
    <row r="275" spans="1:15" ht="15" customHeight="1" x14ac:dyDescent="0.4">
      <c r="A275" s="62" t="s">
        <v>824</v>
      </c>
      <c r="B275" s="62" t="s">
        <v>975</v>
      </c>
      <c r="C275" s="62" t="s">
        <v>826</v>
      </c>
      <c r="D275" s="63">
        <v>7</v>
      </c>
      <c r="E275" s="63">
        <v>5</v>
      </c>
      <c r="F275" s="63">
        <v>2</v>
      </c>
      <c r="G275" s="64">
        <f t="shared" si="16"/>
        <v>0.7142857142857143</v>
      </c>
      <c r="H275" s="64">
        <f t="shared" si="17"/>
        <v>0.2857142857142857</v>
      </c>
      <c r="I275" s="63">
        <v>2</v>
      </c>
      <c r="J275" s="65">
        <v>99.176299999999998</v>
      </c>
      <c r="K275" s="65">
        <v>90.53</v>
      </c>
      <c r="L275" s="62" t="s">
        <v>825</v>
      </c>
      <c r="M275" s="63">
        <v>1</v>
      </c>
      <c r="N275" s="66">
        <f t="shared" si="18"/>
        <v>0.94199999999999995</v>
      </c>
      <c r="O275" s="62" t="str">
        <f t="shared" si="19"/>
        <v>4: Engaged Early</v>
      </c>
    </row>
    <row r="276" spans="1:15" ht="15" customHeight="1" x14ac:dyDescent="0.4">
      <c r="A276" s="62" t="s">
        <v>824</v>
      </c>
      <c r="B276" s="62" t="s">
        <v>976</v>
      </c>
      <c r="C276" s="62" t="s">
        <v>826</v>
      </c>
      <c r="D276" s="63">
        <v>10</v>
      </c>
      <c r="E276" s="63">
        <v>9</v>
      </c>
      <c r="F276" s="63">
        <v>3</v>
      </c>
      <c r="G276" s="64">
        <f t="shared" si="16"/>
        <v>0.9</v>
      </c>
      <c r="H276" s="64">
        <f t="shared" si="17"/>
        <v>0.3</v>
      </c>
      <c r="I276" s="63">
        <v>2</v>
      </c>
      <c r="J276" s="65">
        <v>64.964500000000001</v>
      </c>
      <c r="K276" s="65">
        <v>88.39</v>
      </c>
      <c r="L276" s="62" t="s">
        <v>825</v>
      </c>
      <c r="M276" s="63">
        <v>0</v>
      </c>
      <c r="N276" s="66">
        <f t="shared" si="18"/>
        <v>0.878</v>
      </c>
      <c r="O276" s="62" t="str">
        <f t="shared" si="19"/>
        <v>4: Engaged Early</v>
      </c>
    </row>
    <row r="277" spans="1:15" ht="15" customHeight="1" x14ac:dyDescent="0.4">
      <c r="A277" s="62" t="s">
        <v>824</v>
      </c>
      <c r="B277" s="62" t="s">
        <v>977</v>
      </c>
      <c r="C277" s="62" t="s">
        <v>826</v>
      </c>
      <c r="D277" s="63">
        <v>0</v>
      </c>
      <c r="E277" s="63">
        <v>0</v>
      </c>
      <c r="F277" s="63">
        <v>0</v>
      </c>
      <c r="G277" s="64">
        <f t="shared" si="16"/>
        <v>0</v>
      </c>
      <c r="H277" s="64">
        <f t="shared" si="17"/>
        <v>0</v>
      </c>
      <c r="I277" s="63">
        <v>1</v>
      </c>
      <c r="J277" s="65">
        <v>96.744399999999999</v>
      </c>
      <c r="K277" s="65">
        <v>100</v>
      </c>
      <c r="L277" s="62" t="s">
        <v>840</v>
      </c>
      <c r="M277" s="63">
        <v>0</v>
      </c>
      <c r="N277" s="66">
        <f t="shared" si="18"/>
        <v>0.82</v>
      </c>
      <c r="O277" s="62" t="str">
        <f t="shared" si="19"/>
        <v>4: Engaged Early</v>
      </c>
    </row>
    <row r="278" spans="1:15" ht="15" customHeight="1" x14ac:dyDescent="0.4">
      <c r="A278" s="62" t="s">
        <v>824</v>
      </c>
      <c r="B278" s="62" t="s">
        <v>978</v>
      </c>
      <c r="C278" s="62" t="s">
        <v>826</v>
      </c>
      <c r="D278" s="63">
        <v>7</v>
      </c>
      <c r="E278" s="63">
        <v>5</v>
      </c>
      <c r="F278" s="63">
        <v>1</v>
      </c>
      <c r="G278" s="64">
        <f t="shared" si="16"/>
        <v>0.7142857142857143</v>
      </c>
      <c r="H278" s="64">
        <f t="shared" si="17"/>
        <v>0.14285714285714285</v>
      </c>
      <c r="I278" s="63">
        <v>0</v>
      </c>
      <c r="J278" s="65"/>
      <c r="K278" s="65">
        <v>81.63</v>
      </c>
      <c r="L278" s="62" t="s">
        <v>825</v>
      </c>
      <c r="M278" s="63">
        <v>0</v>
      </c>
      <c r="N278" s="66">
        <f t="shared" si="18"/>
        <v>0.74</v>
      </c>
      <c r="O278" s="62" t="str">
        <f t="shared" si="19"/>
        <v>3: Elevated (No Wk0)</v>
      </c>
    </row>
    <row r="279" spans="1:15" ht="15" customHeight="1" x14ac:dyDescent="0.4">
      <c r="A279" s="62" t="s">
        <v>824</v>
      </c>
      <c r="B279" s="62" t="s">
        <v>979</v>
      </c>
      <c r="C279" s="62" t="s">
        <v>826</v>
      </c>
      <c r="D279" s="63">
        <v>7</v>
      </c>
      <c r="E279" s="63">
        <v>1</v>
      </c>
      <c r="F279" s="63">
        <v>0</v>
      </c>
      <c r="G279" s="64">
        <f t="shared" si="16"/>
        <v>0.14285714285714285</v>
      </c>
      <c r="H279" s="64">
        <f t="shared" si="17"/>
        <v>0</v>
      </c>
      <c r="I279" s="63">
        <v>2</v>
      </c>
      <c r="J279" s="65">
        <v>94.388850000000005</v>
      </c>
      <c r="K279" s="65">
        <v>92.76</v>
      </c>
      <c r="L279" s="62" t="s">
        <v>825</v>
      </c>
      <c r="M279" s="63">
        <v>0</v>
      </c>
      <c r="N279" s="66">
        <f t="shared" si="18"/>
        <v>0.94799999999999995</v>
      </c>
      <c r="O279" s="62" t="str">
        <f t="shared" si="19"/>
        <v>4: Engaged Early</v>
      </c>
    </row>
    <row r="280" spans="1:15" ht="15" customHeight="1" x14ac:dyDescent="0.4">
      <c r="A280" s="62" t="s">
        <v>824</v>
      </c>
      <c r="B280" s="62" t="s">
        <v>980</v>
      </c>
      <c r="C280" s="62" t="s">
        <v>826</v>
      </c>
      <c r="D280" s="63">
        <v>4</v>
      </c>
      <c r="E280" s="63">
        <v>3</v>
      </c>
      <c r="F280" s="63">
        <v>1</v>
      </c>
      <c r="G280" s="64">
        <f t="shared" si="16"/>
        <v>0.75</v>
      </c>
      <c r="H280" s="64">
        <f t="shared" si="17"/>
        <v>0.25</v>
      </c>
      <c r="I280" s="63">
        <v>2</v>
      </c>
      <c r="J280" s="65">
        <v>98.265950000000004</v>
      </c>
      <c r="K280" s="65">
        <v>96.92</v>
      </c>
      <c r="L280" s="62" t="s">
        <v>825</v>
      </c>
      <c r="M280" s="63">
        <v>0</v>
      </c>
      <c r="N280" s="66">
        <f t="shared" si="18"/>
        <v>0.97899999999999998</v>
      </c>
      <c r="O280" s="62" t="str">
        <f t="shared" si="19"/>
        <v>4: Engaged Early</v>
      </c>
    </row>
    <row r="281" spans="1:15" ht="15" customHeight="1" x14ac:dyDescent="0.4">
      <c r="A281" s="62" t="s">
        <v>824</v>
      </c>
      <c r="B281" s="62" t="s">
        <v>981</v>
      </c>
      <c r="C281" s="62" t="s">
        <v>826</v>
      </c>
      <c r="D281" s="63">
        <v>17</v>
      </c>
      <c r="E281" s="63">
        <v>13</v>
      </c>
      <c r="F281" s="63">
        <v>0</v>
      </c>
      <c r="G281" s="64">
        <f t="shared" si="16"/>
        <v>0.76470588235294112</v>
      </c>
      <c r="H281" s="64">
        <f t="shared" si="17"/>
        <v>0</v>
      </c>
      <c r="I281" s="63">
        <v>2</v>
      </c>
      <c r="J281" s="65">
        <v>94.45</v>
      </c>
      <c r="K281" s="65">
        <v>100</v>
      </c>
      <c r="L281" s="62" t="s">
        <v>825</v>
      </c>
      <c r="M281" s="63">
        <v>1</v>
      </c>
      <c r="N281" s="66">
        <f t="shared" si="18"/>
        <v>0.99199999999999999</v>
      </c>
      <c r="O281" s="62" t="str">
        <f t="shared" si="19"/>
        <v>4: Engaged Early</v>
      </c>
    </row>
    <row r="282" spans="1:15" ht="15" customHeight="1" x14ac:dyDescent="0.4">
      <c r="A282" s="62" t="s">
        <v>824</v>
      </c>
      <c r="B282" s="62" t="s">
        <v>982</v>
      </c>
      <c r="C282" s="62" t="s">
        <v>826</v>
      </c>
      <c r="D282" s="63">
        <v>13</v>
      </c>
      <c r="E282" s="63">
        <v>7</v>
      </c>
      <c r="F282" s="63">
        <v>0</v>
      </c>
      <c r="G282" s="64">
        <f t="shared" si="16"/>
        <v>0.53846153846153844</v>
      </c>
      <c r="H282" s="64">
        <f t="shared" si="17"/>
        <v>0</v>
      </c>
      <c r="I282" s="63">
        <v>2</v>
      </c>
      <c r="J282" s="65">
        <v>54.973050000000001</v>
      </c>
      <c r="K282" s="65">
        <v>38.36</v>
      </c>
      <c r="L282" s="62" t="s">
        <v>825</v>
      </c>
      <c r="M282" s="63">
        <v>0</v>
      </c>
      <c r="N282" s="66">
        <f t="shared" si="18"/>
        <v>0.56299999999999994</v>
      </c>
      <c r="O282" s="62" t="str">
        <f t="shared" si="19"/>
        <v>4: Engaged Early</v>
      </c>
    </row>
    <row r="283" spans="1:15" ht="15" customHeight="1" x14ac:dyDescent="0.4">
      <c r="A283" s="62" t="s">
        <v>824</v>
      </c>
      <c r="B283" s="62" t="s">
        <v>983</v>
      </c>
      <c r="C283" s="62" t="s">
        <v>826</v>
      </c>
      <c r="D283" s="63">
        <v>2</v>
      </c>
      <c r="E283" s="63">
        <v>2</v>
      </c>
      <c r="F283" s="63">
        <v>0</v>
      </c>
      <c r="G283" s="64">
        <f t="shared" si="16"/>
        <v>1</v>
      </c>
      <c r="H283" s="64">
        <f t="shared" si="17"/>
        <v>0</v>
      </c>
      <c r="I283" s="63">
        <v>1</v>
      </c>
      <c r="J283" s="65">
        <v>98.955200000000005</v>
      </c>
      <c r="K283" s="65">
        <v>74.02</v>
      </c>
      <c r="L283" s="62" t="s">
        <v>825</v>
      </c>
      <c r="M283" s="63">
        <v>0</v>
      </c>
      <c r="N283" s="66">
        <f t="shared" si="18"/>
        <v>0.84299999999999997</v>
      </c>
      <c r="O283" s="62" t="str">
        <f t="shared" si="19"/>
        <v>4: Engaged Early</v>
      </c>
    </row>
    <row r="284" spans="1:15" ht="15" customHeight="1" x14ac:dyDescent="0.4">
      <c r="A284" s="62" t="s">
        <v>824</v>
      </c>
      <c r="B284" s="62" t="s">
        <v>984</v>
      </c>
      <c r="C284" s="62" t="s">
        <v>826</v>
      </c>
      <c r="D284" s="63">
        <v>0</v>
      </c>
      <c r="E284" s="63">
        <v>0</v>
      </c>
      <c r="F284" s="63">
        <v>0</v>
      </c>
      <c r="G284" s="64">
        <f t="shared" si="16"/>
        <v>0</v>
      </c>
      <c r="H284" s="64">
        <f t="shared" si="17"/>
        <v>0</v>
      </c>
      <c r="I284" s="63">
        <v>0</v>
      </c>
      <c r="J284" s="65"/>
      <c r="K284" s="65">
        <v>31.79</v>
      </c>
      <c r="L284" s="62" t="s">
        <v>840</v>
      </c>
      <c r="M284" s="63">
        <v>0</v>
      </c>
      <c r="N284" s="66">
        <f t="shared" si="18"/>
        <v>0.26600000000000001</v>
      </c>
      <c r="O284" s="62" t="str">
        <f t="shared" si="19"/>
        <v>3: Elevated (No Wk0)</v>
      </c>
    </row>
    <row r="285" spans="1:15" ht="15" customHeight="1" x14ac:dyDescent="0.4">
      <c r="A285" s="62" t="s">
        <v>824</v>
      </c>
      <c r="B285" s="62" t="s">
        <v>985</v>
      </c>
      <c r="C285" s="62" t="s">
        <v>826</v>
      </c>
      <c r="D285" s="63">
        <v>8</v>
      </c>
      <c r="E285" s="63">
        <v>4</v>
      </c>
      <c r="F285" s="63">
        <v>0</v>
      </c>
      <c r="G285" s="64">
        <f t="shared" si="16"/>
        <v>0.5</v>
      </c>
      <c r="H285" s="64">
        <f t="shared" si="17"/>
        <v>0</v>
      </c>
      <c r="I285" s="63">
        <v>1</v>
      </c>
      <c r="J285" s="65">
        <v>82.231499999999997</v>
      </c>
      <c r="K285" s="65">
        <v>98.94</v>
      </c>
      <c r="L285" s="62" t="s">
        <v>825</v>
      </c>
      <c r="M285" s="63">
        <v>0</v>
      </c>
      <c r="N285" s="66">
        <f t="shared" si="18"/>
        <v>0.96699999999999997</v>
      </c>
      <c r="O285" s="62" t="str">
        <f t="shared" si="19"/>
        <v>4: Engaged Early</v>
      </c>
    </row>
    <row r="286" spans="1:15" ht="15" customHeight="1" x14ac:dyDescent="0.4">
      <c r="A286" s="62" t="s">
        <v>824</v>
      </c>
      <c r="B286" s="62" t="s">
        <v>986</v>
      </c>
      <c r="C286" s="62" t="s">
        <v>826</v>
      </c>
      <c r="D286" s="63">
        <v>13</v>
      </c>
      <c r="E286" s="63">
        <v>12</v>
      </c>
      <c r="F286" s="63">
        <v>2</v>
      </c>
      <c r="G286" s="64">
        <f t="shared" si="16"/>
        <v>0.92307692307692313</v>
      </c>
      <c r="H286" s="64">
        <f t="shared" si="17"/>
        <v>0.15384615384615385</v>
      </c>
      <c r="I286" s="63">
        <v>2</v>
      </c>
      <c r="J286" s="65">
        <v>92.021299999999997</v>
      </c>
      <c r="K286" s="65">
        <v>99.88</v>
      </c>
      <c r="L286" s="62" t="s">
        <v>825</v>
      </c>
      <c r="M286" s="63">
        <v>0</v>
      </c>
      <c r="N286" s="66">
        <f t="shared" si="18"/>
        <v>0.98699999999999999</v>
      </c>
      <c r="O286" s="62" t="str">
        <f t="shared" si="19"/>
        <v>4: Engaged Early</v>
      </c>
    </row>
    <row r="287" spans="1:15" ht="15" customHeight="1" x14ac:dyDescent="0.4">
      <c r="A287" s="62" t="s">
        <v>824</v>
      </c>
      <c r="B287" s="62" t="s">
        <v>987</v>
      </c>
      <c r="C287" s="62" t="s">
        <v>826</v>
      </c>
      <c r="D287" s="63">
        <v>18</v>
      </c>
      <c r="E287" s="63">
        <v>18</v>
      </c>
      <c r="F287" s="63">
        <v>5</v>
      </c>
      <c r="G287" s="64">
        <f t="shared" si="16"/>
        <v>1</v>
      </c>
      <c r="H287" s="64">
        <f t="shared" si="17"/>
        <v>0.27777777777777779</v>
      </c>
      <c r="I287" s="63">
        <v>2</v>
      </c>
      <c r="J287" s="65">
        <v>85.752099999999999</v>
      </c>
      <c r="K287" s="65">
        <v>100</v>
      </c>
      <c r="L287" s="62" t="s">
        <v>825</v>
      </c>
      <c r="M287" s="63">
        <v>0</v>
      </c>
      <c r="N287" s="66">
        <f t="shared" si="18"/>
        <v>0.97899999999999998</v>
      </c>
      <c r="O287" s="62" t="str">
        <f t="shared" si="19"/>
        <v>4: Engaged Early</v>
      </c>
    </row>
    <row r="288" spans="1:15" ht="15" customHeight="1" x14ac:dyDescent="0.4">
      <c r="A288" s="62" t="s">
        <v>824</v>
      </c>
      <c r="B288" s="62" t="s">
        <v>988</v>
      </c>
      <c r="C288" s="62" t="s">
        <v>826</v>
      </c>
      <c r="D288" s="63">
        <v>0</v>
      </c>
      <c r="E288" s="63">
        <v>0</v>
      </c>
      <c r="F288" s="63">
        <v>0</v>
      </c>
      <c r="G288" s="64">
        <f t="shared" si="16"/>
        <v>0</v>
      </c>
      <c r="H288" s="64">
        <f t="shared" si="17"/>
        <v>0</v>
      </c>
      <c r="I288" s="63">
        <v>1</v>
      </c>
      <c r="J288" s="65">
        <v>86.42</v>
      </c>
      <c r="K288" s="65">
        <v>62.71</v>
      </c>
      <c r="L288" s="62" t="s">
        <v>840</v>
      </c>
      <c r="M288" s="63">
        <v>0</v>
      </c>
      <c r="N288" s="66">
        <f t="shared" si="18"/>
        <v>0.58099999999999996</v>
      </c>
      <c r="O288" s="62" t="str">
        <f t="shared" si="19"/>
        <v>4: Engaged Early</v>
      </c>
    </row>
    <row r="289" spans="1:15" ht="15" customHeight="1" x14ac:dyDescent="0.4">
      <c r="A289" s="62" t="s">
        <v>824</v>
      </c>
      <c r="B289" s="62" t="s">
        <v>989</v>
      </c>
      <c r="C289" s="62" t="s">
        <v>826</v>
      </c>
      <c r="D289" s="63">
        <v>5</v>
      </c>
      <c r="E289" s="63">
        <v>4</v>
      </c>
      <c r="F289" s="63">
        <v>2</v>
      </c>
      <c r="G289" s="64">
        <f t="shared" si="16"/>
        <v>0.8</v>
      </c>
      <c r="H289" s="64">
        <f t="shared" si="17"/>
        <v>0.4</v>
      </c>
      <c r="I289" s="63">
        <v>2</v>
      </c>
      <c r="J289" s="65">
        <v>45.511454999999998</v>
      </c>
      <c r="K289" s="65">
        <v>54.03</v>
      </c>
      <c r="L289" s="62" t="s">
        <v>826</v>
      </c>
      <c r="M289" s="63">
        <v>0</v>
      </c>
      <c r="N289" s="66">
        <f t="shared" si="18"/>
        <v>0.39200000000000002</v>
      </c>
      <c r="O289" s="62" t="str">
        <f t="shared" si="19"/>
        <v>2: High (No DBWT)</v>
      </c>
    </row>
    <row r="290" spans="1:15" ht="15" customHeight="1" x14ac:dyDescent="0.4">
      <c r="A290" s="62" t="s">
        <v>824</v>
      </c>
      <c r="B290" s="62" t="s">
        <v>990</v>
      </c>
      <c r="C290" s="62" t="s">
        <v>826</v>
      </c>
      <c r="D290" s="63">
        <v>0</v>
      </c>
      <c r="E290" s="63">
        <v>0</v>
      </c>
      <c r="F290" s="63">
        <v>0</v>
      </c>
      <c r="G290" s="64">
        <f t="shared" si="16"/>
        <v>0</v>
      </c>
      <c r="H290" s="64">
        <f t="shared" si="17"/>
        <v>0</v>
      </c>
      <c r="I290" s="63">
        <v>2</v>
      </c>
      <c r="J290" s="65">
        <v>93.872100000000003</v>
      </c>
      <c r="K290" s="65">
        <v>100</v>
      </c>
      <c r="L290" s="62" t="s">
        <v>825</v>
      </c>
      <c r="M290" s="63">
        <v>0</v>
      </c>
      <c r="N290" s="66">
        <f t="shared" si="18"/>
        <v>0.99099999999999999</v>
      </c>
      <c r="O290" s="62" t="str">
        <f t="shared" si="19"/>
        <v>4: Engaged Early</v>
      </c>
    </row>
    <row r="291" spans="1:15" ht="15" customHeight="1" x14ac:dyDescent="0.4">
      <c r="A291" s="62" t="s">
        <v>824</v>
      </c>
      <c r="B291" s="62" t="s">
        <v>991</v>
      </c>
      <c r="C291" s="62" t="s">
        <v>826</v>
      </c>
      <c r="D291" s="63">
        <v>14</v>
      </c>
      <c r="E291" s="63">
        <v>14</v>
      </c>
      <c r="F291" s="63">
        <v>3</v>
      </c>
      <c r="G291" s="64">
        <f t="shared" si="16"/>
        <v>1</v>
      </c>
      <c r="H291" s="64">
        <f t="shared" si="17"/>
        <v>0.21428571428571427</v>
      </c>
      <c r="I291" s="63">
        <v>2</v>
      </c>
      <c r="J291" s="65">
        <v>97.128799999999998</v>
      </c>
      <c r="K291" s="65">
        <v>100</v>
      </c>
      <c r="L291" s="62" t="s">
        <v>825</v>
      </c>
      <c r="M291" s="63">
        <v>0</v>
      </c>
      <c r="N291" s="66">
        <f t="shared" si="18"/>
        <v>0.996</v>
      </c>
      <c r="O291" s="62" t="str">
        <f t="shared" si="19"/>
        <v>4: Engaged Early</v>
      </c>
    </row>
    <row r="292" spans="1:15" ht="15" customHeight="1" x14ac:dyDescent="0.4">
      <c r="A292" s="62" t="s">
        <v>824</v>
      </c>
      <c r="B292" s="62" t="s">
        <v>794</v>
      </c>
      <c r="C292" s="62" t="s">
        <v>825</v>
      </c>
      <c r="D292" s="63">
        <v>6</v>
      </c>
      <c r="E292" s="63">
        <v>6</v>
      </c>
      <c r="F292" s="63">
        <v>0</v>
      </c>
      <c r="G292" s="64">
        <f t="shared" si="16"/>
        <v>1</v>
      </c>
      <c r="H292" s="64">
        <f t="shared" si="17"/>
        <v>0</v>
      </c>
      <c r="I292" s="63">
        <v>2</v>
      </c>
      <c r="J292" s="65">
        <v>88.834299999999999</v>
      </c>
      <c r="K292" s="65">
        <v>49.16</v>
      </c>
      <c r="L292" s="62" t="s">
        <v>825</v>
      </c>
      <c r="M292" s="63">
        <v>0</v>
      </c>
      <c r="N292" s="66">
        <f t="shared" si="18"/>
        <v>0.67800000000000005</v>
      </c>
      <c r="O292" s="62" t="str">
        <f t="shared" si="19"/>
        <v>4: Engaged Early</v>
      </c>
    </row>
    <row r="293" spans="1:15" ht="15" customHeight="1" x14ac:dyDescent="0.4">
      <c r="A293" s="62" t="s">
        <v>824</v>
      </c>
      <c r="B293" s="62" t="s">
        <v>992</v>
      </c>
      <c r="C293" s="62" t="s">
        <v>826</v>
      </c>
      <c r="D293" s="63">
        <v>13</v>
      </c>
      <c r="E293" s="63">
        <v>4</v>
      </c>
      <c r="F293" s="63">
        <v>2</v>
      </c>
      <c r="G293" s="64">
        <f t="shared" si="16"/>
        <v>0.30769230769230771</v>
      </c>
      <c r="H293" s="64">
        <f t="shared" si="17"/>
        <v>0.15384615384615385</v>
      </c>
      <c r="I293" s="63">
        <v>2</v>
      </c>
      <c r="J293" s="65">
        <v>89.662599999999998</v>
      </c>
      <c r="K293" s="65">
        <v>100</v>
      </c>
      <c r="L293" s="62" t="s">
        <v>825</v>
      </c>
      <c r="M293" s="63">
        <v>0</v>
      </c>
      <c r="N293" s="66">
        <f t="shared" si="18"/>
        <v>0.98399999999999999</v>
      </c>
      <c r="O293" s="62" t="str">
        <f t="shared" si="19"/>
        <v>4: Engaged Early</v>
      </c>
    </row>
    <row r="294" spans="1:15" ht="15" customHeight="1" x14ac:dyDescent="0.4">
      <c r="A294" s="62" t="s">
        <v>824</v>
      </c>
      <c r="B294" s="62" t="s">
        <v>993</v>
      </c>
      <c r="C294" s="62" t="s">
        <v>826</v>
      </c>
      <c r="D294" s="63">
        <v>21</v>
      </c>
      <c r="E294" s="63">
        <v>19</v>
      </c>
      <c r="F294" s="63">
        <v>5</v>
      </c>
      <c r="G294" s="64">
        <f t="shared" si="16"/>
        <v>0.90476190476190477</v>
      </c>
      <c r="H294" s="64">
        <f t="shared" si="17"/>
        <v>0.23809523809523808</v>
      </c>
      <c r="I294" s="63">
        <v>2</v>
      </c>
      <c r="J294" s="65">
        <v>88.450649999999996</v>
      </c>
      <c r="K294" s="65">
        <v>93.62</v>
      </c>
      <c r="L294" s="62" t="s">
        <v>825</v>
      </c>
      <c r="M294" s="63">
        <v>2</v>
      </c>
      <c r="N294" s="66">
        <f t="shared" si="18"/>
        <v>0.94399999999999995</v>
      </c>
      <c r="O294" s="62" t="str">
        <f t="shared" si="19"/>
        <v>4: Engaged Early</v>
      </c>
    </row>
    <row r="295" spans="1:15" ht="15" customHeight="1" x14ac:dyDescent="0.4">
      <c r="A295" s="62" t="s">
        <v>824</v>
      </c>
      <c r="B295" s="62" t="s">
        <v>577</v>
      </c>
      <c r="C295" s="62" t="s">
        <v>825</v>
      </c>
      <c r="D295" s="63">
        <v>14</v>
      </c>
      <c r="E295" s="63">
        <v>11</v>
      </c>
      <c r="F295" s="63">
        <v>1</v>
      </c>
      <c r="G295" s="64">
        <f t="shared" si="16"/>
        <v>0.7857142857142857</v>
      </c>
      <c r="H295" s="64">
        <f t="shared" si="17"/>
        <v>7.1428571428571425E-2</v>
      </c>
      <c r="I295" s="63">
        <v>1</v>
      </c>
      <c r="J295" s="65">
        <v>98.2</v>
      </c>
      <c r="K295" s="65">
        <v>28.57</v>
      </c>
      <c r="L295" s="62" t="s">
        <v>826</v>
      </c>
      <c r="M295" s="63">
        <v>0</v>
      </c>
      <c r="N295" s="66">
        <f t="shared" si="18"/>
        <v>0.31900000000000001</v>
      </c>
      <c r="O295" s="62" t="str">
        <f t="shared" si="19"/>
        <v>2: High (No DBWT)</v>
      </c>
    </row>
    <row r="296" spans="1:15" ht="15" customHeight="1" x14ac:dyDescent="0.4">
      <c r="A296" s="62" t="s">
        <v>824</v>
      </c>
      <c r="B296" s="62" t="s">
        <v>994</v>
      </c>
      <c r="C296" s="62" t="s">
        <v>826</v>
      </c>
      <c r="D296" s="63">
        <v>6</v>
      </c>
      <c r="E296" s="63">
        <v>5</v>
      </c>
      <c r="F296" s="63">
        <v>1</v>
      </c>
      <c r="G296" s="64">
        <f t="shared" si="16"/>
        <v>0.83333333333333337</v>
      </c>
      <c r="H296" s="64">
        <f t="shared" si="17"/>
        <v>0.16666666666666666</v>
      </c>
      <c r="I296" s="63">
        <v>2</v>
      </c>
      <c r="J296" s="65">
        <v>77.646050000000002</v>
      </c>
      <c r="K296" s="65">
        <v>97.43</v>
      </c>
      <c r="L296" s="62" t="s">
        <v>826</v>
      </c>
      <c r="M296" s="63">
        <v>0</v>
      </c>
      <c r="N296" s="66">
        <f t="shared" si="18"/>
        <v>0.70099999999999996</v>
      </c>
      <c r="O296" s="62" t="str">
        <f t="shared" si="19"/>
        <v>2: High (No DBWT)</v>
      </c>
    </row>
    <row r="297" spans="1:15" ht="15" customHeight="1" x14ac:dyDescent="0.4">
      <c r="A297" s="62" t="s">
        <v>824</v>
      </c>
      <c r="B297" s="62" t="s">
        <v>995</v>
      </c>
      <c r="C297" s="62" t="s">
        <v>826</v>
      </c>
      <c r="D297" s="63">
        <v>17</v>
      </c>
      <c r="E297" s="63">
        <v>12</v>
      </c>
      <c r="F297" s="63">
        <v>3</v>
      </c>
      <c r="G297" s="64">
        <f t="shared" si="16"/>
        <v>0.70588235294117652</v>
      </c>
      <c r="H297" s="64">
        <f t="shared" si="17"/>
        <v>0.17647058823529413</v>
      </c>
      <c r="I297" s="63">
        <v>2</v>
      </c>
      <c r="J297" s="65">
        <v>48.442300000000003</v>
      </c>
      <c r="K297" s="65">
        <v>52.02</v>
      </c>
      <c r="L297" s="62" t="s">
        <v>825</v>
      </c>
      <c r="M297" s="63">
        <v>0</v>
      </c>
      <c r="N297" s="66">
        <f t="shared" si="18"/>
        <v>0.63500000000000001</v>
      </c>
      <c r="O297" s="62" t="str">
        <f t="shared" si="19"/>
        <v>4: Engaged Early</v>
      </c>
    </row>
    <row r="298" spans="1:15" ht="15" customHeight="1" x14ac:dyDescent="0.4">
      <c r="A298" s="62" t="s">
        <v>824</v>
      </c>
      <c r="B298" s="62" t="s">
        <v>371</v>
      </c>
      <c r="C298" s="62" t="s">
        <v>825</v>
      </c>
      <c r="D298" s="63">
        <v>17</v>
      </c>
      <c r="E298" s="63">
        <v>4</v>
      </c>
      <c r="F298" s="63">
        <v>2</v>
      </c>
      <c r="G298" s="64">
        <f t="shared" si="16"/>
        <v>0.23529411764705882</v>
      </c>
      <c r="H298" s="64">
        <f t="shared" si="17"/>
        <v>0.11764705882352941</v>
      </c>
      <c r="I298" s="63">
        <v>0</v>
      </c>
      <c r="J298" s="65"/>
      <c r="K298" s="65">
        <v>0</v>
      </c>
      <c r="L298" s="62" t="s">
        <v>825</v>
      </c>
      <c r="M298" s="63">
        <v>0</v>
      </c>
      <c r="N298" s="66">
        <f t="shared" si="18"/>
        <v>0.25</v>
      </c>
      <c r="O298" s="62" t="str">
        <f t="shared" si="19"/>
        <v>3: Elevated (No Wk0)</v>
      </c>
    </row>
    <row r="299" spans="1:15" ht="15" customHeight="1" x14ac:dyDescent="0.4">
      <c r="A299" s="62" t="s">
        <v>824</v>
      </c>
      <c r="B299" s="62" t="s">
        <v>559</v>
      </c>
      <c r="C299" s="62" t="s">
        <v>825</v>
      </c>
      <c r="D299" s="63">
        <v>13</v>
      </c>
      <c r="E299" s="63">
        <v>4</v>
      </c>
      <c r="F299" s="63">
        <v>1</v>
      </c>
      <c r="G299" s="64">
        <f t="shared" si="16"/>
        <v>0.30769230769230771</v>
      </c>
      <c r="H299" s="64">
        <f t="shared" si="17"/>
        <v>7.6923076923076927E-2</v>
      </c>
      <c r="I299" s="63">
        <v>2</v>
      </c>
      <c r="J299" s="65">
        <v>57.554349999999999</v>
      </c>
      <c r="K299" s="65">
        <v>26.71</v>
      </c>
      <c r="L299" s="62" t="s">
        <v>825</v>
      </c>
      <c r="M299" s="63">
        <v>0</v>
      </c>
      <c r="N299" s="66">
        <f t="shared" si="18"/>
        <v>0.497</v>
      </c>
      <c r="O299" s="62" t="str">
        <f t="shared" si="19"/>
        <v>4: Engaged Early</v>
      </c>
    </row>
    <row r="300" spans="1:15" ht="15" customHeight="1" x14ac:dyDescent="0.4">
      <c r="A300" s="62" t="s">
        <v>824</v>
      </c>
      <c r="B300" s="62" t="s">
        <v>996</v>
      </c>
      <c r="C300" s="62" t="s">
        <v>826</v>
      </c>
      <c r="D300" s="63">
        <v>5</v>
      </c>
      <c r="E300" s="63">
        <v>5</v>
      </c>
      <c r="F300" s="63">
        <v>1</v>
      </c>
      <c r="G300" s="64">
        <f t="shared" si="16"/>
        <v>1</v>
      </c>
      <c r="H300" s="64">
        <f t="shared" si="17"/>
        <v>0.2</v>
      </c>
      <c r="I300" s="63">
        <v>2</v>
      </c>
      <c r="J300" s="65">
        <v>82.853800000000007</v>
      </c>
      <c r="K300" s="65">
        <v>60.4</v>
      </c>
      <c r="L300" s="62" t="s">
        <v>825</v>
      </c>
      <c r="M300" s="63">
        <v>0</v>
      </c>
      <c r="N300" s="66">
        <f t="shared" si="18"/>
        <v>0.73699999999999999</v>
      </c>
      <c r="O300" s="62" t="str">
        <f t="shared" si="19"/>
        <v>4: Engaged Early</v>
      </c>
    </row>
    <row r="301" spans="1:15" ht="15" customHeight="1" x14ac:dyDescent="0.4">
      <c r="A301" s="62" t="s">
        <v>824</v>
      </c>
      <c r="B301" s="62" t="s">
        <v>997</v>
      </c>
      <c r="C301" s="62" t="s">
        <v>826</v>
      </c>
      <c r="D301" s="63">
        <v>17</v>
      </c>
      <c r="E301" s="63">
        <v>15</v>
      </c>
      <c r="F301" s="63">
        <v>3</v>
      </c>
      <c r="G301" s="64">
        <f t="shared" si="16"/>
        <v>0.88235294117647056</v>
      </c>
      <c r="H301" s="64">
        <f t="shared" si="17"/>
        <v>0.17647058823529413</v>
      </c>
      <c r="I301" s="63">
        <v>2</v>
      </c>
      <c r="J301" s="65">
        <v>83.6738</v>
      </c>
      <c r="K301" s="65">
        <v>100</v>
      </c>
      <c r="L301" s="62" t="s">
        <v>826</v>
      </c>
      <c r="M301" s="63">
        <v>0</v>
      </c>
      <c r="N301" s="66">
        <f t="shared" si="18"/>
        <v>0.72599999999999998</v>
      </c>
      <c r="O301" s="62" t="str">
        <f t="shared" si="19"/>
        <v>2: High (No DBWT)</v>
      </c>
    </row>
    <row r="302" spans="1:15" ht="15" customHeight="1" x14ac:dyDescent="0.4">
      <c r="A302" s="62" t="s">
        <v>824</v>
      </c>
      <c r="B302" s="62" t="s">
        <v>998</v>
      </c>
      <c r="C302" s="62" t="s">
        <v>826</v>
      </c>
      <c r="D302" s="63">
        <v>15</v>
      </c>
      <c r="E302" s="63">
        <v>14</v>
      </c>
      <c r="F302" s="63">
        <v>1</v>
      </c>
      <c r="G302" s="64">
        <f t="shared" si="16"/>
        <v>0.93333333333333335</v>
      </c>
      <c r="H302" s="64">
        <f t="shared" si="17"/>
        <v>6.6666666666666666E-2</v>
      </c>
      <c r="I302" s="63">
        <v>2</v>
      </c>
      <c r="J302" s="65">
        <v>35.822949999999999</v>
      </c>
      <c r="K302" s="65">
        <v>72.73</v>
      </c>
      <c r="L302" s="62" t="s">
        <v>826</v>
      </c>
      <c r="M302" s="63">
        <v>0</v>
      </c>
      <c r="N302" s="66">
        <f t="shared" si="18"/>
        <v>0.49</v>
      </c>
      <c r="O302" s="62" t="str">
        <f t="shared" si="19"/>
        <v>2: High (No DBWT)</v>
      </c>
    </row>
    <row r="303" spans="1:15" ht="15" customHeight="1" x14ac:dyDescent="0.4">
      <c r="A303" s="62" t="s">
        <v>824</v>
      </c>
      <c r="B303" s="62" t="s">
        <v>999</v>
      </c>
      <c r="C303" s="62" t="s">
        <v>826</v>
      </c>
      <c r="D303" s="63">
        <v>4</v>
      </c>
      <c r="E303" s="63">
        <v>3</v>
      </c>
      <c r="F303" s="63">
        <v>0</v>
      </c>
      <c r="G303" s="64">
        <f t="shared" si="16"/>
        <v>0.75</v>
      </c>
      <c r="H303" s="64">
        <f t="shared" si="17"/>
        <v>0</v>
      </c>
      <c r="I303" s="63">
        <v>0</v>
      </c>
      <c r="J303" s="65"/>
      <c r="K303" s="65">
        <v>50</v>
      </c>
      <c r="L303" s="62" t="s">
        <v>825</v>
      </c>
      <c r="M303" s="63">
        <v>0</v>
      </c>
      <c r="N303" s="66">
        <f t="shared" si="18"/>
        <v>0.55000000000000004</v>
      </c>
      <c r="O303" s="62" t="str">
        <f t="shared" si="19"/>
        <v>3: Elevated (No Wk0)</v>
      </c>
    </row>
    <row r="304" spans="1:15" ht="15" customHeight="1" x14ac:dyDescent="0.4">
      <c r="A304" s="62" t="s">
        <v>824</v>
      </c>
      <c r="B304" s="62" t="s">
        <v>1000</v>
      </c>
      <c r="C304" s="62" t="s">
        <v>826</v>
      </c>
      <c r="D304" s="63">
        <v>4</v>
      </c>
      <c r="E304" s="63">
        <v>4</v>
      </c>
      <c r="F304" s="63">
        <v>1</v>
      </c>
      <c r="G304" s="64">
        <f t="shared" si="16"/>
        <v>1</v>
      </c>
      <c r="H304" s="64">
        <f t="shared" si="17"/>
        <v>0.25</v>
      </c>
      <c r="I304" s="63">
        <v>2</v>
      </c>
      <c r="J304" s="65">
        <v>88.882400000000004</v>
      </c>
      <c r="K304" s="65">
        <v>100</v>
      </c>
      <c r="L304" s="62" t="s">
        <v>825</v>
      </c>
      <c r="M304" s="63">
        <v>0</v>
      </c>
      <c r="N304" s="66">
        <f t="shared" si="18"/>
        <v>0.98299999999999998</v>
      </c>
      <c r="O304" s="62" t="str">
        <f t="shared" si="19"/>
        <v>4: Engaged Early</v>
      </c>
    </row>
    <row r="305" spans="1:15" ht="15" customHeight="1" x14ac:dyDescent="0.4">
      <c r="A305" s="62" t="s">
        <v>824</v>
      </c>
      <c r="B305" s="62" t="s">
        <v>1001</v>
      </c>
      <c r="C305" s="62" t="s">
        <v>826</v>
      </c>
      <c r="D305" s="63">
        <v>13</v>
      </c>
      <c r="E305" s="63">
        <v>8</v>
      </c>
      <c r="F305" s="63">
        <v>1</v>
      </c>
      <c r="G305" s="64">
        <f t="shared" si="16"/>
        <v>0.61538461538461542</v>
      </c>
      <c r="H305" s="64">
        <f t="shared" si="17"/>
        <v>7.6923076923076927E-2</v>
      </c>
      <c r="I305" s="63">
        <v>2</v>
      </c>
      <c r="J305" s="65">
        <v>99.354699999999994</v>
      </c>
      <c r="K305" s="65">
        <v>39</v>
      </c>
      <c r="L305" s="62" t="s">
        <v>825</v>
      </c>
      <c r="M305" s="63">
        <v>0</v>
      </c>
      <c r="N305" s="66">
        <f t="shared" si="18"/>
        <v>0.63300000000000001</v>
      </c>
      <c r="O305" s="62" t="str">
        <f t="shared" si="19"/>
        <v>4: Engaged Early</v>
      </c>
    </row>
    <row r="306" spans="1:15" ht="15" customHeight="1" x14ac:dyDescent="0.4">
      <c r="A306" s="62" t="s">
        <v>824</v>
      </c>
      <c r="B306" s="62" t="s">
        <v>679</v>
      </c>
      <c r="C306" s="62" t="s">
        <v>825</v>
      </c>
      <c r="D306" s="63">
        <v>12</v>
      </c>
      <c r="E306" s="63">
        <v>12</v>
      </c>
      <c r="F306" s="63">
        <v>2</v>
      </c>
      <c r="G306" s="64">
        <f t="shared" si="16"/>
        <v>1</v>
      </c>
      <c r="H306" s="64">
        <f t="shared" si="17"/>
        <v>0.16666666666666666</v>
      </c>
      <c r="I306" s="63">
        <v>2</v>
      </c>
      <c r="J306" s="65">
        <v>48.334009999999999</v>
      </c>
      <c r="K306" s="65">
        <v>56.94</v>
      </c>
      <c r="L306" s="62" t="s">
        <v>826</v>
      </c>
      <c r="M306" s="63">
        <v>0</v>
      </c>
      <c r="N306" s="66">
        <f t="shared" si="18"/>
        <v>0.41399999999999998</v>
      </c>
      <c r="O306" s="62" t="str">
        <f t="shared" si="19"/>
        <v>2: High (No DBWT)</v>
      </c>
    </row>
    <row r="307" spans="1:15" ht="15" customHeight="1" x14ac:dyDescent="0.4">
      <c r="A307" s="62" t="s">
        <v>824</v>
      </c>
      <c r="B307" s="62" t="s">
        <v>1002</v>
      </c>
      <c r="C307" s="62" t="s">
        <v>826</v>
      </c>
      <c r="D307" s="63">
        <v>21</v>
      </c>
      <c r="E307" s="63">
        <v>21</v>
      </c>
      <c r="F307" s="63">
        <v>2</v>
      </c>
      <c r="G307" s="64">
        <f t="shared" si="16"/>
        <v>1</v>
      </c>
      <c r="H307" s="64">
        <f t="shared" si="17"/>
        <v>9.5238095238095233E-2</v>
      </c>
      <c r="I307" s="63">
        <v>2</v>
      </c>
      <c r="J307" s="65">
        <v>57.499250000000004</v>
      </c>
      <c r="K307" s="65">
        <v>57.23</v>
      </c>
      <c r="L307" s="62" t="s">
        <v>825</v>
      </c>
      <c r="M307" s="63">
        <v>0</v>
      </c>
      <c r="N307" s="66">
        <f t="shared" si="18"/>
        <v>0.68</v>
      </c>
      <c r="O307" s="62" t="str">
        <f t="shared" si="19"/>
        <v>4: Engaged Early</v>
      </c>
    </row>
    <row r="308" spans="1:15" ht="15" customHeight="1" x14ac:dyDescent="0.4">
      <c r="A308" s="62" t="s">
        <v>824</v>
      </c>
      <c r="B308" s="62" t="s">
        <v>597</v>
      </c>
      <c r="C308" s="62" t="s">
        <v>825</v>
      </c>
      <c r="D308" s="63">
        <v>3</v>
      </c>
      <c r="E308" s="63">
        <v>3</v>
      </c>
      <c r="F308" s="63">
        <v>2</v>
      </c>
      <c r="G308" s="64">
        <f t="shared" si="16"/>
        <v>1</v>
      </c>
      <c r="H308" s="64">
        <f t="shared" si="17"/>
        <v>0.66666666666666663</v>
      </c>
      <c r="I308" s="63">
        <v>1</v>
      </c>
      <c r="J308" s="65">
        <v>42.214799999999997</v>
      </c>
      <c r="K308" s="65">
        <v>65.510000000000005</v>
      </c>
      <c r="L308" s="62" t="s">
        <v>826</v>
      </c>
      <c r="M308" s="63">
        <v>0</v>
      </c>
      <c r="N308" s="66">
        <f t="shared" si="18"/>
        <v>0.45600000000000002</v>
      </c>
      <c r="O308" s="62" t="str">
        <f t="shared" si="19"/>
        <v>2: High (No DBWT)</v>
      </c>
    </row>
    <row r="309" spans="1:15" ht="15" customHeight="1" x14ac:dyDescent="0.4">
      <c r="A309" s="62" t="s">
        <v>824</v>
      </c>
      <c r="B309" s="62" t="s">
        <v>708</v>
      </c>
      <c r="C309" s="62" t="s">
        <v>825</v>
      </c>
      <c r="D309" s="63">
        <v>16</v>
      </c>
      <c r="E309" s="63">
        <v>16</v>
      </c>
      <c r="F309" s="63">
        <v>3</v>
      </c>
      <c r="G309" s="64">
        <f t="shared" si="16"/>
        <v>1</v>
      </c>
      <c r="H309" s="64">
        <f t="shared" si="17"/>
        <v>0.1875</v>
      </c>
      <c r="I309" s="63">
        <v>1</v>
      </c>
      <c r="J309" s="65">
        <v>19.11</v>
      </c>
      <c r="K309" s="65">
        <v>59.41</v>
      </c>
      <c r="L309" s="62" t="s">
        <v>825</v>
      </c>
      <c r="M309" s="63">
        <v>0</v>
      </c>
      <c r="N309" s="66">
        <f t="shared" si="18"/>
        <v>0.63500000000000001</v>
      </c>
      <c r="O309" s="62" t="str">
        <f t="shared" si="19"/>
        <v>4: Engaged Early</v>
      </c>
    </row>
    <row r="310" spans="1:15" ht="15" customHeight="1" x14ac:dyDescent="0.4">
      <c r="A310" s="62" t="s">
        <v>824</v>
      </c>
      <c r="B310" s="62" t="s">
        <v>1003</v>
      </c>
      <c r="C310" s="62" t="s">
        <v>826</v>
      </c>
      <c r="D310" s="63">
        <v>13</v>
      </c>
      <c r="E310" s="63">
        <v>13</v>
      </c>
      <c r="F310" s="63">
        <v>1</v>
      </c>
      <c r="G310" s="64">
        <f t="shared" si="16"/>
        <v>1</v>
      </c>
      <c r="H310" s="64">
        <f t="shared" si="17"/>
        <v>7.6923076923076927E-2</v>
      </c>
      <c r="I310" s="63">
        <v>2</v>
      </c>
      <c r="J310" s="65">
        <v>92.73</v>
      </c>
      <c r="K310" s="65">
        <v>67.540000000000006</v>
      </c>
      <c r="L310" s="62" t="s">
        <v>825</v>
      </c>
      <c r="M310" s="63">
        <v>1</v>
      </c>
      <c r="N310" s="66">
        <f t="shared" si="18"/>
        <v>0.79400000000000004</v>
      </c>
      <c r="O310" s="62" t="str">
        <f t="shared" si="19"/>
        <v>4: Engaged Early</v>
      </c>
    </row>
    <row r="311" spans="1:15" ht="15" customHeight="1" x14ac:dyDescent="0.4">
      <c r="A311" s="62" t="s">
        <v>824</v>
      </c>
      <c r="B311" s="62" t="s">
        <v>1004</v>
      </c>
      <c r="C311" s="62" t="s">
        <v>826</v>
      </c>
      <c r="D311" s="63">
        <v>14</v>
      </c>
      <c r="E311" s="63">
        <v>10</v>
      </c>
      <c r="F311" s="63">
        <v>3</v>
      </c>
      <c r="G311" s="64">
        <f t="shared" si="16"/>
        <v>0.7142857142857143</v>
      </c>
      <c r="H311" s="64">
        <f t="shared" si="17"/>
        <v>0.21428571428571427</v>
      </c>
      <c r="I311" s="63">
        <v>2</v>
      </c>
      <c r="J311" s="65">
        <v>49.95335</v>
      </c>
      <c r="K311" s="65">
        <v>89.51</v>
      </c>
      <c r="L311" s="62" t="s">
        <v>825</v>
      </c>
      <c r="M311" s="63">
        <v>0</v>
      </c>
      <c r="N311" s="66">
        <f t="shared" si="18"/>
        <v>0.86199999999999999</v>
      </c>
      <c r="O311" s="62" t="str">
        <f t="shared" si="19"/>
        <v>4: Engaged Early</v>
      </c>
    </row>
    <row r="312" spans="1:15" ht="15" customHeight="1" x14ac:dyDescent="0.4">
      <c r="A312" s="62" t="s">
        <v>824</v>
      </c>
      <c r="B312" s="62" t="s">
        <v>1005</v>
      </c>
      <c r="C312" s="62" t="s">
        <v>826</v>
      </c>
      <c r="D312" s="63">
        <v>22</v>
      </c>
      <c r="E312" s="63">
        <v>17</v>
      </c>
      <c r="F312" s="63">
        <v>0</v>
      </c>
      <c r="G312" s="64">
        <f t="shared" si="16"/>
        <v>0.77272727272727271</v>
      </c>
      <c r="H312" s="64">
        <f t="shared" si="17"/>
        <v>0</v>
      </c>
      <c r="I312" s="63">
        <v>1</v>
      </c>
      <c r="J312" s="65">
        <v>56.62</v>
      </c>
      <c r="K312" s="65">
        <v>13.75</v>
      </c>
      <c r="L312" s="62" t="s">
        <v>825</v>
      </c>
      <c r="M312" s="63">
        <v>0</v>
      </c>
      <c r="N312" s="66">
        <f t="shared" si="18"/>
        <v>0.41699999999999998</v>
      </c>
      <c r="O312" s="62" t="str">
        <f t="shared" si="19"/>
        <v>4: Engaged Early</v>
      </c>
    </row>
    <row r="313" spans="1:15" ht="15" customHeight="1" x14ac:dyDescent="0.4">
      <c r="A313" s="62" t="s">
        <v>824</v>
      </c>
      <c r="B313" s="62" t="s">
        <v>499</v>
      </c>
      <c r="C313" s="62" t="s">
        <v>825</v>
      </c>
      <c r="D313" s="63">
        <v>3</v>
      </c>
      <c r="E313" s="63">
        <v>3</v>
      </c>
      <c r="F313" s="63">
        <v>1</v>
      </c>
      <c r="G313" s="64">
        <f t="shared" si="16"/>
        <v>1</v>
      </c>
      <c r="H313" s="64">
        <f t="shared" si="17"/>
        <v>0.33333333333333331</v>
      </c>
      <c r="I313" s="63">
        <v>1</v>
      </c>
      <c r="J313" s="65">
        <v>41.7</v>
      </c>
      <c r="K313" s="65">
        <v>28.01</v>
      </c>
      <c r="L313" s="62" t="s">
        <v>825</v>
      </c>
      <c r="M313" s="63">
        <v>0</v>
      </c>
      <c r="N313" s="66">
        <f t="shared" si="18"/>
        <v>0.48099999999999998</v>
      </c>
      <c r="O313" s="62" t="str">
        <f t="shared" si="19"/>
        <v>4: Engaged Early</v>
      </c>
    </row>
    <row r="314" spans="1:15" ht="15" customHeight="1" x14ac:dyDescent="0.4">
      <c r="A314" s="62" t="s">
        <v>824</v>
      </c>
      <c r="B314" s="62" t="s">
        <v>1006</v>
      </c>
      <c r="C314" s="62" t="s">
        <v>826</v>
      </c>
      <c r="D314" s="63">
        <v>5</v>
      </c>
      <c r="E314" s="63">
        <v>5</v>
      </c>
      <c r="F314" s="63">
        <v>4</v>
      </c>
      <c r="G314" s="64">
        <f t="shared" si="16"/>
        <v>1</v>
      </c>
      <c r="H314" s="64">
        <f t="shared" si="17"/>
        <v>0.8</v>
      </c>
      <c r="I314" s="63">
        <v>2</v>
      </c>
      <c r="J314" s="65">
        <v>44.507427</v>
      </c>
      <c r="K314" s="65">
        <v>87.53</v>
      </c>
      <c r="L314" s="62" t="s">
        <v>825</v>
      </c>
      <c r="M314" s="63">
        <v>0</v>
      </c>
      <c r="N314" s="66">
        <f t="shared" si="18"/>
        <v>0.84199999999999997</v>
      </c>
      <c r="O314" s="62" t="str">
        <f t="shared" si="19"/>
        <v>4: Engaged Early</v>
      </c>
    </row>
    <row r="315" spans="1:15" ht="15" customHeight="1" x14ac:dyDescent="0.4">
      <c r="A315" s="62" t="s">
        <v>824</v>
      </c>
      <c r="B315" s="62" t="s">
        <v>1007</v>
      </c>
      <c r="C315" s="62" t="s">
        <v>826</v>
      </c>
      <c r="D315" s="63">
        <v>11</v>
      </c>
      <c r="E315" s="63">
        <v>7</v>
      </c>
      <c r="F315" s="63">
        <v>0</v>
      </c>
      <c r="G315" s="64">
        <f t="shared" si="16"/>
        <v>0.63636363636363635</v>
      </c>
      <c r="H315" s="64">
        <f t="shared" si="17"/>
        <v>0</v>
      </c>
      <c r="I315" s="63">
        <v>2</v>
      </c>
      <c r="J315" s="65">
        <v>65.952449999999999</v>
      </c>
      <c r="K315" s="65">
        <v>82.7</v>
      </c>
      <c r="L315" s="62" t="s">
        <v>825</v>
      </c>
      <c r="M315" s="63">
        <v>0</v>
      </c>
      <c r="N315" s="66">
        <f t="shared" si="18"/>
        <v>0.84499999999999997</v>
      </c>
      <c r="O315" s="62" t="str">
        <f t="shared" si="19"/>
        <v>4: Engaged Early</v>
      </c>
    </row>
    <row r="316" spans="1:15" ht="15" customHeight="1" x14ac:dyDescent="0.4">
      <c r="A316" s="62" t="s">
        <v>824</v>
      </c>
      <c r="B316" s="62" t="s">
        <v>1008</v>
      </c>
      <c r="C316" s="62" t="s">
        <v>826</v>
      </c>
      <c r="D316" s="63">
        <v>12</v>
      </c>
      <c r="E316" s="63">
        <v>9</v>
      </c>
      <c r="F316" s="63">
        <v>4</v>
      </c>
      <c r="G316" s="64">
        <f t="shared" si="16"/>
        <v>0.75</v>
      </c>
      <c r="H316" s="64">
        <f t="shared" si="17"/>
        <v>0.33333333333333331</v>
      </c>
      <c r="I316" s="63">
        <v>2</v>
      </c>
      <c r="J316" s="65">
        <v>49.914135999999999</v>
      </c>
      <c r="K316" s="65">
        <v>87.55</v>
      </c>
      <c r="L316" s="62" t="s">
        <v>825</v>
      </c>
      <c r="M316" s="63">
        <v>0</v>
      </c>
      <c r="N316" s="66">
        <f t="shared" si="18"/>
        <v>0.85</v>
      </c>
      <c r="O316" s="62" t="str">
        <f t="shared" si="19"/>
        <v>4: Engaged Early</v>
      </c>
    </row>
    <row r="317" spans="1:15" ht="15" customHeight="1" x14ac:dyDescent="0.4">
      <c r="A317" s="62" t="s">
        <v>824</v>
      </c>
      <c r="B317" s="62" t="s">
        <v>1009</v>
      </c>
      <c r="C317" s="62" t="s">
        <v>826</v>
      </c>
      <c r="D317" s="63">
        <v>3</v>
      </c>
      <c r="E317" s="63">
        <v>3</v>
      </c>
      <c r="F317" s="63">
        <v>1</v>
      </c>
      <c r="G317" s="64">
        <f t="shared" si="16"/>
        <v>1</v>
      </c>
      <c r="H317" s="64">
        <f t="shared" si="17"/>
        <v>0.33333333333333331</v>
      </c>
      <c r="I317" s="63">
        <v>1</v>
      </c>
      <c r="J317" s="65">
        <v>97.87</v>
      </c>
      <c r="K317" s="65">
        <v>87.5</v>
      </c>
      <c r="L317" s="62" t="s">
        <v>825</v>
      </c>
      <c r="M317" s="63">
        <v>0</v>
      </c>
      <c r="N317" s="66">
        <f t="shared" si="18"/>
        <v>0.92200000000000004</v>
      </c>
      <c r="O317" s="62" t="str">
        <f t="shared" si="19"/>
        <v>4: Engaged Early</v>
      </c>
    </row>
    <row r="318" spans="1:15" ht="15" customHeight="1" x14ac:dyDescent="0.4">
      <c r="A318" s="62" t="s">
        <v>824</v>
      </c>
      <c r="B318" s="62" t="s">
        <v>509</v>
      </c>
      <c r="C318" s="62" t="s">
        <v>825</v>
      </c>
      <c r="D318" s="63">
        <v>4</v>
      </c>
      <c r="E318" s="63">
        <v>4</v>
      </c>
      <c r="F318" s="63">
        <v>1</v>
      </c>
      <c r="G318" s="64">
        <f t="shared" si="16"/>
        <v>1</v>
      </c>
      <c r="H318" s="64">
        <f t="shared" si="17"/>
        <v>0.25</v>
      </c>
      <c r="I318" s="63">
        <v>2</v>
      </c>
      <c r="J318" s="65">
        <v>95.84845</v>
      </c>
      <c r="K318" s="65">
        <v>50.75</v>
      </c>
      <c r="L318" s="62" t="s">
        <v>825</v>
      </c>
      <c r="M318" s="63">
        <v>0</v>
      </c>
      <c r="N318" s="66">
        <f t="shared" si="18"/>
        <v>0.69799999999999995</v>
      </c>
      <c r="O318" s="62" t="str">
        <f t="shared" si="19"/>
        <v>4: Engaged Early</v>
      </c>
    </row>
    <row r="319" spans="1:15" ht="15" customHeight="1" x14ac:dyDescent="0.4">
      <c r="A319" s="62" t="s">
        <v>824</v>
      </c>
      <c r="B319" s="62" t="s">
        <v>549</v>
      </c>
      <c r="C319" s="62" t="s">
        <v>825</v>
      </c>
      <c r="D319" s="63">
        <v>20</v>
      </c>
      <c r="E319" s="63">
        <v>20</v>
      </c>
      <c r="F319" s="63">
        <v>1</v>
      </c>
      <c r="G319" s="64">
        <f t="shared" si="16"/>
        <v>1</v>
      </c>
      <c r="H319" s="64">
        <f t="shared" si="17"/>
        <v>0.05</v>
      </c>
      <c r="I319" s="63">
        <v>2</v>
      </c>
      <c r="J319" s="65">
        <v>94.964150000000004</v>
      </c>
      <c r="K319" s="65">
        <v>83.33</v>
      </c>
      <c r="L319" s="62" t="s">
        <v>825</v>
      </c>
      <c r="M319" s="63">
        <v>0</v>
      </c>
      <c r="N319" s="66">
        <f t="shared" si="18"/>
        <v>0.89200000000000002</v>
      </c>
      <c r="O319" s="62" t="str">
        <f t="shared" si="19"/>
        <v>4: Engaged Early</v>
      </c>
    </row>
    <row r="320" spans="1:15" ht="15" customHeight="1" x14ac:dyDescent="0.4">
      <c r="A320" s="62" t="s">
        <v>824</v>
      </c>
      <c r="B320" s="62" t="s">
        <v>1010</v>
      </c>
      <c r="C320" s="62" t="s">
        <v>826</v>
      </c>
      <c r="D320" s="63">
        <v>4</v>
      </c>
      <c r="E320" s="63">
        <v>3</v>
      </c>
      <c r="F320" s="63">
        <v>2</v>
      </c>
      <c r="G320" s="64">
        <f t="shared" si="16"/>
        <v>0.75</v>
      </c>
      <c r="H320" s="64">
        <f t="shared" si="17"/>
        <v>0.5</v>
      </c>
      <c r="I320" s="63">
        <v>1</v>
      </c>
      <c r="J320" s="65">
        <v>98.22</v>
      </c>
      <c r="K320" s="65">
        <v>75</v>
      </c>
      <c r="L320" s="62" t="s">
        <v>825</v>
      </c>
      <c r="M320" s="63">
        <v>0</v>
      </c>
      <c r="N320" s="66">
        <f t="shared" si="18"/>
        <v>0.84699999999999998</v>
      </c>
      <c r="O320" s="62" t="str">
        <f t="shared" si="19"/>
        <v>4: Engaged Early</v>
      </c>
    </row>
    <row r="321" spans="1:15" ht="15" customHeight="1" x14ac:dyDescent="0.4">
      <c r="A321" s="62" t="s">
        <v>824</v>
      </c>
      <c r="B321" s="62" t="s">
        <v>1011</v>
      </c>
      <c r="C321" s="62" t="s">
        <v>826</v>
      </c>
      <c r="D321" s="63">
        <v>1</v>
      </c>
      <c r="E321" s="63">
        <v>1</v>
      </c>
      <c r="F321" s="63">
        <v>1</v>
      </c>
      <c r="G321" s="64">
        <f t="shared" si="16"/>
        <v>1</v>
      </c>
      <c r="H321" s="64">
        <f t="shared" si="17"/>
        <v>1</v>
      </c>
      <c r="I321" s="63">
        <v>2</v>
      </c>
      <c r="J321" s="65">
        <v>17.217077499999998</v>
      </c>
      <c r="K321" s="65">
        <v>81.36</v>
      </c>
      <c r="L321" s="62" t="s">
        <v>826</v>
      </c>
      <c r="M321" s="63">
        <v>0</v>
      </c>
      <c r="N321" s="66">
        <f t="shared" si="18"/>
        <v>0.51400000000000001</v>
      </c>
      <c r="O321" s="62" t="str">
        <f t="shared" si="19"/>
        <v>2: High (No DBWT)</v>
      </c>
    </row>
    <row r="322" spans="1:15" ht="15" customHeight="1" x14ac:dyDescent="0.4">
      <c r="A322" s="62" t="s">
        <v>824</v>
      </c>
      <c r="B322" s="62" t="s">
        <v>1012</v>
      </c>
      <c r="C322" s="62" t="s">
        <v>826</v>
      </c>
      <c r="D322" s="63">
        <v>8</v>
      </c>
      <c r="E322" s="63">
        <v>6</v>
      </c>
      <c r="F322" s="63">
        <v>1</v>
      </c>
      <c r="G322" s="64">
        <f t="shared" ref="G322:G385" si="20">IFERROR(E322/D322,0)</f>
        <v>0.75</v>
      </c>
      <c r="H322" s="64">
        <f t="shared" ref="H322:H385" si="21">IFERROR(F322/D322,0)</f>
        <v>0.125</v>
      </c>
      <c r="I322" s="63">
        <v>2</v>
      </c>
      <c r="J322" s="65">
        <v>96.529799999999994</v>
      </c>
      <c r="K322" s="65">
        <v>100</v>
      </c>
      <c r="L322" s="62" t="s">
        <v>826</v>
      </c>
      <c r="M322" s="63">
        <v>0</v>
      </c>
      <c r="N322" s="66">
        <f t="shared" ref="N322:N385" si="22">ROUND(IFERROR(K322/100,0)*0.6 + IF(L322="Yes",1,IF(L322="No",0,0.3))*0.25 + IFERROR(J322/100,0)*0.15,3)</f>
        <v>0.745</v>
      </c>
      <c r="O322" s="62" t="str">
        <f t="shared" ref="O322:O385" si="23">IF(AND(L322="No",I322=0),"1: Critical (No DBWT + No Wk0)",IF(L322="No","2: High (No DBWT)",IF(I322=0,"3: Elevated (No Wk0)","4: Engaged Early")))</f>
        <v>2: High (No DBWT)</v>
      </c>
    </row>
    <row r="323" spans="1:15" ht="15" customHeight="1" x14ac:dyDescent="0.4">
      <c r="A323" s="62" t="s">
        <v>824</v>
      </c>
      <c r="B323" s="62" t="s">
        <v>1013</v>
      </c>
      <c r="C323" s="62" t="s">
        <v>826</v>
      </c>
      <c r="D323" s="63">
        <v>10</v>
      </c>
      <c r="E323" s="63">
        <v>10</v>
      </c>
      <c r="F323" s="63">
        <v>1</v>
      </c>
      <c r="G323" s="64">
        <f t="shared" si="20"/>
        <v>1</v>
      </c>
      <c r="H323" s="64">
        <f t="shared" si="21"/>
        <v>0.1</v>
      </c>
      <c r="I323" s="63">
        <v>1</v>
      </c>
      <c r="J323" s="65">
        <v>85.24</v>
      </c>
      <c r="K323" s="65">
        <v>37.479999999999997</v>
      </c>
      <c r="L323" s="62" t="s">
        <v>825</v>
      </c>
      <c r="M323" s="63">
        <v>0</v>
      </c>
      <c r="N323" s="66">
        <f t="shared" si="22"/>
        <v>0.60299999999999998</v>
      </c>
      <c r="O323" s="62" t="str">
        <f t="shared" si="23"/>
        <v>4: Engaged Early</v>
      </c>
    </row>
    <row r="324" spans="1:15" ht="15" customHeight="1" x14ac:dyDescent="0.4">
      <c r="A324" s="62" t="s">
        <v>824</v>
      </c>
      <c r="B324" s="62" t="s">
        <v>1014</v>
      </c>
      <c r="C324" s="62" t="s">
        <v>826</v>
      </c>
      <c r="D324" s="63">
        <v>18</v>
      </c>
      <c r="E324" s="63">
        <v>8</v>
      </c>
      <c r="F324" s="63">
        <v>11</v>
      </c>
      <c r="G324" s="64">
        <f t="shared" si="20"/>
        <v>0.44444444444444442</v>
      </c>
      <c r="H324" s="64">
        <f t="shared" si="21"/>
        <v>0.61111111111111116</v>
      </c>
      <c r="I324" s="63">
        <v>2</v>
      </c>
      <c r="J324" s="65">
        <v>86.782399999999996</v>
      </c>
      <c r="K324" s="65">
        <v>100</v>
      </c>
      <c r="L324" s="62" t="s">
        <v>825</v>
      </c>
      <c r="M324" s="63">
        <v>0</v>
      </c>
      <c r="N324" s="66">
        <f t="shared" si="22"/>
        <v>0.98</v>
      </c>
      <c r="O324" s="62" t="str">
        <f t="shared" si="23"/>
        <v>4: Engaged Early</v>
      </c>
    </row>
    <row r="325" spans="1:15" ht="15" customHeight="1" x14ac:dyDescent="0.4">
      <c r="A325" s="62" t="s">
        <v>824</v>
      </c>
      <c r="B325" s="62" t="s">
        <v>1015</v>
      </c>
      <c r="C325" s="62" t="s">
        <v>826</v>
      </c>
      <c r="D325" s="63">
        <v>10</v>
      </c>
      <c r="E325" s="63">
        <v>7</v>
      </c>
      <c r="F325" s="63">
        <v>0</v>
      </c>
      <c r="G325" s="64">
        <f t="shared" si="20"/>
        <v>0.7</v>
      </c>
      <c r="H325" s="64">
        <f t="shared" si="21"/>
        <v>0</v>
      </c>
      <c r="I325" s="63">
        <v>1</v>
      </c>
      <c r="J325" s="65">
        <v>58.15</v>
      </c>
      <c r="K325" s="65">
        <v>57.51</v>
      </c>
      <c r="L325" s="62" t="s">
        <v>825</v>
      </c>
      <c r="M325" s="63">
        <v>0</v>
      </c>
      <c r="N325" s="66">
        <f t="shared" si="22"/>
        <v>0.68200000000000005</v>
      </c>
      <c r="O325" s="62" t="str">
        <f t="shared" si="23"/>
        <v>4: Engaged Early</v>
      </c>
    </row>
    <row r="326" spans="1:15" ht="15" customHeight="1" x14ac:dyDescent="0.4">
      <c r="A326" s="62" t="s">
        <v>824</v>
      </c>
      <c r="B326" s="62" t="s">
        <v>1016</v>
      </c>
      <c r="C326" s="62" t="s">
        <v>826</v>
      </c>
      <c r="D326" s="63">
        <v>0</v>
      </c>
      <c r="E326" s="63">
        <v>0</v>
      </c>
      <c r="F326" s="63">
        <v>0</v>
      </c>
      <c r="G326" s="64">
        <f t="shared" si="20"/>
        <v>0</v>
      </c>
      <c r="H326" s="64">
        <f t="shared" si="21"/>
        <v>0</v>
      </c>
      <c r="I326" s="63">
        <v>2</v>
      </c>
      <c r="J326" s="65">
        <v>49.505949999999999</v>
      </c>
      <c r="K326" s="65">
        <v>93.73</v>
      </c>
      <c r="L326" s="62" t="s">
        <v>825</v>
      </c>
      <c r="M326" s="63">
        <v>0</v>
      </c>
      <c r="N326" s="66">
        <f t="shared" si="22"/>
        <v>0.88700000000000001</v>
      </c>
      <c r="O326" s="62" t="str">
        <f t="shared" si="23"/>
        <v>4: Engaged Early</v>
      </c>
    </row>
    <row r="327" spans="1:15" ht="15" customHeight="1" x14ac:dyDescent="0.4">
      <c r="A327" s="62" t="s">
        <v>824</v>
      </c>
      <c r="B327" s="62" t="s">
        <v>1017</v>
      </c>
      <c r="C327" s="62" t="s">
        <v>826</v>
      </c>
      <c r="D327" s="63">
        <v>13</v>
      </c>
      <c r="E327" s="63">
        <v>5</v>
      </c>
      <c r="F327" s="63">
        <v>0</v>
      </c>
      <c r="G327" s="64">
        <f t="shared" si="20"/>
        <v>0.38461538461538464</v>
      </c>
      <c r="H327" s="64">
        <f t="shared" si="21"/>
        <v>0</v>
      </c>
      <c r="I327" s="63">
        <v>2</v>
      </c>
      <c r="J327" s="65">
        <v>99.81</v>
      </c>
      <c r="K327" s="65">
        <v>74.95</v>
      </c>
      <c r="L327" s="62" t="s">
        <v>826</v>
      </c>
      <c r="M327" s="63">
        <v>0</v>
      </c>
      <c r="N327" s="66">
        <f t="shared" si="22"/>
        <v>0.59899999999999998</v>
      </c>
      <c r="O327" s="62" t="str">
        <f t="shared" si="23"/>
        <v>2: High (No DBWT)</v>
      </c>
    </row>
    <row r="328" spans="1:15" ht="15" customHeight="1" x14ac:dyDescent="0.4">
      <c r="A328" s="62" t="s">
        <v>824</v>
      </c>
      <c r="B328" s="62" t="s">
        <v>569</v>
      </c>
      <c r="C328" s="62" t="s">
        <v>825</v>
      </c>
      <c r="D328" s="63">
        <v>3</v>
      </c>
      <c r="E328" s="63">
        <v>1</v>
      </c>
      <c r="F328" s="63">
        <v>0</v>
      </c>
      <c r="G328" s="64">
        <f t="shared" si="20"/>
        <v>0.33333333333333331</v>
      </c>
      <c r="H328" s="64">
        <f t="shared" si="21"/>
        <v>0</v>
      </c>
      <c r="I328" s="63">
        <v>2</v>
      </c>
      <c r="J328" s="65">
        <v>45.914839999999998</v>
      </c>
      <c r="K328" s="65">
        <v>15.12</v>
      </c>
      <c r="L328" s="62" t="s">
        <v>825</v>
      </c>
      <c r="M328" s="63">
        <v>0</v>
      </c>
      <c r="N328" s="66">
        <f t="shared" si="22"/>
        <v>0.41</v>
      </c>
      <c r="O328" s="62" t="str">
        <f t="shared" si="23"/>
        <v>4: Engaged Early</v>
      </c>
    </row>
    <row r="329" spans="1:15" ht="15" customHeight="1" x14ac:dyDescent="0.4">
      <c r="A329" s="62" t="s">
        <v>824</v>
      </c>
      <c r="B329" s="62" t="s">
        <v>1018</v>
      </c>
      <c r="C329" s="62" t="s">
        <v>826</v>
      </c>
      <c r="D329" s="63">
        <v>10</v>
      </c>
      <c r="E329" s="63">
        <v>9</v>
      </c>
      <c r="F329" s="63">
        <v>0</v>
      </c>
      <c r="G329" s="64">
        <f t="shared" si="20"/>
        <v>0.9</v>
      </c>
      <c r="H329" s="64">
        <f t="shared" si="21"/>
        <v>0</v>
      </c>
      <c r="I329" s="63">
        <v>2</v>
      </c>
      <c r="J329" s="65">
        <v>86.080799999999996</v>
      </c>
      <c r="K329" s="65">
        <v>100</v>
      </c>
      <c r="L329" s="62" t="s">
        <v>826</v>
      </c>
      <c r="M329" s="63">
        <v>0</v>
      </c>
      <c r="N329" s="66">
        <f t="shared" si="22"/>
        <v>0.72899999999999998</v>
      </c>
      <c r="O329" s="62" t="str">
        <f t="shared" si="23"/>
        <v>2: High (No DBWT)</v>
      </c>
    </row>
    <row r="330" spans="1:15" ht="15" customHeight="1" x14ac:dyDescent="0.4">
      <c r="A330" s="62" t="s">
        <v>824</v>
      </c>
      <c r="B330" s="62" t="s">
        <v>1019</v>
      </c>
      <c r="C330" s="62" t="s">
        <v>826</v>
      </c>
      <c r="D330" s="63">
        <v>0</v>
      </c>
      <c r="E330" s="63">
        <v>0</v>
      </c>
      <c r="F330" s="63">
        <v>0</v>
      </c>
      <c r="G330" s="64">
        <f t="shared" si="20"/>
        <v>0</v>
      </c>
      <c r="H330" s="64">
        <f t="shared" si="21"/>
        <v>0</v>
      </c>
      <c r="I330" s="63">
        <v>2</v>
      </c>
      <c r="J330" s="65">
        <v>79.789249999999996</v>
      </c>
      <c r="K330" s="65">
        <v>99.84</v>
      </c>
      <c r="L330" s="62" t="s">
        <v>825</v>
      </c>
      <c r="M330" s="63">
        <v>1</v>
      </c>
      <c r="N330" s="66">
        <f t="shared" si="22"/>
        <v>0.96899999999999997</v>
      </c>
      <c r="O330" s="62" t="str">
        <f t="shared" si="23"/>
        <v>4: Engaged Early</v>
      </c>
    </row>
    <row r="331" spans="1:15" ht="15" customHeight="1" x14ac:dyDescent="0.4">
      <c r="A331" s="62" t="s">
        <v>824</v>
      </c>
      <c r="B331" s="62" t="s">
        <v>1020</v>
      </c>
      <c r="C331" s="62" t="s">
        <v>826</v>
      </c>
      <c r="D331" s="63">
        <v>10</v>
      </c>
      <c r="E331" s="63">
        <v>2</v>
      </c>
      <c r="F331" s="63">
        <v>0</v>
      </c>
      <c r="G331" s="64">
        <f t="shared" si="20"/>
        <v>0.2</v>
      </c>
      <c r="H331" s="64">
        <f t="shared" si="21"/>
        <v>0</v>
      </c>
      <c r="I331" s="63">
        <v>1</v>
      </c>
      <c r="J331" s="65">
        <v>97.094700000000003</v>
      </c>
      <c r="K331" s="65">
        <v>100</v>
      </c>
      <c r="L331" s="62" t="s">
        <v>825</v>
      </c>
      <c r="M331" s="63">
        <v>0</v>
      </c>
      <c r="N331" s="66">
        <f t="shared" si="22"/>
        <v>0.996</v>
      </c>
      <c r="O331" s="62" t="str">
        <f t="shared" si="23"/>
        <v>4: Engaged Early</v>
      </c>
    </row>
    <row r="332" spans="1:15" ht="15" customHeight="1" x14ac:dyDescent="0.4">
      <c r="A332" s="62" t="s">
        <v>824</v>
      </c>
      <c r="B332" s="62" t="s">
        <v>613</v>
      </c>
      <c r="C332" s="62" t="s">
        <v>825</v>
      </c>
      <c r="D332" s="63">
        <v>10</v>
      </c>
      <c r="E332" s="63">
        <v>10</v>
      </c>
      <c r="F332" s="63">
        <v>1</v>
      </c>
      <c r="G332" s="64">
        <f t="shared" si="20"/>
        <v>1</v>
      </c>
      <c r="H332" s="64">
        <f t="shared" si="21"/>
        <v>0.1</v>
      </c>
      <c r="I332" s="63">
        <v>1</v>
      </c>
      <c r="J332" s="65">
        <v>99.56</v>
      </c>
      <c r="K332" s="65">
        <v>83.33</v>
      </c>
      <c r="L332" s="62" t="s">
        <v>826</v>
      </c>
      <c r="M332" s="63">
        <v>0</v>
      </c>
      <c r="N332" s="66">
        <f t="shared" si="22"/>
        <v>0.64900000000000002</v>
      </c>
      <c r="O332" s="62" t="str">
        <f t="shared" si="23"/>
        <v>2: High (No DBWT)</v>
      </c>
    </row>
    <row r="333" spans="1:15" ht="15" customHeight="1" x14ac:dyDescent="0.4">
      <c r="A333" s="62" t="s">
        <v>824</v>
      </c>
      <c r="B333" s="62" t="s">
        <v>1021</v>
      </c>
      <c r="C333" s="62" t="s">
        <v>826</v>
      </c>
      <c r="D333" s="63">
        <v>10</v>
      </c>
      <c r="E333" s="63">
        <v>8</v>
      </c>
      <c r="F333" s="63">
        <v>1</v>
      </c>
      <c r="G333" s="64">
        <f t="shared" si="20"/>
        <v>0.8</v>
      </c>
      <c r="H333" s="64">
        <f t="shared" si="21"/>
        <v>0.1</v>
      </c>
      <c r="I333" s="63">
        <v>2</v>
      </c>
      <c r="J333" s="65">
        <v>68.677250000000001</v>
      </c>
      <c r="K333" s="65">
        <v>34.659999999999997</v>
      </c>
      <c r="L333" s="62" t="s">
        <v>825</v>
      </c>
      <c r="M333" s="63">
        <v>0</v>
      </c>
      <c r="N333" s="66">
        <f t="shared" si="22"/>
        <v>0.56100000000000005</v>
      </c>
      <c r="O333" s="62" t="str">
        <f t="shared" si="23"/>
        <v>4: Engaged Early</v>
      </c>
    </row>
    <row r="334" spans="1:15" ht="15" customHeight="1" x14ac:dyDescent="0.4">
      <c r="A334" s="62" t="s">
        <v>824</v>
      </c>
      <c r="B334" s="62" t="s">
        <v>1022</v>
      </c>
      <c r="C334" s="62" t="s">
        <v>826</v>
      </c>
      <c r="D334" s="63">
        <v>0</v>
      </c>
      <c r="E334" s="63">
        <v>0</v>
      </c>
      <c r="F334" s="63">
        <v>0</v>
      </c>
      <c r="G334" s="64">
        <f t="shared" si="20"/>
        <v>0</v>
      </c>
      <c r="H334" s="64">
        <f t="shared" si="21"/>
        <v>0</v>
      </c>
      <c r="I334" s="63">
        <v>1</v>
      </c>
      <c r="J334" s="65">
        <v>100</v>
      </c>
      <c r="K334" s="65">
        <v>85.71</v>
      </c>
      <c r="L334" s="62" t="s">
        <v>840</v>
      </c>
      <c r="M334" s="63">
        <v>0</v>
      </c>
      <c r="N334" s="66">
        <f t="shared" si="22"/>
        <v>0.73899999999999999</v>
      </c>
      <c r="O334" s="62" t="str">
        <f t="shared" si="23"/>
        <v>4: Engaged Early</v>
      </c>
    </row>
    <row r="335" spans="1:15" ht="15" customHeight="1" x14ac:dyDescent="0.4">
      <c r="A335" s="62" t="s">
        <v>824</v>
      </c>
      <c r="B335" s="62" t="s">
        <v>1023</v>
      </c>
      <c r="C335" s="62" t="s">
        <v>826</v>
      </c>
      <c r="D335" s="63">
        <v>17</v>
      </c>
      <c r="E335" s="63">
        <v>12</v>
      </c>
      <c r="F335" s="63">
        <v>4</v>
      </c>
      <c r="G335" s="64">
        <f t="shared" si="20"/>
        <v>0.70588235294117652</v>
      </c>
      <c r="H335" s="64">
        <f t="shared" si="21"/>
        <v>0.23529411764705882</v>
      </c>
      <c r="I335" s="63">
        <v>2</v>
      </c>
      <c r="J335" s="65">
        <v>64.077100000000002</v>
      </c>
      <c r="K335" s="65">
        <v>80.989999999999995</v>
      </c>
      <c r="L335" s="62" t="s">
        <v>825</v>
      </c>
      <c r="M335" s="63">
        <v>0</v>
      </c>
      <c r="N335" s="66">
        <f t="shared" si="22"/>
        <v>0.83199999999999996</v>
      </c>
      <c r="O335" s="62" t="str">
        <f t="shared" si="23"/>
        <v>4: Engaged Early</v>
      </c>
    </row>
    <row r="336" spans="1:15" ht="15" customHeight="1" x14ac:dyDescent="0.4">
      <c r="A336" s="62" t="s">
        <v>824</v>
      </c>
      <c r="B336" s="62" t="s">
        <v>1024</v>
      </c>
      <c r="C336" s="62" t="s">
        <v>826</v>
      </c>
      <c r="D336" s="63">
        <v>7</v>
      </c>
      <c r="E336" s="63">
        <v>6</v>
      </c>
      <c r="F336" s="63">
        <v>3</v>
      </c>
      <c r="G336" s="64">
        <f t="shared" si="20"/>
        <v>0.8571428571428571</v>
      </c>
      <c r="H336" s="64">
        <f t="shared" si="21"/>
        <v>0.42857142857142855</v>
      </c>
      <c r="I336" s="63">
        <v>2</v>
      </c>
      <c r="J336" s="65">
        <v>90.221350000000001</v>
      </c>
      <c r="K336" s="65">
        <v>100</v>
      </c>
      <c r="L336" s="62" t="s">
        <v>825</v>
      </c>
      <c r="M336" s="63">
        <v>0</v>
      </c>
      <c r="N336" s="66">
        <f t="shared" si="22"/>
        <v>0.98499999999999999</v>
      </c>
      <c r="O336" s="62" t="str">
        <f t="shared" si="23"/>
        <v>4: Engaged Early</v>
      </c>
    </row>
    <row r="337" spans="1:15" ht="15" customHeight="1" x14ac:dyDescent="0.4">
      <c r="A337" s="62" t="s">
        <v>824</v>
      </c>
      <c r="B337" s="62" t="s">
        <v>521</v>
      </c>
      <c r="C337" s="62" t="s">
        <v>825</v>
      </c>
      <c r="D337" s="63">
        <v>10</v>
      </c>
      <c r="E337" s="63">
        <v>2</v>
      </c>
      <c r="F337" s="63">
        <v>1</v>
      </c>
      <c r="G337" s="64">
        <f t="shared" si="20"/>
        <v>0.2</v>
      </c>
      <c r="H337" s="64">
        <f t="shared" si="21"/>
        <v>0.1</v>
      </c>
      <c r="I337" s="63">
        <v>2</v>
      </c>
      <c r="J337" s="65">
        <v>44.182993500000002</v>
      </c>
      <c r="K337" s="65">
        <v>33.520000000000003</v>
      </c>
      <c r="L337" s="62" t="s">
        <v>826</v>
      </c>
      <c r="M337" s="63">
        <v>0</v>
      </c>
      <c r="N337" s="66">
        <f t="shared" si="22"/>
        <v>0.26700000000000002</v>
      </c>
      <c r="O337" s="62" t="str">
        <f t="shared" si="23"/>
        <v>2: High (No DBWT)</v>
      </c>
    </row>
    <row r="338" spans="1:15" ht="15" customHeight="1" x14ac:dyDescent="0.4">
      <c r="A338" s="62" t="s">
        <v>824</v>
      </c>
      <c r="B338" s="62" t="s">
        <v>1025</v>
      </c>
      <c r="C338" s="62" t="s">
        <v>826</v>
      </c>
      <c r="D338" s="63">
        <v>7</v>
      </c>
      <c r="E338" s="63">
        <v>7</v>
      </c>
      <c r="F338" s="63">
        <v>0</v>
      </c>
      <c r="G338" s="64">
        <f t="shared" si="20"/>
        <v>1</v>
      </c>
      <c r="H338" s="64">
        <f t="shared" si="21"/>
        <v>0</v>
      </c>
      <c r="I338" s="63">
        <v>2</v>
      </c>
      <c r="J338" s="65">
        <v>82.348799999999997</v>
      </c>
      <c r="K338" s="65">
        <v>100</v>
      </c>
      <c r="L338" s="62" t="s">
        <v>825</v>
      </c>
      <c r="M338" s="63">
        <v>0</v>
      </c>
      <c r="N338" s="66">
        <f t="shared" si="22"/>
        <v>0.97399999999999998</v>
      </c>
      <c r="O338" s="62" t="str">
        <f t="shared" si="23"/>
        <v>4: Engaged Early</v>
      </c>
    </row>
    <row r="339" spans="1:15" ht="15" customHeight="1" x14ac:dyDescent="0.4">
      <c r="A339" s="62" t="s">
        <v>824</v>
      </c>
      <c r="B339" s="62" t="s">
        <v>1026</v>
      </c>
      <c r="C339" s="62" t="s">
        <v>826</v>
      </c>
      <c r="D339" s="63">
        <v>5</v>
      </c>
      <c r="E339" s="63">
        <v>5</v>
      </c>
      <c r="F339" s="63">
        <v>0</v>
      </c>
      <c r="G339" s="64">
        <f t="shared" si="20"/>
        <v>1</v>
      </c>
      <c r="H339" s="64">
        <f t="shared" si="21"/>
        <v>0</v>
      </c>
      <c r="I339" s="63">
        <v>2</v>
      </c>
      <c r="J339" s="65">
        <v>99.94</v>
      </c>
      <c r="K339" s="65">
        <v>100</v>
      </c>
      <c r="L339" s="62" t="s">
        <v>825</v>
      </c>
      <c r="M339" s="63">
        <v>0</v>
      </c>
      <c r="N339" s="66">
        <f t="shared" si="22"/>
        <v>1</v>
      </c>
      <c r="O339" s="62" t="str">
        <f t="shared" si="23"/>
        <v>4: Engaged Early</v>
      </c>
    </row>
    <row r="340" spans="1:15" ht="15" customHeight="1" x14ac:dyDescent="0.4">
      <c r="A340" s="62" t="s">
        <v>824</v>
      </c>
      <c r="B340" s="62" t="s">
        <v>1027</v>
      </c>
      <c r="C340" s="62" t="s">
        <v>826</v>
      </c>
      <c r="D340" s="63">
        <v>5</v>
      </c>
      <c r="E340" s="63">
        <v>3</v>
      </c>
      <c r="F340" s="63">
        <v>1</v>
      </c>
      <c r="G340" s="64">
        <f t="shared" si="20"/>
        <v>0.6</v>
      </c>
      <c r="H340" s="64">
        <f t="shared" si="21"/>
        <v>0.2</v>
      </c>
      <c r="I340" s="63">
        <v>1</v>
      </c>
      <c r="J340" s="65">
        <v>89.4255</v>
      </c>
      <c r="K340" s="65">
        <v>39.6</v>
      </c>
      <c r="L340" s="62" t="s">
        <v>826</v>
      </c>
      <c r="M340" s="63">
        <v>0</v>
      </c>
      <c r="N340" s="66">
        <f t="shared" si="22"/>
        <v>0.372</v>
      </c>
      <c r="O340" s="62" t="str">
        <f t="shared" si="23"/>
        <v>2: High (No DBWT)</v>
      </c>
    </row>
    <row r="341" spans="1:15" ht="15" customHeight="1" x14ac:dyDescent="0.4">
      <c r="A341" s="62" t="s">
        <v>824</v>
      </c>
      <c r="B341" s="62" t="s">
        <v>639</v>
      </c>
      <c r="C341" s="62" t="s">
        <v>825</v>
      </c>
      <c r="D341" s="63">
        <v>7</v>
      </c>
      <c r="E341" s="63">
        <v>6</v>
      </c>
      <c r="F341" s="63">
        <v>1</v>
      </c>
      <c r="G341" s="64">
        <f t="shared" si="20"/>
        <v>0.8571428571428571</v>
      </c>
      <c r="H341" s="64">
        <f t="shared" si="21"/>
        <v>0.14285714285714285</v>
      </c>
      <c r="I341" s="63">
        <v>2</v>
      </c>
      <c r="J341" s="65">
        <v>98.963350000000005</v>
      </c>
      <c r="K341" s="65">
        <v>62.17</v>
      </c>
      <c r="L341" s="62" t="s">
        <v>825</v>
      </c>
      <c r="M341" s="63">
        <v>0</v>
      </c>
      <c r="N341" s="66">
        <f t="shared" si="22"/>
        <v>0.77100000000000002</v>
      </c>
      <c r="O341" s="62" t="str">
        <f t="shared" si="23"/>
        <v>4: Engaged Early</v>
      </c>
    </row>
    <row r="342" spans="1:15" ht="15" customHeight="1" x14ac:dyDescent="0.4">
      <c r="A342" s="62" t="s">
        <v>824</v>
      </c>
      <c r="B342" s="62" t="s">
        <v>673</v>
      </c>
      <c r="C342" s="62" t="s">
        <v>825</v>
      </c>
      <c r="D342" s="63">
        <v>5</v>
      </c>
      <c r="E342" s="63">
        <v>4</v>
      </c>
      <c r="F342" s="63">
        <v>1</v>
      </c>
      <c r="G342" s="64">
        <f t="shared" si="20"/>
        <v>0.8</v>
      </c>
      <c r="H342" s="64">
        <f t="shared" si="21"/>
        <v>0.2</v>
      </c>
      <c r="I342" s="63">
        <v>2</v>
      </c>
      <c r="J342" s="65">
        <v>57.595050000000001</v>
      </c>
      <c r="K342" s="65">
        <v>15.26</v>
      </c>
      <c r="L342" s="62" t="s">
        <v>826</v>
      </c>
      <c r="M342" s="63">
        <v>0</v>
      </c>
      <c r="N342" s="66">
        <f t="shared" si="22"/>
        <v>0.17799999999999999</v>
      </c>
      <c r="O342" s="62" t="str">
        <f t="shared" si="23"/>
        <v>2: High (No DBWT)</v>
      </c>
    </row>
    <row r="343" spans="1:15" ht="15" customHeight="1" x14ac:dyDescent="0.4">
      <c r="A343" s="62" t="s">
        <v>824</v>
      </c>
      <c r="B343" s="62" t="s">
        <v>1028</v>
      </c>
      <c r="C343" s="62" t="s">
        <v>826</v>
      </c>
      <c r="D343" s="63">
        <v>16</v>
      </c>
      <c r="E343" s="63">
        <v>13</v>
      </c>
      <c r="F343" s="63">
        <v>1</v>
      </c>
      <c r="G343" s="64">
        <f t="shared" si="20"/>
        <v>0.8125</v>
      </c>
      <c r="H343" s="64">
        <f t="shared" si="21"/>
        <v>6.25E-2</v>
      </c>
      <c r="I343" s="63">
        <v>1</v>
      </c>
      <c r="J343" s="65">
        <v>18.051600000000001</v>
      </c>
      <c r="K343" s="65">
        <v>80.06</v>
      </c>
      <c r="L343" s="62" t="s">
        <v>825</v>
      </c>
      <c r="M343" s="63">
        <v>0</v>
      </c>
      <c r="N343" s="66">
        <f t="shared" si="22"/>
        <v>0.75700000000000001</v>
      </c>
      <c r="O343" s="62" t="str">
        <f t="shared" si="23"/>
        <v>4: Engaged Early</v>
      </c>
    </row>
    <row r="344" spans="1:15" ht="15" customHeight="1" x14ac:dyDescent="0.4">
      <c r="A344" s="62" t="s">
        <v>824</v>
      </c>
      <c r="B344" s="62" t="s">
        <v>1029</v>
      </c>
      <c r="C344" s="62" t="s">
        <v>826</v>
      </c>
      <c r="D344" s="63">
        <v>8</v>
      </c>
      <c r="E344" s="63">
        <v>6</v>
      </c>
      <c r="F344" s="63">
        <v>0</v>
      </c>
      <c r="G344" s="64">
        <f t="shared" si="20"/>
        <v>0.75</v>
      </c>
      <c r="H344" s="64">
        <f t="shared" si="21"/>
        <v>0</v>
      </c>
      <c r="I344" s="63">
        <v>1</v>
      </c>
      <c r="J344" s="65">
        <v>99.037700000000001</v>
      </c>
      <c r="K344" s="65">
        <v>88.7</v>
      </c>
      <c r="L344" s="62" t="s">
        <v>825</v>
      </c>
      <c r="M344" s="63">
        <v>0</v>
      </c>
      <c r="N344" s="66">
        <f t="shared" si="22"/>
        <v>0.93100000000000005</v>
      </c>
      <c r="O344" s="62" t="str">
        <f t="shared" si="23"/>
        <v>4: Engaged Early</v>
      </c>
    </row>
    <row r="345" spans="1:15" ht="15" customHeight="1" x14ac:dyDescent="0.4">
      <c r="A345" s="62" t="s">
        <v>824</v>
      </c>
      <c r="B345" s="62" t="s">
        <v>1030</v>
      </c>
      <c r="C345" s="62" t="s">
        <v>826</v>
      </c>
      <c r="D345" s="63">
        <v>18</v>
      </c>
      <c r="E345" s="63">
        <v>8</v>
      </c>
      <c r="F345" s="63">
        <v>1</v>
      </c>
      <c r="G345" s="64">
        <f t="shared" si="20"/>
        <v>0.44444444444444442</v>
      </c>
      <c r="H345" s="64">
        <f t="shared" si="21"/>
        <v>5.5555555555555552E-2</v>
      </c>
      <c r="I345" s="63">
        <v>2</v>
      </c>
      <c r="J345" s="65">
        <v>83.889300000000006</v>
      </c>
      <c r="K345" s="65">
        <v>99.69</v>
      </c>
      <c r="L345" s="62" t="s">
        <v>825</v>
      </c>
      <c r="M345" s="63">
        <v>0</v>
      </c>
      <c r="N345" s="66">
        <f t="shared" si="22"/>
        <v>0.97399999999999998</v>
      </c>
      <c r="O345" s="62" t="str">
        <f t="shared" si="23"/>
        <v>4: Engaged Early</v>
      </c>
    </row>
    <row r="346" spans="1:15" ht="15" customHeight="1" x14ac:dyDescent="0.4">
      <c r="A346" s="62" t="s">
        <v>824</v>
      </c>
      <c r="B346" s="62" t="s">
        <v>1031</v>
      </c>
      <c r="C346" s="62" t="s">
        <v>826</v>
      </c>
      <c r="D346" s="63">
        <v>10</v>
      </c>
      <c r="E346" s="63">
        <v>10</v>
      </c>
      <c r="F346" s="63">
        <v>0</v>
      </c>
      <c r="G346" s="64">
        <f t="shared" si="20"/>
        <v>1</v>
      </c>
      <c r="H346" s="64">
        <f t="shared" si="21"/>
        <v>0</v>
      </c>
      <c r="I346" s="63">
        <v>2</v>
      </c>
      <c r="J346" s="65">
        <v>92.116050000000001</v>
      </c>
      <c r="K346" s="65">
        <v>100</v>
      </c>
      <c r="L346" s="62" t="s">
        <v>825</v>
      </c>
      <c r="M346" s="63">
        <v>0</v>
      </c>
      <c r="N346" s="66">
        <f t="shared" si="22"/>
        <v>0.98799999999999999</v>
      </c>
      <c r="O346" s="62" t="str">
        <f t="shared" si="23"/>
        <v>4: Engaged Early</v>
      </c>
    </row>
    <row r="347" spans="1:15" ht="15" customHeight="1" x14ac:dyDescent="0.4">
      <c r="A347" s="62" t="s">
        <v>824</v>
      </c>
      <c r="B347" s="62" t="s">
        <v>1032</v>
      </c>
      <c r="C347" s="62" t="s">
        <v>826</v>
      </c>
      <c r="D347" s="63">
        <v>3</v>
      </c>
      <c r="E347" s="63">
        <v>3</v>
      </c>
      <c r="F347" s="63">
        <v>2</v>
      </c>
      <c r="G347" s="64">
        <f t="shared" si="20"/>
        <v>1</v>
      </c>
      <c r="H347" s="64">
        <f t="shared" si="21"/>
        <v>0.66666666666666663</v>
      </c>
      <c r="I347" s="63">
        <v>2</v>
      </c>
      <c r="J347" s="65">
        <v>55.854799999999997</v>
      </c>
      <c r="K347" s="65">
        <v>13.82</v>
      </c>
      <c r="L347" s="62" t="s">
        <v>826</v>
      </c>
      <c r="M347" s="63">
        <v>0</v>
      </c>
      <c r="N347" s="66">
        <f t="shared" si="22"/>
        <v>0.16700000000000001</v>
      </c>
      <c r="O347" s="62" t="str">
        <f t="shared" si="23"/>
        <v>2: High (No DBWT)</v>
      </c>
    </row>
    <row r="348" spans="1:15" ht="15" customHeight="1" x14ac:dyDescent="0.4">
      <c r="A348" s="62" t="s">
        <v>824</v>
      </c>
      <c r="B348" s="62" t="s">
        <v>1033</v>
      </c>
      <c r="C348" s="62" t="s">
        <v>826</v>
      </c>
      <c r="D348" s="63">
        <v>19</v>
      </c>
      <c r="E348" s="63">
        <v>16</v>
      </c>
      <c r="F348" s="63">
        <v>8</v>
      </c>
      <c r="G348" s="64">
        <f t="shared" si="20"/>
        <v>0.84210526315789469</v>
      </c>
      <c r="H348" s="64">
        <f t="shared" si="21"/>
        <v>0.42105263157894735</v>
      </c>
      <c r="I348" s="63">
        <v>2</v>
      </c>
      <c r="J348" s="65">
        <v>68.811549999999997</v>
      </c>
      <c r="K348" s="65">
        <v>100</v>
      </c>
      <c r="L348" s="62" t="s">
        <v>825</v>
      </c>
      <c r="M348" s="63">
        <v>0</v>
      </c>
      <c r="N348" s="66">
        <f t="shared" si="22"/>
        <v>0.95299999999999996</v>
      </c>
      <c r="O348" s="62" t="str">
        <f t="shared" si="23"/>
        <v>4: Engaged Early</v>
      </c>
    </row>
    <row r="349" spans="1:15" ht="15" customHeight="1" x14ac:dyDescent="0.4">
      <c r="A349" s="62" t="s">
        <v>824</v>
      </c>
      <c r="B349" s="62" t="s">
        <v>1034</v>
      </c>
      <c r="C349" s="62" t="s">
        <v>826</v>
      </c>
      <c r="D349" s="63">
        <v>9</v>
      </c>
      <c r="E349" s="63">
        <v>7</v>
      </c>
      <c r="F349" s="63">
        <v>2</v>
      </c>
      <c r="G349" s="64">
        <f t="shared" si="20"/>
        <v>0.77777777777777779</v>
      </c>
      <c r="H349" s="64">
        <f t="shared" si="21"/>
        <v>0.22222222222222221</v>
      </c>
      <c r="I349" s="63">
        <v>2</v>
      </c>
      <c r="J349" s="65">
        <v>85.791749999999993</v>
      </c>
      <c r="K349" s="65">
        <v>100</v>
      </c>
      <c r="L349" s="62" t="s">
        <v>825</v>
      </c>
      <c r="M349" s="63">
        <v>0</v>
      </c>
      <c r="N349" s="66">
        <f t="shared" si="22"/>
        <v>0.97899999999999998</v>
      </c>
      <c r="O349" s="62" t="str">
        <f t="shared" si="23"/>
        <v>4: Engaged Early</v>
      </c>
    </row>
    <row r="350" spans="1:15" ht="15" customHeight="1" x14ac:dyDescent="0.4">
      <c r="A350" s="62" t="s">
        <v>824</v>
      </c>
      <c r="B350" s="62" t="s">
        <v>1035</v>
      </c>
      <c r="C350" s="62" t="s">
        <v>826</v>
      </c>
      <c r="D350" s="63">
        <v>24</v>
      </c>
      <c r="E350" s="63">
        <v>3</v>
      </c>
      <c r="F350" s="63">
        <v>1</v>
      </c>
      <c r="G350" s="64">
        <f t="shared" si="20"/>
        <v>0.125</v>
      </c>
      <c r="H350" s="64">
        <f t="shared" si="21"/>
        <v>4.1666666666666664E-2</v>
      </c>
      <c r="I350" s="63">
        <v>2</v>
      </c>
      <c r="J350" s="65">
        <v>71.600300000000004</v>
      </c>
      <c r="K350" s="65">
        <v>64.23</v>
      </c>
      <c r="L350" s="62" t="s">
        <v>825</v>
      </c>
      <c r="M350" s="63">
        <v>0</v>
      </c>
      <c r="N350" s="66">
        <f t="shared" si="22"/>
        <v>0.74299999999999999</v>
      </c>
      <c r="O350" s="62" t="str">
        <f t="shared" si="23"/>
        <v>4: Engaged Early</v>
      </c>
    </row>
    <row r="351" spans="1:15" ht="15" customHeight="1" x14ac:dyDescent="0.4">
      <c r="A351" s="62" t="s">
        <v>824</v>
      </c>
      <c r="B351" s="62" t="s">
        <v>283</v>
      </c>
      <c r="C351" s="62" t="s">
        <v>825</v>
      </c>
      <c r="D351" s="63">
        <v>18</v>
      </c>
      <c r="E351" s="63">
        <v>15</v>
      </c>
      <c r="F351" s="63">
        <v>2</v>
      </c>
      <c r="G351" s="64">
        <f t="shared" si="20"/>
        <v>0.83333333333333337</v>
      </c>
      <c r="H351" s="64">
        <f t="shared" si="21"/>
        <v>0.1111111111111111</v>
      </c>
      <c r="I351" s="63">
        <v>1</v>
      </c>
      <c r="J351" s="65">
        <v>37.1</v>
      </c>
      <c r="K351" s="65">
        <v>15.46</v>
      </c>
      <c r="L351" s="62" t="s">
        <v>825</v>
      </c>
      <c r="M351" s="63">
        <v>0</v>
      </c>
      <c r="N351" s="66">
        <f t="shared" si="22"/>
        <v>0.39800000000000002</v>
      </c>
      <c r="O351" s="62" t="str">
        <f t="shared" si="23"/>
        <v>4: Engaged Early</v>
      </c>
    </row>
    <row r="352" spans="1:15" ht="15" customHeight="1" x14ac:dyDescent="0.4">
      <c r="A352" s="62" t="s">
        <v>824</v>
      </c>
      <c r="B352" s="62" t="s">
        <v>1036</v>
      </c>
      <c r="C352" s="62" t="s">
        <v>826</v>
      </c>
      <c r="D352" s="63">
        <v>7</v>
      </c>
      <c r="E352" s="63">
        <v>3</v>
      </c>
      <c r="F352" s="63">
        <v>0</v>
      </c>
      <c r="G352" s="64">
        <f t="shared" si="20"/>
        <v>0.42857142857142855</v>
      </c>
      <c r="H352" s="64">
        <f t="shared" si="21"/>
        <v>0</v>
      </c>
      <c r="I352" s="63">
        <v>2</v>
      </c>
      <c r="J352" s="65">
        <v>69.981700000000004</v>
      </c>
      <c r="K352" s="65">
        <v>84.98</v>
      </c>
      <c r="L352" s="62" t="s">
        <v>825</v>
      </c>
      <c r="M352" s="63">
        <v>0</v>
      </c>
      <c r="N352" s="66">
        <f t="shared" si="22"/>
        <v>0.86499999999999999</v>
      </c>
      <c r="O352" s="62" t="str">
        <f t="shared" si="23"/>
        <v>4: Engaged Early</v>
      </c>
    </row>
    <row r="353" spans="1:15" ht="15" customHeight="1" x14ac:dyDescent="0.4">
      <c r="A353" s="62" t="s">
        <v>824</v>
      </c>
      <c r="B353" s="62" t="s">
        <v>1037</v>
      </c>
      <c r="C353" s="62" t="s">
        <v>826</v>
      </c>
      <c r="D353" s="63">
        <v>17</v>
      </c>
      <c r="E353" s="63">
        <v>9</v>
      </c>
      <c r="F353" s="63">
        <v>2</v>
      </c>
      <c r="G353" s="64">
        <f t="shared" si="20"/>
        <v>0.52941176470588236</v>
      </c>
      <c r="H353" s="64">
        <f t="shared" si="21"/>
        <v>0.11764705882352941</v>
      </c>
      <c r="I353" s="63">
        <v>2</v>
      </c>
      <c r="J353" s="65">
        <v>87.308300000000003</v>
      </c>
      <c r="K353" s="65">
        <v>100</v>
      </c>
      <c r="L353" s="62" t="s">
        <v>825</v>
      </c>
      <c r="M353" s="63">
        <v>0</v>
      </c>
      <c r="N353" s="66">
        <f t="shared" si="22"/>
        <v>0.98099999999999998</v>
      </c>
      <c r="O353" s="62" t="str">
        <f t="shared" si="23"/>
        <v>4: Engaged Early</v>
      </c>
    </row>
    <row r="354" spans="1:15" ht="15" customHeight="1" x14ac:dyDescent="0.4">
      <c r="A354" s="62" t="s">
        <v>824</v>
      </c>
      <c r="B354" s="62" t="s">
        <v>1038</v>
      </c>
      <c r="C354" s="62" t="s">
        <v>826</v>
      </c>
      <c r="D354" s="63">
        <v>23</v>
      </c>
      <c r="E354" s="63">
        <v>23</v>
      </c>
      <c r="F354" s="63">
        <v>8</v>
      </c>
      <c r="G354" s="64">
        <f t="shared" si="20"/>
        <v>1</v>
      </c>
      <c r="H354" s="64">
        <f t="shared" si="21"/>
        <v>0.34782608695652173</v>
      </c>
      <c r="I354" s="63">
        <v>2</v>
      </c>
      <c r="J354" s="65">
        <v>86.677599999999998</v>
      </c>
      <c r="K354" s="65">
        <v>100</v>
      </c>
      <c r="L354" s="62" t="s">
        <v>825</v>
      </c>
      <c r="M354" s="63">
        <v>0</v>
      </c>
      <c r="N354" s="66">
        <f t="shared" si="22"/>
        <v>0.98</v>
      </c>
      <c r="O354" s="62" t="str">
        <f t="shared" si="23"/>
        <v>4: Engaged Early</v>
      </c>
    </row>
    <row r="355" spans="1:15" ht="15" customHeight="1" x14ac:dyDescent="0.4">
      <c r="A355" s="62" t="s">
        <v>824</v>
      </c>
      <c r="B355" s="62" t="s">
        <v>1039</v>
      </c>
      <c r="C355" s="62" t="s">
        <v>826</v>
      </c>
      <c r="D355" s="63">
        <v>23</v>
      </c>
      <c r="E355" s="63">
        <v>19</v>
      </c>
      <c r="F355" s="63">
        <v>7</v>
      </c>
      <c r="G355" s="64">
        <f t="shared" si="20"/>
        <v>0.82608695652173914</v>
      </c>
      <c r="H355" s="64">
        <f t="shared" si="21"/>
        <v>0.30434782608695654</v>
      </c>
      <c r="I355" s="63">
        <v>2</v>
      </c>
      <c r="J355" s="65">
        <v>83.958299999999994</v>
      </c>
      <c r="K355" s="65">
        <v>84.59</v>
      </c>
      <c r="L355" s="62" t="s">
        <v>825</v>
      </c>
      <c r="M355" s="63">
        <v>0</v>
      </c>
      <c r="N355" s="66">
        <f t="shared" si="22"/>
        <v>0.88300000000000001</v>
      </c>
      <c r="O355" s="62" t="str">
        <f t="shared" si="23"/>
        <v>4: Engaged Early</v>
      </c>
    </row>
    <row r="356" spans="1:15" ht="15" customHeight="1" x14ac:dyDescent="0.4">
      <c r="A356" s="62" t="s">
        <v>824</v>
      </c>
      <c r="B356" s="62" t="s">
        <v>1040</v>
      </c>
      <c r="C356" s="62" t="s">
        <v>826</v>
      </c>
      <c r="D356" s="63">
        <v>17</v>
      </c>
      <c r="E356" s="63">
        <v>14</v>
      </c>
      <c r="F356" s="63">
        <v>0</v>
      </c>
      <c r="G356" s="64">
        <f t="shared" si="20"/>
        <v>0.82352941176470584</v>
      </c>
      <c r="H356" s="64">
        <f t="shared" si="21"/>
        <v>0</v>
      </c>
      <c r="I356" s="63">
        <v>2</v>
      </c>
      <c r="J356" s="65">
        <v>98.809650000000005</v>
      </c>
      <c r="K356" s="65">
        <v>100</v>
      </c>
      <c r="L356" s="62" t="s">
        <v>825</v>
      </c>
      <c r="M356" s="63">
        <v>0</v>
      </c>
      <c r="N356" s="66">
        <f t="shared" si="22"/>
        <v>0.998</v>
      </c>
      <c r="O356" s="62" t="str">
        <f t="shared" si="23"/>
        <v>4: Engaged Early</v>
      </c>
    </row>
    <row r="357" spans="1:15" ht="15" customHeight="1" x14ac:dyDescent="0.4">
      <c r="A357" s="62" t="s">
        <v>824</v>
      </c>
      <c r="B357" s="62" t="s">
        <v>1041</v>
      </c>
      <c r="C357" s="62" t="s">
        <v>826</v>
      </c>
      <c r="D357" s="63">
        <v>16</v>
      </c>
      <c r="E357" s="63">
        <v>11</v>
      </c>
      <c r="F357" s="63">
        <v>1</v>
      </c>
      <c r="G357" s="64">
        <f t="shared" si="20"/>
        <v>0.6875</v>
      </c>
      <c r="H357" s="64">
        <f t="shared" si="21"/>
        <v>6.25E-2</v>
      </c>
      <c r="I357" s="63">
        <v>2</v>
      </c>
      <c r="J357" s="65">
        <v>85.09</v>
      </c>
      <c r="K357" s="65">
        <v>100</v>
      </c>
      <c r="L357" s="62" t="s">
        <v>825</v>
      </c>
      <c r="M357" s="63">
        <v>0</v>
      </c>
      <c r="N357" s="66">
        <f t="shared" si="22"/>
        <v>0.97799999999999998</v>
      </c>
      <c r="O357" s="62" t="str">
        <f t="shared" si="23"/>
        <v>4: Engaged Early</v>
      </c>
    </row>
    <row r="358" spans="1:15" ht="15" customHeight="1" x14ac:dyDescent="0.4">
      <c r="A358" s="62" t="s">
        <v>824</v>
      </c>
      <c r="B358" s="62" t="s">
        <v>1042</v>
      </c>
      <c r="C358" s="62" t="s">
        <v>826</v>
      </c>
      <c r="D358" s="63">
        <v>10</v>
      </c>
      <c r="E358" s="63">
        <v>10</v>
      </c>
      <c r="F358" s="63">
        <v>3</v>
      </c>
      <c r="G358" s="64">
        <f t="shared" si="20"/>
        <v>1</v>
      </c>
      <c r="H358" s="64">
        <f t="shared" si="21"/>
        <v>0.3</v>
      </c>
      <c r="I358" s="63">
        <v>2</v>
      </c>
      <c r="J358" s="65">
        <v>83.054199999999994</v>
      </c>
      <c r="K358" s="65">
        <v>100</v>
      </c>
      <c r="L358" s="62" t="s">
        <v>825</v>
      </c>
      <c r="M358" s="63">
        <v>0</v>
      </c>
      <c r="N358" s="66">
        <f t="shared" si="22"/>
        <v>0.97499999999999998</v>
      </c>
      <c r="O358" s="62" t="str">
        <f t="shared" si="23"/>
        <v>4: Engaged Early</v>
      </c>
    </row>
    <row r="359" spans="1:15" ht="15" customHeight="1" x14ac:dyDescent="0.4">
      <c r="A359" s="62" t="s">
        <v>824</v>
      </c>
      <c r="B359" s="62" t="s">
        <v>1043</v>
      </c>
      <c r="C359" s="62" t="s">
        <v>826</v>
      </c>
      <c r="D359" s="63">
        <v>10</v>
      </c>
      <c r="E359" s="63">
        <v>7</v>
      </c>
      <c r="F359" s="63">
        <v>1</v>
      </c>
      <c r="G359" s="64">
        <f t="shared" si="20"/>
        <v>0.7</v>
      </c>
      <c r="H359" s="64">
        <f t="shared" si="21"/>
        <v>0.1</v>
      </c>
      <c r="I359" s="63">
        <v>2</v>
      </c>
      <c r="J359" s="65">
        <v>91.573949999999996</v>
      </c>
      <c r="K359" s="65">
        <v>100</v>
      </c>
      <c r="L359" s="62" t="s">
        <v>825</v>
      </c>
      <c r="M359" s="63">
        <v>0</v>
      </c>
      <c r="N359" s="66">
        <f t="shared" si="22"/>
        <v>0.98699999999999999</v>
      </c>
      <c r="O359" s="62" t="str">
        <f t="shared" si="23"/>
        <v>4: Engaged Early</v>
      </c>
    </row>
    <row r="360" spans="1:15" ht="15" customHeight="1" x14ac:dyDescent="0.4">
      <c r="A360" s="62" t="s">
        <v>824</v>
      </c>
      <c r="B360" s="62" t="s">
        <v>1044</v>
      </c>
      <c r="C360" s="62" t="s">
        <v>826</v>
      </c>
      <c r="D360" s="63">
        <v>13</v>
      </c>
      <c r="E360" s="63">
        <v>8</v>
      </c>
      <c r="F360" s="63">
        <v>4</v>
      </c>
      <c r="G360" s="64">
        <f t="shared" si="20"/>
        <v>0.61538461538461542</v>
      </c>
      <c r="H360" s="64">
        <f t="shared" si="21"/>
        <v>0.30769230769230771</v>
      </c>
      <c r="I360" s="63">
        <v>2</v>
      </c>
      <c r="J360" s="65">
        <v>84.988699999999994</v>
      </c>
      <c r="K360" s="65">
        <v>100</v>
      </c>
      <c r="L360" s="62" t="s">
        <v>825</v>
      </c>
      <c r="M360" s="63">
        <v>0</v>
      </c>
      <c r="N360" s="66">
        <f t="shared" si="22"/>
        <v>0.97699999999999998</v>
      </c>
      <c r="O360" s="62" t="str">
        <f t="shared" si="23"/>
        <v>4: Engaged Early</v>
      </c>
    </row>
    <row r="361" spans="1:15" ht="15" customHeight="1" x14ac:dyDescent="0.4">
      <c r="A361" s="62" t="s">
        <v>824</v>
      </c>
      <c r="B361" s="62" t="s">
        <v>1045</v>
      </c>
      <c r="C361" s="62" t="s">
        <v>826</v>
      </c>
      <c r="D361" s="63">
        <v>5</v>
      </c>
      <c r="E361" s="63">
        <v>5</v>
      </c>
      <c r="F361" s="63">
        <v>2</v>
      </c>
      <c r="G361" s="64">
        <f t="shared" si="20"/>
        <v>1</v>
      </c>
      <c r="H361" s="64">
        <f t="shared" si="21"/>
        <v>0.4</v>
      </c>
      <c r="I361" s="63">
        <v>2</v>
      </c>
      <c r="J361" s="65">
        <v>39.520650000000003</v>
      </c>
      <c r="K361" s="65">
        <v>91.92</v>
      </c>
      <c r="L361" s="62" t="s">
        <v>825</v>
      </c>
      <c r="M361" s="63">
        <v>0</v>
      </c>
      <c r="N361" s="66">
        <f t="shared" si="22"/>
        <v>0.86099999999999999</v>
      </c>
      <c r="O361" s="62" t="str">
        <f t="shared" si="23"/>
        <v>4: Engaged Early</v>
      </c>
    </row>
    <row r="362" spans="1:15" ht="15" customHeight="1" x14ac:dyDescent="0.4">
      <c r="A362" s="62" t="s">
        <v>824</v>
      </c>
      <c r="B362" s="62" t="s">
        <v>1046</v>
      </c>
      <c r="C362" s="62" t="s">
        <v>826</v>
      </c>
      <c r="D362" s="63">
        <v>4</v>
      </c>
      <c r="E362" s="63">
        <v>4</v>
      </c>
      <c r="F362" s="63">
        <v>2</v>
      </c>
      <c r="G362" s="64">
        <f t="shared" si="20"/>
        <v>1</v>
      </c>
      <c r="H362" s="64">
        <f t="shared" si="21"/>
        <v>0.5</v>
      </c>
      <c r="I362" s="63">
        <v>2</v>
      </c>
      <c r="J362" s="65">
        <v>44.482364500000003</v>
      </c>
      <c r="K362" s="65">
        <v>88.94</v>
      </c>
      <c r="L362" s="62" t="s">
        <v>825</v>
      </c>
      <c r="M362" s="63">
        <v>0</v>
      </c>
      <c r="N362" s="66">
        <f t="shared" si="22"/>
        <v>0.85</v>
      </c>
      <c r="O362" s="62" t="str">
        <f t="shared" si="23"/>
        <v>4: Engaged Early</v>
      </c>
    </row>
    <row r="363" spans="1:15" ht="15" customHeight="1" x14ac:dyDescent="0.4">
      <c r="A363" s="62" t="s">
        <v>824</v>
      </c>
      <c r="B363" s="62" t="s">
        <v>1047</v>
      </c>
      <c r="C363" s="62" t="s">
        <v>826</v>
      </c>
      <c r="D363" s="63">
        <v>8</v>
      </c>
      <c r="E363" s="63">
        <v>7</v>
      </c>
      <c r="F363" s="63">
        <v>3</v>
      </c>
      <c r="G363" s="64">
        <f t="shared" si="20"/>
        <v>0.875</v>
      </c>
      <c r="H363" s="64">
        <f t="shared" si="21"/>
        <v>0.375</v>
      </c>
      <c r="I363" s="63">
        <v>2</v>
      </c>
      <c r="J363" s="65">
        <v>99.954999999999998</v>
      </c>
      <c r="K363" s="65">
        <v>100</v>
      </c>
      <c r="L363" s="62" t="s">
        <v>825</v>
      </c>
      <c r="M363" s="63">
        <v>0</v>
      </c>
      <c r="N363" s="66">
        <f t="shared" si="22"/>
        <v>1</v>
      </c>
      <c r="O363" s="62" t="str">
        <f t="shared" si="23"/>
        <v>4: Engaged Early</v>
      </c>
    </row>
    <row r="364" spans="1:15" ht="15" customHeight="1" x14ac:dyDescent="0.4">
      <c r="A364" s="62" t="s">
        <v>824</v>
      </c>
      <c r="B364" s="62" t="s">
        <v>1048</v>
      </c>
      <c r="C364" s="62" t="s">
        <v>826</v>
      </c>
      <c r="D364" s="63">
        <v>10</v>
      </c>
      <c r="E364" s="63">
        <v>9</v>
      </c>
      <c r="F364" s="63">
        <v>0</v>
      </c>
      <c r="G364" s="64">
        <f t="shared" si="20"/>
        <v>0.9</v>
      </c>
      <c r="H364" s="64">
        <f t="shared" si="21"/>
        <v>0</v>
      </c>
      <c r="I364" s="63">
        <v>2</v>
      </c>
      <c r="J364" s="65">
        <v>83.330699999999993</v>
      </c>
      <c r="K364" s="65">
        <v>98.06</v>
      </c>
      <c r="L364" s="62" t="s">
        <v>825</v>
      </c>
      <c r="M364" s="63">
        <v>0</v>
      </c>
      <c r="N364" s="66">
        <f t="shared" si="22"/>
        <v>0.96299999999999997</v>
      </c>
      <c r="O364" s="62" t="str">
        <f t="shared" si="23"/>
        <v>4: Engaged Early</v>
      </c>
    </row>
    <row r="365" spans="1:15" ht="15" customHeight="1" x14ac:dyDescent="0.4">
      <c r="A365" s="62" t="s">
        <v>824</v>
      </c>
      <c r="B365" s="62" t="s">
        <v>1049</v>
      </c>
      <c r="C365" s="62" t="s">
        <v>826</v>
      </c>
      <c r="D365" s="63">
        <v>8</v>
      </c>
      <c r="E365" s="63">
        <v>8</v>
      </c>
      <c r="F365" s="63">
        <v>2</v>
      </c>
      <c r="G365" s="64">
        <f t="shared" si="20"/>
        <v>1</v>
      </c>
      <c r="H365" s="64">
        <f t="shared" si="21"/>
        <v>0.25</v>
      </c>
      <c r="I365" s="63">
        <v>2</v>
      </c>
      <c r="J365" s="65">
        <v>99.807100000000005</v>
      </c>
      <c r="K365" s="65">
        <v>100</v>
      </c>
      <c r="L365" s="62" t="s">
        <v>825</v>
      </c>
      <c r="M365" s="63">
        <v>0</v>
      </c>
      <c r="N365" s="66">
        <f t="shared" si="22"/>
        <v>1</v>
      </c>
      <c r="O365" s="62" t="str">
        <f t="shared" si="23"/>
        <v>4: Engaged Early</v>
      </c>
    </row>
    <row r="366" spans="1:15" ht="15" customHeight="1" x14ac:dyDescent="0.4">
      <c r="A366" s="62" t="s">
        <v>824</v>
      </c>
      <c r="B366" s="62" t="s">
        <v>1050</v>
      </c>
      <c r="C366" s="62" t="s">
        <v>826</v>
      </c>
      <c r="D366" s="63">
        <v>0</v>
      </c>
      <c r="E366" s="63">
        <v>0</v>
      </c>
      <c r="F366" s="63">
        <v>0</v>
      </c>
      <c r="G366" s="64">
        <f t="shared" si="20"/>
        <v>0</v>
      </c>
      <c r="H366" s="64">
        <f t="shared" si="21"/>
        <v>0</v>
      </c>
      <c r="I366" s="63">
        <v>0</v>
      </c>
      <c r="J366" s="65"/>
      <c r="K366" s="65">
        <v>16.79</v>
      </c>
      <c r="L366" s="62" t="s">
        <v>840</v>
      </c>
      <c r="M366" s="63">
        <v>0</v>
      </c>
      <c r="N366" s="66">
        <f t="shared" si="22"/>
        <v>0.17599999999999999</v>
      </c>
      <c r="O366" s="62" t="str">
        <f t="shared" si="23"/>
        <v>3: Elevated (No Wk0)</v>
      </c>
    </row>
    <row r="367" spans="1:15" ht="15" customHeight="1" x14ac:dyDescent="0.4">
      <c r="A367" s="62" t="s">
        <v>824</v>
      </c>
      <c r="B367" s="62" t="s">
        <v>1051</v>
      </c>
      <c r="C367" s="62" t="s">
        <v>826</v>
      </c>
      <c r="D367" s="63">
        <v>4</v>
      </c>
      <c r="E367" s="63">
        <v>3</v>
      </c>
      <c r="F367" s="63">
        <v>2</v>
      </c>
      <c r="G367" s="64">
        <f t="shared" si="20"/>
        <v>0.75</v>
      </c>
      <c r="H367" s="64">
        <f t="shared" si="21"/>
        <v>0.5</v>
      </c>
      <c r="I367" s="63">
        <v>2</v>
      </c>
      <c r="J367" s="65">
        <v>74.738100000000003</v>
      </c>
      <c r="K367" s="65">
        <v>95.53</v>
      </c>
      <c r="L367" s="62" t="s">
        <v>826</v>
      </c>
      <c r="M367" s="63">
        <v>0</v>
      </c>
      <c r="N367" s="66">
        <f t="shared" si="22"/>
        <v>0.68500000000000005</v>
      </c>
      <c r="O367" s="62" t="str">
        <f t="shared" si="23"/>
        <v>2: High (No DBWT)</v>
      </c>
    </row>
    <row r="368" spans="1:15" ht="15" customHeight="1" x14ac:dyDescent="0.4">
      <c r="A368" s="62" t="s">
        <v>824</v>
      </c>
      <c r="B368" s="62" t="s">
        <v>555</v>
      </c>
      <c r="C368" s="62" t="s">
        <v>825</v>
      </c>
      <c r="D368" s="63">
        <v>12</v>
      </c>
      <c r="E368" s="63">
        <v>12</v>
      </c>
      <c r="F368" s="63">
        <v>4</v>
      </c>
      <c r="G368" s="64">
        <f t="shared" si="20"/>
        <v>1</v>
      </c>
      <c r="H368" s="64">
        <f t="shared" si="21"/>
        <v>0.33333333333333331</v>
      </c>
      <c r="I368" s="63">
        <v>2</v>
      </c>
      <c r="J368" s="65">
        <v>84.024699999999996</v>
      </c>
      <c r="K368" s="65">
        <v>37.5</v>
      </c>
      <c r="L368" s="62" t="s">
        <v>826</v>
      </c>
      <c r="M368" s="63">
        <v>1</v>
      </c>
      <c r="N368" s="66">
        <f t="shared" si="22"/>
        <v>0.35099999999999998</v>
      </c>
      <c r="O368" s="62" t="str">
        <f t="shared" si="23"/>
        <v>2: High (No DBWT)</v>
      </c>
    </row>
    <row r="369" spans="1:15" ht="15" customHeight="1" x14ac:dyDescent="0.4">
      <c r="A369" s="62" t="s">
        <v>824</v>
      </c>
      <c r="B369" s="62" t="s">
        <v>1052</v>
      </c>
      <c r="C369" s="62" t="s">
        <v>826</v>
      </c>
      <c r="D369" s="63">
        <v>8</v>
      </c>
      <c r="E369" s="63">
        <v>7</v>
      </c>
      <c r="F369" s="63">
        <v>0</v>
      </c>
      <c r="G369" s="64">
        <f t="shared" si="20"/>
        <v>0.875</v>
      </c>
      <c r="H369" s="64">
        <f t="shared" si="21"/>
        <v>0</v>
      </c>
      <c r="I369" s="63">
        <v>2</v>
      </c>
      <c r="J369" s="65">
        <v>83.584649999999996</v>
      </c>
      <c r="K369" s="65">
        <v>100</v>
      </c>
      <c r="L369" s="62" t="s">
        <v>825</v>
      </c>
      <c r="M369" s="63">
        <v>0</v>
      </c>
      <c r="N369" s="66">
        <f t="shared" si="22"/>
        <v>0.97499999999999998</v>
      </c>
      <c r="O369" s="62" t="str">
        <f t="shared" si="23"/>
        <v>4: Engaged Early</v>
      </c>
    </row>
    <row r="370" spans="1:15" ht="15" customHeight="1" x14ac:dyDescent="0.4">
      <c r="A370" s="62" t="s">
        <v>824</v>
      </c>
      <c r="B370" s="62" t="s">
        <v>1053</v>
      </c>
      <c r="C370" s="62" t="s">
        <v>826</v>
      </c>
      <c r="D370" s="63">
        <v>4</v>
      </c>
      <c r="E370" s="63">
        <v>1</v>
      </c>
      <c r="F370" s="63">
        <v>0</v>
      </c>
      <c r="G370" s="64">
        <f t="shared" si="20"/>
        <v>0.25</v>
      </c>
      <c r="H370" s="64">
        <f t="shared" si="21"/>
        <v>0</v>
      </c>
      <c r="I370" s="63">
        <v>0</v>
      </c>
      <c r="J370" s="65"/>
      <c r="K370" s="65">
        <v>7</v>
      </c>
      <c r="L370" s="62" t="s">
        <v>825</v>
      </c>
      <c r="M370" s="63">
        <v>0</v>
      </c>
      <c r="N370" s="66">
        <f t="shared" si="22"/>
        <v>0.29199999999999998</v>
      </c>
      <c r="O370" s="62" t="str">
        <f t="shared" si="23"/>
        <v>3: Elevated (No Wk0)</v>
      </c>
    </row>
    <row r="371" spans="1:15" ht="15" customHeight="1" x14ac:dyDescent="0.4">
      <c r="A371" s="62" t="s">
        <v>824</v>
      </c>
      <c r="B371" s="62" t="s">
        <v>1054</v>
      </c>
      <c r="C371" s="62" t="s">
        <v>826</v>
      </c>
      <c r="D371" s="63">
        <v>6</v>
      </c>
      <c r="E371" s="63">
        <v>6</v>
      </c>
      <c r="F371" s="63">
        <v>2</v>
      </c>
      <c r="G371" s="64">
        <f t="shared" si="20"/>
        <v>1</v>
      </c>
      <c r="H371" s="64">
        <f t="shared" si="21"/>
        <v>0.33333333333333331</v>
      </c>
      <c r="I371" s="63">
        <v>2</v>
      </c>
      <c r="J371" s="65">
        <v>80.619799999999998</v>
      </c>
      <c r="K371" s="65">
        <v>90.86</v>
      </c>
      <c r="L371" s="62" t="s">
        <v>825</v>
      </c>
      <c r="M371" s="63">
        <v>0</v>
      </c>
      <c r="N371" s="66">
        <f t="shared" si="22"/>
        <v>0.91600000000000004</v>
      </c>
      <c r="O371" s="62" t="str">
        <f t="shared" si="23"/>
        <v>4: Engaged Early</v>
      </c>
    </row>
    <row r="372" spans="1:15" ht="15" customHeight="1" x14ac:dyDescent="0.4">
      <c r="A372" s="62" t="s">
        <v>824</v>
      </c>
      <c r="B372" s="62" t="s">
        <v>1055</v>
      </c>
      <c r="C372" s="62" t="s">
        <v>826</v>
      </c>
      <c r="D372" s="63">
        <v>5</v>
      </c>
      <c r="E372" s="63">
        <v>3</v>
      </c>
      <c r="F372" s="63">
        <v>1</v>
      </c>
      <c r="G372" s="64">
        <f t="shared" si="20"/>
        <v>0.6</v>
      </c>
      <c r="H372" s="64">
        <f t="shared" si="21"/>
        <v>0.2</v>
      </c>
      <c r="I372" s="63">
        <v>1</v>
      </c>
      <c r="J372" s="65">
        <v>99.624200000000002</v>
      </c>
      <c r="K372" s="65">
        <v>86.52</v>
      </c>
      <c r="L372" s="62" t="s">
        <v>826</v>
      </c>
      <c r="M372" s="63">
        <v>0</v>
      </c>
      <c r="N372" s="66">
        <f t="shared" si="22"/>
        <v>0.66900000000000004</v>
      </c>
      <c r="O372" s="62" t="str">
        <f t="shared" si="23"/>
        <v>2: High (No DBWT)</v>
      </c>
    </row>
    <row r="373" spans="1:15" ht="15" customHeight="1" x14ac:dyDescent="0.4">
      <c r="A373" s="62" t="s">
        <v>824</v>
      </c>
      <c r="B373" s="62" t="s">
        <v>1056</v>
      </c>
      <c r="C373" s="62" t="s">
        <v>826</v>
      </c>
      <c r="D373" s="63">
        <v>10</v>
      </c>
      <c r="E373" s="63">
        <v>9</v>
      </c>
      <c r="F373" s="63">
        <v>2</v>
      </c>
      <c r="G373" s="64">
        <f t="shared" si="20"/>
        <v>0.9</v>
      </c>
      <c r="H373" s="64">
        <f t="shared" si="21"/>
        <v>0.2</v>
      </c>
      <c r="I373" s="63">
        <v>2</v>
      </c>
      <c r="J373" s="65">
        <v>99.234449999999995</v>
      </c>
      <c r="K373" s="65">
        <v>67.900000000000006</v>
      </c>
      <c r="L373" s="62" t="s">
        <v>825</v>
      </c>
      <c r="M373" s="63">
        <v>0</v>
      </c>
      <c r="N373" s="66">
        <f t="shared" si="22"/>
        <v>0.80600000000000005</v>
      </c>
      <c r="O373" s="62" t="str">
        <f t="shared" si="23"/>
        <v>4: Engaged Early</v>
      </c>
    </row>
    <row r="374" spans="1:15" ht="15" customHeight="1" x14ac:dyDescent="0.4">
      <c r="A374" s="62" t="s">
        <v>824</v>
      </c>
      <c r="B374" s="62" t="s">
        <v>1057</v>
      </c>
      <c r="C374" s="62" t="s">
        <v>826</v>
      </c>
      <c r="D374" s="63">
        <v>3</v>
      </c>
      <c r="E374" s="63">
        <v>2</v>
      </c>
      <c r="F374" s="63">
        <v>0</v>
      </c>
      <c r="G374" s="64">
        <f t="shared" si="20"/>
        <v>0.66666666666666663</v>
      </c>
      <c r="H374" s="64">
        <f t="shared" si="21"/>
        <v>0</v>
      </c>
      <c r="I374" s="63">
        <v>2</v>
      </c>
      <c r="J374" s="65">
        <v>89.267499999999998</v>
      </c>
      <c r="K374" s="65">
        <v>97.52</v>
      </c>
      <c r="L374" s="62" t="s">
        <v>825</v>
      </c>
      <c r="M374" s="63">
        <v>0</v>
      </c>
      <c r="N374" s="66">
        <f t="shared" si="22"/>
        <v>0.96899999999999997</v>
      </c>
      <c r="O374" s="62" t="str">
        <f t="shared" si="23"/>
        <v>4: Engaged Early</v>
      </c>
    </row>
    <row r="375" spans="1:15" ht="15" customHeight="1" x14ac:dyDescent="0.4">
      <c r="A375" s="62" t="s">
        <v>824</v>
      </c>
      <c r="B375" s="62" t="s">
        <v>1058</v>
      </c>
      <c r="C375" s="62" t="s">
        <v>826</v>
      </c>
      <c r="D375" s="63">
        <v>8</v>
      </c>
      <c r="E375" s="63">
        <v>7</v>
      </c>
      <c r="F375" s="63">
        <v>2</v>
      </c>
      <c r="G375" s="64">
        <f t="shared" si="20"/>
        <v>0.875</v>
      </c>
      <c r="H375" s="64">
        <f t="shared" si="21"/>
        <v>0.25</v>
      </c>
      <c r="I375" s="63">
        <v>2</v>
      </c>
      <c r="J375" s="65">
        <v>88.885850000000005</v>
      </c>
      <c r="K375" s="65">
        <v>46.66</v>
      </c>
      <c r="L375" s="62" t="s">
        <v>825</v>
      </c>
      <c r="M375" s="63">
        <v>3</v>
      </c>
      <c r="N375" s="66">
        <f t="shared" si="22"/>
        <v>0.66300000000000003</v>
      </c>
      <c r="O375" s="62" t="str">
        <f t="shared" si="23"/>
        <v>4: Engaged Early</v>
      </c>
    </row>
    <row r="376" spans="1:15" ht="15" customHeight="1" x14ac:dyDescent="0.4">
      <c r="A376" s="62" t="s">
        <v>824</v>
      </c>
      <c r="B376" s="62" t="s">
        <v>1059</v>
      </c>
      <c r="C376" s="62" t="s">
        <v>826</v>
      </c>
      <c r="D376" s="63">
        <v>23</v>
      </c>
      <c r="E376" s="63">
        <v>13</v>
      </c>
      <c r="F376" s="63">
        <v>0</v>
      </c>
      <c r="G376" s="64">
        <f t="shared" si="20"/>
        <v>0.56521739130434778</v>
      </c>
      <c r="H376" s="64">
        <f t="shared" si="21"/>
        <v>0</v>
      </c>
      <c r="I376" s="63">
        <v>2</v>
      </c>
      <c r="J376" s="65">
        <v>88.805449999999993</v>
      </c>
      <c r="K376" s="65">
        <v>45.11</v>
      </c>
      <c r="L376" s="62" t="s">
        <v>826</v>
      </c>
      <c r="M376" s="63">
        <v>0</v>
      </c>
      <c r="N376" s="66">
        <f t="shared" si="22"/>
        <v>0.40400000000000003</v>
      </c>
      <c r="O376" s="62" t="str">
        <f t="shared" si="23"/>
        <v>2: High (No DBWT)</v>
      </c>
    </row>
    <row r="377" spans="1:15" ht="15" customHeight="1" x14ac:dyDescent="0.4">
      <c r="A377" s="62" t="s">
        <v>824</v>
      </c>
      <c r="B377" s="62" t="s">
        <v>1060</v>
      </c>
      <c r="C377" s="62" t="s">
        <v>826</v>
      </c>
      <c r="D377" s="63">
        <v>3</v>
      </c>
      <c r="E377" s="63">
        <v>1</v>
      </c>
      <c r="F377" s="63">
        <v>0</v>
      </c>
      <c r="G377" s="64">
        <f t="shared" si="20"/>
        <v>0.33333333333333331</v>
      </c>
      <c r="H377" s="64">
        <f t="shared" si="21"/>
        <v>0</v>
      </c>
      <c r="I377" s="63">
        <v>2</v>
      </c>
      <c r="J377" s="65">
        <v>82.066749999999999</v>
      </c>
      <c r="K377" s="65">
        <v>84.24</v>
      </c>
      <c r="L377" s="62" t="s">
        <v>825</v>
      </c>
      <c r="M377" s="63">
        <v>0</v>
      </c>
      <c r="N377" s="66">
        <f t="shared" si="22"/>
        <v>0.879</v>
      </c>
      <c r="O377" s="62" t="str">
        <f t="shared" si="23"/>
        <v>4: Engaged Early</v>
      </c>
    </row>
    <row r="378" spans="1:15" ht="15" customHeight="1" x14ac:dyDescent="0.4">
      <c r="A378" s="62" t="s">
        <v>824</v>
      </c>
      <c r="B378" s="62" t="s">
        <v>439</v>
      </c>
      <c r="C378" s="62" t="s">
        <v>825</v>
      </c>
      <c r="D378" s="63">
        <v>10</v>
      </c>
      <c r="E378" s="63">
        <v>5</v>
      </c>
      <c r="F378" s="63">
        <v>2</v>
      </c>
      <c r="G378" s="64">
        <f t="shared" si="20"/>
        <v>0.5</v>
      </c>
      <c r="H378" s="64">
        <f t="shared" si="21"/>
        <v>0.2</v>
      </c>
      <c r="I378" s="63">
        <v>0</v>
      </c>
      <c r="J378" s="65"/>
      <c r="K378" s="65"/>
      <c r="L378" s="62" t="s">
        <v>825</v>
      </c>
      <c r="M378" s="63">
        <v>0</v>
      </c>
      <c r="N378" s="66">
        <f t="shared" si="22"/>
        <v>0.25</v>
      </c>
      <c r="O378" s="62" t="str">
        <f t="shared" si="23"/>
        <v>3: Elevated (No Wk0)</v>
      </c>
    </row>
    <row r="379" spans="1:15" ht="15" customHeight="1" x14ac:dyDescent="0.4">
      <c r="A379" s="62" t="s">
        <v>824</v>
      </c>
      <c r="B379" s="62" t="s">
        <v>1061</v>
      </c>
      <c r="C379" s="62" t="s">
        <v>826</v>
      </c>
      <c r="D379" s="63">
        <v>17</v>
      </c>
      <c r="E379" s="63">
        <v>14</v>
      </c>
      <c r="F379" s="63">
        <v>6</v>
      </c>
      <c r="G379" s="64">
        <f t="shared" si="20"/>
        <v>0.82352941176470584</v>
      </c>
      <c r="H379" s="64">
        <f t="shared" si="21"/>
        <v>0.35294117647058826</v>
      </c>
      <c r="I379" s="63">
        <v>2</v>
      </c>
      <c r="J379" s="65">
        <v>99.542900000000003</v>
      </c>
      <c r="K379" s="65">
        <v>100</v>
      </c>
      <c r="L379" s="62" t="s">
        <v>825</v>
      </c>
      <c r="M379" s="63">
        <v>0</v>
      </c>
      <c r="N379" s="66">
        <f t="shared" si="22"/>
        <v>0.999</v>
      </c>
      <c r="O379" s="62" t="str">
        <f t="shared" si="23"/>
        <v>4: Engaged Early</v>
      </c>
    </row>
    <row r="380" spans="1:15" ht="15" customHeight="1" x14ac:dyDescent="0.4">
      <c r="A380" s="62" t="s">
        <v>824</v>
      </c>
      <c r="B380" s="62" t="s">
        <v>1062</v>
      </c>
      <c r="C380" s="62" t="s">
        <v>826</v>
      </c>
      <c r="D380" s="63">
        <v>0</v>
      </c>
      <c r="E380" s="63">
        <v>0</v>
      </c>
      <c r="F380" s="63">
        <v>0</v>
      </c>
      <c r="G380" s="64">
        <f t="shared" si="20"/>
        <v>0</v>
      </c>
      <c r="H380" s="64">
        <f t="shared" si="21"/>
        <v>0</v>
      </c>
      <c r="I380" s="63">
        <v>0</v>
      </c>
      <c r="J380" s="65"/>
      <c r="K380" s="65">
        <v>100</v>
      </c>
      <c r="L380" s="62" t="s">
        <v>840</v>
      </c>
      <c r="M380" s="63">
        <v>0</v>
      </c>
      <c r="N380" s="66">
        <f t="shared" si="22"/>
        <v>0.67500000000000004</v>
      </c>
      <c r="O380" s="62" t="str">
        <f t="shared" si="23"/>
        <v>3: Elevated (No Wk0)</v>
      </c>
    </row>
    <row r="381" spans="1:15" ht="15" customHeight="1" x14ac:dyDescent="0.4">
      <c r="A381" s="62" t="s">
        <v>824</v>
      </c>
      <c r="B381" s="62" t="s">
        <v>449</v>
      </c>
      <c r="C381" s="62" t="s">
        <v>825</v>
      </c>
      <c r="D381" s="63">
        <v>11</v>
      </c>
      <c r="E381" s="63">
        <v>8</v>
      </c>
      <c r="F381" s="63">
        <v>1</v>
      </c>
      <c r="G381" s="64">
        <f t="shared" si="20"/>
        <v>0.72727272727272729</v>
      </c>
      <c r="H381" s="64">
        <f t="shared" si="21"/>
        <v>9.0909090909090912E-2</v>
      </c>
      <c r="I381" s="63">
        <v>1</v>
      </c>
      <c r="J381" s="65">
        <v>36.79</v>
      </c>
      <c r="K381" s="65">
        <v>5.1100000000000003</v>
      </c>
      <c r="L381" s="62" t="s">
        <v>825</v>
      </c>
      <c r="M381" s="63">
        <v>0</v>
      </c>
      <c r="N381" s="66">
        <f t="shared" si="22"/>
        <v>0.33600000000000002</v>
      </c>
      <c r="O381" s="62" t="str">
        <f t="shared" si="23"/>
        <v>4: Engaged Early</v>
      </c>
    </row>
    <row r="382" spans="1:15" ht="15" customHeight="1" x14ac:dyDescent="0.4">
      <c r="A382" s="62" t="s">
        <v>824</v>
      </c>
      <c r="B382" s="62" t="s">
        <v>1063</v>
      </c>
      <c r="C382" s="62" t="s">
        <v>826</v>
      </c>
      <c r="D382" s="63">
        <v>20</v>
      </c>
      <c r="E382" s="63">
        <v>12</v>
      </c>
      <c r="F382" s="63">
        <v>6</v>
      </c>
      <c r="G382" s="64">
        <f t="shared" si="20"/>
        <v>0.6</v>
      </c>
      <c r="H382" s="64">
        <f t="shared" si="21"/>
        <v>0.3</v>
      </c>
      <c r="I382" s="63">
        <v>2</v>
      </c>
      <c r="J382" s="65">
        <v>78.693799999999996</v>
      </c>
      <c r="K382" s="65">
        <v>100</v>
      </c>
      <c r="L382" s="62" t="s">
        <v>825</v>
      </c>
      <c r="M382" s="63">
        <v>0</v>
      </c>
      <c r="N382" s="66">
        <f t="shared" si="22"/>
        <v>0.96799999999999997</v>
      </c>
      <c r="O382" s="62" t="str">
        <f t="shared" si="23"/>
        <v>4: Engaged Early</v>
      </c>
    </row>
    <row r="383" spans="1:15" ht="15" customHeight="1" x14ac:dyDescent="0.4">
      <c r="A383" s="62" t="s">
        <v>824</v>
      </c>
      <c r="B383" s="62" t="s">
        <v>1064</v>
      </c>
      <c r="C383" s="62" t="s">
        <v>826</v>
      </c>
      <c r="D383" s="63">
        <v>13</v>
      </c>
      <c r="E383" s="63">
        <v>7</v>
      </c>
      <c r="F383" s="63">
        <v>0</v>
      </c>
      <c r="G383" s="64">
        <f t="shared" si="20"/>
        <v>0.53846153846153844</v>
      </c>
      <c r="H383" s="64">
        <f t="shared" si="21"/>
        <v>0</v>
      </c>
      <c r="I383" s="63">
        <v>2</v>
      </c>
      <c r="J383" s="65">
        <v>78.219849999999994</v>
      </c>
      <c r="K383" s="65">
        <v>90.4</v>
      </c>
      <c r="L383" s="62" t="s">
        <v>825</v>
      </c>
      <c r="M383" s="63">
        <v>0</v>
      </c>
      <c r="N383" s="66">
        <f t="shared" si="22"/>
        <v>0.91</v>
      </c>
      <c r="O383" s="62" t="str">
        <f t="shared" si="23"/>
        <v>4: Engaged Early</v>
      </c>
    </row>
    <row r="384" spans="1:15" ht="15" customHeight="1" x14ac:dyDescent="0.4">
      <c r="A384" s="62" t="s">
        <v>824</v>
      </c>
      <c r="B384" s="62" t="s">
        <v>1065</v>
      </c>
      <c r="C384" s="62" t="s">
        <v>826</v>
      </c>
      <c r="D384" s="63">
        <v>5</v>
      </c>
      <c r="E384" s="63">
        <v>1</v>
      </c>
      <c r="F384" s="63">
        <v>0</v>
      </c>
      <c r="G384" s="64">
        <f t="shared" si="20"/>
        <v>0.2</v>
      </c>
      <c r="H384" s="64">
        <f t="shared" si="21"/>
        <v>0</v>
      </c>
      <c r="I384" s="63">
        <v>2</v>
      </c>
      <c r="J384" s="65">
        <v>97.557550000000006</v>
      </c>
      <c r="K384" s="65">
        <v>96.85</v>
      </c>
      <c r="L384" s="62" t="s">
        <v>826</v>
      </c>
      <c r="M384" s="63">
        <v>0</v>
      </c>
      <c r="N384" s="66">
        <f t="shared" si="22"/>
        <v>0.72699999999999998</v>
      </c>
      <c r="O384" s="62" t="str">
        <f t="shared" si="23"/>
        <v>2: High (No DBWT)</v>
      </c>
    </row>
    <row r="385" spans="1:15" ht="15" customHeight="1" x14ac:dyDescent="0.4">
      <c r="A385" s="62" t="s">
        <v>824</v>
      </c>
      <c r="B385" s="62" t="s">
        <v>1066</v>
      </c>
      <c r="C385" s="62" t="s">
        <v>826</v>
      </c>
      <c r="D385" s="63">
        <v>8</v>
      </c>
      <c r="E385" s="63">
        <v>7</v>
      </c>
      <c r="F385" s="63">
        <v>3</v>
      </c>
      <c r="G385" s="64">
        <f t="shared" si="20"/>
        <v>0.875</v>
      </c>
      <c r="H385" s="64">
        <f t="shared" si="21"/>
        <v>0.375</v>
      </c>
      <c r="I385" s="63">
        <v>2</v>
      </c>
      <c r="J385" s="65">
        <v>92.736050000000006</v>
      </c>
      <c r="K385" s="65">
        <v>99.87</v>
      </c>
      <c r="L385" s="62" t="s">
        <v>826</v>
      </c>
      <c r="M385" s="63">
        <v>0</v>
      </c>
      <c r="N385" s="66">
        <f t="shared" si="22"/>
        <v>0.73799999999999999</v>
      </c>
      <c r="O385" s="62" t="str">
        <f t="shared" si="23"/>
        <v>2: High (No DBWT)</v>
      </c>
    </row>
    <row r="386" spans="1:15" ht="15" customHeight="1" x14ac:dyDescent="0.4">
      <c r="A386" s="62" t="s">
        <v>824</v>
      </c>
      <c r="B386" s="62" t="s">
        <v>1067</v>
      </c>
      <c r="C386" s="62" t="s">
        <v>826</v>
      </c>
      <c r="D386" s="63">
        <v>3</v>
      </c>
      <c r="E386" s="63">
        <v>3</v>
      </c>
      <c r="F386" s="63">
        <v>0</v>
      </c>
      <c r="G386" s="64">
        <f t="shared" ref="G386:G449" si="24">IFERROR(E386/D386,0)</f>
        <v>1</v>
      </c>
      <c r="H386" s="64">
        <f t="shared" ref="H386:H449" si="25">IFERROR(F386/D386,0)</f>
        <v>0</v>
      </c>
      <c r="I386" s="63">
        <v>2</v>
      </c>
      <c r="J386" s="65">
        <v>44.867539999999998</v>
      </c>
      <c r="K386" s="65">
        <v>80.760000000000005</v>
      </c>
      <c r="L386" s="62" t="s">
        <v>825</v>
      </c>
      <c r="M386" s="63">
        <v>0</v>
      </c>
      <c r="N386" s="66">
        <f t="shared" ref="N386:N449" si="26">ROUND(IFERROR(K386/100,0)*0.6 + IF(L386="Yes",1,IF(L386="No",0,0.3))*0.25 + IFERROR(J386/100,0)*0.15,3)</f>
        <v>0.80200000000000005</v>
      </c>
      <c r="O386" s="62" t="str">
        <f t="shared" ref="O386:O449" si="27">IF(AND(L386="No",I386=0),"1: Critical (No DBWT + No Wk0)",IF(L386="No","2: High (No DBWT)",IF(I386=0,"3: Elevated (No Wk0)","4: Engaged Early")))</f>
        <v>4: Engaged Early</v>
      </c>
    </row>
    <row r="387" spans="1:15" ht="15" customHeight="1" x14ac:dyDescent="0.4">
      <c r="A387" s="62" t="s">
        <v>824</v>
      </c>
      <c r="B387" s="62" t="s">
        <v>1068</v>
      </c>
      <c r="C387" s="62" t="s">
        <v>826</v>
      </c>
      <c r="D387" s="63">
        <v>21</v>
      </c>
      <c r="E387" s="63">
        <v>16</v>
      </c>
      <c r="F387" s="63">
        <v>1</v>
      </c>
      <c r="G387" s="64">
        <f t="shared" si="24"/>
        <v>0.76190476190476186</v>
      </c>
      <c r="H387" s="64">
        <f t="shared" si="25"/>
        <v>4.7619047619047616E-2</v>
      </c>
      <c r="I387" s="63">
        <v>1</v>
      </c>
      <c r="J387" s="65">
        <v>100</v>
      </c>
      <c r="K387" s="65">
        <v>99.89</v>
      </c>
      <c r="L387" s="62" t="s">
        <v>825</v>
      </c>
      <c r="M387" s="63">
        <v>0</v>
      </c>
      <c r="N387" s="66">
        <f t="shared" si="26"/>
        <v>0.999</v>
      </c>
      <c r="O387" s="62" t="str">
        <f t="shared" si="27"/>
        <v>4: Engaged Early</v>
      </c>
    </row>
    <row r="388" spans="1:15" ht="15" customHeight="1" x14ac:dyDescent="0.4">
      <c r="A388" s="62" t="s">
        <v>824</v>
      </c>
      <c r="B388" s="62" t="s">
        <v>1069</v>
      </c>
      <c r="C388" s="62" t="s">
        <v>826</v>
      </c>
      <c r="D388" s="63">
        <v>20</v>
      </c>
      <c r="E388" s="63">
        <v>15</v>
      </c>
      <c r="F388" s="63">
        <v>6</v>
      </c>
      <c r="G388" s="64">
        <f t="shared" si="24"/>
        <v>0.75</v>
      </c>
      <c r="H388" s="64">
        <f t="shared" si="25"/>
        <v>0.3</v>
      </c>
      <c r="I388" s="63">
        <v>1</v>
      </c>
      <c r="J388" s="65">
        <v>70.02</v>
      </c>
      <c r="K388" s="65">
        <v>11.11</v>
      </c>
      <c r="L388" s="62" t="s">
        <v>825</v>
      </c>
      <c r="M388" s="63">
        <v>0</v>
      </c>
      <c r="N388" s="66">
        <f t="shared" si="26"/>
        <v>0.42199999999999999</v>
      </c>
      <c r="O388" s="62" t="str">
        <f t="shared" si="27"/>
        <v>4: Engaged Early</v>
      </c>
    </row>
    <row r="389" spans="1:15" ht="15" customHeight="1" x14ac:dyDescent="0.4">
      <c r="A389" s="62" t="s">
        <v>824</v>
      </c>
      <c r="B389" s="62" t="s">
        <v>543</v>
      </c>
      <c r="C389" s="62" t="s">
        <v>825</v>
      </c>
      <c r="D389" s="63">
        <v>10</v>
      </c>
      <c r="E389" s="63">
        <v>9</v>
      </c>
      <c r="F389" s="63">
        <v>0</v>
      </c>
      <c r="G389" s="64">
        <f t="shared" si="24"/>
        <v>0.9</v>
      </c>
      <c r="H389" s="64">
        <f t="shared" si="25"/>
        <v>0</v>
      </c>
      <c r="I389" s="63">
        <v>2</v>
      </c>
      <c r="J389" s="65">
        <v>61.5503</v>
      </c>
      <c r="K389" s="65">
        <v>35.74</v>
      </c>
      <c r="L389" s="62" t="s">
        <v>826</v>
      </c>
      <c r="M389" s="63">
        <v>1</v>
      </c>
      <c r="N389" s="66">
        <f t="shared" si="26"/>
        <v>0.307</v>
      </c>
      <c r="O389" s="62" t="str">
        <f t="shared" si="27"/>
        <v>2: High (No DBWT)</v>
      </c>
    </row>
    <row r="390" spans="1:15" ht="15" customHeight="1" x14ac:dyDescent="0.4">
      <c r="A390" s="62" t="s">
        <v>824</v>
      </c>
      <c r="B390" s="62" t="s">
        <v>1070</v>
      </c>
      <c r="C390" s="62" t="s">
        <v>826</v>
      </c>
      <c r="D390" s="63">
        <v>4</v>
      </c>
      <c r="E390" s="63">
        <v>1</v>
      </c>
      <c r="F390" s="63">
        <v>0</v>
      </c>
      <c r="G390" s="64">
        <f t="shared" si="24"/>
        <v>0.25</v>
      </c>
      <c r="H390" s="64">
        <f t="shared" si="25"/>
        <v>0</v>
      </c>
      <c r="I390" s="63">
        <v>1</v>
      </c>
      <c r="J390" s="65">
        <v>66.7</v>
      </c>
      <c r="K390" s="65">
        <v>17.96</v>
      </c>
      <c r="L390" s="62" t="s">
        <v>825</v>
      </c>
      <c r="M390" s="63">
        <v>0</v>
      </c>
      <c r="N390" s="66">
        <f t="shared" si="26"/>
        <v>0.45800000000000002</v>
      </c>
      <c r="O390" s="62" t="str">
        <f t="shared" si="27"/>
        <v>4: Engaged Early</v>
      </c>
    </row>
    <row r="391" spans="1:15" ht="15" customHeight="1" x14ac:dyDescent="0.4">
      <c r="A391" s="62" t="s">
        <v>824</v>
      </c>
      <c r="B391" s="62" t="s">
        <v>1071</v>
      </c>
      <c r="C391" s="62" t="s">
        <v>826</v>
      </c>
      <c r="D391" s="63">
        <v>17</v>
      </c>
      <c r="E391" s="63">
        <v>13</v>
      </c>
      <c r="F391" s="63">
        <v>5</v>
      </c>
      <c r="G391" s="64">
        <f t="shared" si="24"/>
        <v>0.76470588235294112</v>
      </c>
      <c r="H391" s="64">
        <f t="shared" si="25"/>
        <v>0.29411764705882354</v>
      </c>
      <c r="I391" s="63">
        <v>2</v>
      </c>
      <c r="J391" s="65">
        <v>85.35915</v>
      </c>
      <c r="K391" s="65">
        <v>99.59</v>
      </c>
      <c r="L391" s="62" t="s">
        <v>825</v>
      </c>
      <c r="M391" s="63">
        <v>0</v>
      </c>
      <c r="N391" s="66">
        <f t="shared" si="26"/>
        <v>0.97599999999999998</v>
      </c>
      <c r="O391" s="62" t="str">
        <f t="shared" si="27"/>
        <v>4: Engaged Early</v>
      </c>
    </row>
    <row r="392" spans="1:15" ht="15" customHeight="1" x14ac:dyDescent="0.4">
      <c r="A392" s="62" t="s">
        <v>824</v>
      </c>
      <c r="B392" s="62" t="s">
        <v>1072</v>
      </c>
      <c r="C392" s="62" t="s">
        <v>826</v>
      </c>
      <c r="D392" s="63">
        <v>25</v>
      </c>
      <c r="E392" s="63">
        <v>21</v>
      </c>
      <c r="F392" s="63">
        <v>5</v>
      </c>
      <c r="G392" s="64">
        <f t="shared" si="24"/>
        <v>0.84</v>
      </c>
      <c r="H392" s="64">
        <f t="shared" si="25"/>
        <v>0.2</v>
      </c>
      <c r="I392" s="63">
        <v>2</v>
      </c>
      <c r="J392" s="65">
        <v>88.720050000000001</v>
      </c>
      <c r="K392" s="65">
        <v>100</v>
      </c>
      <c r="L392" s="62" t="s">
        <v>825</v>
      </c>
      <c r="M392" s="63">
        <v>0</v>
      </c>
      <c r="N392" s="66">
        <f t="shared" si="26"/>
        <v>0.98299999999999998</v>
      </c>
      <c r="O392" s="62" t="str">
        <f t="shared" si="27"/>
        <v>4: Engaged Early</v>
      </c>
    </row>
    <row r="393" spans="1:15" ht="15" customHeight="1" x14ac:dyDescent="0.4">
      <c r="A393" s="62" t="s">
        <v>824</v>
      </c>
      <c r="B393" s="62" t="s">
        <v>1073</v>
      </c>
      <c r="C393" s="62" t="s">
        <v>826</v>
      </c>
      <c r="D393" s="63">
        <v>4</v>
      </c>
      <c r="E393" s="63">
        <v>4</v>
      </c>
      <c r="F393" s="63">
        <v>2</v>
      </c>
      <c r="G393" s="64">
        <f t="shared" si="24"/>
        <v>1</v>
      </c>
      <c r="H393" s="64">
        <f t="shared" si="25"/>
        <v>0.5</v>
      </c>
      <c r="I393" s="63">
        <v>2</v>
      </c>
      <c r="J393" s="65">
        <v>100</v>
      </c>
      <c r="K393" s="65">
        <v>100</v>
      </c>
      <c r="L393" s="62" t="s">
        <v>826</v>
      </c>
      <c r="M393" s="63">
        <v>0</v>
      </c>
      <c r="N393" s="66">
        <f t="shared" si="26"/>
        <v>0.75</v>
      </c>
      <c r="O393" s="62" t="str">
        <f t="shared" si="27"/>
        <v>2: High (No DBWT)</v>
      </c>
    </row>
    <row r="394" spans="1:15" ht="15" customHeight="1" x14ac:dyDescent="0.4">
      <c r="A394" s="62" t="s">
        <v>824</v>
      </c>
      <c r="B394" s="62" t="s">
        <v>1074</v>
      </c>
      <c r="C394" s="62" t="s">
        <v>826</v>
      </c>
      <c r="D394" s="63">
        <v>18</v>
      </c>
      <c r="E394" s="63">
        <v>14</v>
      </c>
      <c r="F394" s="63">
        <v>1</v>
      </c>
      <c r="G394" s="64">
        <f t="shared" si="24"/>
        <v>0.77777777777777779</v>
      </c>
      <c r="H394" s="64">
        <f t="shared" si="25"/>
        <v>5.5555555555555552E-2</v>
      </c>
      <c r="I394" s="63">
        <v>2</v>
      </c>
      <c r="J394" s="65">
        <v>90.6828</v>
      </c>
      <c r="K394" s="65">
        <v>100</v>
      </c>
      <c r="L394" s="62" t="s">
        <v>825</v>
      </c>
      <c r="M394" s="63">
        <v>0</v>
      </c>
      <c r="N394" s="66">
        <f t="shared" si="26"/>
        <v>0.98599999999999999</v>
      </c>
      <c r="O394" s="62" t="str">
        <f t="shared" si="27"/>
        <v>4: Engaged Early</v>
      </c>
    </row>
    <row r="395" spans="1:15" ht="15" customHeight="1" x14ac:dyDescent="0.4">
      <c r="A395" s="62" t="s">
        <v>824</v>
      </c>
      <c r="B395" s="62" t="s">
        <v>1075</v>
      </c>
      <c r="C395" s="62" t="s">
        <v>826</v>
      </c>
      <c r="D395" s="63">
        <v>0</v>
      </c>
      <c r="E395" s="63">
        <v>0</v>
      </c>
      <c r="F395" s="63">
        <v>0</v>
      </c>
      <c r="G395" s="64">
        <f t="shared" si="24"/>
        <v>0</v>
      </c>
      <c r="H395" s="64">
        <f t="shared" si="25"/>
        <v>0</v>
      </c>
      <c r="I395" s="63">
        <v>2</v>
      </c>
      <c r="J395" s="65">
        <v>93.397350000000003</v>
      </c>
      <c r="K395" s="65">
        <v>96.71</v>
      </c>
      <c r="L395" s="62" t="s">
        <v>826</v>
      </c>
      <c r="M395" s="63">
        <v>0</v>
      </c>
      <c r="N395" s="66">
        <f t="shared" si="26"/>
        <v>0.72</v>
      </c>
      <c r="O395" s="62" t="str">
        <f t="shared" si="27"/>
        <v>2: High (No DBWT)</v>
      </c>
    </row>
    <row r="396" spans="1:15" ht="15" customHeight="1" x14ac:dyDescent="0.4">
      <c r="A396" s="62" t="s">
        <v>824</v>
      </c>
      <c r="B396" s="62" t="s">
        <v>1076</v>
      </c>
      <c r="C396" s="62" t="s">
        <v>826</v>
      </c>
      <c r="D396" s="63">
        <v>10</v>
      </c>
      <c r="E396" s="63">
        <v>9</v>
      </c>
      <c r="F396" s="63">
        <v>2</v>
      </c>
      <c r="G396" s="64">
        <f t="shared" si="24"/>
        <v>0.9</v>
      </c>
      <c r="H396" s="64">
        <f t="shared" si="25"/>
        <v>0.2</v>
      </c>
      <c r="I396" s="63">
        <v>2</v>
      </c>
      <c r="J396" s="65">
        <v>96.754800000000003</v>
      </c>
      <c r="K396" s="65">
        <v>100</v>
      </c>
      <c r="L396" s="62" t="s">
        <v>825</v>
      </c>
      <c r="M396" s="63">
        <v>0</v>
      </c>
      <c r="N396" s="66">
        <f t="shared" si="26"/>
        <v>0.995</v>
      </c>
      <c r="O396" s="62" t="str">
        <f t="shared" si="27"/>
        <v>4: Engaged Early</v>
      </c>
    </row>
    <row r="397" spans="1:15" ht="15" customHeight="1" x14ac:dyDescent="0.4">
      <c r="A397" s="62" t="s">
        <v>824</v>
      </c>
      <c r="B397" s="62" t="s">
        <v>1077</v>
      </c>
      <c r="C397" s="62" t="s">
        <v>826</v>
      </c>
      <c r="D397" s="63">
        <v>10</v>
      </c>
      <c r="E397" s="63">
        <v>6</v>
      </c>
      <c r="F397" s="63">
        <v>4</v>
      </c>
      <c r="G397" s="64">
        <f t="shared" si="24"/>
        <v>0.6</v>
      </c>
      <c r="H397" s="64">
        <f t="shared" si="25"/>
        <v>0.4</v>
      </c>
      <c r="I397" s="63">
        <v>2</v>
      </c>
      <c r="J397" s="65">
        <v>97.769000000000005</v>
      </c>
      <c r="K397" s="65">
        <v>100</v>
      </c>
      <c r="L397" s="62" t="s">
        <v>825</v>
      </c>
      <c r="M397" s="63">
        <v>0</v>
      </c>
      <c r="N397" s="66">
        <f t="shared" si="26"/>
        <v>0.997</v>
      </c>
      <c r="O397" s="62" t="str">
        <f t="shared" si="27"/>
        <v>4: Engaged Early</v>
      </c>
    </row>
    <row r="398" spans="1:15" ht="15" customHeight="1" x14ac:dyDescent="0.4">
      <c r="A398" s="62" t="s">
        <v>824</v>
      </c>
      <c r="B398" s="62" t="s">
        <v>235</v>
      </c>
      <c r="C398" s="62" t="s">
        <v>826</v>
      </c>
      <c r="D398" s="63">
        <v>13</v>
      </c>
      <c r="E398" s="63">
        <v>10</v>
      </c>
      <c r="F398" s="63">
        <v>2</v>
      </c>
      <c r="G398" s="64">
        <f t="shared" si="24"/>
        <v>0.76923076923076927</v>
      </c>
      <c r="H398" s="64">
        <f t="shared" si="25"/>
        <v>0.15384615384615385</v>
      </c>
      <c r="I398" s="63">
        <v>2</v>
      </c>
      <c r="J398" s="65">
        <v>57.637999999999998</v>
      </c>
      <c r="K398" s="65">
        <v>92.28</v>
      </c>
      <c r="L398" s="62" t="s">
        <v>825</v>
      </c>
      <c r="M398" s="63">
        <v>0</v>
      </c>
      <c r="N398" s="66">
        <f t="shared" si="26"/>
        <v>0.89</v>
      </c>
      <c r="O398" s="62" t="str">
        <f t="shared" si="27"/>
        <v>4: Engaged Early</v>
      </c>
    </row>
    <row r="399" spans="1:15" ht="15" customHeight="1" x14ac:dyDescent="0.4">
      <c r="A399" s="62" t="s">
        <v>824</v>
      </c>
      <c r="B399" s="62" t="s">
        <v>1078</v>
      </c>
      <c r="C399" s="62" t="s">
        <v>826</v>
      </c>
      <c r="D399" s="63">
        <v>15</v>
      </c>
      <c r="E399" s="63">
        <v>12</v>
      </c>
      <c r="F399" s="63">
        <v>4</v>
      </c>
      <c r="G399" s="64">
        <f t="shared" si="24"/>
        <v>0.8</v>
      </c>
      <c r="H399" s="64">
        <f t="shared" si="25"/>
        <v>0.26666666666666666</v>
      </c>
      <c r="I399" s="63">
        <v>2</v>
      </c>
      <c r="J399" s="65">
        <v>99.536000000000001</v>
      </c>
      <c r="K399" s="65">
        <v>100</v>
      </c>
      <c r="L399" s="62" t="s">
        <v>825</v>
      </c>
      <c r="M399" s="63">
        <v>0</v>
      </c>
      <c r="N399" s="66">
        <f t="shared" si="26"/>
        <v>0.999</v>
      </c>
      <c r="O399" s="62" t="str">
        <f t="shared" si="27"/>
        <v>4: Engaged Early</v>
      </c>
    </row>
    <row r="400" spans="1:15" ht="15" customHeight="1" x14ac:dyDescent="0.4">
      <c r="A400" s="62" t="s">
        <v>824</v>
      </c>
      <c r="B400" s="62" t="s">
        <v>1079</v>
      </c>
      <c r="C400" s="62" t="s">
        <v>826</v>
      </c>
      <c r="D400" s="63">
        <v>8</v>
      </c>
      <c r="E400" s="63">
        <v>6</v>
      </c>
      <c r="F400" s="63">
        <v>0</v>
      </c>
      <c r="G400" s="64">
        <f t="shared" si="24"/>
        <v>0.75</v>
      </c>
      <c r="H400" s="64">
        <f t="shared" si="25"/>
        <v>0</v>
      </c>
      <c r="I400" s="63">
        <v>2</v>
      </c>
      <c r="J400" s="65">
        <v>80.618849999999995</v>
      </c>
      <c r="K400" s="65">
        <v>100</v>
      </c>
      <c r="L400" s="62" t="s">
        <v>826</v>
      </c>
      <c r="M400" s="63">
        <v>0</v>
      </c>
      <c r="N400" s="66">
        <f t="shared" si="26"/>
        <v>0.72099999999999997</v>
      </c>
      <c r="O400" s="62" t="str">
        <f t="shared" si="27"/>
        <v>2: High (No DBWT)</v>
      </c>
    </row>
    <row r="401" spans="1:15" ht="15" customHeight="1" x14ac:dyDescent="0.4">
      <c r="A401" s="62" t="s">
        <v>824</v>
      </c>
      <c r="B401" s="62" t="s">
        <v>1080</v>
      </c>
      <c r="C401" s="62" t="s">
        <v>826</v>
      </c>
      <c r="D401" s="63">
        <v>18</v>
      </c>
      <c r="E401" s="63">
        <v>10</v>
      </c>
      <c r="F401" s="63">
        <v>1</v>
      </c>
      <c r="G401" s="64">
        <f t="shared" si="24"/>
        <v>0.55555555555555558</v>
      </c>
      <c r="H401" s="64">
        <f t="shared" si="25"/>
        <v>5.5555555555555552E-2</v>
      </c>
      <c r="I401" s="63">
        <v>2</v>
      </c>
      <c r="J401" s="65">
        <v>81.238050000000001</v>
      </c>
      <c r="K401" s="65">
        <v>100</v>
      </c>
      <c r="L401" s="62" t="s">
        <v>825</v>
      </c>
      <c r="M401" s="63">
        <v>0</v>
      </c>
      <c r="N401" s="66">
        <f t="shared" si="26"/>
        <v>0.97199999999999998</v>
      </c>
      <c r="O401" s="62" t="str">
        <f t="shared" si="27"/>
        <v>4: Engaged Early</v>
      </c>
    </row>
    <row r="402" spans="1:15" ht="15" customHeight="1" x14ac:dyDescent="0.4">
      <c r="A402" s="62" t="s">
        <v>824</v>
      </c>
      <c r="B402" s="62" t="s">
        <v>1081</v>
      </c>
      <c r="C402" s="62" t="s">
        <v>826</v>
      </c>
      <c r="D402" s="63">
        <v>15</v>
      </c>
      <c r="E402" s="63">
        <v>13</v>
      </c>
      <c r="F402" s="63">
        <v>2</v>
      </c>
      <c r="G402" s="64">
        <f t="shared" si="24"/>
        <v>0.8666666666666667</v>
      </c>
      <c r="H402" s="64">
        <f t="shared" si="25"/>
        <v>0.13333333333333333</v>
      </c>
      <c r="I402" s="63">
        <v>2</v>
      </c>
      <c r="J402" s="65">
        <v>99.0535</v>
      </c>
      <c r="K402" s="65">
        <v>100</v>
      </c>
      <c r="L402" s="62" t="s">
        <v>825</v>
      </c>
      <c r="M402" s="63">
        <v>0</v>
      </c>
      <c r="N402" s="66">
        <f t="shared" si="26"/>
        <v>0.999</v>
      </c>
      <c r="O402" s="62" t="str">
        <f t="shared" si="27"/>
        <v>4: Engaged Early</v>
      </c>
    </row>
    <row r="403" spans="1:15" ht="15" customHeight="1" x14ac:dyDescent="0.4">
      <c r="A403" s="62" t="s">
        <v>824</v>
      </c>
      <c r="B403" s="62" t="s">
        <v>1082</v>
      </c>
      <c r="C403" s="62" t="s">
        <v>826</v>
      </c>
      <c r="D403" s="63">
        <v>5</v>
      </c>
      <c r="E403" s="63">
        <v>4</v>
      </c>
      <c r="F403" s="63">
        <v>0</v>
      </c>
      <c r="G403" s="64">
        <f t="shared" si="24"/>
        <v>0.8</v>
      </c>
      <c r="H403" s="64">
        <f t="shared" si="25"/>
        <v>0</v>
      </c>
      <c r="I403" s="63">
        <v>2</v>
      </c>
      <c r="J403" s="65">
        <v>90.940899999999999</v>
      </c>
      <c r="K403" s="65">
        <v>100</v>
      </c>
      <c r="L403" s="62" t="s">
        <v>826</v>
      </c>
      <c r="M403" s="63">
        <v>0</v>
      </c>
      <c r="N403" s="66">
        <f t="shared" si="26"/>
        <v>0.73599999999999999</v>
      </c>
      <c r="O403" s="62" t="str">
        <f t="shared" si="27"/>
        <v>2: High (No DBWT)</v>
      </c>
    </row>
    <row r="404" spans="1:15" ht="15" customHeight="1" x14ac:dyDescent="0.4">
      <c r="A404" s="62" t="s">
        <v>824</v>
      </c>
      <c r="B404" s="62" t="s">
        <v>1083</v>
      </c>
      <c r="C404" s="62" t="s">
        <v>826</v>
      </c>
      <c r="D404" s="63">
        <v>5</v>
      </c>
      <c r="E404" s="63">
        <v>5</v>
      </c>
      <c r="F404" s="63">
        <v>3</v>
      </c>
      <c r="G404" s="64">
        <f t="shared" si="24"/>
        <v>1</v>
      </c>
      <c r="H404" s="64">
        <f t="shared" si="25"/>
        <v>0.6</v>
      </c>
      <c r="I404" s="63">
        <v>2</v>
      </c>
      <c r="J404" s="65">
        <v>83.719549999999998</v>
      </c>
      <c r="K404" s="65">
        <v>31.1</v>
      </c>
      <c r="L404" s="62" t="s">
        <v>825</v>
      </c>
      <c r="M404" s="63">
        <v>0</v>
      </c>
      <c r="N404" s="66">
        <f t="shared" si="26"/>
        <v>0.56200000000000006</v>
      </c>
      <c r="O404" s="62" t="str">
        <f t="shared" si="27"/>
        <v>4: Engaged Early</v>
      </c>
    </row>
    <row r="405" spans="1:15" ht="15" customHeight="1" x14ac:dyDescent="0.4">
      <c r="A405" s="62" t="s">
        <v>824</v>
      </c>
      <c r="B405" s="62" t="s">
        <v>1084</v>
      </c>
      <c r="C405" s="62" t="s">
        <v>826</v>
      </c>
      <c r="D405" s="63">
        <v>13</v>
      </c>
      <c r="E405" s="63">
        <v>9</v>
      </c>
      <c r="F405" s="63">
        <v>7</v>
      </c>
      <c r="G405" s="64">
        <f t="shared" si="24"/>
        <v>0.69230769230769229</v>
      </c>
      <c r="H405" s="64">
        <f t="shared" si="25"/>
        <v>0.53846153846153844</v>
      </c>
      <c r="I405" s="63">
        <v>2</v>
      </c>
      <c r="J405" s="65">
        <v>92.57</v>
      </c>
      <c r="K405" s="65">
        <v>100</v>
      </c>
      <c r="L405" s="62" t="s">
        <v>825</v>
      </c>
      <c r="M405" s="63">
        <v>0</v>
      </c>
      <c r="N405" s="66">
        <f t="shared" si="26"/>
        <v>0.98899999999999999</v>
      </c>
      <c r="O405" s="62" t="str">
        <f t="shared" si="27"/>
        <v>4: Engaged Early</v>
      </c>
    </row>
    <row r="406" spans="1:15" ht="15" customHeight="1" x14ac:dyDescent="0.4">
      <c r="A406" s="62" t="s">
        <v>824</v>
      </c>
      <c r="B406" s="62" t="s">
        <v>736</v>
      </c>
      <c r="C406" s="62" t="s">
        <v>825</v>
      </c>
      <c r="D406" s="63">
        <v>10</v>
      </c>
      <c r="E406" s="63">
        <v>3</v>
      </c>
      <c r="F406" s="63">
        <v>0</v>
      </c>
      <c r="G406" s="64">
        <f t="shared" si="24"/>
        <v>0.3</v>
      </c>
      <c r="H406" s="64">
        <f t="shared" si="25"/>
        <v>0</v>
      </c>
      <c r="I406" s="63">
        <v>2</v>
      </c>
      <c r="J406" s="65">
        <v>93.392700000000005</v>
      </c>
      <c r="K406" s="65">
        <v>100</v>
      </c>
      <c r="L406" s="62" t="s">
        <v>825</v>
      </c>
      <c r="M406" s="63">
        <v>0</v>
      </c>
      <c r="N406" s="66">
        <f t="shared" si="26"/>
        <v>0.99</v>
      </c>
      <c r="O406" s="62" t="str">
        <f t="shared" si="27"/>
        <v>4: Engaged Early</v>
      </c>
    </row>
    <row r="407" spans="1:15" ht="15" customHeight="1" x14ac:dyDescent="0.4">
      <c r="A407" s="62" t="s">
        <v>824</v>
      </c>
      <c r="B407" s="62" t="s">
        <v>1085</v>
      </c>
      <c r="C407" s="62" t="s">
        <v>826</v>
      </c>
      <c r="D407" s="63">
        <v>4</v>
      </c>
      <c r="E407" s="63">
        <v>2</v>
      </c>
      <c r="F407" s="63">
        <v>1</v>
      </c>
      <c r="G407" s="64">
        <f t="shared" si="24"/>
        <v>0.5</v>
      </c>
      <c r="H407" s="64">
        <f t="shared" si="25"/>
        <v>0.25</v>
      </c>
      <c r="I407" s="63">
        <v>1</v>
      </c>
      <c r="J407" s="65">
        <v>81.781800000000004</v>
      </c>
      <c r="K407" s="65">
        <v>88.67</v>
      </c>
      <c r="L407" s="62" t="s">
        <v>825</v>
      </c>
      <c r="M407" s="63">
        <v>0</v>
      </c>
      <c r="N407" s="66">
        <f t="shared" si="26"/>
        <v>0.90500000000000003</v>
      </c>
      <c r="O407" s="62" t="str">
        <f t="shared" si="27"/>
        <v>4: Engaged Early</v>
      </c>
    </row>
    <row r="408" spans="1:15" ht="15" customHeight="1" x14ac:dyDescent="0.4">
      <c r="A408" s="62" t="s">
        <v>824</v>
      </c>
      <c r="B408" s="62" t="s">
        <v>1086</v>
      </c>
      <c r="C408" s="62" t="s">
        <v>826</v>
      </c>
      <c r="D408" s="63">
        <v>10</v>
      </c>
      <c r="E408" s="63">
        <v>9</v>
      </c>
      <c r="F408" s="63">
        <v>3</v>
      </c>
      <c r="G408" s="64">
        <f t="shared" si="24"/>
        <v>0.9</v>
      </c>
      <c r="H408" s="64">
        <f t="shared" si="25"/>
        <v>0.3</v>
      </c>
      <c r="I408" s="63">
        <v>2</v>
      </c>
      <c r="J408" s="65">
        <v>52.099989999999998</v>
      </c>
      <c r="K408" s="65">
        <v>45.99</v>
      </c>
      <c r="L408" s="62" t="s">
        <v>825</v>
      </c>
      <c r="M408" s="63">
        <v>0</v>
      </c>
      <c r="N408" s="66">
        <f t="shared" si="26"/>
        <v>0.60399999999999998</v>
      </c>
      <c r="O408" s="62" t="str">
        <f t="shared" si="27"/>
        <v>4: Engaged Early</v>
      </c>
    </row>
    <row r="409" spans="1:15" ht="15" customHeight="1" x14ac:dyDescent="0.4">
      <c r="A409" s="62" t="s">
        <v>824</v>
      </c>
      <c r="B409" s="62" t="s">
        <v>744</v>
      </c>
      <c r="C409" s="62" t="s">
        <v>825</v>
      </c>
      <c r="D409" s="63">
        <v>10</v>
      </c>
      <c r="E409" s="63">
        <v>10</v>
      </c>
      <c r="F409" s="63">
        <v>1</v>
      </c>
      <c r="G409" s="64">
        <f t="shared" si="24"/>
        <v>1</v>
      </c>
      <c r="H409" s="64">
        <f t="shared" si="25"/>
        <v>0.1</v>
      </c>
      <c r="I409" s="63">
        <v>2</v>
      </c>
      <c r="J409" s="65">
        <v>50.187344000000003</v>
      </c>
      <c r="K409" s="65">
        <v>50.11</v>
      </c>
      <c r="L409" s="62" t="s">
        <v>825</v>
      </c>
      <c r="M409" s="63">
        <v>0</v>
      </c>
      <c r="N409" s="66">
        <f t="shared" si="26"/>
        <v>0.626</v>
      </c>
      <c r="O409" s="62" t="str">
        <f t="shared" si="27"/>
        <v>4: Engaged Early</v>
      </c>
    </row>
    <row r="410" spans="1:15" ht="15" customHeight="1" x14ac:dyDescent="0.4">
      <c r="A410" s="62" t="s">
        <v>824</v>
      </c>
      <c r="B410" s="62" t="s">
        <v>1087</v>
      </c>
      <c r="C410" s="62" t="s">
        <v>826</v>
      </c>
      <c r="D410" s="63">
        <v>4</v>
      </c>
      <c r="E410" s="63">
        <v>4</v>
      </c>
      <c r="F410" s="63">
        <v>3</v>
      </c>
      <c r="G410" s="64">
        <f t="shared" si="24"/>
        <v>1</v>
      </c>
      <c r="H410" s="64">
        <f t="shared" si="25"/>
        <v>0.75</v>
      </c>
      <c r="I410" s="63">
        <v>1</v>
      </c>
      <c r="J410" s="65">
        <v>87.002499999999998</v>
      </c>
      <c r="K410" s="65">
        <v>66</v>
      </c>
      <c r="L410" s="62" t="s">
        <v>825</v>
      </c>
      <c r="M410" s="63">
        <v>0</v>
      </c>
      <c r="N410" s="66">
        <f t="shared" si="26"/>
        <v>0.77700000000000002</v>
      </c>
      <c r="O410" s="62" t="str">
        <f t="shared" si="27"/>
        <v>4: Engaged Early</v>
      </c>
    </row>
    <row r="411" spans="1:15" ht="15" customHeight="1" x14ac:dyDescent="0.4">
      <c r="A411" s="62" t="s">
        <v>824</v>
      </c>
      <c r="B411" s="62" t="s">
        <v>752</v>
      </c>
      <c r="C411" s="62" t="s">
        <v>825</v>
      </c>
      <c r="D411" s="63">
        <v>5</v>
      </c>
      <c r="E411" s="63">
        <v>5</v>
      </c>
      <c r="F411" s="63">
        <v>3</v>
      </c>
      <c r="G411" s="64">
        <f t="shared" si="24"/>
        <v>1</v>
      </c>
      <c r="H411" s="64">
        <f t="shared" si="25"/>
        <v>0.6</v>
      </c>
      <c r="I411" s="63">
        <v>2</v>
      </c>
      <c r="J411" s="65">
        <v>73.736500000000007</v>
      </c>
      <c r="K411" s="65">
        <v>60.34</v>
      </c>
      <c r="L411" s="62" t="s">
        <v>825</v>
      </c>
      <c r="M411" s="63">
        <v>1</v>
      </c>
      <c r="N411" s="66">
        <f t="shared" si="26"/>
        <v>0.72299999999999998</v>
      </c>
      <c r="O411" s="62" t="str">
        <f t="shared" si="27"/>
        <v>4: Engaged Early</v>
      </c>
    </row>
    <row r="412" spans="1:15" ht="15" customHeight="1" x14ac:dyDescent="0.4">
      <c r="A412" s="62" t="s">
        <v>824</v>
      </c>
      <c r="B412" s="62" t="s">
        <v>455</v>
      </c>
      <c r="C412" s="62" t="s">
        <v>825</v>
      </c>
      <c r="D412" s="63">
        <v>14</v>
      </c>
      <c r="E412" s="63">
        <v>10</v>
      </c>
      <c r="F412" s="63">
        <v>3</v>
      </c>
      <c r="G412" s="64">
        <f t="shared" si="24"/>
        <v>0.7142857142857143</v>
      </c>
      <c r="H412" s="64">
        <f t="shared" si="25"/>
        <v>0.21428571428571427</v>
      </c>
      <c r="I412" s="63">
        <v>2</v>
      </c>
      <c r="J412" s="65">
        <v>21.652650000000001</v>
      </c>
      <c r="K412" s="65">
        <v>10.039999999999999</v>
      </c>
      <c r="L412" s="62" t="s">
        <v>825</v>
      </c>
      <c r="M412" s="63">
        <v>0</v>
      </c>
      <c r="N412" s="66">
        <f t="shared" si="26"/>
        <v>0.34300000000000003</v>
      </c>
      <c r="O412" s="62" t="str">
        <f t="shared" si="27"/>
        <v>4: Engaged Early</v>
      </c>
    </row>
    <row r="413" spans="1:15" ht="15" customHeight="1" x14ac:dyDescent="0.4">
      <c r="A413" s="62" t="s">
        <v>824</v>
      </c>
      <c r="B413" s="62" t="s">
        <v>799</v>
      </c>
      <c r="C413" s="62" t="s">
        <v>825</v>
      </c>
      <c r="D413" s="63">
        <v>5</v>
      </c>
      <c r="E413" s="63">
        <v>5</v>
      </c>
      <c r="F413" s="63">
        <v>0</v>
      </c>
      <c r="G413" s="64">
        <f t="shared" si="24"/>
        <v>1</v>
      </c>
      <c r="H413" s="64">
        <f t="shared" si="25"/>
        <v>0</v>
      </c>
      <c r="I413" s="63">
        <v>2</v>
      </c>
      <c r="J413" s="65">
        <v>49.762799999999999</v>
      </c>
      <c r="K413" s="65">
        <v>47.15</v>
      </c>
      <c r="L413" s="62" t="s">
        <v>825</v>
      </c>
      <c r="M413" s="63">
        <v>0</v>
      </c>
      <c r="N413" s="66">
        <f t="shared" si="26"/>
        <v>0.60799999999999998</v>
      </c>
      <c r="O413" s="62" t="str">
        <f t="shared" si="27"/>
        <v>4: Engaged Early</v>
      </c>
    </row>
    <row r="414" spans="1:15" ht="15" customHeight="1" x14ac:dyDescent="0.4">
      <c r="A414" s="62" t="s">
        <v>824</v>
      </c>
      <c r="B414" s="62" t="s">
        <v>227</v>
      </c>
      <c r="C414" s="62" t="s">
        <v>826</v>
      </c>
      <c r="D414" s="63">
        <v>6</v>
      </c>
      <c r="E414" s="63">
        <v>6</v>
      </c>
      <c r="F414" s="63">
        <v>5</v>
      </c>
      <c r="G414" s="64">
        <f t="shared" si="24"/>
        <v>1</v>
      </c>
      <c r="H414" s="64">
        <f t="shared" si="25"/>
        <v>0.83333333333333337</v>
      </c>
      <c r="I414" s="63">
        <v>1</v>
      </c>
      <c r="J414" s="65">
        <v>64.354699999999994</v>
      </c>
      <c r="K414" s="65">
        <v>92.7</v>
      </c>
      <c r="L414" s="62" t="s">
        <v>825</v>
      </c>
      <c r="M414" s="63">
        <v>0</v>
      </c>
      <c r="N414" s="66">
        <f t="shared" si="26"/>
        <v>0.90300000000000002</v>
      </c>
      <c r="O414" s="62" t="str">
        <f t="shared" si="27"/>
        <v>4: Engaged Early</v>
      </c>
    </row>
    <row r="415" spans="1:15" ht="15" customHeight="1" x14ac:dyDescent="0.4">
      <c r="A415" s="62" t="s">
        <v>824</v>
      </c>
      <c r="B415" s="62" t="s">
        <v>1088</v>
      </c>
      <c r="C415" s="62" t="s">
        <v>826</v>
      </c>
      <c r="D415" s="63">
        <v>10</v>
      </c>
      <c r="E415" s="63">
        <v>10</v>
      </c>
      <c r="F415" s="63">
        <v>1</v>
      </c>
      <c r="G415" s="64">
        <f t="shared" si="24"/>
        <v>1</v>
      </c>
      <c r="H415" s="64">
        <f t="shared" si="25"/>
        <v>0.1</v>
      </c>
      <c r="I415" s="63">
        <v>2</v>
      </c>
      <c r="J415" s="65">
        <v>96.238799999999998</v>
      </c>
      <c r="K415" s="65">
        <v>100</v>
      </c>
      <c r="L415" s="62" t="s">
        <v>825</v>
      </c>
      <c r="M415" s="63">
        <v>0</v>
      </c>
      <c r="N415" s="66">
        <f t="shared" si="26"/>
        <v>0.99399999999999999</v>
      </c>
      <c r="O415" s="62" t="str">
        <f t="shared" si="27"/>
        <v>4: Engaged Early</v>
      </c>
    </row>
    <row r="416" spans="1:15" ht="15" customHeight="1" x14ac:dyDescent="0.4">
      <c r="A416" s="62" t="s">
        <v>824</v>
      </c>
      <c r="B416" s="62" t="s">
        <v>1089</v>
      </c>
      <c r="C416" s="62" t="s">
        <v>826</v>
      </c>
      <c r="D416" s="63">
        <v>5</v>
      </c>
      <c r="E416" s="63">
        <v>2</v>
      </c>
      <c r="F416" s="63">
        <v>0</v>
      </c>
      <c r="G416" s="64">
        <f t="shared" si="24"/>
        <v>0.4</v>
      </c>
      <c r="H416" s="64">
        <f t="shared" si="25"/>
        <v>0</v>
      </c>
      <c r="I416" s="63">
        <v>2</v>
      </c>
      <c r="J416" s="65">
        <v>91.867649999999998</v>
      </c>
      <c r="K416" s="65">
        <v>100</v>
      </c>
      <c r="L416" s="62" t="s">
        <v>825</v>
      </c>
      <c r="M416" s="63">
        <v>0</v>
      </c>
      <c r="N416" s="66">
        <f t="shared" si="26"/>
        <v>0.98799999999999999</v>
      </c>
      <c r="O416" s="62" t="str">
        <f t="shared" si="27"/>
        <v>4: Engaged Early</v>
      </c>
    </row>
    <row r="417" spans="1:15" ht="15" customHeight="1" x14ac:dyDescent="0.4">
      <c r="A417" s="62" t="s">
        <v>824</v>
      </c>
      <c r="B417" s="62" t="s">
        <v>1090</v>
      </c>
      <c r="C417" s="62" t="s">
        <v>826</v>
      </c>
      <c r="D417" s="63">
        <v>15</v>
      </c>
      <c r="E417" s="63">
        <v>15</v>
      </c>
      <c r="F417" s="63">
        <v>2</v>
      </c>
      <c r="G417" s="64">
        <f t="shared" si="24"/>
        <v>1</v>
      </c>
      <c r="H417" s="64">
        <f t="shared" si="25"/>
        <v>0.13333333333333333</v>
      </c>
      <c r="I417" s="63">
        <v>2</v>
      </c>
      <c r="J417" s="65">
        <v>93.077699999999993</v>
      </c>
      <c r="K417" s="65">
        <v>100</v>
      </c>
      <c r="L417" s="62" t="s">
        <v>825</v>
      </c>
      <c r="M417" s="63">
        <v>0</v>
      </c>
      <c r="N417" s="66">
        <f t="shared" si="26"/>
        <v>0.99</v>
      </c>
      <c r="O417" s="62" t="str">
        <f t="shared" si="27"/>
        <v>4: Engaged Early</v>
      </c>
    </row>
    <row r="418" spans="1:15" ht="15" customHeight="1" x14ac:dyDescent="0.4">
      <c r="A418" s="62" t="s">
        <v>824</v>
      </c>
      <c r="B418" s="62" t="s">
        <v>1091</v>
      </c>
      <c r="C418" s="62" t="s">
        <v>826</v>
      </c>
      <c r="D418" s="63">
        <v>0</v>
      </c>
      <c r="E418" s="63">
        <v>0</v>
      </c>
      <c r="F418" s="63">
        <v>0</v>
      </c>
      <c r="G418" s="64">
        <f t="shared" si="24"/>
        <v>0</v>
      </c>
      <c r="H418" s="64">
        <f t="shared" si="25"/>
        <v>0</v>
      </c>
      <c r="I418" s="63">
        <v>2</v>
      </c>
      <c r="J418" s="65">
        <v>44.036679999999997</v>
      </c>
      <c r="K418" s="65">
        <v>11.49</v>
      </c>
      <c r="L418" s="62" t="s">
        <v>840</v>
      </c>
      <c r="M418" s="63">
        <v>0</v>
      </c>
      <c r="N418" s="66">
        <f t="shared" si="26"/>
        <v>0.21</v>
      </c>
      <c r="O418" s="62" t="str">
        <f t="shared" si="27"/>
        <v>4: Engaged Early</v>
      </c>
    </row>
    <row r="419" spans="1:15" ht="15" customHeight="1" x14ac:dyDescent="0.4">
      <c r="A419" s="62" t="s">
        <v>824</v>
      </c>
      <c r="B419" s="62" t="s">
        <v>1092</v>
      </c>
      <c r="C419" s="62" t="s">
        <v>826</v>
      </c>
      <c r="D419" s="63">
        <v>5</v>
      </c>
      <c r="E419" s="63">
        <v>5</v>
      </c>
      <c r="F419" s="63">
        <v>0</v>
      </c>
      <c r="G419" s="64">
        <f t="shared" si="24"/>
        <v>1</v>
      </c>
      <c r="H419" s="64">
        <f t="shared" si="25"/>
        <v>0</v>
      </c>
      <c r="I419" s="63">
        <v>2</v>
      </c>
      <c r="J419" s="65">
        <v>98.414349999999999</v>
      </c>
      <c r="K419" s="65">
        <v>100</v>
      </c>
      <c r="L419" s="62" t="s">
        <v>825</v>
      </c>
      <c r="M419" s="63">
        <v>0</v>
      </c>
      <c r="N419" s="66">
        <f t="shared" si="26"/>
        <v>0.998</v>
      </c>
      <c r="O419" s="62" t="str">
        <f t="shared" si="27"/>
        <v>4: Engaged Early</v>
      </c>
    </row>
    <row r="420" spans="1:15" ht="15" customHeight="1" x14ac:dyDescent="0.4">
      <c r="A420" s="62" t="s">
        <v>824</v>
      </c>
      <c r="B420" s="62" t="s">
        <v>359</v>
      </c>
      <c r="C420" s="62" t="s">
        <v>825</v>
      </c>
      <c r="D420" s="63">
        <v>23</v>
      </c>
      <c r="E420" s="63">
        <v>20</v>
      </c>
      <c r="F420" s="63">
        <v>5</v>
      </c>
      <c r="G420" s="64">
        <f t="shared" si="24"/>
        <v>0.86956521739130432</v>
      </c>
      <c r="H420" s="64">
        <f t="shared" si="25"/>
        <v>0.21739130434782608</v>
      </c>
      <c r="I420" s="63">
        <v>0</v>
      </c>
      <c r="J420" s="65"/>
      <c r="K420" s="65">
        <v>0.05</v>
      </c>
      <c r="L420" s="62" t="s">
        <v>825</v>
      </c>
      <c r="M420" s="63">
        <v>0</v>
      </c>
      <c r="N420" s="66">
        <f t="shared" si="26"/>
        <v>0.25</v>
      </c>
      <c r="O420" s="62" t="str">
        <f t="shared" si="27"/>
        <v>3: Elevated (No Wk0)</v>
      </c>
    </row>
    <row r="421" spans="1:15" ht="15" customHeight="1" x14ac:dyDescent="0.4">
      <c r="A421" s="62" t="s">
        <v>824</v>
      </c>
      <c r="B421" s="62" t="s">
        <v>1093</v>
      </c>
      <c r="C421" s="62" t="s">
        <v>826</v>
      </c>
      <c r="D421" s="63">
        <v>10</v>
      </c>
      <c r="E421" s="63">
        <v>10</v>
      </c>
      <c r="F421" s="63">
        <v>2</v>
      </c>
      <c r="G421" s="64">
        <f t="shared" si="24"/>
        <v>1</v>
      </c>
      <c r="H421" s="64">
        <f t="shared" si="25"/>
        <v>0.2</v>
      </c>
      <c r="I421" s="63">
        <v>2</v>
      </c>
      <c r="J421" s="65">
        <v>92.8643</v>
      </c>
      <c r="K421" s="65">
        <v>89.7</v>
      </c>
      <c r="L421" s="62" t="s">
        <v>825</v>
      </c>
      <c r="M421" s="63">
        <v>0</v>
      </c>
      <c r="N421" s="66">
        <f t="shared" si="26"/>
        <v>0.92700000000000005</v>
      </c>
      <c r="O421" s="62" t="str">
        <f t="shared" si="27"/>
        <v>4: Engaged Early</v>
      </c>
    </row>
    <row r="422" spans="1:15" ht="15" customHeight="1" x14ac:dyDescent="0.4">
      <c r="A422" s="62" t="s">
        <v>824</v>
      </c>
      <c r="B422" s="62" t="s">
        <v>1094</v>
      </c>
      <c r="C422" s="62" t="s">
        <v>826</v>
      </c>
      <c r="D422" s="63">
        <v>7</v>
      </c>
      <c r="E422" s="63">
        <v>6</v>
      </c>
      <c r="F422" s="63">
        <v>2</v>
      </c>
      <c r="G422" s="64">
        <f t="shared" si="24"/>
        <v>0.8571428571428571</v>
      </c>
      <c r="H422" s="64">
        <f t="shared" si="25"/>
        <v>0.2857142857142857</v>
      </c>
      <c r="I422" s="63">
        <v>2</v>
      </c>
      <c r="J422" s="65">
        <v>64.762749999999997</v>
      </c>
      <c r="K422" s="65">
        <v>100</v>
      </c>
      <c r="L422" s="62" t="s">
        <v>825</v>
      </c>
      <c r="M422" s="63">
        <v>0</v>
      </c>
      <c r="N422" s="66">
        <f t="shared" si="26"/>
        <v>0.94699999999999995</v>
      </c>
      <c r="O422" s="62" t="str">
        <f t="shared" si="27"/>
        <v>4: Engaged Early</v>
      </c>
    </row>
    <row r="423" spans="1:15" ht="15" customHeight="1" x14ac:dyDescent="0.4">
      <c r="A423" s="62" t="s">
        <v>824</v>
      </c>
      <c r="B423" s="62" t="s">
        <v>1095</v>
      </c>
      <c r="C423" s="62" t="s">
        <v>826</v>
      </c>
      <c r="D423" s="63">
        <v>15</v>
      </c>
      <c r="E423" s="63">
        <v>12</v>
      </c>
      <c r="F423" s="63">
        <v>6</v>
      </c>
      <c r="G423" s="64">
        <f t="shared" si="24"/>
        <v>0.8</v>
      </c>
      <c r="H423" s="64">
        <f t="shared" si="25"/>
        <v>0.4</v>
      </c>
      <c r="I423" s="63">
        <v>2</v>
      </c>
      <c r="J423" s="65">
        <v>92.902550000000005</v>
      </c>
      <c r="K423" s="65">
        <v>80.72</v>
      </c>
      <c r="L423" s="62" t="s">
        <v>825</v>
      </c>
      <c r="M423" s="63">
        <v>0</v>
      </c>
      <c r="N423" s="66">
        <f t="shared" si="26"/>
        <v>0.874</v>
      </c>
      <c r="O423" s="62" t="str">
        <f t="shared" si="27"/>
        <v>4: Engaged Early</v>
      </c>
    </row>
    <row r="424" spans="1:15" ht="15" customHeight="1" x14ac:dyDescent="0.4">
      <c r="A424" s="62" t="s">
        <v>824</v>
      </c>
      <c r="B424" s="62" t="s">
        <v>1096</v>
      </c>
      <c r="C424" s="62" t="s">
        <v>826</v>
      </c>
      <c r="D424" s="63">
        <v>19</v>
      </c>
      <c r="E424" s="63">
        <v>0</v>
      </c>
      <c r="F424" s="63">
        <v>8</v>
      </c>
      <c r="G424" s="64">
        <f t="shared" si="24"/>
        <v>0</v>
      </c>
      <c r="H424" s="64">
        <f t="shared" si="25"/>
        <v>0.42105263157894735</v>
      </c>
      <c r="I424" s="63">
        <v>2</v>
      </c>
      <c r="J424" s="65">
        <v>86.5899</v>
      </c>
      <c r="K424" s="65">
        <v>100</v>
      </c>
      <c r="L424" s="62" t="s">
        <v>825</v>
      </c>
      <c r="M424" s="63">
        <v>0</v>
      </c>
      <c r="N424" s="66">
        <f t="shared" si="26"/>
        <v>0.98</v>
      </c>
      <c r="O424" s="62" t="str">
        <f t="shared" si="27"/>
        <v>4: Engaged Early</v>
      </c>
    </row>
    <row r="425" spans="1:15" ht="15" customHeight="1" x14ac:dyDescent="0.4">
      <c r="A425" s="62" t="s">
        <v>824</v>
      </c>
      <c r="B425" s="62" t="s">
        <v>453</v>
      </c>
      <c r="C425" s="62" t="s">
        <v>825</v>
      </c>
      <c r="D425" s="63">
        <v>12</v>
      </c>
      <c r="E425" s="63">
        <v>5</v>
      </c>
      <c r="F425" s="63">
        <v>1</v>
      </c>
      <c r="G425" s="64">
        <f t="shared" si="24"/>
        <v>0.41666666666666669</v>
      </c>
      <c r="H425" s="64">
        <f t="shared" si="25"/>
        <v>8.3333333333333329E-2</v>
      </c>
      <c r="I425" s="63">
        <v>2</v>
      </c>
      <c r="J425" s="65">
        <v>88.36</v>
      </c>
      <c r="K425" s="65">
        <v>42.51</v>
      </c>
      <c r="L425" s="62" t="s">
        <v>825</v>
      </c>
      <c r="M425" s="63">
        <v>0</v>
      </c>
      <c r="N425" s="66">
        <f t="shared" si="26"/>
        <v>0.63800000000000001</v>
      </c>
      <c r="O425" s="62" t="str">
        <f t="shared" si="27"/>
        <v>4: Engaged Early</v>
      </c>
    </row>
    <row r="426" spans="1:15" ht="15" customHeight="1" x14ac:dyDescent="0.4">
      <c r="A426" s="62" t="s">
        <v>824</v>
      </c>
      <c r="B426" s="62" t="s">
        <v>1097</v>
      </c>
      <c r="C426" s="62" t="s">
        <v>826</v>
      </c>
      <c r="D426" s="63">
        <v>0</v>
      </c>
      <c r="E426" s="63">
        <v>0</v>
      </c>
      <c r="F426" s="63">
        <v>0</v>
      </c>
      <c r="G426" s="64">
        <f t="shared" si="24"/>
        <v>0</v>
      </c>
      <c r="H426" s="64">
        <f t="shared" si="25"/>
        <v>0</v>
      </c>
      <c r="I426" s="63">
        <v>1</v>
      </c>
      <c r="J426" s="65">
        <v>100</v>
      </c>
      <c r="K426" s="65">
        <v>42.02</v>
      </c>
      <c r="L426" s="62" t="s">
        <v>840</v>
      </c>
      <c r="M426" s="63">
        <v>0</v>
      </c>
      <c r="N426" s="66">
        <f t="shared" si="26"/>
        <v>0.47699999999999998</v>
      </c>
      <c r="O426" s="62" t="str">
        <f t="shared" si="27"/>
        <v>4: Engaged Early</v>
      </c>
    </row>
    <row r="427" spans="1:15" ht="15" customHeight="1" x14ac:dyDescent="0.4">
      <c r="A427" s="62" t="s">
        <v>824</v>
      </c>
      <c r="B427" s="62" t="s">
        <v>1098</v>
      </c>
      <c r="C427" s="62" t="s">
        <v>826</v>
      </c>
      <c r="D427" s="63">
        <v>15</v>
      </c>
      <c r="E427" s="63">
        <v>13</v>
      </c>
      <c r="F427" s="63">
        <v>7</v>
      </c>
      <c r="G427" s="64">
        <f t="shared" si="24"/>
        <v>0.8666666666666667</v>
      </c>
      <c r="H427" s="64">
        <f t="shared" si="25"/>
        <v>0.46666666666666667</v>
      </c>
      <c r="I427" s="63">
        <v>2</v>
      </c>
      <c r="J427" s="65">
        <v>95.943049999999999</v>
      </c>
      <c r="K427" s="65">
        <v>99.45</v>
      </c>
      <c r="L427" s="62" t="s">
        <v>825</v>
      </c>
      <c r="M427" s="63">
        <v>0</v>
      </c>
      <c r="N427" s="66">
        <f t="shared" si="26"/>
        <v>0.99099999999999999</v>
      </c>
      <c r="O427" s="62" t="str">
        <f t="shared" si="27"/>
        <v>4: Engaged Early</v>
      </c>
    </row>
    <row r="428" spans="1:15" ht="15" customHeight="1" x14ac:dyDescent="0.4">
      <c r="A428" s="62" t="s">
        <v>824</v>
      </c>
      <c r="B428" s="62" t="s">
        <v>1099</v>
      </c>
      <c r="C428" s="62" t="s">
        <v>826</v>
      </c>
      <c r="D428" s="63">
        <v>3</v>
      </c>
      <c r="E428" s="63">
        <v>2</v>
      </c>
      <c r="F428" s="63">
        <v>2</v>
      </c>
      <c r="G428" s="64">
        <f t="shared" si="24"/>
        <v>0.66666666666666663</v>
      </c>
      <c r="H428" s="64">
        <f t="shared" si="25"/>
        <v>0.66666666666666663</v>
      </c>
      <c r="I428" s="63">
        <v>2</v>
      </c>
      <c r="J428" s="65">
        <v>44.848999999999997</v>
      </c>
      <c r="K428" s="65">
        <v>85.36</v>
      </c>
      <c r="L428" s="62" t="s">
        <v>825</v>
      </c>
      <c r="M428" s="63">
        <v>0</v>
      </c>
      <c r="N428" s="66">
        <f t="shared" si="26"/>
        <v>0.82899999999999996</v>
      </c>
      <c r="O428" s="62" t="str">
        <f t="shared" si="27"/>
        <v>4: Engaged Early</v>
      </c>
    </row>
    <row r="429" spans="1:15" ht="15" customHeight="1" x14ac:dyDescent="0.4">
      <c r="A429" s="62" t="s">
        <v>824</v>
      </c>
      <c r="B429" s="62" t="s">
        <v>1100</v>
      </c>
      <c r="C429" s="62" t="s">
        <v>826</v>
      </c>
      <c r="D429" s="63">
        <v>6</v>
      </c>
      <c r="E429" s="63">
        <v>6</v>
      </c>
      <c r="F429" s="63">
        <v>0</v>
      </c>
      <c r="G429" s="64">
        <f t="shared" si="24"/>
        <v>1</v>
      </c>
      <c r="H429" s="64">
        <f t="shared" si="25"/>
        <v>0</v>
      </c>
      <c r="I429" s="63">
        <v>2</v>
      </c>
      <c r="J429" s="65">
        <v>50.387050000000002</v>
      </c>
      <c r="K429" s="65">
        <v>93.46</v>
      </c>
      <c r="L429" s="62" t="s">
        <v>826</v>
      </c>
      <c r="M429" s="63">
        <v>0</v>
      </c>
      <c r="N429" s="66">
        <f t="shared" si="26"/>
        <v>0.63600000000000001</v>
      </c>
      <c r="O429" s="62" t="str">
        <f t="shared" si="27"/>
        <v>2: High (No DBWT)</v>
      </c>
    </row>
    <row r="430" spans="1:15" ht="15" customHeight="1" x14ac:dyDescent="0.4">
      <c r="A430" s="62" t="s">
        <v>824</v>
      </c>
      <c r="B430" s="62" t="s">
        <v>1101</v>
      </c>
      <c r="C430" s="62" t="s">
        <v>826</v>
      </c>
      <c r="D430" s="63">
        <v>17</v>
      </c>
      <c r="E430" s="63">
        <v>16</v>
      </c>
      <c r="F430" s="63">
        <v>3</v>
      </c>
      <c r="G430" s="64">
        <f t="shared" si="24"/>
        <v>0.94117647058823528</v>
      </c>
      <c r="H430" s="64">
        <f t="shared" si="25"/>
        <v>0.17647058823529413</v>
      </c>
      <c r="I430" s="63">
        <v>2</v>
      </c>
      <c r="J430" s="65">
        <v>87.0578</v>
      </c>
      <c r="K430" s="65">
        <v>100</v>
      </c>
      <c r="L430" s="62" t="s">
        <v>826</v>
      </c>
      <c r="M430" s="63">
        <v>0</v>
      </c>
      <c r="N430" s="66">
        <f t="shared" si="26"/>
        <v>0.73099999999999998</v>
      </c>
      <c r="O430" s="62" t="str">
        <f t="shared" si="27"/>
        <v>2: High (No DBWT)</v>
      </c>
    </row>
    <row r="431" spans="1:15" ht="15" customHeight="1" x14ac:dyDescent="0.4">
      <c r="A431" s="62" t="s">
        <v>824</v>
      </c>
      <c r="B431" s="62" t="s">
        <v>1102</v>
      </c>
      <c r="C431" s="62" t="s">
        <v>826</v>
      </c>
      <c r="D431" s="63">
        <v>18</v>
      </c>
      <c r="E431" s="63">
        <v>17</v>
      </c>
      <c r="F431" s="63">
        <v>3</v>
      </c>
      <c r="G431" s="64">
        <f t="shared" si="24"/>
        <v>0.94444444444444442</v>
      </c>
      <c r="H431" s="64">
        <f t="shared" si="25"/>
        <v>0.16666666666666666</v>
      </c>
      <c r="I431" s="63">
        <v>2</v>
      </c>
      <c r="J431" s="65">
        <v>99.393799999999999</v>
      </c>
      <c r="K431" s="65">
        <v>100</v>
      </c>
      <c r="L431" s="62" t="s">
        <v>825</v>
      </c>
      <c r="M431" s="63">
        <v>0</v>
      </c>
      <c r="N431" s="66">
        <f t="shared" si="26"/>
        <v>0.999</v>
      </c>
      <c r="O431" s="62" t="str">
        <f t="shared" si="27"/>
        <v>4: Engaged Early</v>
      </c>
    </row>
    <row r="432" spans="1:15" ht="15" customHeight="1" x14ac:dyDescent="0.4">
      <c r="A432" s="62" t="s">
        <v>824</v>
      </c>
      <c r="B432" s="62" t="s">
        <v>1103</v>
      </c>
      <c r="C432" s="62" t="s">
        <v>826</v>
      </c>
      <c r="D432" s="63">
        <v>22</v>
      </c>
      <c r="E432" s="63">
        <v>22</v>
      </c>
      <c r="F432" s="63">
        <v>8</v>
      </c>
      <c r="G432" s="64">
        <f t="shared" si="24"/>
        <v>1</v>
      </c>
      <c r="H432" s="64">
        <f t="shared" si="25"/>
        <v>0.36363636363636365</v>
      </c>
      <c r="I432" s="63">
        <v>2</v>
      </c>
      <c r="J432" s="65">
        <v>93.529349999999994</v>
      </c>
      <c r="K432" s="65">
        <v>99.53</v>
      </c>
      <c r="L432" s="62" t="s">
        <v>825</v>
      </c>
      <c r="M432" s="63">
        <v>0</v>
      </c>
      <c r="N432" s="66">
        <f t="shared" si="26"/>
        <v>0.98699999999999999</v>
      </c>
      <c r="O432" s="62" t="str">
        <f t="shared" si="27"/>
        <v>4: Engaged Early</v>
      </c>
    </row>
    <row r="433" spans="1:15" ht="15" customHeight="1" x14ac:dyDescent="0.4">
      <c r="A433" s="62" t="s">
        <v>824</v>
      </c>
      <c r="B433" s="62" t="s">
        <v>579</v>
      </c>
      <c r="C433" s="62" t="s">
        <v>825</v>
      </c>
      <c r="D433" s="63">
        <v>20</v>
      </c>
      <c r="E433" s="63">
        <v>19</v>
      </c>
      <c r="F433" s="63">
        <v>3</v>
      </c>
      <c r="G433" s="64">
        <f t="shared" si="24"/>
        <v>0.95</v>
      </c>
      <c r="H433" s="64">
        <f t="shared" si="25"/>
        <v>0.15</v>
      </c>
      <c r="I433" s="63">
        <v>0</v>
      </c>
      <c r="J433" s="65"/>
      <c r="K433" s="65">
        <v>14.22</v>
      </c>
      <c r="L433" s="62" t="s">
        <v>825</v>
      </c>
      <c r="M433" s="63">
        <v>1</v>
      </c>
      <c r="N433" s="66">
        <f t="shared" si="26"/>
        <v>0.33500000000000002</v>
      </c>
      <c r="O433" s="62" t="str">
        <f t="shared" si="27"/>
        <v>3: Elevated (No Wk0)</v>
      </c>
    </row>
    <row r="434" spans="1:15" ht="15" customHeight="1" x14ac:dyDescent="0.4">
      <c r="A434" s="62" t="s">
        <v>824</v>
      </c>
      <c r="B434" s="62" t="s">
        <v>1104</v>
      </c>
      <c r="C434" s="62" t="s">
        <v>826</v>
      </c>
      <c r="D434" s="63">
        <v>15</v>
      </c>
      <c r="E434" s="63">
        <v>12</v>
      </c>
      <c r="F434" s="63">
        <v>4</v>
      </c>
      <c r="G434" s="64">
        <f t="shared" si="24"/>
        <v>0.8</v>
      </c>
      <c r="H434" s="64">
        <f t="shared" si="25"/>
        <v>0.26666666666666666</v>
      </c>
      <c r="I434" s="63">
        <v>2</v>
      </c>
      <c r="J434" s="65">
        <v>92.442850000000007</v>
      </c>
      <c r="K434" s="65">
        <v>100</v>
      </c>
      <c r="L434" s="62" t="s">
        <v>825</v>
      </c>
      <c r="M434" s="63">
        <v>1</v>
      </c>
      <c r="N434" s="66">
        <f t="shared" si="26"/>
        <v>0.98899999999999999</v>
      </c>
      <c r="O434" s="62" t="str">
        <f t="shared" si="27"/>
        <v>4: Engaged Early</v>
      </c>
    </row>
    <row r="435" spans="1:15" ht="15" customHeight="1" x14ac:dyDescent="0.4">
      <c r="A435" s="62" t="s">
        <v>824</v>
      </c>
      <c r="B435" s="62" t="s">
        <v>1105</v>
      </c>
      <c r="C435" s="62" t="s">
        <v>826</v>
      </c>
      <c r="D435" s="63">
        <v>9</v>
      </c>
      <c r="E435" s="63">
        <v>8</v>
      </c>
      <c r="F435" s="63">
        <v>4</v>
      </c>
      <c r="G435" s="64">
        <f t="shared" si="24"/>
        <v>0.88888888888888884</v>
      </c>
      <c r="H435" s="64">
        <f t="shared" si="25"/>
        <v>0.44444444444444442</v>
      </c>
      <c r="I435" s="63">
        <v>2</v>
      </c>
      <c r="J435" s="65">
        <v>79.648049999999998</v>
      </c>
      <c r="K435" s="65">
        <v>99.68</v>
      </c>
      <c r="L435" s="62" t="s">
        <v>825</v>
      </c>
      <c r="M435" s="63">
        <v>0</v>
      </c>
      <c r="N435" s="66">
        <f t="shared" si="26"/>
        <v>0.96799999999999997</v>
      </c>
      <c r="O435" s="62" t="str">
        <f t="shared" si="27"/>
        <v>4: Engaged Early</v>
      </c>
    </row>
    <row r="436" spans="1:15" ht="15" customHeight="1" x14ac:dyDescent="0.4">
      <c r="A436" s="62" t="s">
        <v>824</v>
      </c>
      <c r="B436" s="62" t="s">
        <v>1106</v>
      </c>
      <c r="C436" s="62" t="s">
        <v>826</v>
      </c>
      <c r="D436" s="63">
        <v>0</v>
      </c>
      <c r="E436" s="63">
        <v>0</v>
      </c>
      <c r="F436" s="63">
        <v>0</v>
      </c>
      <c r="G436" s="64">
        <f t="shared" si="24"/>
        <v>0</v>
      </c>
      <c r="H436" s="64">
        <f t="shared" si="25"/>
        <v>0</v>
      </c>
      <c r="I436" s="63">
        <v>2</v>
      </c>
      <c r="J436" s="65">
        <v>93.650949999999995</v>
      </c>
      <c r="K436" s="65">
        <v>100</v>
      </c>
      <c r="L436" s="62" t="s">
        <v>825</v>
      </c>
      <c r="M436" s="63">
        <v>0</v>
      </c>
      <c r="N436" s="66">
        <f t="shared" si="26"/>
        <v>0.99</v>
      </c>
      <c r="O436" s="62" t="str">
        <f t="shared" si="27"/>
        <v>4: Engaged Early</v>
      </c>
    </row>
    <row r="437" spans="1:15" ht="15" customHeight="1" x14ac:dyDescent="0.4">
      <c r="A437" s="62" t="s">
        <v>824</v>
      </c>
      <c r="B437" s="62" t="s">
        <v>1107</v>
      </c>
      <c r="C437" s="62" t="s">
        <v>826</v>
      </c>
      <c r="D437" s="63">
        <v>8</v>
      </c>
      <c r="E437" s="63">
        <v>0</v>
      </c>
      <c r="F437" s="63">
        <v>3</v>
      </c>
      <c r="G437" s="64">
        <f t="shared" si="24"/>
        <v>0</v>
      </c>
      <c r="H437" s="64">
        <f t="shared" si="25"/>
        <v>0.375</v>
      </c>
      <c r="I437" s="63">
        <v>2</v>
      </c>
      <c r="J437" s="65">
        <v>73.552250000000001</v>
      </c>
      <c r="K437" s="65">
        <v>98.47</v>
      </c>
      <c r="L437" s="62" t="s">
        <v>825</v>
      </c>
      <c r="M437" s="63">
        <v>0</v>
      </c>
      <c r="N437" s="66">
        <f t="shared" si="26"/>
        <v>0.95099999999999996</v>
      </c>
      <c r="O437" s="62" t="str">
        <f t="shared" si="27"/>
        <v>4: Engaged Early</v>
      </c>
    </row>
    <row r="438" spans="1:15" ht="15" customHeight="1" x14ac:dyDescent="0.4">
      <c r="A438" s="62" t="s">
        <v>824</v>
      </c>
      <c r="B438" s="62" t="s">
        <v>1108</v>
      </c>
      <c r="C438" s="62" t="s">
        <v>826</v>
      </c>
      <c r="D438" s="63">
        <v>3</v>
      </c>
      <c r="E438" s="63">
        <v>3</v>
      </c>
      <c r="F438" s="63">
        <v>1</v>
      </c>
      <c r="G438" s="64">
        <f t="shared" si="24"/>
        <v>1</v>
      </c>
      <c r="H438" s="64">
        <f t="shared" si="25"/>
        <v>0.33333333333333331</v>
      </c>
      <c r="I438" s="63">
        <v>1</v>
      </c>
      <c r="J438" s="65">
        <v>79.383899999999997</v>
      </c>
      <c r="K438" s="65">
        <v>90.49</v>
      </c>
      <c r="L438" s="62" t="s">
        <v>826</v>
      </c>
      <c r="M438" s="63">
        <v>0</v>
      </c>
      <c r="N438" s="66">
        <f t="shared" si="26"/>
        <v>0.66200000000000003</v>
      </c>
      <c r="O438" s="62" t="str">
        <f t="shared" si="27"/>
        <v>2: High (No DBWT)</v>
      </c>
    </row>
    <row r="439" spans="1:15" ht="15" customHeight="1" x14ac:dyDescent="0.4">
      <c r="A439" s="62" t="s">
        <v>824</v>
      </c>
      <c r="B439" s="62" t="s">
        <v>1109</v>
      </c>
      <c r="C439" s="62" t="s">
        <v>826</v>
      </c>
      <c r="D439" s="63">
        <v>13</v>
      </c>
      <c r="E439" s="63">
        <v>11</v>
      </c>
      <c r="F439" s="63">
        <v>0</v>
      </c>
      <c r="G439" s="64">
        <f t="shared" si="24"/>
        <v>0.84615384615384615</v>
      </c>
      <c r="H439" s="64">
        <f t="shared" si="25"/>
        <v>0</v>
      </c>
      <c r="I439" s="63">
        <v>2</v>
      </c>
      <c r="J439" s="65">
        <v>79.837100000000007</v>
      </c>
      <c r="K439" s="65">
        <v>99.85</v>
      </c>
      <c r="L439" s="62" t="s">
        <v>825</v>
      </c>
      <c r="M439" s="63">
        <v>0</v>
      </c>
      <c r="N439" s="66">
        <f t="shared" si="26"/>
        <v>0.96899999999999997</v>
      </c>
      <c r="O439" s="62" t="str">
        <f t="shared" si="27"/>
        <v>4: Engaged Early</v>
      </c>
    </row>
    <row r="440" spans="1:15" ht="15" customHeight="1" x14ac:dyDescent="0.4">
      <c r="A440" s="62" t="s">
        <v>824</v>
      </c>
      <c r="B440" s="62" t="s">
        <v>539</v>
      </c>
      <c r="C440" s="62" t="s">
        <v>825</v>
      </c>
      <c r="D440" s="63">
        <v>8</v>
      </c>
      <c r="E440" s="63">
        <v>7</v>
      </c>
      <c r="F440" s="63">
        <v>3</v>
      </c>
      <c r="G440" s="64">
        <f t="shared" si="24"/>
        <v>0.875</v>
      </c>
      <c r="H440" s="64">
        <f t="shared" si="25"/>
        <v>0.375</v>
      </c>
      <c r="I440" s="63">
        <v>2</v>
      </c>
      <c r="J440" s="65">
        <v>65.528049999999993</v>
      </c>
      <c r="K440" s="65">
        <v>25.41</v>
      </c>
      <c r="L440" s="62" t="s">
        <v>826</v>
      </c>
      <c r="M440" s="63">
        <v>0</v>
      </c>
      <c r="N440" s="66">
        <f t="shared" si="26"/>
        <v>0.251</v>
      </c>
      <c r="O440" s="62" t="str">
        <f t="shared" si="27"/>
        <v>2: High (No DBWT)</v>
      </c>
    </row>
    <row r="441" spans="1:15" ht="15" customHeight="1" x14ac:dyDescent="0.4">
      <c r="A441" s="62" t="s">
        <v>824</v>
      </c>
      <c r="B441" s="62" t="s">
        <v>691</v>
      </c>
      <c r="C441" s="62" t="s">
        <v>825</v>
      </c>
      <c r="D441" s="63">
        <v>7</v>
      </c>
      <c r="E441" s="63">
        <v>6</v>
      </c>
      <c r="F441" s="63">
        <v>1</v>
      </c>
      <c r="G441" s="64">
        <f t="shared" si="24"/>
        <v>0.8571428571428571</v>
      </c>
      <c r="H441" s="64">
        <f t="shared" si="25"/>
        <v>0.14285714285714285</v>
      </c>
      <c r="I441" s="63">
        <v>2</v>
      </c>
      <c r="J441" s="65">
        <v>98.962900000000005</v>
      </c>
      <c r="K441" s="65">
        <v>50</v>
      </c>
      <c r="L441" s="62" t="s">
        <v>825</v>
      </c>
      <c r="M441" s="63">
        <v>0</v>
      </c>
      <c r="N441" s="66">
        <f t="shared" si="26"/>
        <v>0.69799999999999995</v>
      </c>
      <c r="O441" s="62" t="str">
        <f t="shared" si="27"/>
        <v>4: Engaged Early</v>
      </c>
    </row>
    <row r="442" spans="1:15" ht="15" customHeight="1" x14ac:dyDescent="0.4">
      <c r="A442" s="62" t="s">
        <v>824</v>
      </c>
      <c r="B442" s="62" t="s">
        <v>1110</v>
      </c>
      <c r="C442" s="62" t="s">
        <v>826</v>
      </c>
      <c r="D442" s="63">
        <v>3</v>
      </c>
      <c r="E442" s="63">
        <v>3</v>
      </c>
      <c r="F442" s="63">
        <v>1</v>
      </c>
      <c r="G442" s="64">
        <f t="shared" si="24"/>
        <v>1</v>
      </c>
      <c r="H442" s="64">
        <f t="shared" si="25"/>
        <v>0.33333333333333331</v>
      </c>
      <c r="I442" s="63">
        <v>1</v>
      </c>
      <c r="J442" s="65">
        <v>86.92</v>
      </c>
      <c r="K442" s="65">
        <v>88.73</v>
      </c>
      <c r="L442" s="62" t="s">
        <v>826</v>
      </c>
      <c r="M442" s="63">
        <v>0</v>
      </c>
      <c r="N442" s="66">
        <f t="shared" si="26"/>
        <v>0.66300000000000003</v>
      </c>
      <c r="O442" s="62" t="str">
        <f t="shared" si="27"/>
        <v>2: High (No DBWT)</v>
      </c>
    </row>
    <row r="443" spans="1:15" ht="15" customHeight="1" x14ac:dyDescent="0.4">
      <c r="A443" s="62" t="s">
        <v>824</v>
      </c>
      <c r="B443" s="62" t="s">
        <v>399</v>
      </c>
      <c r="C443" s="62" t="s">
        <v>825</v>
      </c>
      <c r="D443" s="63">
        <v>10</v>
      </c>
      <c r="E443" s="63">
        <v>3</v>
      </c>
      <c r="F443" s="63">
        <v>1</v>
      </c>
      <c r="G443" s="64">
        <f t="shared" si="24"/>
        <v>0.3</v>
      </c>
      <c r="H443" s="64">
        <f t="shared" si="25"/>
        <v>0.1</v>
      </c>
      <c r="I443" s="63">
        <v>2</v>
      </c>
      <c r="J443" s="65">
        <v>66.773499999999999</v>
      </c>
      <c r="K443" s="65">
        <v>25.49</v>
      </c>
      <c r="L443" s="62" t="s">
        <v>825</v>
      </c>
      <c r="M443" s="63">
        <v>0</v>
      </c>
      <c r="N443" s="66">
        <f t="shared" si="26"/>
        <v>0.503</v>
      </c>
      <c r="O443" s="62" t="str">
        <f t="shared" si="27"/>
        <v>4: Engaged Early</v>
      </c>
    </row>
    <row r="444" spans="1:15" ht="15" customHeight="1" x14ac:dyDescent="0.4">
      <c r="A444" s="62" t="s">
        <v>824</v>
      </c>
      <c r="B444" s="62" t="s">
        <v>1111</v>
      </c>
      <c r="C444" s="62" t="s">
        <v>826</v>
      </c>
      <c r="D444" s="63">
        <v>15</v>
      </c>
      <c r="E444" s="63">
        <v>14</v>
      </c>
      <c r="F444" s="63">
        <v>0</v>
      </c>
      <c r="G444" s="64">
        <f t="shared" si="24"/>
        <v>0.93333333333333335</v>
      </c>
      <c r="H444" s="64">
        <f t="shared" si="25"/>
        <v>0</v>
      </c>
      <c r="I444" s="63">
        <v>2</v>
      </c>
      <c r="J444" s="65">
        <v>68.096900000000005</v>
      </c>
      <c r="K444" s="65">
        <v>96.24</v>
      </c>
      <c r="L444" s="62" t="s">
        <v>826</v>
      </c>
      <c r="M444" s="63">
        <v>0</v>
      </c>
      <c r="N444" s="66">
        <f t="shared" si="26"/>
        <v>0.68</v>
      </c>
      <c r="O444" s="62" t="str">
        <f t="shared" si="27"/>
        <v>2: High (No DBWT)</v>
      </c>
    </row>
    <row r="445" spans="1:15" ht="15" customHeight="1" x14ac:dyDescent="0.4">
      <c r="A445" s="62" t="s">
        <v>824</v>
      </c>
      <c r="B445" s="62" t="s">
        <v>1112</v>
      </c>
      <c r="C445" s="62" t="s">
        <v>826</v>
      </c>
      <c r="D445" s="63">
        <v>18</v>
      </c>
      <c r="E445" s="63">
        <v>1</v>
      </c>
      <c r="F445" s="63">
        <v>2</v>
      </c>
      <c r="G445" s="64">
        <f t="shared" si="24"/>
        <v>5.5555555555555552E-2</v>
      </c>
      <c r="H445" s="64">
        <f t="shared" si="25"/>
        <v>0.1111111111111111</v>
      </c>
      <c r="I445" s="63">
        <v>2</v>
      </c>
      <c r="J445" s="65">
        <v>84.684250000000006</v>
      </c>
      <c r="K445" s="65">
        <v>80.36</v>
      </c>
      <c r="L445" s="62" t="s">
        <v>825</v>
      </c>
      <c r="M445" s="63">
        <v>0</v>
      </c>
      <c r="N445" s="66">
        <f t="shared" si="26"/>
        <v>0.85899999999999999</v>
      </c>
      <c r="O445" s="62" t="str">
        <f t="shared" si="27"/>
        <v>4: Engaged Early</v>
      </c>
    </row>
    <row r="446" spans="1:15" ht="15" customHeight="1" x14ac:dyDescent="0.4">
      <c r="A446" s="62" t="s">
        <v>824</v>
      </c>
      <c r="B446" s="62" t="s">
        <v>1113</v>
      </c>
      <c r="C446" s="62" t="s">
        <v>826</v>
      </c>
      <c r="D446" s="63">
        <v>15</v>
      </c>
      <c r="E446" s="63">
        <v>12</v>
      </c>
      <c r="F446" s="63">
        <v>2</v>
      </c>
      <c r="G446" s="64">
        <f t="shared" si="24"/>
        <v>0.8</v>
      </c>
      <c r="H446" s="64">
        <f t="shared" si="25"/>
        <v>0.13333333333333333</v>
      </c>
      <c r="I446" s="63">
        <v>2</v>
      </c>
      <c r="J446" s="65">
        <v>98.990099999999998</v>
      </c>
      <c r="K446" s="65">
        <v>100</v>
      </c>
      <c r="L446" s="62" t="s">
        <v>825</v>
      </c>
      <c r="M446" s="63">
        <v>0</v>
      </c>
      <c r="N446" s="66">
        <f t="shared" si="26"/>
        <v>0.998</v>
      </c>
      <c r="O446" s="62" t="str">
        <f t="shared" si="27"/>
        <v>4: Engaged Early</v>
      </c>
    </row>
    <row r="447" spans="1:15" ht="15" customHeight="1" x14ac:dyDescent="0.4">
      <c r="A447" s="62" t="s">
        <v>824</v>
      </c>
      <c r="B447" s="62" t="s">
        <v>1114</v>
      </c>
      <c r="C447" s="62" t="s">
        <v>826</v>
      </c>
      <c r="D447" s="63">
        <v>17</v>
      </c>
      <c r="E447" s="63">
        <v>12</v>
      </c>
      <c r="F447" s="63">
        <v>2</v>
      </c>
      <c r="G447" s="64">
        <f t="shared" si="24"/>
        <v>0.70588235294117652</v>
      </c>
      <c r="H447" s="64">
        <f t="shared" si="25"/>
        <v>0.11764705882352941</v>
      </c>
      <c r="I447" s="63">
        <v>2</v>
      </c>
      <c r="J447" s="65">
        <v>86.124250000000004</v>
      </c>
      <c r="K447" s="65">
        <v>59.29</v>
      </c>
      <c r="L447" s="62" t="s">
        <v>825</v>
      </c>
      <c r="M447" s="63">
        <v>0</v>
      </c>
      <c r="N447" s="66">
        <f t="shared" si="26"/>
        <v>0.73499999999999999</v>
      </c>
      <c r="O447" s="62" t="str">
        <f t="shared" si="27"/>
        <v>4: Engaged Early</v>
      </c>
    </row>
    <row r="448" spans="1:15" ht="15" customHeight="1" x14ac:dyDescent="0.4">
      <c r="A448" s="62" t="s">
        <v>824</v>
      </c>
      <c r="B448" s="62" t="s">
        <v>1115</v>
      </c>
      <c r="C448" s="62" t="s">
        <v>826</v>
      </c>
      <c r="D448" s="63">
        <v>3</v>
      </c>
      <c r="E448" s="63">
        <v>0</v>
      </c>
      <c r="F448" s="63">
        <v>0</v>
      </c>
      <c r="G448" s="64">
        <f t="shared" si="24"/>
        <v>0</v>
      </c>
      <c r="H448" s="64">
        <f t="shared" si="25"/>
        <v>0</v>
      </c>
      <c r="I448" s="63">
        <v>2</v>
      </c>
      <c r="J448" s="65">
        <v>99.51885</v>
      </c>
      <c r="K448" s="65">
        <v>100</v>
      </c>
      <c r="L448" s="62" t="s">
        <v>825</v>
      </c>
      <c r="M448" s="63">
        <v>0</v>
      </c>
      <c r="N448" s="66">
        <f t="shared" si="26"/>
        <v>0.999</v>
      </c>
      <c r="O448" s="62" t="str">
        <f t="shared" si="27"/>
        <v>4: Engaged Early</v>
      </c>
    </row>
    <row r="449" spans="1:15" ht="15" customHeight="1" x14ac:dyDescent="0.4">
      <c r="A449" s="62" t="s">
        <v>824</v>
      </c>
      <c r="B449" s="62" t="s">
        <v>1116</v>
      </c>
      <c r="C449" s="62" t="s">
        <v>826</v>
      </c>
      <c r="D449" s="63">
        <v>10</v>
      </c>
      <c r="E449" s="63">
        <v>10</v>
      </c>
      <c r="F449" s="63">
        <v>3</v>
      </c>
      <c r="G449" s="64">
        <f t="shared" si="24"/>
        <v>1</v>
      </c>
      <c r="H449" s="64">
        <f t="shared" si="25"/>
        <v>0.3</v>
      </c>
      <c r="I449" s="63">
        <v>2</v>
      </c>
      <c r="J449" s="65">
        <v>77.687250000000006</v>
      </c>
      <c r="K449" s="65">
        <v>51.29</v>
      </c>
      <c r="L449" s="62" t="s">
        <v>826</v>
      </c>
      <c r="M449" s="63">
        <v>0</v>
      </c>
      <c r="N449" s="66">
        <f t="shared" si="26"/>
        <v>0.42399999999999999</v>
      </c>
      <c r="O449" s="62" t="str">
        <f t="shared" si="27"/>
        <v>2: High (No DBWT)</v>
      </c>
    </row>
    <row r="450" spans="1:15" ht="15" customHeight="1" x14ac:dyDescent="0.4">
      <c r="A450" s="62" t="s">
        <v>824</v>
      </c>
      <c r="B450" s="62" t="s">
        <v>1117</v>
      </c>
      <c r="C450" s="62" t="s">
        <v>826</v>
      </c>
      <c r="D450" s="63">
        <v>5</v>
      </c>
      <c r="E450" s="63">
        <v>5</v>
      </c>
      <c r="F450" s="63">
        <v>2</v>
      </c>
      <c r="G450" s="64">
        <f t="shared" ref="G450:G513" si="28">IFERROR(E450/D450,0)</f>
        <v>1</v>
      </c>
      <c r="H450" s="64">
        <f t="shared" ref="H450:H513" si="29">IFERROR(F450/D450,0)</f>
        <v>0.4</v>
      </c>
      <c r="I450" s="63">
        <v>2</v>
      </c>
      <c r="J450" s="65">
        <v>99.477800000000002</v>
      </c>
      <c r="K450" s="65">
        <v>99.54</v>
      </c>
      <c r="L450" s="62" t="s">
        <v>826</v>
      </c>
      <c r="M450" s="63">
        <v>0</v>
      </c>
      <c r="N450" s="66">
        <f t="shared" ref="N450:N513" si="30">ROUND(IFERROR(K450/100,0)*0.6 + IF(L450="Yes",1,IF(L450="No",0,0.3))*0.25 + IFERROR(J450/100,0)*0.15,3)</f>
        <v>0.746</v>
      </c>
      <c r="O450" s="62" t="str">
        <f t="shared" ref="O450:O513" si="31">IF(AND(L450="No",I450=0),"1: Critical (No DBWT + No Wk0)",IF(L450="No","2: High (No DBWT)",IF(I450=0,"3: Elevated (No Wk0)","4: Engaged Early")))</f>
        <v>2: High (No DBWT)</v>
      </c>
    </row>
    <row r="451" spans="1:15" ht="15" customHeight="1" x14ac:dyDescent="0.4">
      <c r="A451" s="62" t="s">
        <v>824</v>
      </c>
      <c r="B451" s="62" t="s">
        <v>1118</v>
      </c>
      <c r="C451" s="62" t="s">
        <v>826</v>
      </c>
      <c r="D451" s="63">
        <v>3</v>
      </c>
      <c r="E451" s="63">
        <v>1</v>
      </c>
      <c r="F451" s="63">
        <v>0</v>
      </c>
      <c r="G451" s="64">
        <f t="shared" si="28"/>
        <v>0.33333333333333331</v>
      </c>
      <c r="H451" s="64">
        <f t="shared" si="29"/>
        <v>0</v>
      </c>
      <c r="I451" s="63">
        <v>2</v>
      </c>
      <c r="J451" s="65">
        <v>73.049449999999993</v>
      </c>
      <c r="K451" s="65">
        <v>51.52</v>
      </c>
      <c r="L451" s="62" t="s">
        <v>825</v>
      </c>
      <c r="M451" s="63">
        <v>0</v>
      </c>
      <c r="N451" s="66">
        <f t="shared" si="30"/>
        <v>0.66900000000000004</v>
      </c>
      <c r="O451" s="62" t="str">
        <f t="shared" si="31"/>
        <v>4: Engaged Early</v>
      </c>
    </row>
    <row r="452" spans="1:15" ht="15" customHeight="1" x14ac:dyDescent="0.4">
      <c r="A452" s="62" t="s">
        <v>824</v>
      </c>
      <c r="B452" s="62" t="s">
        <v>1119</v>
      </c>
      <c r="C452" s="62" t="s">
        <v>826</v>
      </c>
      <c r="D452" s="63">
        <v>13</v>
      </c>
      <c r="E452" s="63">
        <v>6</v>
      </c>
      <c r="F452" s="63">
        <v>2</v>
      </c>
      <c r="G452" s="64">
        <f t="shared" si="28"/>
        <v>0.46153846153846156</v>
      </c>
      <c r="H452" s="64">
        <f t="shared" si="29"/>
        <v>0.15384615384615385</v>
      </c>
      <c r="I452" s="63">
        <v>2</v>
      </c>
      <c r="J452" s="65">
        <v>77.183199999999999</v>
      </c>
      <c r="K452" s="65">
        <v>99.44</v>
      </c>
      <c r="L452" s="62" t="s">
        <v>825</v>
      </c>
      <c r="M452" s="63">
        <v>0</v>
      </c>
      <c r="N452" s="66">
        <f t="shared" si="30"/>
        <v>0.96199999999999997</v>
      </c>
      <c r="O452" s="62" t="str">
        <f t="shared" si="31"/>
        <v>4: Engaged Early</v>
      </c>
    </row>
    <row r="453" spans="1:15" ht="15" customHeight="1" x14ac:dyDescent="0.4">
      <c r="A453" s="62" t="s">
        <v>824</v>
      </c>
      <c r="B453" s="62" t="s">
        <v>1120</v>
      </c>
      <c r="C453" s="62" t="s">
        <v>826</v>
      </c>
      <c r="D453" s="63">
        <v>24</v>
      </c>
      <c r="E453" s="63">
        <v>14</v>
      </c>
      <c r="F453" s="63">
        <v>1</v>
      </c>
      <c r="G453" s="64">
        <f t="shared" si="28"/>
        <v>0.58333333333333337</v>
      </c>
      <c r="H453" s="64">
        <f t="shared" si="29"/>
        <v>4.1666666666666664E-2</v>
      </c>
      <c r="I453" s="63">
        <v>2</v>
      </c>
      <c r="J453" s="65">
        <v>88.721450000000004</v>
      </c>
      <c r="K453" s="65">
        <v>88.89</v>
      </c>
      <c r="L453" s="62" t="s">
        <v>825</v>
      </c>
      <c r="M453" s="63">
        <v>0</v>
      </c>
      <c r="N453" s="66">
        <f t="shared" si="30"/>
        <v>0.91600000000000004</v>
      </c>
      <c r="O453" s="62" t="str">
        <f t="shared" si="31"/>
        <v>4: Engaged Early</v>
      </c>
    </row>
    <row r="454" spans="1:15" ht="15" customHeight="1" x14ac:dyDescent="0.4">
      <c r="A454" s="62" t="s">
        <v>824</v>
      </c>
      <c r="B454" s="62" t="s">
        <v>305</v>
      </c>
      <c r="C454" s="62" t="s">
        <v>825</v>
      </c>
      <c r="D454" s="63">
        <v>20</v>
      </c>
      <c r="E454" s="63">
        <v>17</v>
      </c>
      <c r="F454" s="63">
        <v>12</v>
      </c>
      <c r="G454" s="64">
        <f t="shared" si="28"/>
        <v>0.85</v>
      </c>
      <c r="H454" s="64">
        <f t="shared" si="29"/>
        <v>0.6</v>
      </c>
      <c r="I454" s="63">
        <v>1</v>
      </c>
      <c r="J454" s="65">
        <v>60.87</v>
      </c>
      <c r="K454" s="65">
        <v>25.36</v>
      </c>
      <c r="L454" s="62" t="s">
        <v>825</v>
      </c>
      <c r="M454" s="63">
        <v>0</v>
      </c>
      <c r="N454" s="66">
        <f t="shared" si="30"/>
        <v>0.49299999999999999</v>
      </c>
      <c r="O454" s="62" t="str">
        <f t="shared" si="31"/>
        <v>4: Engaged Early</v>
      </c>
    </row>
    <row r="455" spans="1:15" ht="15" customHeight="1" x14ac:dyDescent="0.4">
      <c r="A455" s="62" t="s">
        <v>824</v>
      </c>
      <c r="B455" s="62" t="s">
        <v>1121</v>
      </c>
      <c r="C455" s="62" t="s">
        <v>826</v>
      </c>
      <c r="D455" s="63">
        <v>1</v>
      </c>
      <c r="E455" s="63">
        <v>0</v>
      </c>
      <c r="F455" s="63">
        <v>0</v>
      </c>
      <c r="G455" s="64">
        <f t="shared" si="28"/>
        <v>0</v>
      </c>
      <c r="H455" s="64">
        <f t="shared" si="29"/>
        <v>0</v>
      </c>
      <c r="I455" s="63">
        <v>2</v>
      </c>
      <c r="J455" s="65">
        <v>76.352800000000002</v>
      </c>
      <c r="K455" s="65">
        <v>88.83</v>
      </c>
      <c r="L455" s="62" t="s">
        <v>825</v>
      </c>
      <c r="M455" s="63">
        <v>0</v>
      </c>
      <c r="N455" s="66">
        <f t="shared" si="30"/>
        <v>0.89800000000000002</v>
      </c>
      <c r="O455" s="62" t="str">
        <f t="shared" si="31"/>
        <v>4: Engaged Early</v>
      </c>
    </row>
    <row r="456" spans="1:15" ht="15" customHeight="1" x14ac:dyDescent="0.4">
      <c r="A456" s="62" t="s">
        <v>824</v>
      </c>
      <c r="B456" s="62" t="s">
        <v>1122</v>
      </c>
      <c r="C456" s="62" t="s">
        <v>826</v>
      </c>
      <c r="D456" s="63">
        <v>0</v>
      </c>
      <c r="E456" s="63">
        <v>0</v>
      </c>
      <c r="F456" s="63">
        <v>0</v>
      </c>
      <c r="G456" s="64">
        <f t="shared" si="28"/>
        <v>0</v>
      </c>
      <c r="H456" s="64">
        <f t="shared" si="29"/>
        <v>0</v>
      </c>
      <c r="I456" s="63">
        <v>2</v>
      </c>
      <c r="J456" s="65">
        <v>65.982749999999996</v>
      </c>
      <c r="K456" s="65">
        <v>53.99</v>
      </c>
      <c r="L456" s="62" t="s">
        <v>825</v>
      </c>
      <c r="M456" s="63">
        <v>0</v>
      </c>
      <c r="N456" s="66">
        <f t="shared" si="30"/>
        <v>0.67300000000000004</v>
      </c>
      <c r="O456" s="62" t="str">
        <f t="shared" si="31"/>
        <v>4: Engaged Early</v>
      </c>
    </row>
    <row r="457" spans="1:15" ht="15" customHeight="1" x14ac:dyDescent="0.4">
      <c r="A457" s="62" t="s">
        <v>824</v>
      </c>
      <c r="B457" s="62" t="s">
        <v>1123</v>
      </c>
      <c r="C457" s="62" t="s">
        <v>826</v>
      </c>
      <c r="D457" s="63">
        <v>22</v>
      </c>
      <c r="E457" s="63">
        <v>10</v>
      </c>
      <c r="F457" s="63">
        <v>1</v>
      </c>
      <c r="G457" s="64">
        <f t="shared" si="28"/>
        <v>0.45454545454545453</v>
      </c>
      <c r="H457" s="64">
        <f t="shared" si="29"/>
        <v>4.5454545454545456E-2</v>
      </c>
      <c r="I457" s="63">
        <v>2</v>
      </c>
      <c r="J457" s="65">
        <v>90.603149999999999</v>
      </c>
      <c r="K457" s="65">
        <v>97.6</v>
      </c>
      <c r="L457" s="62" t="s">
        <v>825</v>
      </c>
      <c r="M457" s="63">
        <v>0</v>
      </c>
      <c r="N457" s="66">
        <f t="shared" si="30"/>
        <v>0.97199999999999998</v>
      </c>
      <c r="O457" s="62" t="str">
        <f t="shared" si="31"/>
        <v>4: Engaged Early</v>
      </c>
    </row>
    <row r="458" spans="1:15" ht="15" customHeight="1" x14ac:dyDescent="0.4">
      <c r="A458" s="62" t="s">
        <v>824</v>
      </c>
      <c r="B458" s="62" t="s">
        <v>424</v>
      </c>
      <c r="C458" s="62" t="s">
        <v>825</v>
      </c>
      <c r="D458" s="63">
        <v>7</v>
      </c>
      <c r="E458" s="63">
        <v>6</v>
      </c>
      <c r="F458" s="63">
        <v>1</v>
      </c>
      <c r="G458" s="64">
        <f t="shared" si="28"/>
        <v>0.8571428571428571</v>
      </c>
      <c r="H458" s="64">
        <f t="shared" si="29"/>
        <v>0.14285714285714285</v>
      </c>
      <c r="I458" s="63">
        <v>2</v>
      </c>
      <c r="J458" s="65">
        <v>48.3127</v>
      </c>
      <c r="K458" s="65">
        <v>14.86</v>
      </c>
      <c r="L458" s="62" t="s">
        <v>826</v>
      </c>
      <c r="M458" s="63">
        <v>1</v>
      </c>
      <c r="N458" s="66">
        <f t="shared" si="30"/>
        <v>0.16200000000000001</v>
      </c>
      <c r="O458" s="62" t="str">
        <f t="shared" si="31"/>
        <v>2: High (No DBWT)</v>
      </c>
    </row>
    <row r="459" spans="1:15" ht="15" customHeight="1" x14ac:dyDescent="0.4">
      <c r="A459" s="62" t="s">
        <v>824</v>
      </c>
      <c r="B459" s="62" t="s">
        <v>1124</v>
      </c>
      <c r="C459" s="62" t="s">
        <v>826</v>
      </c>
      <c r="D459" s="63">
        <v>12</v>
      </c>
      <c r="E459" s="63">
        <v>12</v>
      </c>
      <c r="F459" s="63">
        <v>0</v>
      </c>
      <c r="G459" s="64">
        <f t="shared" si="28"/>
        <v>1</v>
      </c>
      <c r="H459" s="64">
        <f t="shared" si="29"/>
        <v>0</v>
      </c>
      <c r="I459" s="63">
        <v>2</v>
      </c>
      <c r="J459" s="65">
        <v>50.61356</v>
      </c>
      <c r="K459" s="65">
        <v>89.11</v>
      </c>
      <c r="L459" s="62" t="s">
        <v>825</v>
      </c>
      <c r="M459" s="63">
        <v>0</v>
      </c>
      <c r="N459" s="66">
        <f t="shared" si="30"/>
        <v>0.86099999999999999</v>
      </c>
      <c r="O459" s="62" t="str">
        <f t="shared" si="31"/>
        <v>4: Engaged Early</v>
      </c>
    </row>
    <row r="460" spans="1:15" ht="15" customHeight="1" x14ac:dyDescent="0.4">
      <c r="A460" s="62" t="s">
        <v>824</v>
      </c>
      <c r="B460" s="62" t="s">
        <v>1125</v>
      </c>
      <c r="C460" s="62" t="s">
        <v>826</v>
      </c>
      <c r="D460" s="63">
        <v>4</v>
      </c>
      <c r="E460" s="63">
        <v>4</v>
      </c>
      <c r="F460" s="63">
        <v>2</v>
      </c>
      <c r="G460" s="64">
        <f t="shared" si="28"/>
        <v>1</v>
      </c>
      <c r="H460" s="64">
        <f t="shared" si="29"/>
        <v>0.5</v>
      </c>
      <c r="I460" s="63">
        <v>2</v>
      </c>
      <c r="J460" s="65">
        <v>16.676780000000001</v>
      </c>
      <c r="K460" s="65">
        <v>31.6</v>
      </c>
      <c r="L460" s="62" t="s">
        <v>825</v>
      </c>
      <c r="M460" s="63">
        <v>0</v>
      </c>
      <c r="N460" s="66">
        <f t="shared" si="30"/>
        <v>0.46500000000000002</v>
      </c>
      <c r="O460" s="62" t="str">
        <f t="shared" si="31"/>
        <v>4: Engaged Early</v>
      </c>
    </row>
    <row r="461" spans="1:15" ht="15" customHeight="1" x14ac:dyDescent="0.4">
      <c r="A461" s="62" t="s">
        <v>824</v>
      </c>
      <c r="B461" s="62" t="s">
        <v>1126</v>
      </c>
      <c r="C461" s="62" t="s">
        <v>826</v>
      </c>
      <c r="D461" s="63">
        <v>4</v>
      </c>
      <c r="E461" s="63">
        <v>4</v>
      </c>
      <c r="F461" s="63">
        <v>0</v>
      </c>
      <c r="G461" s="64">
        <f t="shared" si="28"/>
        <v>1</v>
      </c>
      <c r="H461" s="64">
        <f t="shared" si="29"/>
        <v>0</v>
      </c>
      <c r="I461" s="63">
        <v>2</v>
      </c>
      <c r="J461" s="65">
        <v>92.292850000000001</v>
      </c>
      <c r="K461" s="65">
        <v>73.67</v>
      </c>
      <c r="L461" s="62" t="s">
        <v>825</v>
      </c>
      <c r="M461" s="63">
        <v>0</v>
      </c>
      <c r="N461" s="66">
        <f t="shared" si="30"/>
        <v>0.83</v>
      </c>
      <c r="O461" s="62" t="str">
        <f t="shared" si="31"/>
        <v>4: Engaged Early</v>
      </c>
    </row>
    <row r="462" spans="1:15" ht="15" customHeight="1" x14ac:dyDescent="0.4">
      <c r="A462" s="62" t="s">
        <v>824</v>
      </c>
      <c r="B462" s="62" t="s">
        <v>1127</v>
      </c>
      <c r="C462" s="62" t="s">
        <v>826</v>
      </c>
      <c r="D462" s="63">
        <v>1</v>
      </c>
      <c r="E462" s="63">
        <v>1</v>
      </c>
      <c r="F462" s="63">
        <v>0</v>
      </c>
      <c r="G462" s="64">
        <f t="shared" si="28"/>
        <v>1</v>
      </c>
      <c r="H462" s="64">
        <f t="shared" si="29"/>
        <v>0</v>
      </c>
      <c r="I462" s="63">
        <v>2</v>
      </c>
      <c r="J462" s="65">
        <v>80.291600000000003</v>
      </c>
      <c r="K462" s="65">
        <v>99.91</v>
      </c>
      <c r="L462" s="62" t="s">
        <v>825</v>
      </c>
      <c r="M462" s="63">
        <v>0</v>
      </c>
      <c r="N462" s="66">
        <f t="shared" si="30"/>
        <v>0.97</v>
      </c>
      <c r="O462" s="62" t="str">
        <f t="shared" si="31"/>
        <v>4: Engaged Early</v>
      </c>
    </row>
    <row r="463" spans="1:15" ht="15" customHeight="1" x14ac:dyDescent="0.4">
      <c r="A463" s="62" t="s">
        <v>824</v>
      </c>
      <c r="B463" s="62" t="s">
        <v>1128</v>
      </c>
      <c r="C463" s="62" t="s">
        <v>826</v>
      </c>
      <c r="D463" s="63">
        <v>10</v>
      </c>
      <c r="E463" s="63">
        <v>9</v>
      </c>
      <c r="F463" s="63">
        <v>3</v>
      </c>
      <c r="G463" s="64">
        <f t="shared" si="28"/>
        <v>0.9</v>
      </c>
      <c r="H463" s="64">
        <f t="shared" si="29"/>
        <v>0.3</v>
      </c>
      <c r="I463" s="63">
        <v>2</v>
      </c>
      <c r="J463" s="65">
        <v>96.208749999999995</v>
      </c>
      <c r="K463" s="65">
        <v>100</v>
      </c>
      <c r="L463" s="62" t="s">
        <v>825</v>
      </c>
      <c r="M463" s="63">
        <v>0</v>
      </c>
      <c r="N463" s="66">
        <f t="shared" si="30"/>
        <v>0.99399999999999999</v>
      </c>
      <c r="O463" s="62" t="str">
        <f t="shared" si="31"/>
        <v>4: Engaged Early</v>
      </c>
    </row>
    <row r="464" spans="1:15" ht="15" customHeight="1" x14ac:dyDescent="0.4">
      <c r="A464" s="62" t="s">
        <v>824</v>
      </c>
      <c r="B464" s="62" t="s">
        <v>1129</v>
      </c>
      <c r="C464" s="62" t="s">
        <v>826</v>
      </c>
      <c r="D464" s="63">
        <v>7</v>
      </c>
      <c r="E464" s="63">
        <v>6</v>
      </c>
      <c r="F464" s="63">
        <v>1</v>
      </c>
      <c r="G464" s="64">
        <f t="shared" si="28"/>
        <v>0.8571428571428571</v>
      </c>
      <c r="H464" s="64">
        <f t="shared" si="29"/>
        <v>0.14285714285714285</v>
      </c>
      <c r="I464" s="63">
        <v>2</v>
      </c>
      <c r="J464" s="65">
        <v>43.529209999999999</v>
      </c>
      <c r="K464" s="65">
        <v>89.17</v>
      </c>
      <c r="L464" s="62" t="s">
        <v>825</v>
      </c>
      <c r="M464" s="63">
        <v>0</v>
      </c>
      <c r="N464" s="66">
        <f t="shared" si="30"/>
        <v>0.85</v>
      </c>
      <c r="O464" s="62" t="str">
        <f t="shared" si="31"/>
        <v>4: Engaged Early</v>
      </c>
    </row>
    <row r="465" spans="1:15" ht="15" customHeight="1" x14ac:dyDescent="0.4">
      <c r="A465" s="62" t="s">
        <v>824</v>
      </c>
      <c r="B465" s="62" t="s">
        <v>1130</v>
      </c>
      <c r="C465" s="62" t="s">
        <v>826</v>
      </c>
      <c r="D465" s="63">
        <v>17</v>
      </c>
      <c r="E465" s="63">
        <v>12</v>
      </c>
      <c r="F465" s="63">
        <v>5</v>
      </c>
      <c r="G465" s="64">
        <f t="shared" si="28"/>
        <v>0.70588235294117652</v>
      </c>
      <c r="H465" s="64">
        <f t="shared" si="29"/>
        <v>0.29411764705882354</v>
      </c>
      <c r="I465" s="63">
        <v>2</v>
      </c>
      <c r="J465" s="65">
        <v>91.56635</v>
      </c>
      <c r="K465" s="65">
        <v>100</v>
      </c>
      <c r="L465" s="62" t="s">
        <v>825</v>
      </c>
      <c r="M465" s="63">
        <v>0</v>
      </c>
      <c r="N465" s="66">
        <f t="shared" si="30"/>
        <v>0.98699999999999999</v>
      </c>
      <c r="O465" s="62" t="str">
        <f t="shared" si="31"/>
        <v>4: Engaged Early</v>
      </c>
    </row>
    <row r="466" spans="1:15" ht="15" customHeight="1" x14ac:dyDescent="0.4">
      <c r="A466" s="62" t="s">
        <v>824</v>
      </c>
      <c r="B466" s="62" t="s">
        <v>1131</v>
      </c>
      <c r="C466" s="62" t="s">
        <v>826</v>
      </c>
      <c r="D466" s="63">
        <v>13</v>
      </c>
      <c r="E466" s="63">
        <v>10</v>
      </c>
      <c r="F466" s="63">
        <v>6</v>
      </c>
      <c r="G466" s="64">
        <f t="shared" si="28"/>
        <v>0.76923076923076927</v>
      </c>
      <c r="H466" s="64">
        <f t="shared" si="29"/>
        <v>0.46153846153846156</v>
      </c>
      <c r="I466" s="63">
        <v>1</v>
      </c>
      <c r="J466" s="65">
        <v>60.433</v>
      </c>
      <c r="K466" s="65">
        <v>94.04</v>
      </c>
      <c r="L466" s="62" t="s">
        <v>825</v>
      </c>
      <c r="M466" s="63">
        <v>0</v>
      </c>
      <c r="N466" s="66">
        <f t="shared" si="30"/>
        <v>0.90500000000000003</v>
      </c>
      <c r="O466" s="62" t="str">
        <f t="shared" si="31"/>
        <v>4: Engaged Early</v>
      </c>
    </row>
    <row r="467" spans="1:15" ht="15" customHeight="1" x14ac:dyDescent="0.4">
      <c r="A467" s="62" t="s">
        <v>824</v>
      </c>
      <c r="B467" s="62" t="s">
        <v>1132</v>
      </c>
      <c r="C467" s="62" t="s">
        <v>826</v>
      </c>
      <c r="D467" s="63">
        <v>18</v>
      </c>
      <c r="E467" s="63">
        <v>12</v>
      </c>
      <c r="F467" s="63">
        <v>0</v>
      </c>
      <c r="G467" s="64">
        <f t="shared" si="28"/>
        <v>0.66666666666666663</v>
      </c>
      <c r="H467" s="64">
        <f t="shared" si="29"/>
        <v>0</v>
      </c>
      <c r="I467" s="63">
        <v>1</v>
      </c>
      <c r="J467" s="65">
        <v>92.4</v>
      </c>
      <c r="K467" s="65">
        <v>77.59</v>
      </c>
      <c r="L467" s="62" t="s">
        <v>825</v>
      </c>
      <c r="M467" s="63">
        <v>0</v>
      </c>
      <c r="N467" s="66">
        <f t="shared" si="30"/>
        <v>0.85399999999999998</v>
      </c>
      <c r="O467" s="62" t="str">
        <f t="shared" si="31"/>
        <v>4: Engaged Early</v>
      </c>
    </row>
    <row r="468" spans="1:15" ht="15" customHeight="1" x14ac:dyDescent="0.4">
      <c r="A468" s="62" t="s">
        <v>824</v>
      </c>
      <c r="B468" s="62" t="s">
        <v>1133</v>
      </c>
      <c r="C468" s="62" t="s">
        <v>826</v>
      </c>
      <c r="D468" s="63">
        <v>10</v>
      </c>
      <c r="E468" s="63">
        <v>6</v>
      </c>
      <c r="F468" s="63">
        <v>3</v>
      </c>
      <c r="G468" s="64">
        <f t="shared" si="28"/>
        <v>0.6</v>
      </c>
      <c r="H468" s="64">
        <f t="shared" si="29"/>
        <v>0.3</v>
      </c>
      <c r="I468" s="63">
        <v>2</v>
      </c>
      <c r="J468" s="65">
        <v>93.811049999999994</v>
      </c>
      <c r="K468" s="65">
        <v>100</v>
      </c>
      <c r="L468" s="62" t="s">
        <v>825</v>
      </c>
      <c r="M468" s="63">
        <v>1</v>
      </c>
      <c r="N468" s="66">
        <f t="shared" si="30"/>
        <v>0.99099999999999999</v>
      </c>
      <c r="O468" s="62" t="str">
        <f t="shared" si="31"/>
        <v>4: Engaged Early</v>
      </c>
    </row>
    <row r="469" spans="1:15" ht="15" customHeight="1" x14ac:dyDescent="0.4">
      <c r="A469" s="62" t="s">
        <v>824</v>
      </c>
      <c r="B469" s="62" t="s">
        <v>1134</v>
      </c>
      <c r="C469" s="62" t="s">
        <v>826</v>
      </c>
      <c r="D469" s="63">
        <v>0</v>
      </c>
      <c r="E469" s="63">
        <v>0</v>
      </c>
      <c r="F469" s="63">
        <v>0</v>
      </c>
      <c r="G469" s="64">
        <f t="shared" si="28"/>
        <v>0</v>
      </c>
      <c r="H469" s="64">
        <f t="shared" si="29"/>
        <v>0</v>
      </c>
      <c r="I469" s="63">
        <v>1</v>
      </c>
      <c r="J469" s="65">
        <v>39.39</v>
      </c>
      <c r="K469" s="65">
        <v>14.29</v>
      </c>
      <c r="L469" s="62" t="s">
        <v>840</v>
      </c>
      <c r="M469" s="63">
        <v>0</v>
      </c>
      <c r="N469" s="66">
        <f t="shared" si="30"/>
        <v>0.22</v>
      </c>
      <c r="O469" s="62" t="str">
        <f t="shared" si="31"/>
        <v>4: Engaged Early</v>
      </c>
    </row>
    <row r="470" spans="1:15" ht="15" customHeight="1" x14ac:dyDescent="0.4">
      <c r="A470" s="62" t="s">
        <v>824</v>
      </c>
      <c r="B470" s="62" t="s">
        <v>1135</v>
      </c>
      <c r="C470" s="62" t="s">
        <v>826</v>
      </c>
      <c r="D470" s="63">
        <v>8</v>
      </c>
      <c r="E470" s="63">
        <v>5</v>
      </c>
      <c r="F470" s="63">
        <v>2</v>
      </c>
      <c r="G470" s="64">
        <f t="shared" si="28"/>
        <v>0.625</v>
      </c>
      <c r="H470" s="64">
        <f t="shared" si="29"/>
        <v>0.25</v>
      </c>
      <c r="I470" s="63">
        <v>2</v>
      </c>
      <c r="J470" s="65">
        <v>95.008150000000001</v>
      </c>
      <c r="K470" s="65">
        <v>99.62</v>
      </c>
      <c r="L470" s="62" t="s">
        <v>825</v>
      </c>
      <c r="M470" s="63">
        <v>0</v>
      </c>
      <c r="N470" s="66">
        <f t="shared" si="30"/>
        <v>0.99</v>
      </c>
      <c r="O470" s="62" t="str">
        <f t="shared" si="31"/>
        <v>4: Engaged Early</v>
      </c>
    </row>
    <row r="471" spans="1:15" ht="15" customHeight="1" x14ac:dyDescent="0.4">
      <c r="A471" s="62" t="s">
        <v>824</v>
      </c>
      <c r="B471" s="62" t="s">
        <v>1136</v>
      </c>
      <c r="C471" s="62" t="s">
        <v>826</v>
      </c>
      <c r="D471" s="63">
        <v>13</v>
      </c>
      <c r="E471" s="63">
        <v>10</v>
      </c>
      <c r="F471" s="63">
        <v>1</v>
      </c>
      <c r="G471" s="64">
        <f t="shared" si="28"/>
        <v>0.76923076923076927</v>
      </c>
      <c r="H471" s="64">
        <f t="shared" si="29"/>
        <v>7.6923076923076927E-2</v>
      </c>
      <c r="I471" s="63">
        <v>2</v>
      </c>
      <c r="J471" s="65">
        <v>91.411050000000003</v>
      </c>
      <c r="K471" s="65">
        <v>100</v>
      </c>
      <c r="L471" s="62" t="s">
        <v>825</v>
      </c>
      <c r="M471" s="63">
        <v>0</v>
      </c>
      <c r="N471" s="66">
        <f t="shared" si="30"/>
        <v>0.98699999999999999</v>
      </c>
      <c r="O471" s="62" t="str">
        <f t="shared" si="31"/>
        <v>4: Engaged Early</v>
      </c>
    </row>
    <row r="472" spans="1:15" ht="15" customHeight="1" x14ac:dyDescent="0.4">
      <c r="A472" s="62" t="s">
        <v>824</v>
      </c>
      <c r="B472" s="62" t="s">
        <v>301</v>
      </c>
      <c r="C472" s="62" t="s">
        <v>825</v>
      </c>
      <c r="D472" s="63">
        <v>22</v>
      </c>
      <c r="E472" s="63">
        <v>20</v>
      </c>
      <c r="F472" s="63">
        <v>4</v>
      </c>
      <c r="G472" s="64">
        <f t="shared" si="28"/>
        <v>0.90909090909090906</v>
      </c>
      <c r="H472" s="64">
        <f t="shared" si="29"/>
        <v>0.18181818181818182</v>
      </c>
      <c r="I472" s="63">
        <v>0</v>
      </c>
      <c r="J472" s="65"/>
      <c r="K472" s="65">
        <v>0</v>
      </c>
      <c r="L472" s="62" t="s">
        <v>825</v>
      </c>
      <c r="M472" s="63">
        <v>0</v>
      </c>
      <c r="N472" s="66">
        <f t="shared" si="30"/>
        <v>0.25</v>
      </c>
      <c r="O472" s="62" t="str">
        <f t="shared" si="31"/>
        <v>3: Elevated (No Wk0)</v>
      </c>
    </row>
    <row r="473" spans="1:15" ht="15" customHeight="1" x14ac:dyDescent="0.4">
      <c r="A473" s="62" t="s">
        <v>824</v>
      </c>
      <c r="B473" s="62" t="s">
        <v>1137</v>
      </c>
      <c r="C473" s="62" t="s">
        <v>826</v>
      </c>
      <c r="D473" s="63">
        <v>17</v>
      </c>
      <c r="E473" s="63">
        <v>13</v>
      </c>
      <c r="F473" s="63">
        <v>0</v>
      </c>
      <c r="G473" s="64">
        <f t="shared" si="28"/>
        <v>0.76470588235294112</v>
      </c>
      <c r="H473" s="64">
        <f t="shared" si="29"/>
        <v>0</v>
      </c>
      <c r="I473" s="63">
        <v>2</v>
      </c>
      <c r="J473" s="65">
        <v>62.966050000000003</v>
      </c>
      <c r="K473" s="65">
        <v>94.44</v>
      </c>
      <c r="L473" s="62" t="s">
        <v>825</v>
      </c>
      <c r="M473" s="63">
        <v>0</v>
      </c>
      <c r="N473" s="66">
        <f t="shared" si="30"/>
        <v>0.91100000000000003</v>
      </c>
      <c r="O473" s="62" t="str">
        <f t="shared" si="31"/>
        <v>4: Engaged Early</v>
      </c>
    </row>
    <row r="474" spans="1:15" ht="15" customHeight="1" x14ac:dyDescent="0.4">
      <c r="A474" s="62" t="s">
        <v>824</v>
      </c>
      <c r="B474" s="62" t="s">
        <v>1138</v>
      </c>
      <c r="C474" s="62" t="s">
        <v>826</v>
      </c>
      <c r="D474" s="63">
        <v>3</v>
      </c>
      <c r="E474" s="63">
        <v>3</v>
      </c>
      <c r="F474" s="63">
        <v>1</v>
      </c>
      <c r="G474" s="64">
        <f t="shared" si="28"/>
        <v>1</v>
      </c>
      <c r="H474" s="64">
        <f t="shared" si="29"/>
        <v>0.33333333333333331</v>
      </c>
      <c r="I474" s="63">
        <v>1</v>
      </c>
      <c r="J474" s="65">
        <v>96.5</v>
      </c>
      <c r="K474" s="65">
        <v>44.44</v>
      </c>
      <c r="L474" s="62" t="s">
        <v>825</v>
      </c>
      <c r="M474" s="63">
        <v>0</v>
      </c>
      <c r="N474" s="66">
        <f t="shared" si="30"/>
        <v>0.66100000000000003</v>
      </c>
      <c r="O474" s="62" t="str">
        <f t="shared" si="31"/>
        <v>4: Engaged Early</v>
      </c>
    </row>
    <row r="475" spans="1:15" ht="15" customHeight="1" x14ac:dyDescent="0.4">
      <c r="A475" s="62" t="s">
        <v>824</v>
      </c>
      <c r="B475" s="62" t="s">
        <v>1139</v>
      </c>
      <c r="C475" s="62" t="s">
        <v>826</v>
      </c>
      <c r="D475" s="63">
        <v>5</v>
      </c>
      <c r="E475" s="63">
        <v>5</v>
      </c>
      <c r="F475" s="63">
        <v>1</v>
      </c>
      <c r="G475" s="64">
        <f t="shared" si="28"/>
        <v>1</v>
      </c>
      <c r="H475" s="64">
        <f t="shared" si="29"/>
        <v>0.2</v>
      </c>
      <c r="I475" s="63">
        <v>2</v>
      </c>
      <c r="J475" s="65">
        <v>84.027550000000005</v>
      </c>
      <c r="K475" s="65">
        <v>100</v>
      </c>
      <c r="L475" s="62" t="s">
        <v>825</v>
      </c>
      <c r="M475" s="63">
        <v>0</v>
      </c>
      <c r="N475" s="66">
        <f t="shared" si="30"/>
        <v>0.97599999999999998</v>
      </c>
      <c r="O475" s="62" t="str">
        <f t="shared" si="31"/>
        <v>4: Engaged Early</v>
      </c>
    </row>
    <row r="476" spans="1:15" ht="15" customHeight="1" x14ac:dyDescent="0.4">
      <c r="A476" s="62" t="s">
        <v>824</v>
      </c>
      <c r="B476" s="62" t="s">
        <v>1140</v>
      </c>
      <c r="C476" s="62" t="s">
        <v>826</v>
      </c>
      <c r="D476" s="63">
        <v>16</v>
      </c>
      <c r="E476" s="63">
        <v>16</v>
      </c>
      <c r="F476" s="63">
        <v>1</v>
      </c>
      <c r="G476" s="64">
        <f t="shared" si="28"/>
        <v>1</v>
      </c>
      <c r="H476" s="64">
        <f t="shared" si="29"/>
        <v>6.25E-2</v>
      </c>
      <c r="I476" s="63">
        <v>2</v>
      </c>
      <c r="J476" s="65">
        <v>18.482955</v>
      </c>
      <c r="K476" s="65">
        <v>5.13</v>
      </c>
      <c r="L476" s="62" t="s">
        <v>825</v>
      </c>
      <c r="M476" s="63">
        <v>0</v>
      </c>
      <c r="N476" s="66">
        <f t="shared" si="30"/>
        <v>0.309</v>
      </c>
      <c r="O476" s="62" t="str">
        <f t="shared" si="31"/>
        <v>4: Engaged Early</v>
      </c>
    </row>
    <row r="477" spans="1:15" ht="15" customHeight="1" x14ac:dyDescent="0.4">
      <c r="A477" s="62" t="s">
        <v>824</v>
      </c>
      <c r="B477" s="62" t="s">
        <v>683</v>
      </c>
      <c r="C477" s="62" t="s">
        <v>825</v>
      </c>
      <c r="D477" s="63">
        <v>13</v>
      </c>
      <c r="E477" s="63">
        <v>3</v>
      </c>
      <c r="F477" s="63">
        <v>0</v>
      </c>
      <c r="G477" s="64">
        <f t="shared" si="28"/>
        <v>0.23076923076923078</v>
      </c>
      <c r="H477" s="64">
        <f t="shared" si="29"/>
        <v>0</v>
      </c>
      <c r="I477" s="63">
        <v>1</v>
      </c>
      <c r="J477" s="65">
        <v>99.72</v>
      </c>
      <c r="K477" s="65">
        <v>12.5</v>
      </c>
      <c r="L477" s="62" t="s">
        <v>826</v>
      </c>
      <c r="M477" s="63">
        <v>0</v>
      </c>
      <c r="N477" s="66">
        <f t="shared" si="30"/>
        <v>0.22500000000000001</v>
      </c>
      <c r="O477" s="62" t="str">
        <f t="shared" si="31"/>
        <v>2: High (No DBWT)</v>
      </c>
    </row>
    <row r="478" spans="1:15" ht="15" customHeight="1" x14ac:dyDescent="0.4">
      <c r="A478" s="62" t="s">
        <v>824</v>
      </c>
      <c r="B478" s="62" t="s">
        <v>1141</v>
      </c>
      <c r="C478" s="62" t="s">
        <v>826</v>
      </c>
      <c r="D478" s="63">
        <v>0</v>
      </c>
      <c r="E478" s="63">
        <v>0</v>
      </c>
      <c r="F478" s="63">
        <v>0</v>
      </c>
      <c r="G478" s="64">
        <f t="shared" si="28"/>
        <v>0</v>
      </c>
      <c r="H478" s="64">
        <f t="shared" si="29"/>
        <v>0</v>
      </c>
      <c r="I478" s="63">
        <v>1</v>
      </c>
      <c r="J478" s="65">
        <v>100</v>
      </c>
      <c r="K478" s="65">
        <v>49.49</v>
      </c>
      <c r="L478" s="62" t="s">
        <v>840</v>
      </c>
      <c r="M478" s="63">
        <v>0</v>
      </c>
      <c r="N478" s="66">
        <f t="shared" si="30"/>
        <v>0.52200000000000002</v>
      </c>
      <c r="O478" s="62" t="str">
        <f t="shared" si="31"/>
        <v>4: Engaged Early</v>
      </c>
    </row>
    <row r="479" spans="1:15" ht="15" customHeight="1" x14ac:dyDescent="0.4">
      <c r="A479" s="62" t="s">
        <v>824</v>
      </c>
      <c r="B479" s="62" t="s">
        <v>1142</v>
      </c>
      <c r="C479" s="62" t="s">
        <v>826</v>
      </c>
      <c r="D479" s="63">
        <v>21</v>
      </c>
      <c r="E479" s="63">
        <v>15</v>
      </c>
      <c r="F479" s="63">
        <v>1</v>
      </c>
      <c r="G479" s="64">
        <f t="shared" si="28"/>
        <v>0.7142857142857143</v>
      </c>
      <c r="H479" s="64">
        <f t="shared" si="29"/>
        <v>4.7619047619047616E-2</v>
      </c>
      <c r="I479" s="63">
        <v>2</v>
      </c>
      <c r="J479" s="65">
        <v>83.063050000000004</v>
      </c>
      <c r="K479" s="65">
        <v>81.38</v>
      </c>
      <c r="L479" s="62" t="s">
        <v>825</v>
      </c>
      <c r="M479" s="63">
        <v>0</v>
      </c>
      <c r="N479" s="66">
        <f t="shared" si="30"/>
        <v>0.86299999999999999</v>
      </c>
      <c r="O479" s="62" t="str">
        <f t="shared" si="31"/>
        <v>4: Engaged Early</v>
      </c>
    </row>
    <row r="480" spans="1:15" ht="15" customHeight="1" x14ac:dyDescent="0.4">
      <c r="A480" s="62" t="s">
        <v>824</v>
      </c>
      <c r="B480" s="62" t="s">
        <v>1143</v>
      </c>
      <c r="C480" s="62" t="s">
        <v>826</v>
      </c>
      <c r="D480" s="63">
        <v>17</v>
      </c>
      <c r="E480" s="63">
        <v>5</v>
      </c>
      <c r="F480" s="63">
        <v>1</v>
      </c>
      <c r="G480" s="64">
        <f t="shared" si="28"/>
        <v>0.29411764705882354</v>
      </c>
      <c r="H480" s="64">
        <f t="shared" si="29"/>
        <v>5.8823529411764705E-2</v>
      </c>
      <c r="I480" s="63">
        <v>1</v>
      </c>
      <c r="J480" s="65">
        <v>98.684399999999997</v>
      </c>
      <c r="K480" s="65">
        <v>86.44</v>
      </c>
      <c r="L480" s="62" t="s">
        <v>825</v>
      </c>
      <c r="M480" s="63">
        <v>0</v>
      </c>
      <c r="N480" s="66">
        <f t="shared" si="30"/>
        <v>0.91700000000000004</v>
      </c>
      <c r="O480" s="62" t="str">
        <f t="shared" si="31"/>
        <v>4: Engaged Early</v>
      </c>
    </row>
    <row r="481" spans="1:15" ht="15" customHeight="1" x14ac:dyDescent="0.4">
      <c r="A481" s="62" t="s">
        <v>824</v>
      </c>
      <c r="B481" s="62" t="s">
        <v>1144</v>
      </c>
      <c r="C481" s="62" t="s">
        <v>826</v>
      </c>
      <c r="D481" s="63">
        <v>15</v>
      </c>
      <c r="E481" s="63">
        <v>5</v>
      </c>
      <c r="F481" s="63">
        <v>0</v>
      </c>
      <c r="G481" s="64">
        <f t="shared" si="28"/>
        <v>0.33333333333333331</v>
      </c>
      <c r="H481" s="64">
        <f t="shared" si="29"/>
        <v>0</v>
      </c>
      <c r="I481" s="63">
        <v>1</v>
      </c>
      <c r="J481" s="65">
        <v>86.04</v>
      </c>
      <c r="K481" s="65">
        <v>59.63</v>
      </c>
      <c r="L481" s="62" t="s">
        <v>825</v>
      </c>
      <c r="M481" s="63">
        <v>0</v>
      </c>
      <c r="N481" s="66">
        <f t="shared" si="30"/>
        <v>0.73699999999999999</v>
      </c>
      <c r="O481" s="62" t="str">
        <f t="shared" si="31"/>
        <v>4: Engaged Early</v>
      </c>
    </row>
    <row r="482" spans="1:15" ht="15" customHeight="1" x14ac:dyDescent="0.4">
      <c r="A482" s="62" t="s">
        <v>824</v>
      </c>
      <c r="B482" s="62" t="s">
        <v>1145</v>
      </c>
      <c r="C482" s="62" t="s">
        <v>826</v>
      </c>
      <c r="D482" s="63">
        <v>13</v>
      </c>
      <c r="E482" s="63">
        <v>8</v>
      </c>
      <c r="F482" s="63">
        <v>0</v>
      </c>
      <c r="G482" s="64">
        <f t="shared" si="28"/>
        <v>0.61538461538461542</v>
      </c>
      <c r="H482" s="64">
        <f t="shared" si="29"/>
        <v>0</v>
      </c>
      <c r="I482" s="63">
        <v>2</v>
      </c>
      <c r="J482" s="65">
        <v>97.808449999999993</v>
      </c>
      <c r="K482" s="65">
        <v>100</v>
      </c>
      <c r="L482" s="62" t="s">
        <v>825</v>
      </c>
      <c r="M482" s="63">
        <v>1</v>
      </c>
      <c r="N482" s="66">
        <f t="shared" si="30"/>
        <v>0.997</v>
      </c>
      <c r="O482" s="62" t="str">
        <f t="shared" si="31"/>
        <v>4: Engaged Early</v>
      </c>
    </row>
    <row r="483" spans="1:15" ht="15" customHeight="1" x14ac:dyDescent="0.4">
      <c r="A483" s="62" t="s">
        <v>824</v>
      </c>
      <c r="B483" s="62" t="s">
        <v>1146</v>
      </c>
      <c r="C483" s="62" t="s">
        <v>826</v>
      </c>
      <c r="D483" s="63">
        <v>10</v>
      </c>
      <c r="E483" s="63">
        <v>8</v>
      </c>
      <c r="F483" s="63">
        <v>3</v>
      </c>
      <c r="G483" s="64">
        <f t="shared" si="28"/>
        <v>0.8</v>
      </c>
      <c r="H483" s="64">
        <f t="shared" si="29"/>
        <v>0.3</v>
      </c>
      <c r="I483" s="63">
        <v>2</v>
      </c>
      <c r="J483" s="65">
        <v>88.419700000000006</v>
      </c>
      <c r="K483" s="65">
        <v>98.68</v>
      </c>
      <c r="L483" s="62" t="s">
        <v>825</v>
      </c>
      <c r="M483" s="63">
        <v>0</v>
      </c>
      <c r="N483" s="66">
        <f t="shared" si="30"/>
        <v>0.97499999999999998</v>
      </c>
      <c r="O483" s="62" t="str">
        <f t="shared" si="31"/>
        <v>4: Engaged Early</v>
      </c>
    </row>
    <row r="484" spans="1:15" ht="15" customHeight="1" x14ac:dyDescent="0.4">
      <c r="A484" s="62" t="s">
        <v>824</v>
      </c>
      <c r="B484" s="62" t="s">
        <v>1147</v>
      </c>
      <c r="C484" s="62" t="s">
        <v>826</v>
      </c>
      <c r="D484" s="63">
        <v>9</v>
      </c>
      <c r="E484" s="63">
        <v>6</v>
      </c>
      <c r="F484" s="63">
        <v>0</v>
      </c>
      <c r="G484" s="64">
        <f t="shared" si="28"/>
        <v>0.66666666666666663</v>
      </c>
      <c r="H484" s="64">
        <f t="shared" si="29"/>
        <v>0</v>
      </c>
      <c r="I484" s="63">
        <v>2</v>
      </c>
      <c r="J484" s="65">
        <v>60.313899999999997</v>
      </c>
      <c r="K484" s="65">
        <v>86.9</v>
      </c>
      <c r="L484" s="62" t="s">
        <v>825</v>
      </c>
      <c r="M484" s="63">
        <v>0</v>
      </c>
      <c r="N484" s="66">
        <f t="shared" si="30"/>
        <v>0.86199999999999999</v>
      </c>
      <c r="O484" s="62" t="str">
        <f t="shared" si="31"/>
        <v>4: Engaged Early</v>
      </c>
    </row>
    <row r="485" spans="1:15" ht="15" customHeight="1" x14ac:dyDescent="0.4">
      <c r="A485" s="62" t="s">
        <v>824</v>
      </c>
      <c r="B485" s="62" t="s">
        <v>1148</v>
      </c>
      <c r="C485" s="62" t="s">
        <v>826</v>
      </c>
      <c r="D485" s="63">
        <v>6</v>
      </c>
      <c r="E485" s="63">
        <v>6</v>
      </c>
      <c r="F485" s="63">
        <v>0</v>
      </c>
      <c r="G485" s="64">
        <f t="shared" si="28"/>
        <v>1</v>
      </c>
      <c r="H485" s="64">
        <f t="shared" si="29"/>
        <v>0</v>
      </c>
      <c r="I485" s="63">
        <v>2</v>
      </c>
      <c r="J485" s="65">
        <v>80.473249999999993</v>
      </c>
      <c r="K485" s="65">
        <v>99.99</v>
      </c>
      <c r="L485" s="62" t="s">
        <v>825</v>
      </c>
      <c r="M485" s="63">
        <v>0</v>
      </c>
      <c r="N485" s="66">
        <f t="shared" si="30"/>
        <v>0.97099999999999997</v>
      </c>
      <c r="O485" s="62" t="str">
        <f t="shared" si="31"/>
        <v>4: Engaged Early</v>
      </c>
    </row>
    <row r="486" spans="1:15" ht="15" customHeight="1" x14ac:dyDescent="0.4">
      <c r="A486" s="62" t="s">
        <v>824</v>
      </c>
      <c r="B486" s="62" t="s">
        <v>595</v>
      </c>
      <c r="C486" s="62" t="s">
        <v>825</v>
      </c>
      <c r="D486" s="63">
        <v>5</v>
      </c>
      <c r="E486" s="63">
        <v>5</v>
      </c>
      <c r="F486" s="63">
        <v>0</v>
      </c>
      <c r="G486" s="64">
        <f t="shared" si="28"/>
        <v>1</v>
      </c>
      <c r="H486" s="64">
        <f t="shared" si="29"/>
        <v>0</v>
      </c>
      <c r="I486" s="63">
        <v>2</v>
      </c>
      <c r="J486" s="65">
        <v>51.573549999999997</v>
      </c>
      <c r="K486" s="65">
        <v>36.82</v>
      </c>
      <c r="L486" s="62" t="s">
        <v>825</v>
      </c>
      <c r="M486" s="63">
        <v>0</v>
      </c>
      <c r="N486" s="66">
        <f t="shared" si="30"/>
        <v>0.54800000000000004</v>
      </c>
      <c r="O486" s="62" t="str">
        <f t="shared" si="31"/>
        <v>4: Engaged Early</v>
      </c>
    </row>
    <row r="487" spans="1:15" ht="15" customHeight="1" x14ac:dyDescent="0.4">
      <c r="A487" s="62" t="s">
        <v>824</v>
      </c>
      <c r="B487" s="62" t="s">
        <v>1149</v>
      </c>
      <c r="C487" s="62" t="s">
        <v>826</v>
      </c>
      <c r="D487" s="63">
        <v>9</v>
      </c>
      <c r="E487" s="63">
        <v>6</v>
      </c>
      <c r="F487" s="63">
        <v>0</v>
      </c>
      <c r="G487" s="64">
        <f t="shared" si="28"/>
        <v>0.66666666666666663</v>
      </c>
      <c r="H487" s="64">
        <f t="shared" si="29"/>
        <v>0</v>
      </c>
      <c r="I487" s="63">
        <v>2</v>
      </c>
      <c r="J487" s="65">
        <v>52.511699999999998</v>
      </c>
      <c r="K487" s="65">
        <v>75.489999999999995</v>
      </c>
      <c r="L487" s="62" t="s">
        <v>825</v>
      </c>
      <c r="M487" s="63">
        <v>0</v>
      </c>
      <c r="N487" s="66">
        <f t="shared" si="30"/>
        <v>0.78200000000000003</v>
      </c>
      <c r="O487" s="62" t="str">
        <f t="shared" si="31"/>
        <v>4: Engaged Early</v>
      </c>
    </row>
    <row r="488" spans="1:15" ht="15" customHeight="1" x14ac:dyDescent="0.4">
      <c r="A488" s="62" t="s">
        <v>824</v>
      </c>
      <c r="B488" s="62" t="s">
        <v>483</v>
      </c>
      <c r="C488" s="62" t="s">
        <v>825</v>
      </c>
      <c r="D488" s="63">
        <v>4</v>
      </c>
      <c r="E488" s="63">
        <v>3</v>
      </c>
      <c r="F488" s="63">
        <v>0</v>
      </c>
      <c r="G488" s="64">
        <f t="shared" si="28"/>
        <v>0.75</v>
      </c>
      <c r="H488" s="64">
        <f t="shared" si="29"/>
        <v>0</v>
      </c>
      <c r="I488" s="63">
        <v>1</v>
      </c>
      <c r="J488" s="65">
        <v>98.18</v>
      </c>
      <c r="K488" s="65">
        <v>16.670000000000002</v>
      </c>
      <c r="L488" s="62" t="s">
        <v>826</v>
      </c>
      <c r="M488" s="63">
        <v>0</v>
      </c>
      <c r="N488" s="66">
        <f t="shared" si="30"/>
        <v>0.247</v>
      </c>
      <c r="O488" s="62" t="str">
        <f t="shared" si="31"/>
        <v>2: High (No DBWT)</v>
      </c>
    </row>
    <row r="489" spans="1:15" ht="15" customHeight="1" x14ac:dyDescent="0.4">
      <c r="A489" s="62" t="s">
        <v>824</v>
      </c>
      <c r="B489" s="62" t="s">
        <v>1150</v>
      </c>
      <c r="C489" s="62" t="s">
        <v>826</v>
      </c>
      <c r="D489" s="63">
        <v>17</v>
      </c>
      <c r="E489" s="63">
        <v>9</v>
      </c>
      <c r="F489" s="63">
        <v>1</v>
      </c>
      <c r="G489" s="64">
        <f t="shared" si="28"/>
        <v>0.52941176470588236</v>
      </c>
      <c r="H489" s="64">
        <f t="shared" si="29"/>
        <v>5.8823529411764705E-2</v>
      </c>
      <c r="I489" s="63">
        <v>2</v>
      </c>
      <c r="J489" s="65">
        <v>83.910499999999999</v>
      </c>
      <c r="K489" s="65">
        <v>86.25</v>
      </c>
      <c r="L489" s="62" t="s">
        <v>825</v>
      </c>
      <c r="M489" s="63">
        <v>1</v>
      </c>
      <c r="N489" s="66">
        <f t="shared" si="30"/>
        <v>0.89300000000000002</v>
      </c>
      <c r="O489" s="62" t="str">
        <f t="shared" si="31"/>
        <v>4: Engaged Early</v>
      </c>
    </row>
    <row r="490" spans="1:15" ht="15" customHeight="1" x14ac:dyDescent="0.4">
      <c r="A490" s="62" t="s">
        <v>824</v>
      </c>
      <c r="B490" s="62" t="s">
        <v>641</v>
      </c>
      <c r="C490" s="62" t="s">
        <v>825</v>
      </c>
      <c r="D490" s="63">
        <v>4</v>
      </c>
      <c r="E490" s="63">
        <v>4</v>
      </c>
      <c r="F490" s="63">
        <v>1</v>
      </c>
      <c r="G490" s="64">
        <f t="shared" si="28"/>
        <v>1</v>
      </c>
      <c r="H490" s="64">
        <f t="shared" si="29"/>
        <v>0.25</v>
      </c>
      <c r="I490" s="63">
        <v>2</v>
      </c>
      <c r="J490" s="65">
        <v>85.901650000000004</v>
      </c>
      <c r="K490" s="65">
        <v>50</v>
      </c>
      <c r="L490" s="62" t="s">
        <v>825</v>
      </c>
      <c r="M490" s="63">
        <v>0</v>
      </c>
      <c r="N490" s="66">
        <f t="shared" si="30"/>
        <v>0.67900000000000005</v>
      </c>
      <c r="O490" s="62" t="str">
        <f t="shared" si="31"/>
        <v>4: Engaged Early</v>
      </c>
    </row>
    <row r="491" spans="1:15" ht="15" customHeight="1" x14ac:dyDescent="0.4">
      <c r="A491" s="62" t="s">
        <v>824</v>
      </c>
      <c r="B491" s="62" t="s">
        <v>561</v>
      </c>
      <c r="C491" s="62" t="s">
        <v>825</v>
      </c>
      <c r="D491" s="63">
        <v>9</v>
      </c>
      <c r="E491" s="63">
        <v>8</v>
      </c>
      <c r="F491" s="63">
        <v>3</v>
      </c>
      <c r="G491" s="64">
        <f t="shared" si="28"/>
        <v>0.88888888888888884</v>
      </c>
      <c r="H491" s="64">
        <f t="shared" si="29"/>
        <v>0.33333333333333331</v>
      </c>
      <c r="I491" s="63">
        <v>2</v>
      </c>
      <c r="J491" s="65">
        <v>60.222149999999999</v>
      </c>
      <c r="K491" s="65">
        <v>33.07</v>
      </c>
      <c r="L491" s="62" t="s">
        <v>825</v>
      </c>
      <c r="M491" s="63">
        <v>1</v>
      </c>
      <c r="N491" s="66">
        <f t="shared" si="30"/>
        <v>0.53900000000000003</v>
      </c>
      <c r="O491" s="62" t="str">
        <f t="shared" si="31"/>
        <v>4: Engaged Early</v>
      </c>
    </row>
    <row r="492" spans="1:15" ht="15" customHeight="1" x14ac:dyDescent="0.4">
      <c r="A492" s="62" t="s">
        <v>824</v>
      </c>
      <c r="B492" s="62" t="s">
        <v>1151</v>
      </c>
      <c r="C492" s="62" t="s">
        <v>826</v>
      </c>
      <c r="D492" s="63">
        <v>4</v>
      </c>
      <c r="E492" s="63">
        <v>3</v>
      </c>
      <c r="F492" s="63">
        <v>1</v>
      </c>
      <c r="G492" s="64">
        <f t="shared" si="28"/>
        <v>0.75</v>
      </c>
      <c r="H492" s="64">
        <f t="shared" si="29"/>
        <v>0.25</v>
      </c>
      <c r="I492" s="63">
        <v>2</v>
      </c>
      <c r="J492" s="65">
        <v>86.061199999999999</v>
      </c>
      <c r="K492" s="65">
        <v>88.89</v>
      </c>
      <c r="L492" s="62" t="s">
        <v>825</v>
      </c>
      <c r="M492" s="63">
        <v>0</v>
      </c>
      <c r="N492" s="66">
        <f t="shared" si="30"/>
        <v>0.91200000000000003</v>
      </c>
      <c r="O492" s="62" t="str">
        <f t="shared" si="31"/>
        <v>4: Engaged Early</v>
      </c>
    </row>
    <row r="493" spans="1:15" ht="15" customHeight="1" x14ac:dyDescent="0.4">
      <c r="A493" s="62" t="s">
        <v>824</v>
      </c>
      <c r="B493" s="62" t="s">
        <v>1152</v>
      </c>
      <c r="C493" s="62" t="s">
        <v>826</v>
      </c>
      <c r="D493" s="63">
        <v>14</v>
      </c>
      <c r="E493" s="63">
        <v>12</v>
      </c>
      <c r="F493" s="63">
        <v>0</v>
      </c>
      <c r="G493" s="64">
        <f t="shared" si="28"/>
        <v>0.8571428571428571</v>
      </c>
      <c r="H493" s="64">
        <f t="shared" si="29"/>
        <v>0</v>
      </c>
      <c r="I493" s="63">
        <v>2</v>
      </c>
      <c r="J493" s="65">
        <v>80.561499999999995</v>
      </c>
      <c r="K493" s="65">
        <v>97.92</v>
      </c>
      <c r="L493" s="62" t="s">
        <v>825</v>
      </c>
      <c r="M493" s="63">
        <v>0</v>
      </c>
      <c r="N493" s="66">
        <f t="shared" si="30"/>
        <v>0.95799999999999996</v>
      </c>
      <c r="O493" s="62" t="str">
        <f t="shared" si="31"/>
        <v>4: Engaged Early</v>
      </c>
    </row>
    <row r="494" spans="1:15" ht="15" customHeight="1" x14ac:dyDescent="0.4">
      <c r="A494" s="62" t="s">
        <v>824</v>
      </c>
      <c r="B494" s="62" t="s">
        <v>1153</v>
      </c>
      <c r="C494" s="62" t="s">
        <v>826</v>
      </c>
      <c r="D494" s="63">
        <v>20</v>
      </c>
      <c r="E494" s="63">
        <v>6</v>
      </c>
      <c r="F494" s="63">
        <v>11</v>
      </c>
      <c r="G494" s="64">
        <f t="shared" si="28"/>
        <v>0.3</v>
      </c>
      <c r="H494" s="64">
        <f t="shared" si="29"/>
        <v>0.55000000000000004</v>
      </c>
      <c r="I494" s="63">
        <v>2</v>
      </c>
      <c r="J494" s="65">
        <v>56.8795</v>
      </c>
      <c r="K494" s="65">
        <v>49.84</v>
      </c>
      <c r="L494" s="62" t="s">
        <v>825</v>
      </c>
      <c r="M494" s="63">
        <v>0</v>
      </c>
      <c r="N494" s="66">
        <f t="shared" si="30"/>
        <v>0.63400000000000001</v>
      </c>
      <c r="O494" s="62" t="str">
        <f t="shared" si="31"/>
        <v>4: Engaged Early</v>
      </c>
    </row>
    <row r="495" spans="1:15" ht="15" customHeight="1" x14ac:dyDescent="0.4">
      <c r="A495" s="62" t="s">
        <v>824</v>
      </c>
      <c r="B495" s="62" t="s">
        <v>1154</v>
      </c>
      <c r="C495" s="62" t="s">
        <v>826</v>
      </c>
      <c r="D495" s="63">
        <v>10</v>
      </c>
      <c r="E495" s="63">
        <v>9</v>
      </c>
      <c r="F495" s="63">
        <v>0</v>
      </c>
      <c r="G495" s="64">
        <f t="shared" si="28"/>
        <v>0.9</v>
      </c>
      <c r="H495" s="64">
        <f t="shared" si="29"/>
        <v>0</v>
      </c>
      <c r="I495" s="63">
        <v>2</v>
      </c>
      <c r="J495" s="65">
        <v>41.670319999999997</v>
      </c>
      <c r="K495" s="65">
        <v>44.54</v>
      </c>
      <c r="L495" s="62" t="s">
        <v>825</v>
      </c>
      <c r="M495" s="63">
        <v>0</v>
      </c>
      <c r="N495" s="66">
        <f t="shared" si="30"/>
        <v>0.57999999999999996</v>
      </c>
      <c r="O495" s="62" t="str">
        <f t="shared" si="31"/>
        <v>4: Engaged Early</v>
      </c>
    </row>
    <row r="496" spans="1:15" ht="15" customHeight="1" x14ac:dyDescent="0.4">
      <c r="A496" s="62" t="s">
        <v>824</v>
      </c>
      <c r="B496" s="62" t="s">
        <v>1155</v>
      </c>
      <c r="C496" s="62" t="s">
        <v>826</v>
      </c>
      <c r="D496" s="63">
        <v>1</v>
      </c>
      <c r="E496" s="63">
        <v>0</v>
      </c>
      <c r="F496" s="63">
        <v>0</v>
      </c>
      <c r="G496" s="64">
        <f t="shared" si="28"/>
        <v>0</v>
      </c>
      <c r="H496" s="64">
        <f t="shared" si="29"/>
        <v>0</v>
      </c>
      <c r="I496" s="63">
        <v>2</v>
      </c>
      <c r="J496" s="65">
        <v>53.607100000000003</v>
      </c>
      <c r="K496" s="65">
        <v>78.89</v>
      </c>
      <c r="L496" s="62" t="s">
        <v>825</v>
      </c>
      <c r="M496" s="63">
        <v>0</v>
      </c>
      <c r="N496" s="66">
        <f t="shared" si="30"/>
        <v>0.80400000000000005</v>
      </c>
      <c r="O496" s="62" t="str">
        <f t="shared" si="31"/>
        <v>4: Engaged Early</v>
      </c>
    </row>
    <row r="497" spans="1:15" ht="15" customHeight="1" x14ac:dyDescent="0.4">
      <c r="A497" s="62" t="s">
        <v>824</v>
      </c>
      <c r="B497" s="62" t="s">
        <v>557</v>
      </c>
      <c r="C497" s="62" t="s">
        <v>825</v>
      </c>
      <c r="D497" s="63">
        <v>12</v>
      </c>
      <c r="E497" s="63">
        <v>8</v>
      </c>
      <c r="F497" s="63">
        <v>1</v>
      </c>
      <c r="G497" s="64">
        <f t="shared" si="28"/>
        <v>0.66666666666666663</v>
      </c>
      <c r="H497" s="64">
        <f t="shared" si="29"/>
        <v>8.3333333333333329E-2</v>
      </c>
      <c r="I497" s="63">
        <v>2</v>
      </c>
      <c r="J497" s="65">
        <v>73.830100000000002</v>
      </c>
      <c r="K497" s="65">
        <v>35.47</v>
      </c>
      <c r="L497" s="62" t="s">
        <v>826</v>
      </c>
      <c r="M497" s="63">
        <v>0</v>
      </c>
      <c r="N497" s="66">
        <f t="shared" si="30"/>
        <v>0.32400000000000001</v>
      </c>
      <c r="O497" s="62" t="str">
        <f t="shared" si="31"/>
        <v>2: High (No DBWT)</v>
      </c>
    </row>
    <row r="498" spans="1:15" ht="15" customHeight="1" x14ac:dyDescent="0.4">
      <c r="A498" s="62" t="s">
        <v>824</v>
      </c>
      <c r="B498" s="62" t="s">
        <v>1156</v>
      </c>
      <c r="C498" s="62" t="s">
        <v>826</v>
      </c>
      <c r="D498" s="63">
        <v>13</v>
      </c>
      <c r="E498" s="63">
        <v>7</v>
      </c>
      <c r="F498" s="63">
        <v>1</v>
      </c>
      <c r="G498" s="64">
        <f t="shared" si="28"/>
        <v>0.53846153846153844</v>
      </c>
      <c r="H498" s="64">
        <f t="shared" si="29"/>
        <v>7.6923076923076927E-2</v>
      </c>
      <c r="I498" s="63">
        <v>2</v>
      </c>
      <c r="J498" s="65">
        <v>99.784999999999997</v>
      </c>
      <c r="K498" s="65">
        <v>100</v>
      </c>
      <c r="L498" s="62" t="s">
        <v>825</v>
      </c>
      <c r="M498" s="63">
        <v>2</v>
      </c>
      <c r="N498" s="66">
        <f t="shared" si="30"/>
        <v>1</v>
      </c>
      <c r="O498" s="62" t="str">
        <f t="shared" si="31"/>
        <v>4: Engaged Early</v>
      </c>
    </row>
    <row r="499" spans="1:15" ht="15" customHeight="1" x14ac:dyDescent="0.4">
      <c r="A499" s="62" t="s">
        <v>824</v>
      </c>
      <c r="B499" s="62" t="s">
        <v>541</v>
      </c>
      <c r="C499" s="62" t="s">
        <v>825</v>
      </c>
      <c r="D499" s="63">
        <v>2</v>
      </c>
      <c r="E499" s="63">
        <v>2</v>
      </c>
      <c r="F499" s="63">
        <v>1</v>
      </c>
      <c r="G499" s="64">
        <f t="shared" si="28"/>
        <v>1</v>
      </c>
      <c r="H499" s="64">
        <f t="shared" si="29"/>
        <v>0.5</v>
      </c>
      <c r="I499" s="63">
        <v>1</v>
      </c>
      <c r="J499" s="65">
        <v>99.41</v>
      </c>
      <c r="K499" s="65">
        <v>16.670000000000002</v>
      </c>
      <c r="L499" s="62" t="s">
        <v>826</v>
      </c>
      <c r="M499" s="63">
        <v>0</v>
      </c>
      <c r="N499" s="66">
        <f t="shared" si="30"/>
        <v>0.249</v>
      </c>
      <c r="O499" s="62" t="str">
        <f t="shared" si="31"/>
        <v>2: High (No DBWT)</v>
      </c>
    </row>
    <row r="500" spans="1:15" ht="15" customHeight="1" x14ac:dyDescent="0.4">
      <c r="A500" s="62" t="s">
        <v>824</v>
      </c>
      <c r="B500" s="62" t="s">
        <v>1157</v>
      </c>
      <c r="C500" s="62" t="s">
        <v>826</v>
      </c>
      <c r="D500" s="63">
        <v>13</v>
      </c>
      <c r="E500" s="63">
        <v>6</v>
      </c>
      <c r="F500" s="63">
        <v>0</v>
      </c>
      <c r="G500" s="64">
        <f t="shared" si="28"/>
        <v>0.46153846153846156</v>
      </c>
      <c r="H500" s="64">
        <f t="shared" si="29"/>
        <v>0</v>
      </c>
      <c r="I500" s="63">
        <v>2</v>
      </c>
      <c r="J500" s="65">
        <v>89.624849999999995</v>
      </c>
      <c r="K500" s="65">
        <v>100</v>
      </c>
      <c r="L500" s="62" t="s">
        <v>825</v>
      </c>
      <c r="M500" s="63">
        <v>0</v>
      </c>
      <c r="N500" s="66">
        <f t="shared" si="30"/>
        <v>0.98399999999999999</v>
      </c>
      <c r="O500" s="62" t="str">
        <f t="shared" si="31"/>
        <v>4: Engaged Early</v>
      </c>
    </row>
    <row r="501" spans="1:15" ht="15" customHeight="1" x14ac:dyDescent="0.4">
      <c r="A501" s="62" t="s">
        <v>824</v>
      </c>
      <c r="B501" s="62" t="s">
        <v>1158</v>
      </c>
      <c r="C501" s="62" t="s">
        <v>826</v>
      </c>
      <c r="D501" s="63">
        <v>1</v>
      </c>
      <c r="E501" s="63">
        <v>0</v>
      </c>
      <c r="F501" s="63">
        <v>0</v>
      </c>
      <c r="G501" s="64">
        <f t="shared" si="28"/>
        <v>0</v>
      </c>
      <c r="H501" s="64">
        <f t="shared" si="29"/>
        <v>0</v>
      </c>
      <c r="I501" s="63">
        <v>2</v>
      </c>
      <c r="J501" s="65">
        <v>59.009549999999997</v>
      </c>
      <c r="K501" s="65">
        <v>71.28</v>
      </c>
      <c r="L501" s="62" t="s">
        <v>825</v>
      </c>
      <c r="M501" s="63">
        <v>0</v>
      </c>
      <c r="N501" s="66">
        <f t="shared" si="30"/>
        <v>0.76600000000000001</v>
      </c>
      <c r="O501" s="62" t="str">
        <f t="shared" si="31"/>
        <v>4: Engaged Early</v>
      </c>
    </row>
    <row r="502" spans="1:15" ht="15" customHeight="1" x14ac:dyDescent="0.4">
      <c r="A502" s="62" t="s">
        <v>824</v>
      </c>
      <c r="B502" s="62" t="s">
        <v>1159</v>
      </c>
      <c r="C502" s="62" t="s">
        <v>826</v>
      </c>
      <c r="D502" s="63">
        <v>12</v>
      </c>
      <c r="E502" s="63">
        <v>4</v>
      </c>
      <c r="F502" s="63">
        <v>1</v>
      </c>
      <c r="G502" s="64">
        <f t="shared" si="28"/>
        <v>0.33333333333333331</v>
      </c>
      <c r="H502" s="64">
        <f t="shared" si="29"/>
        <v>8.3333333333333329E-2</v>
      </c>
      <c r="I502" s="63">
        <v>2</v>
      </c>
      <c r="J502" s="65">
        <v>99.720950000000002</v>
      </c>
      <c r="K502" s="65">
        <v>100</v>
      </c>
      <c r="L502" s="62" t="s">
        <v>825</v>
      </c>
      <c r="M502" s="63">
        <v>0</v>
      </c>
      <c r="N502" s="66">
        <f t="shared" si="30"/>
        <v>1</v>
      </c>
      <c r="O502" s="62" t="str">
        <f t="shared" si="31"/>
        <v>4: Engaged Early</v>
      </c>
    </row>
    <row r="503" spans="1:15" ht="15" customHeight="1" x14ac:dyDescent="0.4">
      <c r="A503" s="62" t="s">
        <v>824</v>
      </c>
      <c r="B503" s="62" t="s">
        <v>1160</v>
      </c>
      <c r="C503" s="62" t="s">
        <v>826</v>
      </c>
      <c r="D503" s="63">
        <v>13</v>
      </c>
      <c r="E503" s="63">
        <v>1</v>
      </c>
      <c r="F503" s="63">
        <v>1</v>
      </c>
      <c r="G503" s="64">
        <f t="shared" si="28"/>
        <v>7.6923076923076927E-2</v>
      </c>
      <c r="H503" s="64">
        <f t="shared" si="29"/>
        <v>7.6923076923076927E-2</v>
      </c>
      <c r="I503" s="63">
        <v>2</v>
      </c>
      <c r="J503" s="65">
        <v>84.119349999999997</v>
      </c>
      <c r="K503" s="65">
        <v>67.3</v>
      </c>
      <c r="L503" s="62" t="s">
        <v>825</v>
      </c>
      <c r="M503" s="63">
        <v>0</v>
      </c>
      <c r="N503" s="66">
        <f t="shared" si="30"/>
        <v>0.78</v>
      </c>
      <c r="O503" s="62" t="str">
        <f t="shared" si="31"/>
        <v>4: Engaged Early</v>
      </c>
    </row>
    <row r="504" spans="1:15" ht="15" customHeight="1" x14ac:dyDescent="0.4">
      <c r="A504" s="62" t="s">
        <v>824</v>
      </c>
      <c r="B504" s="62" t="s">
        <v>1161</v>
      </c>
      <c r="C504" s="62" t="s">
        <v>826</v>
      </c>
      <c r="D504" s="63">
        <v>12</v>
      </c>
      <c r="E504" s="63">
        <v>4</v>
      </c>
      <c r="F504" s="63">
        <v>1</v>
      </c>
      <c r="G504" s="64">
        <f t="shared" si="28"/>
        <v>0.33333333333333331</v>
      </c>
      <c r="H504" s="64">
        <f t="shared" si="29"/>
        <v>8.3333333333333329E-2</v>
      </c>
      <c r="I504" s="63">
        <v>2</v>
      </c>
      <c r="J504" s="65">
        <v>98.708250000000007</v>
      </c>
      <c r="K504" s="65">
        <v>88.54</v>
      </c>
      <c r="L504" s="62" t="s">
        <v>825</v>
      </c>
      <c r="M504" s="63">
        <v>0</v>
      </c>
      <c r="N504" s="66">
        <f t="shared" si="30"/>
        <v>0.92900000000000005</v>
      </c>
      <c r="O504" s="62" t="str">
        <f t="shared" si="31"/>
        <v>4: Engaged Early</v>
      </c>
    </row>
    <row r="505" spans="1:15" ht="15" customHeight="1" x14ac:dyDescent="0.4">
      <c r="A505" s="62" t="s">
        <v>824</v>
      </c>
      <c r="B505" s="62" t="s">
        <v>1162</v>
      </c>
      <c r="C505" s="62" t="s">
        <v>826</v>
      </c>
      <c r="D505" s="63">
        <v>15</v>
      </c>
      <c r="E505" s="63">
        <v>13</v>
      </c>
      <c r="F505" s="63">
        <v>1</v>
      </c>
      <c r="G505" s="64">
        <f t="shared" si="28"/>
        <v>0.8666666666666667</v>
      </c>
      <c r="H505" s="64">
        <f t="shared" si="29"/>
        <v>6.6666666666666666E-2</v>
      </c>
      <c r="I505" s="63">
        <v>2</v>
      </c>
      <c r="J505" s="65">
        <v>92.376450000000006</v>
      </c>
      <c r="K505" s="65">
        <v>100</v>
      </c>
      <c r="L505" s="62" t="s">
        <v>825</v>
      </c>
      <c r="M505" s="63">
        <v>0</v>
      </c>
      <c r="N505" s="66">
        <f t="shared" si="30"/>
        <v>0.98899999999999999</v>
      </c>
      <c r="O505" s="62" t="str">
        <f t="shared" si="31"/>
        <v>4: Engaged Early</v>
      </c>
    </row>
    <row r="506" spans="1:15" ht="15" customHeight="1" x14ac:dyDescent="0.4">
      <c r="A506" s="62" t="s">
        <v>824</v>
      </c>
      <c r="B506" s="62" t="s">
        <v>1163</v>
      </c>
      <c r="C506" s="62" t="s">
        <v>826</v>
      </c>
      <c r="D506" s="63">
        <v>9</v>
      </c>
      <c r="E506" s="63">
        <v>7</v>
      </c>
      <c r="F506" s="63">
        <v>2</v>
      </c>
      <c r="G506" s="64">
        <f t="shared" si="28"/>
        <v>0.77777777777777779</v>
      </c>
      <c r="H506" s="64">
        <f t="shared" si="29"/>
        <v>0.22222222222222221</v>
      </c>
      <c r="I506" s="63">
        <v>2</v>
      </c>
      <c r="J506" s="65">
        <v>78.204549999999998</v>
      </c>
      <c r="K506" s="65">
        <v>100</v>
      </c>
      <c r="L506" s="62" t="s">
        <v>825</v>
      </c>
      <c r="M506" s="63">
        <v>0</v>
      </c>
      <c r="N506" s="66">
        <f t="shared" si="30"/>
        <v>0.96699999999999997</v>
      </c>
      <c r="O506" s="62" t="str">
        <f t="shared" si="31"/>
        <v>4: Engaged Early</v>
      </c>
    </row>
    <row r="507" spans="1:15" ht="15" customHeight="1" x14ac:dyDescent="0.4">
      <c r="A507" s="62" t="s">
        <v>824</v>
      </c>
      <c r="B507" s="62" t="s">
        <v>1164</v>
      </c>
      <c r="C507" s="62" t="s">
        <v>826</v>
      </c>
      <c r="D507" s="63">
        <v>21</v>
      </c>
      <c r="E507" s="63">
        <v>7</v>
      </c>
      <c r="F507" s="63">
        <v>4</v>
      </c>
      <c r="G507" s="64">
        <f t="shared" si="28"/>
        <v>0.33333333333333331</v>
      </c>
      <c r="H507" s="64">
        <f t="shared" si="29"/>
        <v>0.19047619047619047</v>
      </c>
      <c r="I507" s="63">
        <v>2</v>
      </c>
      <c r="J507" s="65">
        <v>98.041150000000002</v>
      </c>
      <c r="K507" s="65">
        <v>100</v>
      </c>
      <c r="L507" s="62" t="s">
        <v>825</v>
      </c>
      <c r="M507" s="63">
        <v>0</v>
      </c>
      <c r="N507" s="66">
        <f t="shared" si="30"/>
        <v>0.997</v>
      </c>
      <c r="O507" s="62" t="str">
        <f t="shared" si="31"/>
        <v>4: Engaged Early</v>
      </c>
    </row>
    <row r="508" spans="1:15" ht="15" customHeight="1" x14ac:dyDescent="0.4">
      <c r="A508" s="62" t="s">
        <v>824</v>
      </c>
      <c r="B508" s="62" t="s">
        <v>1165</v>
      </c>
      <c r="C508" s="62" t="s">
        <v>826</v>
      </c>
      <c r="D508" s="63">
        <v>14</v>
      </c>
      <c r="E508" s="63">
        <v>9</v>
      </c>
      <c r="F508" s="63">
        <v>1</v>
      </c>
      <c r="G508" s="64">
        <f t="shared" si="28"/>
        <v>0.6428571428571429</v>
      </c>
      <c r="H508" s="64">
        <f t="shared" si="29"/>
        <v>7.1428571428571425E-2</v>
      </c>
      <c r="I508" s="63">
        <v>2</v>
      </c>
      <c r="J508" s="65">
        <v>70.168700000000001</v>
      </c>
      <c r="K508" s="65">
        <v>95.59</v>
      </c>
      <c r="L508" s="62" t="s">
        <v>826</v>
      </c>
      <c r="M508" s="63">
        <v>0</v>
      </c>
      <c r="N508" s="66">
        <f t="shared" si="30"/>
        <v>0.67900000000000005</v>
      </c>
      <c r="O508" s="62" t="str">
        <f t="shared" si="31"/>
        <v>2: High (No DBWT)</v>
      </c>
    </row>
    <row r="509" spans="1:15" ht="15" customHeight="1" x14ac:dyDescent="0.4">
      <c r="A509" s="62" t="s">
        <v>824</v>
      </c>
      <c r="B509" s="62" t="s">
        <v>1166</v>
      </c>
      <c r="C509" s="62" t="s">
        <v>826</v>
      </c>
      <c r="D509" s="63">
        <v>13</v>
      </c>
      <c r="E509" s="63">
        <v>12</v>
      </c>
      <c r="F509" s="63">
        <v>3</v>
      </c>
      <c r="G509" s="64">
        <f t="shared" si="28"/>
        <v>0.92307692307692313</v>
      </c>
      <c r="H509" s="64">
        <f t="shared" si="29"/>
        <v>0.23076923076923078</v>
      </c>
      <c r="I509" s="63">
        <v>2</v>
      </c>
      <c r="J509" s="65">
        <v>99.587549999999993</v>
      </c>
      <c r="K509" s="65">
        <v>100</v>
      </c>
      <c r="L509" s="62" t="s">
        <v>825</v>
      </c>
      <c r="M509" s="63">
        <v>0</v>
      </c>
      <c r="N509" s="66">
        <f t="shared" si="30"/>
        <v>0.999</v>
      </c>
      <c r="O509" s="62" t="str">
        <f t="shared" si="31"/>
        <v>4: Engaged Early</v>
      </c>
    </row>
    <row r="510" spans="1:15" ht="15" customHeight="1" x14ac:dyDescent="0.4">
      <c r="A510" s="62" t="s">
        <v>824</v>
      </c>
      <c r="B510" s="62" t="s">
        <v>1167</v>
      </c>
      <c r="C510" s="62" t="s">
        <v>826</v>
      </c>
      <c r="D510" s="63">
        <v>23</v>
      </c>
      <c r="E510" s="63">
        <v>23</v>
      </c>
      <c r="F510" s="63">
        <v>2</v>
      </c>
      <c r="G510" s="64">
        <f t="shared" si="28"/>
        <v>1</v>
      </c>
      <c r="H510" s="64">
        <f t="shared" si="29"/>
        <v>8.6956521739130432E-2</v>
      </c>
      <c r="I510" s="63">
        <v>2</v>
      </c>
      <c r="J510" s="65">
        <v>81.751050000000006</v>
      </c>
      <c r="K510" s="65">
        <v>100</v>
      </c>
      <c r="L510" s="62" t="s">
        <v>825</v>
      </c>
      <c r="M510" s="63">
        <v>2</v>
      </c>
      <c r="N510" s="66">
        <f t="shared" si="30"/>
        <v>0.97299999999999998</v>
      </c>
      <c r="O510" s="62" t="str">
        <f t="shared" si="31"/>
        <v>4: Engaged Early</v>
      </c>
    </row>
    <row r="511" spans="1:15" ht="15" customHeight="1" x14ac:dyDescent="0.4">
      <c r="A511" s="62" t="s">
        <v>824</v>
      </c>
      <c r="B511" s="62" t="s">
        <v>669</v>
      </c>
      <c r="C511" s="62" t="s">
        <v>825</v>
      </c>
      <c r="D511" s="63">
        <v>5</v>
      </c>
      <c r="E511" s="63">
        <v>3</v>
      </c>
      <c r="F511" s="63">
        <v>1</v>
      </c>
      <c r="G511" s="64">
        <f t="shared" si="28"/>
        <v>0.6</v>
      </c>
      <c r="H511" s="64">
        <f t="shared" si="29"/>
        <v>0.2</v>
      </c>
      <c r="I511" s="63">
        <v>2</v>
      </c>
      <c r="J511" s="65">
        <v>68.312799999999996</v>
      </c>
      <c r="K511" s="65">
        <v>35.090000000000003</v>
      </c>
      <c r="L511" s="62" t="s">
        <v>826</v>
      </c>
      <c r="M511" s="63">
        <v>1</v>
      </c>
      <c r="N511" s="66">
        <f t="shared" si="30"/>
        <v>0.313</v>
      </c>
      <c r="O511" s="62" t="str">
        <f t="shared" si="31"/>
        <v>2: High (No DBWT)</v>
      </c>
    </row>
    <row r="512" spans="1:15" ht="15" customHeight="1" x14ac:dyDescent="0.4">
      <c r="A512" s="62" t="s">
        <v>824</v>
      </c>
      <c r="B512" s="62" t="s">
        <v>1168</v>
      </c>
      <c r="C512" s="62" t="s">
        <v>826</v>
      </c>
      <c r="D512" s="63">
        <v>17</v>
      </c>
      <c r="E512" s="63">
        <v>17</v>
      </c>
      <c r="F512" s="63">
        <v>7</v>
      </c>
      <c r="G512" s="64">
        <f t="shared" si="28"/>
        <v>1</v>
      </c>
      <c r="H512" s="64">
        <f t="shared" si="29"/>
        <v>0.41176470588235292</v>
      </c>
      <c r="I512" s="63">
        <v>2</v>
      </c>
      <c r="J512" s="65">
        <v>94.412999999999997</v>
      </c>
      <c r="K512" s="65">
        <v>100</v>
      </c>
      <c r="L512" s="62" t="s">
        <v>825</v>
      </c>
      <c r="M512" s="63">
        <v>0</v>
      </c>
      <c r="N512" s="66">
        <f t="shared" si="30"/>
        <v>0.99199999999999999</v>
      </c>
      <c r="O512" s="62" t="str">
        <f t="shared" si="31"/>
        <v>4: Engaged Early</v>
      </c>
    </row>
    <row r="513" spans="1:15" ht="15" customHeight="1" x14ac:dyDescent="0.4">
      <c r="A513" s="62" t="s">
        <v>824</v>
      </c>
      <c r="B513" s="62" t="s">
        <v>1169</v>
      </c>
      <c r="C513" s="62" t="s">
        <v>826</v>
      </c>
      <c r="D513" s="63">
        <v>7</v>
      </c>
      <c r="E513" s="63">
        <v>5</v>
      </c>
      <c r="F513" s="63">
        <v>0</v>
      </c>
      <c r="G513" s="64">
        <f t="shared" si="28"/>
        <v>0.7142857142857143</v>
      </c>
      <c r="H513" s="64">
        <f t="shared" si="29"/>
        <v>0</v>
      </c>
      <c r="I513" s="63">
        <v>2</v>
      </c>
      <c r="J513" s="65">
        <v>91.214299999999994</v>
      </c>
      <c r="K513" s="65">
        <v>66.760000000000005</v>
      </c>
      <c r="L513" s="62" t="s">
        <v>825</v>
      </c>
      <c r="M513" s="63">
        <v>0</v>
      </c>
      <c r="N513" s="66">
        <f t="shared" si="30"/>
        <v>0.78700000000000003</v>
      </c>
      <c r="O513" s="62" t="str">
        <f t="shared" si="31"/>
        <v>4: Engaged Early</v>
      </c>
    </row>
    <row r="514" spans="1:15" ht="15" customHeight="1" x14ac:dyDescent="0.4">
      <c r="A514" s="62" t="s">
        <v>824</v>
      </c>
      <c r="B514" s="62" t="s">
        <v>1170</v>
      </c>
      <c r="C514" s="62" t="s">
        <v>826</v>
      </c>
      <c r="D514" s="63">
        <v>13</v>
      </c>
      <c r="E514" s="63">
        <v>12</v>
      </c>
      <c r="F514" s="63">
        <v>4</v>
      </c>
      <c r="G514" s="64">
        <f t="shared" ref="G514:G577" si="32">IFERROR(E514/D514,0)</f>
        <v>0.92307692307692313</v>
      </c>
      <c r="H514" s="64">
        <f t="shared" ref="H514:H577" si="33">IFERROR(F514/D514,0)</f>
        <v>0.30769230769230771</v>
      </c>
      <c r="I514" s="63">
        <v>2</v>
      </c>
      <c r="J514" s="65">
        <v>85.957599999999999</v>
      </c>
      <c r="K514" s="65">
        <v>100</v>
      </c>
      <c r="L514" s="62" t="s">
        <v>825</v>
      </c>
      <c r="M514" s="63">
        <v>1</v>
      </c>
      <c r="N514" s="66">
        <f t="shared" ref="N514:N577" si="34">ROUND(IFERROR(K514/100,0)*0.6 + IF(L514="Yes",1,IF(L514="No",0,0.3))*0.25 + IFERROR(J514/100,0)*0.15,3)</f>
        <v>0.97899999999999998</v>
      </c>
      <c r="O514" s="62" t="str">
        <f t="shared" ref="O514:O577" si="35">IF(AND(L514="No",I514=0),"1: Critical (No DBWT + No Wk0)",IF(L514="No","2: High (No DBWT)",IF(I514=0,"3: Elevated (No Wk0)","4: Engaged Early")))</f>
        <v>4: Engaged Early</v>
      </c>
    </row>
    <row r="515" spans="1:15" ht="15" customHeight="1" x14ac:dyDescent="0.4">
      <c r="A515" s="62" t="s">
        <v>824</v>
      </c>
      <c r="B515" s="62" t="s">
        <v>1171</v>
      </c>
      <c r="C515" s="62" t="s">
        <v>826</v>
      </c>
      <c r="D515" s="63">
        <v>6</v>
      </c>
      <c r="E515" s="63">
        <v>6</v>
      </c>
      <c r="F515" s="63">
        <v>3</v>
      </c>
      <c r="G515" s="64">
        <f t="shared" si="32"/>
        <v>1</v>
      </c>
      <c r="H515" s="64">
        <f t="shared" si="33"/>
        <v>0.5</v>
      </c>
      <c r="I515" s="63">
        <v>2</v>
      </c>
      <c r="J515" s="65">
        <v>84.7577</v>
      </c>
      <c r="K515" s="65">
        <v>100</v>
      </c>
      <c r="L515" s="62" t="s">
        <v>825</v>
      </c>
      <c r="M515" s="63">
        <v>0</v>
      </c>
      <c r="N515" s="66">
        <f t="shared" si="34"/>
        <v>0.97699999999999998</v>
      </c>
      <c r="O515" s="62" t="str">
        <f t="shared" si="35"/>
        <v>4: Engaged Early</v>
      </c>
    </row>
    <row r="516" spans="1:15" ht="15" customHeight="1" x14ac:dyDescent="0.4">
      <c r="A516" s="62" t="s">
        <v>824</v>
      </c>
      <c r="B516" s="62" t="s">
        <v>730</v>
      </c>
      <c r="C516" s="62" t="s">
        <v>825</v>
      </c>
      <c r="D516" s="63">
        <v>9</v>
      </c>
      <c r="E516" s="63">
        <v>5</v>
      </c>
      <c r="F516" s="63">
        <v>0</v>
      </c>
      <c r="G516" s="64">
        <f t="shared" si="32"/>
        <v>0.55555555555555558</v>
      </c>
      <c r="H516" s="64">
        <f t="shared" si="33"/>
        <v>0</v>
      </c>
      <c r="I516" s="63">
        <v>1</v>
      </c>
      <c r="J516" s="65">
        <v>67.39</v>
      </c>
      <c r="K516" s="65">
        <v>10.87</v>
      </c>
      <c r="L516" s="62" t="s">
        <v>825</v>
      </c>
      <c r="M516" s="63">
        <v>0</v>
      </c>
      <c r="N516" s="66">
        <f t="shared" si="34"/>
        <v>0.41599999999999998</v>
      </c>
      <c r="O516" s="62" t="str">
        <f t="shared" si="35"/>
        <v>4: Engaged Early</v>
      </c>
    </row>
    <row r="517" spans="1:15" ht="15" customHeight="1" x14ac:dyDescent="0.4">
      <c r="A517" s="62" t="s">
        <v>824</v>
      </c>
      <c r="B517" s="62" t="s">
        <v>1172</v>
      </c>
      <c r="C517" s="62" t="s">
        <v>826</v>
      </c>
      <c r="D517" s="63">
        <v>0</v>
      </c>
      <c r="E517" s="63">
        <v>0</v>
      </c>
      <c r="F517" s="63">
        <v>0</v>
      </c>
      <c r="G517" s="64">
        <f t="shared" si="32"/>
        <v>0</v>
      </c>
      <c r="H517" s="64">
        <f t="shared" si="33"/>
        <v>0</v>
      </c>
      <c r="I517" s="63">
        <v>0</v>
      </c>
      <c r="J517" s="65"/>
      <c r="K517" s="65">
        <v>0.05</v>
      </c>
      <c r="L517" s="62" t="s">
        <v>840</v>
      </c>
      <c r="M517" s="63">
        <v>0</v>
      </c>
      <c r="N517" s="66">
        <f t="shared" si="34"/>
        <v>7.4999999999999997E-2</v>
      </c>
      <c r="O517" s="62" t="str">
        <f t="shared" si="35"/>
        <v>3: Elevated (No Wk0)</v>
      </c>
    </row>
    <row r="518" spans="1:15" ht="15" customHeight="1" x14ac:dyDescent="0.4">
      <c r="A518" s="62" t="s">
        <v>824</v>
      </c>
      <c r="B518" s="62" t="s">
        <v>567</v>
      </c>
      <c r="C518" s="62" t="s">
        <v>825</v>
      </c>
      <c r="D518" s="63">
        <v>13</v>
      </c>
      <c r="E518" s="63">
        <v>11</v>
      </c>
      <c r="F518" s="63">
        <v>3</v>
      </c>
      <c r="G518" s="64">
        <f t="shared" si="32"/>
        <v>0.84615384615384615</v>
      </c>
      <c r="H518" s="64">
        <f t="shared" si="33"/>
        <v>0.23076923076923078</v>
      </c>
      <c r="I518" s="63">
        <v>2</v>
      </c>
      <c r="J518" s="65">
        <v>78.396799999999999</v>
      </c>
      <c r="K518" s="65">
        <v>73.16</v>
      </c>
      <c r="L518" s="62" t="s">
        <v>825</v>
      </c>
      <c r="M518" s="63">
        <v>0</v>
      </c>
      <c r="N518" s="66">
        <f t="shared" si="34"/>
        <v>0.80700000000000005</v>
      </c>
      <c r="O518" s="62" t="str">
        <f t="shared" si="35"/>
        <v>4: Engaged Early</v>
      </c>
    </row>
    <row r="519" spans="1:15" ht="15" customHeight="1" x14ac:dyDescent="0.4">
      <c r="A519" s="62" t="s">
        <v>824</v>
      </c>
      <c r="B519" s="62" t="s">
        <v>1173</v>
      </c>
      <c r="C519" s="62" t="s">
        <v>826</v>
      </c>
      <c r="D519" s="63">
        <v>17</v>
      </c>
      <c r="E519" s="63">
        <v>17</v>
      </c>
      <c r="F519" s="63">
        <v>6</v>
      </c>
      <c r="G519" s="64">
        <f t="shared" si="32"/>
        <v>1</v>
      </c>
      <c r="H519" s="64">
        <f t="shared" si="33"/>
        <v>0.35294117647058826</v>
      </c>
      <c r="I519" s="63">
        <v>2</v>
      </c>
      <c r="J519" s="65">
        <v>99.250500000000002</v>
      </c>
      <c r="K519" s="65">
        <v>100</v>
      </c>
      <c r="L519" s="62" t="s">
        <v>825</v>
      </c>
      <c r="M519" s="63">
        <v>0</v>
      </c>
      <c r="N519" s="66">
        <f t="shared" si="34"/>
        <v>0.999</v>
      </c>
      <c r="O519" s="62" t="str">
        <f t="shared" si="35"/>
        <v>4: Engaged Early</v>
      </c>
    </row>
    <row r="520" spans="1:15" ht="15" customHeight="1" x14ac:dyDescent="0.4">
      <c r="A520" s="62" t="s">
        <v>824</v>
      </c>
      <c r="B520" s="62" t="s">
        <v>1174</v>
      </c>
      <c r="C520" s="62" t="s">
        <v>826</v>
      </c>
      <c r="D520" s="63">
        <v>14</v>
      </c>
      <c r="E520" s="63">
        <v>9</v>
      </c>
      <c r="F520" s="63">
        <v>0</v>
      </c>
      <c r="G520" s="64">
        <f t="shared" si="32"/>
        <v>0.6428571428571429</v>
      </c>
      <c r="H520" s="64">
        <f t="shared" si="33"/>
        <v>0</v>
      </c>
      <c r="I520" s="63">
        <v>2</v>
      </c>
      <c r="J520" s="65">
        <v>61.510899999999999</v>
      </c>
      <c r="K520" s="65">
        <v>94.21</v>
      </c>
      <c r="L520" s="62" t="s">
        <v>825</v>
      </c>
      <c r="M520" s="63">
        <v>0</v>
      </c>
      <c r="N520" s="66">
        <f t="shared" si="34"/>
        <v>0.90800000000000003</v>
      </c>
      <c r="O520" s="62" t="str">
        <f t="shared" si="35"/>
        <v>4: Engaged Early</v>
      </c>
    </row>
    <row r="521" spans="1:15" ht="15" customHeight="1" x14ac:dyDescent="0.4">
      <c r="A521" s="62" t="s">
        <v>824</v>
      </c>
      <c r="B521" s="62" t="s">
        <v>1175</v>
      </c>
      <c r="C521" s="62" t="s">
        <v>826</v>
      </c>
      <c r="D521" s="63">
        <v>4</v>
      </c>
      <c r="E521" s="63">
        <v>4</v>
      </c>
      <c r="F521" s="63">
        <v>2</v>
      </c>
      <c r="G521" s="64">
        <f t="shared" si="32"/>
        <v>1</v>
      </c>
      <c r="H521" s="64">
        <f t="shared" si="33"/>
        <v>0.5</v>
      </c>
      <c r="I521" s="63">
        <v>2</v>
      </c>
      <c r="J521" s="65">
        <v>85.630899999999997</v>
      </c>
      <c r="K521" s="65">
        <v>100</v>
      </c>
      <c r="L521" s="62" t="s">
        <v>825</v>
      </c>
      <c r="M521" s="63">
        <v>0</v>
      </c>
      <c r="N521" s="66">
        <f t="shared" si="34"/>
        <v>0.97799999999999998</v>
      </c>
      <c r="O521" s="62" t="str">
        <f t="shared" si="35"/>
        <v>4: Engaged Early</v>
      </c>
    </row>
    <row r="522" spans="1:15" ht="15" customHeight="1" x14ac:dyDescent="0.4">
      <c r="A522" s="62" t="s">
        <v>824</v>
      </c>
      <c r="B522" s="62" t="s">
        <v>1176</v>
      </c>
      <c r="C522" s="62" t="s">
        <v>826</v>
      </c>
      <c r="D522" s="63">
        <v>4</v>
      </c>
      <c r="E522" s="63">
        <v>4</v>
      </c>
      <c r="F522" s="63">
        <v>1</v>
      </c>
      <c r="G522" s="64">
        <f t="shared" si="32"/>
        <v>1</v>
      </c>
      <c r="H522" s="64">
        <f t="shared" si="33"/>
        <v>0.25</v>
      </c>
      <c r="I522" s="63">
        <v>2</v>
      </c>
      <c r="J522" s="65">
        <v>48.036544999999997</v>
      </c>
      <c r="K522" s="65">
        <v>89.08</v>
      </c>
      <c r="L522" s="62" t="s">
        <v>825</v>
      </c>
      <c r="M522" s="63">
        <v>0</v>
      </c>
      <c r="N522" s="66">
        <f t="shared" si="34"/>
        <v>0.85699999999999998</v>
      </c>
      <c r="O522" s="62" t="str">
        <f t="shared" si="35"/>
        <v>4: Engaged Early</v>
      </c>
    </row>
    <row r="523" spans="1:15" ht="15" customHeight="1" x14ac:dyDescent="0.4">
      <c r="A523" s="62" t="s">
        <v>824</v>
      </c>
      <c r="B523" s="62" t="s">
        <v>1177</v>
      </c>
      <c r="C523" s="62" t="s">
        <v>826</v>
      </c>
      <c r="D523" s="63">
        <v>23</v>
      </c>
      <c r="E523" s="63">
        <v>18</v>
      </c>
      <c r="F523" s="63">
        <v>1</v>
      </c>
      <c r="G523" s="64">
        <f t="shared" si="32"/>
        <v>0.78260869565217395</v>
      </c>
      <c r="H523" s="64">
        <f t="shared" si="33"/>
        <v>4.3478260869565216E-2</v>
      </c>
      <c r="I523" s="63">
        <v>2</v>
      </c>
      <c r="J523" s="65">
        <v>93.86215</v>
      </c>
      <c r="K523" s="65">
        <v>51.29</v>
      </c>
      <c r="L523" s="62" t="s">
        <v>825</v>
      </c>
      <c r="M523" s="63">
        <v>0</v>
      </c>
      <c r="N523" s="66">
        <f t="shared" si="34"/>
        <v>0.69899999999999995</v>
      </c>
      <c r="O523" s="62" t="str">
        <f t="shared" si="35"/>
        <v>4: Engaged Early</v>
      </c>
    </row>
    <row r="524" spans="1:15" ht="15" customHeight="1" x14ac:dyDescent="0.4">
      <c r="A524" s="62" t="s">
        <v>824</v>
      </c>
      <c r="B524" s="62" t="s">
        <v>1178</v>
      </c>
      <c r="C524" s="62" t="s">
        <v>826</v>
      </c>
      <c r="D524" s="63">
        <v>23</v>
      </c>
      <c r="E524" s="63">
        <v>18</v>
      </c>
      <c r="F524" s="63">
        <v>4</v>
      </c>
      <c r="G524" s="64">
        <f t="shared" si="32"/>
        <v>0.78260869565217395</v>
      </c>
      <c r="H524" s="64">
        <f t="shared" si="33"/>
        <v>0.17391304347826086</v>
      </c>
      <c r="I524" s="63">
        <v>2</v>
      </c>
      <c r="J524" s="65">
        <v>86.594849999999994</v>
      </c>
      <c r="K524" s="65">
        <v>100</v>
      </c>
      <c r="L524" s="62" t="s">
        <v>825</v>
      </c>
      <c r="M524" s="63">
        <v>0</v>
      </c>
      <c r="N524" s="66">
        <f t="shared" si="34"/>
        <v>0.98</v>
      </c>
      <c r="O524" s="62" t="str">
        <f t="shared" si="35"/>
        <v>4: Engaged Early</v>
      </c>
    </row>
    <row r="525" spans="1:15" ht="15" customHeight="1" x14ac:dyDescent="0.4">
      <c r="A525" s="62" t="s">
        <v>824</v>
      </c>
      <c r="B525" s="62" t="s">
        <v>1179</v>
      </c>
      <c r="C525" s="62" t="s">
        <v>826</v>
      </c>
      <c r="D525" s="63">
        <v>3</v>
      </c>
      <c r="E525" s="63">
        <v>2</v>
      </c>
      <c r="F525" s="63">
        <v>1</v>
      </c>
      <c r="G525" s="64">
        <f t="shared" si="32"/>
        <v>0.66666666666666663</v>
      </c>
      <c r="H525" s="64">
        <f t="shared" si="33"/>
        <v>0.33333333333333331</v>
      </c>
      <c r="I525" s="63">
        <v>2</v>
      </c>
      <c r="J525" s="65">
        <v>66.10275</v>
      </c>
      <c r="K525" s="65">
        <v>92.8</v>
      </c>
      <c r="L525" s="62" t="s">
        <v>825</v>
      </c>
      <c r="M525" s="63">
        <v>0</v>
      </c>
      <c r="N525" s="66">
        <f t="shared" si="34"/>
        <v>0.90600000000000003</v>
      </c>
      <c r="O525" s="62" t="str">
        <f t="shared" si="35"/>
        <v>4: Engaged Early</v>
      </c>
    </row>
    <row r="526" spans="1:15" ht="15" customHeight="1" x14ac:dyDescent="0.4">
      <c r="A526" s="62" t="s">
        <v>824</v>
      </c>
      <c r="B526" s="62" t="s">
        <v>1180</v>
      </c>
      <c r="C526" s="62" t="s">
        <v>826</v>
      </c>
      <c r="D526" s="63">
        <v>14</v>
      </c>
      <c r="E526" s="63">
        <v>13</v>
      </c>
      <c r="F526" s="63">
        <v>0</v>
      </c>
      <c r="G526" s="64">
        <f t="shared" si="32"/>
        <v>0.9285714285714286</v>
      </c>
      <c r="H526" s="64">
        <f t="shared" si="33"/>
        <v>0</v>
      </c>
      <c r="I526" s="63">
        <v>2</v>
      </c>
      <c r="J526" s="65">
        <v>99.825450000000004</v>
      </c>
      <c r="K526" s="65">
        <v>100</v>
      </c>
      <c r="L526" s="62" t="s">
        <v>825</v>
      </c>
      <c r="M526" s="63">
        <v>0</v>
      </c>
      <c r="N526" s="66">
        <f t="shared" si="34"/>
        <v>1</v>
      </c>
      <c r="O526" s="62" t="str">
        <f t="shared" si="35"/>
        <v>4: Engaged Early</v>
      </c>
    </row>
    <row r="527" spans="1:15" ht="15" customHeight="1" x14ac:dyDescent="0.4">
      <c r="A527" s="62" t="s">
        <v>824</v>
      </c>
      <c r="B527" s="62" t="s">
        <v>1181</v>
      </c>
      <c r="C527" s="62" t="s">
        <v>826</v>
      </c>
      <c r="D527" s="63">
        <v>17</v>
      </c>
      <c r="E527" s="63">
        <v>13</v>
      </c>
      <c r="F527" s="63">
        <v>1</v>
      </c>
      <c r="G527" s="64">
        <f t="shared" si="32"/>
        <v>0.76470588235294112</v>
      </c>
      <c r="H527" s="64">
        <f t="shared" si="33"/>
        <v>5.8823529411764705E-2</v>
      </c>
      <c r="I527" s="63">
        <v>2</v>
      </c>
      <c r="J527" s="65">
        <v>79.317400000000006</v>
      </c>
      <c r="K527" s="65">
        <v>62.69</v>
      </c>
      <c r="L527" s="62" t="s">
        <v>825</v>
      </c>
      <c r="M527" s="63">
        <v>0</v>
      </c>
      <c r="N527" s="66">
        <f t="shared" si="34"/>
        <v>0.745</v>
      </c>
      <c r="O527" s="62" t="str">
        <f t="shared" si="35"/>
        <v>4: Engaged Early</v>
      </c>
    </row>
    <row r="528" spans="1:15" ht="15" customHeight="1" x14ac:dyDescent="0.4">
      <c r="A528" s="62" t="s">
        <v>824</v>
      </c>
      <c r="B528" s="62" t="s">
        <v>591</v>
      </c>
      <c r="C528" s="62" t="s">
        <v>825</v>
      </c>
      <c r="D528" s="63">
        <v>1</v>
      </c>
      <c r="E528" s="63">
        <v>1</v>
      </c>
      <c r="F528" s="63">
        <v>1</v>
      </c>
      <c r="G528" s="64">
        <f t="shared" si="32"/>
        <v>1</v>
      </c>
      <c r="H528" s="64">
        <f t="shared" si="33"/>
        <v>1</v>
      </c>
      <c r="I528" s="63">
        <v>2</v>
      </c>
      <c r="J528" s="65">
        <v>84.550150000000002</v>
      </c>
      <c r="K528" s="65">
        <v>41.99</v>
      </c>
      <c r="L528" s="62" t="s">
        <v>825</v>
      </c>
      <c r="M528" s="63">
        <v>1</v>
      </c>
      <c r="N528" s="66">
        <f t="shared" si="34"/>
        <v>0.629</v>
      </c>
      <c r="O528" s="62" t="str">
        <f t="shared" si="35"/>
        <v>4: Engaged Early</v>
      </c>
    </row>
    <row r="529" spans="1:15" ht="15" customHeight="1" x14ac:dyDescent="0.4">
      <c r="A529" s="62" t="s">
        <v>824</v>
      </c>
      <c r="B529" s="62" t="s">
        <v>1182</v>
      </c>
      <c r="C529" s="62" t="s">
        <v>826</v>
      </c>
      <c r="D529" s="63">
        <v>17</v>
      </c>
      <c r="E529" s="63">
        <v>4</v>
      </c>
      <c r="F529" s="63">
        <v>6</v>
      </c>
      <c r="G529" s="64">
        <f t="shared" si="32"/>
        <v>0.23529411764705882</v>
      </c>
      <c r="H529" s="64">
        <f t="shared" si="33"/>
        <v>0.35294117647058826</v>
      </c>
      <c r="I529" s="63">
        <v>2</v>
      </c>
      <c r="J529" s="65">
        <v>98.015199999999993</v>
      </c>
      <c r="K529" s="65">
        <v>100</v>
      </c>
      <c r="L529" s="62" t="s">
        <v>825</v>
      </c>
      <c r="M529" s="63">
        <v>0</v>
      </c>
      <c r="N529" s="66">
        <f t="shared" si="34"/>
        <v>0.997</v>
      </c>
      <c r="O529" s="62" t="str">
        <f t="shared" si="35"/>
        <v>4: Engaged Early</v>
      </c>
    </row>
    <row r="530" spans="1:15" ht="15" customHeight="1" x14ac:dyDescent="0.4">
      <c r="A530" s="62" t="s">
        <v>824</v>
      </c>
      <c r="B530" s="62" t="s">
        <v>1183</v>
      </c>
      <c r="C530" s="62" t="s">
        <v>826</v>
      </c>
      <c r="D530" s="63">
        <v>3</v>
      </c>
      <c r="E530" s="63">
        <v>3</v>
      </c>
      <c r="F530" s="63">
        <v>1</v>
      </c>
      <c r="G530" s="64">
        <f t="shared" si="32"/>
        <v>1</v>
      </c>
      <c r="H530" s="64">
        <f t="shared" si="33"/>
        <v>0.33333333333333331</v>
      </c>
      <c r="I530" s="63">
        <v>2</v>
      </c>
      <c r="J530" s="65">
        <v>89.746449999999996</v>
      </c>
      <c r="K530" s="65">
        <v>90.82</v>
      </c>
      <c r="L530" s="62" t="s">
        <v>826</v>
      </c>
      <c r="M530" s="63">
        <v>0</v>
      </c>
      <c r="N530" s="66">
        <f t="shared" si="34"/>
        <v>0.68</v>
      </c>
      <c r="O530" s="62" t="str">
        <f t="shared" si="35"/>
        <v>2: High (No DBWT)</v>
      </c>
    </row>
    <row r="531" spans="1:15" ht="15" customHeight="1" x14ac:dyDescent="0.4">
      <c r="A531" s="62" t="s">
        <v>824</v>
      </c>
      <c r="B531" s="62" t="s">
        <v>1184</v>
      </c>
      <c r="C531" s="62" t="s">
        <v>826</v>
      </c>
      <c r="D531" s="63">
        <v>0</v>
      </c>
      <c r="E531" s="63">
        <v>0</v>
      </c>
      <c r="F531" s="63">
        <v>0</v>
      </c>
      <c r="G531" s="64">
        <f t="shared" si="32"/>
        <v>0</v>
      </c>
      <c r="H531" s="64">
        <f t="shared" si="33"/>
        <v>0</v>
      </c>
      <c r="I531" s="63">
        <v>1</v>
      </c>
      <c r="J531" s="65">
        <v>100</v>
      </c>
      <c r="K531" s="65">
        <v>89.39</v>
      </c>
      <c r="L531" s="62" t="s">
        <v>840</v>
      </c>
      <c r="M531" s="63">
        <v>0</v>
      </c>
      <c r="N531" s="66">
        <f t="shared" si="34"/>
        <v>0.76100000000000001</v>
      </c>
      <c r="O531" s="62" t="str">
        <f t="shared" si="35"/>
        <v>4: Engaged Early</v>
      </c>
    </row>
    <row r="532" spans="1:15" ht="15" customHeight="1" x14ac:dyDescent="0.4">
      <c r="A532" s="62" t="s">
        <v>824</v>
      </c>
      <c r="B532" s="62" t="s">
        <v>1185</v>
      </c>
      <c r="C532" s="62" t="s">
        <v>826</v>
      </c>
      <c r="D532" s="63">
        <v>0</v>
      </c>
      <c r="E532" s="63">
        <v>0</v>
      </c>
      <c r="F532" s="63">
        <v>0</v>
      </c>
      <c r="G532" s="64">
        <f t="shared" si="32"/>
        <v>0</v>
      </c>
      <c r="H532" s="64">
        <f t="shared" si="33"/>
        <v>0</v>
      </c>
      <c r="I532" s="63">
        <v>1</v>
      </c>
      <c r="J532" s="65">
        <v>97.89</v>
      </c>
      <c r="K532" s="65">
        <v>100</v>
      </c>
      <c r="L532" s="62" t="s">
        <v>840</v>
      </c>
      <c r="M532" s="63">
        <v>0</v>
      </c>
      <c r="N532" s="66">
        <f t="shared" si="34"/>
        <v>0.82199999999999995</v>
      </c>
      <c r="O532" s="62" t="str">
        <f t="shared" si="35"/>
        <v>4: Engaged Early</v>
      </c>
    </row>
    <row r="533" spans="1:15" ht="15" customHeight="1" x14ac:dyDescent="0.4">
      <c r="A533" s="62" t="s">
        <v>824</v>
      </c>
      <c r="B533" s="62" t="s">
        <v>1186</v>
      </c>
      <c r="C533" s="62" t="s">
        <v>826</v>
      </c>
      <c r="D533" s="63">
        <v>7</v>
      </c>
      <c r="E533" s="63">
        <v>5</v>
      </c>
      <c r="F533" s="63">
        <v>0</v>
      </c>
      <c r="G533" s="64">
        <f t="shared" si="32"/>
        <v>0.7142857142857143</v>
      </c>
      <c r="H533" s="64">
        <f t="shared" si="33"/>
        <v>0</v>
      </c>
      <c r="I533" s="63">
        <v>2</v>
      </c>
      <c r="J533" s="65">
        <v>87.764349999999993</v>
      </c>
      <c r="K533" s="65">
        <v>100</v>
      </c>
      <c r="L533" s="62" t="s">
        <v>825</v>
      </c>
      <c r="M533" s="63">
        <v>0</v>
      </c>
      <c r="N533" s="66">
        <f t="shared" si="34"/>
        <v>0.98199999999999998</v>
      </c>
      <c r="O533" s="62" t="str">
        <f t="shared" si="35"/>
        <v>4: Engaged Early</v>
      </c>
    </row>
    <row r="534" spans="1:15" ht="15" customHeight="1" x14ac:dyDescent="0.4">
      <c r="A534" s="62" t="s">
        <v>824</v>
      </c>
      <c r="B534" s="62" t="s">
        <v>1187</v>
      </c>
      <c r="C534" s="62" t="s">
        <v>826</v>
      </c>
      <c r="D534" s="63">
        <v>5</v>
      </c>
      <c r="E534" s="63">
        <v>5</v>
      </c>
      <c r="F534" s="63">
        <v>1</v>
      </c>
      <c r="G534" s="64">
        <f t="shared" si="32"/>
        <v>1</v>
      </c>
      <c r="H534" s="64">
        <f t="shared" si="33"/>
        <v>0.2</v>
      </c>
      <c r="I534" s="63">
        <v>2</v>
      </c>
      <c r="J534" s="65">
        <v>86.912400000000005</v>
      </c>
      <c r="K534" s="65">
        <v>100</v>
      </c>
      <c r="L534" s="62" t="s">
        <v>825</v>
      </c>
      <c r="M534" s="63">
        <v>0</v>
      </c>
      <c r="N534" s="66">
        <f t="shared" si="34"/>
        <v>0.98</v>
      </c>
      <c r="O534" s="62" t="str">
        <f t="shared" si="35"/>
        <v>4: Engaged Early</v>
      </c>
    </row>
    <row r="535" spans="1:15" ht="15" customHeight="1" x14ac:dyDescent="0.4">
      <c r="A535" s="62" t="s">
        <v>824</v>
      </c>
      <c r="B535" s="62" t="s">
        <v>1188</v>
      </c>
      <c r="C535" s="62" t="s">
        <v>826</v>
      </c>
      <c r="D535" s="63">
        <v>3</v>
      </c>
      <c r="E535" s="63">
        <v>2</v>
      </c>
      <c r="F535" s="63">
        <v>1</v>
      </c>
      <c r="G535" s="64">
        <f t="shared" si="32"/>
        <v>0.66666666666666663</v>
      </c>
      <c r="H535" s="64">
        <f t="shared" si="33"/>
        <v>0.33333333333333331</v>
      </c>
      <c r="I535" s="63">
        <v>2</v>
      </c>
      <c r="J535" s="65">
        <v>71.445650000000001</v>
      </c>
      <c r="K535" s="65">
        <v>100</v>
      </c>
      <c r="L535" s="62" t="s">
        <v>825</v>
      </c>
      <c r="M535" s="63">
        <v>0</v>
      </c>
      <c r="N535" s="66">
        <f t="shared" si="34"/>
        <v>0.95699999999999996</v>
      </c>
      <c r="O535" s="62" t="str">
        <f t="shared" si="35"/>
        <v>4: Engaged Early</v>
      </c>
    </row>
    <row r="536" spans="1:15" ht="15" customHeight="1" x14ac:dyDescent="0.4">
      <c r="A536" s="62" t="s">
        <v>824</v>
      </c>
      <c r="B536" s="62" t="s">
        <v>1189</v>
      </c>
      <c r="C536" s="62" t="s">
        <v>826</v>
      </c>
      <c r="D536" s="63">
        <v>0</v>
      </c>
      <c r="E536" s="63">
        <v>0</v>
      </c>
      <c r="F536" s="63">
        <v>0</v>
      </c>
      <c r="G536" s="64">
        <f t="shared" si="32"/>
        <v>0</v>
      </c>
      <c r="H536" s="64">
        <f t="shared" si="33"/>
        <v>0</v>
      </c>
      <c r="I536" s="63">
        <v>1</v>
      </c>
      <c r="J536" s="65">
        <v>65.72</v>
      </c>
      <c r="K536" s="65">
        <v>84.98</v>
      </c>
      <c r="L536" s="62" t="s">
        <v>826</v>
      </c>
      <c r="M536" s="63">
        <v>0</v>
      </c>
      <c r="N536" s="66">
        <f t="shared" si="34"/>
        <v>0.60799999999999998</v>
      </c>
      <c r="O536" s="62" t="str">
        <f t="shared" si="35"/>
        <v>2: High (No DBWT)</v>
      </c>
    </row>
    <row r="537" spans="1:15" ht="15" customHeight="1" x14ac:dyDescent="0.4">
      <c r="A537" s="62" t="s">
        <v>824</v>
      </c>
      <c r="B537" s="62" t="s">
        <v>1190</v>
      </c>
      <c r="C537" s="62" t="s">
        <v>826</v>
      </c>
      <c r="D537" s="63">
        <v>7</v>
      </c>
      <c r="E537" s="63">
        <v>3</v>
      </c>
      <c r="F537" s="63">
        <v>0</v>
      </c>
      <c r="G537" s="64">
        <f t="shared" si="32"/>
        <v>0.42857142857142855</v>
      </c>
      <c r="H537" s="64">
        <f t="shared" si="33"/>
        <v>0</v>
      </c>
      <c r="I537" s="63">
        <v>2</v>
      </c>
      <c r="J537" s="65">
        <v>94.603700000000003</v>
      </c>
      <c r="K537" s="65">
        <v>100</v>
      </c>
      <c r="L537" s="62" t="s">
        <v>825</v>
      </c>
      <c r="M537" s="63">
        <v>0</v>
      </c>
      <c r="N537" s="66">
        <f t="shared" si="34"/>
        <v>0.99199999999999999</v>
      </c>
      <c r="O537" s="62" t="str">
        <f t="shared" si="35"/>
        <v>4: Engaged Early</v>
      </c>
    </row>
    <row r="538" spans="1:15" ht="15" customHeight="1" x14ac:dyDescent="0.4">
      <c r="A538" s="62" t="s">
        <v>824</v>
      </c>
      <c r="B538" s="62" t="s">
        <v>1191</v>
      </c>
      <c r="C538" s="62" t="s">
        <v>826</v>
      </c>
      <c r="D538" s="63">
        <v>18</v>
      </c>
      <c r="E538" s="63">
        <v>13</v>
      </c>
      <c r="F538" s="63">
        <v>3</v>
      </c>
      <c r="G538" s="64">
        <f t="shared" si="32"/>
        <v>0.72222222222222221</v>
      </c>
      <c r="H538" s="64">
        <f t="shared" si="33"/>
        <v>0.16666666666666666</v>
      </c>
      <c r="I538" s="63">
        <v>2</v>
      </c>
      <c r="J538" s="65">
        <v>87.661000000000001</v>
      </c>
      <c r="K538" s="65">
        <v>97.24</v>
      </c>
      <c r="L538" s="62" t="s">
        <v>825</v>
      </c>
      <c r="M538" s="63">
        <v>0</v>
      </c>
      <c r="N538" s="66">
        <f t="shared" si="34"/>
        <v>0.96499999999999997</v>
      </c>
      <c r="O538" s="62" t="str">
        <f t="shared" si="35"/>
        <v>4: Engaged Early</v>
      </c>
    </row>
    <row r="539" spans="1:15" ht="15" customHeight="1" x14ac:dyDescent="0.4">
      <c r="A539" s="62" t="s">
        <v>824</v>
      </c>
      <c r="B539" s="62" t="s">
        <v>1192</v>
      </c>
      <c r="C539" s="62" t="s">
        <v>826</v>
      </c>
      <c r="D539" s="63">
        <v>0</v>
      </c>
      <c r="E539" s="63">
        <v>0</v>
      </c>
      <c r="F539" s="63">
        <v>0</v>
      </c>
      <c r="G539" s="64">
        <f t="shared" si="32"/>
        <v>0</v>
      </c>
      <c r="H539" s="64">
        <f t="shared" si="33"/>
        <v>0</v>
      </c>
      <c r="I539" s="63">
        <v>2</v>
      </c>
      <c r="J539" s="65">
        <v>47.703850000000003</v>
      </c>
      <c r="K539" s="65">
        <v>81.38</v>
      </c>
      <c r="L539" s="62" t="s">
        <v>825</v>
      </c>
      <c r="M539" s="63">
        <v>0</v>
      </c>
      <c r="N539" s="66">
        <f t="shared" si="34"/>
        <v>0.81</v>
      </c>
      <c r="O539" s="62" t="str">
        <f t="shared" si="35"/>
        <v>4: Engaged Early</v>
      </c>
    </row>
    <row r="540" spans="1:15" ht="15" customHeight="1" x14ac:dyDescent="0.4">
      <c r="A540" s="62" t="s">
        <v>824</v>
      </c>
      <c r="B540" s="62" t="s">
        <v>1193</v>
      </c>
      <c r="C540" s="62" t="s">
        <v>826</v>
      </c>
      <c r="D540" s="63">
        <v>4</v>
      </c>
      <c r="E540" s="63">
        <v>4</v>
      </c>
      <c r="F540" s="63">
        <v>0</v>
      </c>
      <c r="G540" s="64">
        <f t="shared" si="32"/>
        <v>1</v>
      </c>
      <c r="H540" s="64">
        <f t="shared" si="33"/>
        <v>0</v>
      </c>
      <c r="I540" s="63">
        <v>2</v>
      </c>
      <c r="J540" s="65">
        <v>77.649249999999995</v>
      </c>
      <c r="K540" s="65">
        <v>99.85</v>
      </c>
      <c r="L540" s="62" t="s">
        <v>825</v>
      </c>
      <c r="M540" s="63">
        <v>0</v>
      </c>
      <c r="N540" s="66">
        <f t="shared" si="34"/>
        <v>0.96599999999999997</v>
      </c>
      <c r="O540" s="62" t="str">
        <f t="shared" si="35"/>
        <v>4: Engaged Early</v>
      </c>
    </row>
    <row r="541" spans="1:15" ht="15" customHeight="1" x14ac:dyDescent="0.4">
      <c r="A541" s="62" t="s">
        <v>824</v>
      </c>
      <c r="B541" s="62" t="s">
        <v>1194</v>
      </c>
      <c r="C541" s="62" t="s">
        <v>826</v>
      </c>
      <c r="D541" s="63">
        <v>13</v>
      </c>
      <c r="E541" s="63">
        <v>13</v>
      </c>
      <c r="F541" s="63">
        <v>1</v>
      </c>
      <c r="G541" s="64">
        <f t="shared" si="32"/>
        <v>1</v>
      </c>
      <c r="H541" s="64">
        <f t="shared" si="33"/>
        <v>7.6923076923076927E-2</v>
      </c>
      <c r="I541" s="63">
        <v>2</v>
      </c>
      <c r="J541" s="65">
        <v>82.607900000000001</v>
      </c>
      <c r="K541" s="65">
        <v>98.27</v>
      </c>
      <c r="L541" s="62" t="s">
        <v>825</v>
      </c>
      <c r="M541" s="63">
        <v>0</v>
      </c>
      <c r="N541" s="66">
        <f t="shared" si="34"/>
        <v>0.96399999999999997</v>
      </c>
      <c r="O541" s="62" t="str">
        <f t="shared" si="35"/>
        <v>4: Engaged Early</v>
      </c>
    </row>
    <row r="542" spans="1:15" ht="15" customHeight="1" x14ac:dyDescent="0.4">
      <c r="A542" s="62" t="s">
        <v>824</v>
      </c>
      <c r="B542" s="62" t="s">
        <v>1195</v>
      </c>
      <c r="C542" s="62" t="s">
        <v>826</v>
      </c>
      <c r="D542" s="63">
        <v>5</v>
      </c>
      <c r="E542" s="63">
        <v>5</v>
      </c>
      <c r="F542" s="63">
        <v>1</v>
      </c>
      <c r="G542" s="64">
        <f t="shared" si="32"/>
        <v>1</v>
      </c>
      <c r="H542" s="64">
        <f t="shared" si="33"/>
        <v>0.2</v>
      </c>
      <c r="I542" s="63">
        <v>2</v>
      </c>
      <c r="J542" s="65">
        <v>92.930199999999999</v>
      </c>
      <c r="K542" s="65">
        <v>100</v>
      </c>
      <c r="L542" s="62" t="s">
        <v>825</v>
      </c>
      <c r="M542" s="63">
        <v>0</v>
      </c>
      <c r="N542" s="66">
        <f t="shared" si="34"/>
        <v>0.98899999999999999</v>
      </c>
      <c r="O542" s="62" t="str">
        <f t="shared" si="35"/>
        <v>4: Engaged Early</v>
      </c>
    </row>
    <row r="543" spans="1:15" ht="15" customHeight="1" x14ac:dyDescent="0.4">
      <c r="A543" s="62" t="s">
        <v>824</v>
      </c>
      <c r="B543" s="62" t="s">
        <v>1196</v>
      </c>
      <c r="C543" s="62" t="s">
        <v>826</v>
      </c>
      <c r="D543" s="63">
        <v>13</v>
      </c>
      <c r="E543" s="63">
        <v>12</v>
      </c>
      <c r="F543" s="63">
        <v>1</v>
      </c>
      <c r="G543" s="64">
        <f t="shared" si="32"/>
        <v>0.92307692307692313</v>
      </c>
      <c r="H543" s="64">
        <f t="shared" si="33"/>
        <v>7.6923076923076927E-2</v>
      </c>
      <c r="I543" s="63">
        <v>1</v>
      </c>
      <c r="J543" s="65">
        <v>13.347200000000001</v>
      </c>
      <c r="K543" s="65">
        <v>66.349999999999994</v>
      </c>
      <c r="L543" s="62" t="s">
        <v>825</v>
      </c>
      <c r="M543" s="63">
        <v>0</v>
      </c>
      <c r="N543" s="66">
        <f t="shared" si="34"/>
        <v>0.66800000000000004</v>
      </c>
      <c r="O543" s="62" t="str">
        <f t="shared" si="35"/>
        <v>4: Engaged Early</v>
      </c>
    </row>
    <row r="544" spans="1:15" ht="15" customHeight="1" x14ac:dyDescent="0.4">
      <c r="A544" s="62" t="s">
        <v>824</v>
      </c>
      <c r="B544" s="62" t="s">
        <v>1197</v>
      </c>
      <c r="C544" s="62" t="s">
        <v>826</v>
      </c>
      <c r="D544" s="63">
        <v>12</v>
      </c>
      <c r="E544" s="63">
        <v>10</v>
      </c>
      <c r="F544" s="63">
        <v>1</v>
      </c>
      <c r="G544" s="64">
        <f t="shared" si="32"/>
        <v>0.83333333333333337</v>
      </c>
      <c r="H544" s="64">
        <f t="shared" si="33"/>
        <v>8.3333333333333329E-2</v>
      </c>
      <c r="I544" s="63">
        <v>1</v>
      </c>
      <c r="J544" s="65">
        <v>61.49</v>
      </c>
      <c r="K544" s="65">
        <v>74.73</v>
      </c>
      <c r="L544" s="62" t="s">
        <v>825</v>
      </c>
      <c r="M544" s="63">
        <v>0</v>
      </c>
      <c r="N544" s="66">
        <f t="shared" si="34"/>
        <v>0.79100000000000004</v>
      </c>
      <c r="O544" s="62" t="str">
        <f t="shared" si="35"/>
        <v>4: Engaged Early</v>
      </c>
    </row>
    <row r="545" spans="1:15" ht="15" customHeight="1" x14ac:dyDescent="0.4">
      <c r="A545" s="62" t="s">
        <v>824</v>
      </c>
      <c r="B545" s="62" t="s">
        <v>1198</v>
      </c>
      <c r="C545" s="62" t="s">
        <v>826</v>
      </c>
      <c r="D545" s="63">
        <v>3</v>
      </c>
      <c r="E545" s="63">
        <v>0</v>
      </c>
      <c r="F545" s="63">
        <v>0</v>
      </c>
      <c r="G545" s="64">
        <f t="shared" si="32"/>
        <v>0</v>
      </c>
      <c r="H545" s="64">
        <f t="shared" si="33"/>
        <v>0</v>
      </c>
      <c r="I545" s="63">
        <v>1</v>
      </c>
      <c r="J545" s="65">
        <v>87.493799999999993</v>
      </c>
      <c r="K545" s="65">
        <v>88.9</v>
      </c>
      <c r="L545" s="62" t="s">
        <v>825</v>
      </c>
      <c r="M545" s="63">
        <v>0</v>
      </c>
      <c r="N545" s="66">
        <f t="shared" si="34"/>
        <v>0.91500000000000004</v>
      </c>
      <c r="O545" s="62" t="str">
        <f t="shared" si="35"/>
        <v>4: Engaged Early</v>
      </c>
    </row>
    <row r="546" spans="1:15" ht="15" customHeight="1" x14ac:dyDescent="0.4">
      <c r="A546" s="62" t="s">
        <v>824</v>
      </c>
      <c r="B546" s="62" t="s">
        <v>1199</v>
      </c>
      <c r="C546" s="62" t="s">
        <v>826</v>
      </c>
      <c r="D546" s="63">
        <v>12</v>
      </c>
      <c r="E546" s="63">
        <v>10</v>
      </c>
      <c r="F546" s="63">
        <v>1</v>
      </c>
      <c r="G546" s="64">
        <f t="shared" si="32"/>
        <v>0.83333333333333337</v>
      </c>
      <c r="H546" s="64">
        <f t="shared" si="33"/>
        <v>8.3333333333333329E-2</v>
      </c>
      <c r="I546" s="63">
        <v>1</v>
      </c>
      <c r="J546" s="65">
        <v>46.003300000000003</v>
      </c>
      <c r="K546" s="65">
        <v>84.41</v>
      </c>
      <c r="L546" s="62" t="s">
        <v>825</v>
      </c>
      <c r="M546" s="63">
        <v>0</v>
      </c>
      <c r="N546" s="66">
        <f t="shared" si="34"/>
        <v>0.82499999999999996</v>
      </c>
      <c r="O546" s="62" t="str">
        <f t="shared" si="35"/>
        <v>4: Engaged Early</v>
      </c>
    </row>
    <row r="547" spans="1:15" ht="15" customHeight="1" x14ac:dyDescent="0.4">
      <c r="A547" s="62" t="s">
        <v>824</v>
      </c>
      <c r="B547" s="62" t="s">
        <v>1200</v>
      </c>
      <c r="C547" s="62" t="s">
        <v>826</v>
      </c>
      <c r="D547" s="63">
        <v>13</v>
      </c>
      <c r="E547" s="63">
        <v>11</v>
      </c>
      <c r="F547" s="63">
        <v>1</v>
      </c>
      <c r="G547" s="64">
        <f t="shared" si="32"/>
        <v>0.84615384615384615</v>
      </c>
      <c r="H547" s="64">
        <f t="shared" si="33"/>
        <v>7.6923076923076927E-2</v>
      </c>
      <c r="I547" s="63">
        <v>2</v>
      </c>
      <c r="J547" s="65">
        <v>92.933549999999997</v>
      </c>
      <c r="K547" s="65">
        <v>100</v>
      </c>
      <c r="L547" s="62" t="s">
        <v>825</v>
      </c>
      <c r="M547" s="63">
        <v>0</v>
      </c>
      <c r="N547" s="66">
        <f t="shared" si="34"/>
        <v>0.98899999999999999</v>
      </c>
      <c r="O547" s="62" t="str">
        <f t="shared" si="35"/>
        <v>4: Engaged Early</v>
      </c>
    </row>
    <row r="548" spans="1:15" ht="15" customHeight="1" x14ac:dyDescent="0.4">
      <c r="A548" s="62" t="s">
        <v>824</v>
      </c>
      <c r="B548" s="62" t="s">
        <v>1201</v>
      </c>
      <c r="C548" s="62" t="s">
        <v>826</v>
      </c>
      <c r="D548" s="63">
        <v>4</v>
      </c>
      <c r="E548" s="63">
        <v>2</v>
      </c>
      <c r="F548" s="63">
        <v>1</v>
      </c>
      <c r="G548" s="64">
        <f t="shared" si="32"/>
        <v>0.5</v>
      </c>
      <c r="H548" s="64">
        <f t="shared" si="33"/>
        <v>0.25</v>
      </c>
      <c r="I548" s="63">
        <v>2</v>
      </c>
      <c r="J548" s="65">
        <v>93.804349999999999</v>
      </c>
      <c r="K548" s="65">
        <v>100</v>
      </c>
      <c r="L548" s="62" t="s">
        <v>825</v>
      </c>
      <c r="M548" s="63">
        <v>0</v>
      </c>
      <c r="N548" s="66">
        <f t="shared" si="34"/>
        <v>0.99099999999999999</v>
      </c>
      <c r="O548" s="62" t="str">
        <f t="shared" si="35"/>
        <v>4: Engaged Early</v>
      </c>
    </row>
    <row r="549" spans="1:15" ht="15" customHeight="1" x14ac:dyDescent="0.4">
      <c r="A549" s="62" t="s">
        <v>824</v>
      </c>
      <c r="B549" s="62" t="s">
        <v>1202</v>
      </c>
      <c r="C549" s="62" t="s">
        <v>826</v>
      </c>
      <c r="D549" s="63">
        <v>7</v>
      </c>
      <c r="E549" s="63">
        <v>7</v>
      </c>
      <c r="F549" s="63">
        <v>3</v>
      </c>
      <c r="G549" s="64">
        <f t="shared" si="32"/>
        <v>1</v>
      </c>
      <c r="H549" s="64">
        <f t="shared" si="33"/>
        <v>0.42857142857142855</v>
      </c>
      <c r="I549" s="63">
        <v>2</v>
      </c>
      <c r="J549" s="65">
        <v>83.530950000000004</v>
      </c>
      <c r="K549" s="65">
        <v>99.27</v>
      </c>
      <c r="L549" s="62" t="s">
        <v>826</v>
      </c>
      <c r="M549" s="63">
        <v>0</v>
      </c>
      <c r="N549" s="66">
        <f t="shared" si="34"/>
        <v>0.72099999999999997</v>
      </c>
      <c r="O549" s="62" t="str">
        <f t="shared" si="35"/>
        <v>2: High (No DBWT)</v>
      </c>
    </row>
    <row r="550" spans="1:15" ht="15" customHeight="1" x14ac:dyDescent="0.4">
      <c r="A550" s="62" t="s">
        <v>824</v>
      </c>
      <c r="B550" s="62" t="s">
        <v>1203</v>
      </c>
      <c r="C550" s="62" t="s">
        <v>826</v>
      </c>
      <c r="D550" s="63">
        <v>14</v>
      </c>
      <c r="E550" s="63">
        <v>4</v>
      </c>
      <c r="F550" s="63">
        <v>6</v>
      </c>
      <c r="G550" s="64">
        <f t="shared" si="32"/>
        <v>0.2857142857142857</v>
      </c>
      <c r="H550" s="64">
        <f t="shared" si="33"/>
        <v>0.42857142857142855</v>
      </c>
      <c r="I550" s="63">
        <v>2</v>
      </c>
      <c r="J550" s="65">
        <v>99.621799999999993</v>
      </c>
      <c r="K550" s="65">
        <v>100</v>
      </c>
      <c r="L550" s="62" t="s">
        <v>825</v>
      </c>
      <c r="M550" s="63">
        <v>0</v>
      </c>
      <c r="N550" s="66">
        <f t="shared" si="34"/>
        <v>0.999</v>
      </c>
      <c r="O550" s="62" t="str">
        <f t="shared" si="35"/>
        <v>4: Engaged Early</v>
      </c>
    </row>
    <row r="551" spans="1:15" ht="15" customHeight="1" x14ac:dyDescent="0.4">
      <c r="A551" s="62" t="s">
        <v>824</v>
      </c>
      <c r="B551" s="62" t="s">
        <v>1204</v>
      </c>
      <c r="C551" s="62" t="s">
        <v>826</v>
      </c>
      <c r="D551" s="63">
        <v>8</v>
      </c>
      <c r="E551" s="63">
        <v>6</v>
      </c>
      <c r="F551" s="63">
        <v>1</v>
      </c>
      <c r="G551" s="64">
        <f t="shared" si="32"/>
        <v>0.75</v>
      </c>
      <c r="H551" s="64">
        <f t="shared" si="33"/>
        <v>0.125</v>
      </c>
      <c r="I551" s="63">
        <v>2</v>
      </c>
      <c r="J551" s="65">
        <v>90.567350000000005</v>
      </c>
      <c r="K551" s="65">
        <v>100</v>
      </c>
      <c r="L551" s="62" t="s">
        <v>826</v>
      </c>
      <c r="M551" s="63">
        <v>0</v>
      </c>
      <c r="N551" s="66">
        <f t="shared" si="34"/>
        <v>0.73599999999999999</v>
      </c>
      <c r="O551" s="62" t="str">
        <f t="shared" si="35"/>
        <v>2: High (No DBWT)</v>
      </c>
    </row>
    <row r="552" spans="1:15" ht="15" customHeight="1" x14ac:dyDescent="0.4">
      <c r="A552" s="62" t="s">
        <v>824</v>
      </c>
      <c r="B552" s="62" t="s">
        <v>1205</v>
      </c>
      <c r="C552" s="62" t="s">
        <v>826</v>
      </c>
      <c r="D552" s="63">
        <v>0</v>
      </c>
      <c r="E552" s="63">
        <v>0</v>
      </c>
      <c r="F552" s="63">
        <v>0</v>
      </c>
      <c r="G552" s="64">
        <f t="shared" si="32"/>
        <v>0</v>
      </c>
      <c r="H552" s="64">
        <f t="shared" si="33"/>
        <v>0</v>
      </c>
      <c r="I552" s="63">
        <v>0</v>
      </c>
      <c r="J552" s="65"/>
      <c r="K552" s="65">
        <v>14.29</v>
      </c>
      <c r="L552" s="62" t="s">
        <v>840</v>
      </c>
      <c r="M552" s="63">
        <v>0</v>
      </c>
      <c r="N552" s="66">
        <f t="shared" si="34"/>
        <v>0.161</v>
      </c>
      <c r="O552" s="62" t="str">
        <f t="shared" si="35"/>
        <v>3: Elevated (No Wk0)</v>
      </c>
    </row>
    <row r="553" spans="1:15" ht="15" customHeight="1" x14ac:dyDescent="0.4">
      <c r="A553" s="62" t="s">
        <v>824</v>
      </c>
      <c r="B553" s="62" t="s">
        <v>1206</v>
      </c>
      <c r="C553" s="62" t="s">
        <v>826</v>
      </c>
      <c r="D553" s="63">
        <v>5</v>
      </c>
      <c r="E553" s="63">
        <v>5</v>
      </c>
      <c r="F553" s="63">
        <v>2</v>
      </c>
      <c r="G553" s="64">
        <f t="shared" si="32"/>
        <v>1</v>
      </c>
      <c r="H553" s="64">
        <f t="shared" si="33"/>
        <v>0.4</v>
      </c>
      <c r="I553" s="63">
        <v>2</v>
      </c>
      <c r="J553" s="65">
        <v>93.740899999999996</v>
      </c>
      <c r="K553" s="65">
        <v>100</v>
      </c>
      <c r="L553" s="62" t="s">
        <v>825</v>
      </c>
      <c r="M553" s="63">
        <v>1</v>
      </c>
      <c r="N553" s="66">
        <f t="shared" si="34"/>
        <v>0.99099999999999999</v>
      </c>
      <c r="O553" s="62" t="str">
        <f t="shared" si="35"/>
        <v>4: Engaged Early</v>
      </c>
    </row>
    <row r="554" spans="1:15" ht="15" customHeight="1" x14ac:dyDescent="0.4">
      <c r="A554" s="62" t="s">
        <v>824</v>
      </c>
      <c r="B554" s="62" t="s">
        <v>1207</v>
      </c>
      <c r="C554" s="62" t="s">
        <v>826</v>
      </c>
      <c r="D554" s="63">
        <v>13</v>
      </c>
      <c r="E554" s="63">
        <v>10</v>
      </c>
      <c r="F554" s="63">
        <v>2</v>
      </c>
      <c r="G554" s="64">
        <f t="shared" si="32"/>
        <v>0.76923076923076927</v>
      </c>
      <c r="H554" s="64">
        <f t="shared" si="33"/>
        <v>0.15384615384615385</v>
      </c>
      <c r="I554" s="63">
        <v>2</v>
      </c>
      <c r="J554" s="65">
        <v>88.537450000000007</v>
      </c>
      <c r="K554" s="65">
        <v>97.87</v>
      </c>
      <c r="L554" s="62" t="s">
        <v>825</v>
      </c>
      <c r="M554" s="63">
        <v>0</v>
      </c>
      <c r="N554" s="66">
        <f t="shared" si="34"/>
        <v>0.97</v>
      </c>
      <c r="O554" s="62" t="str">
        <f t="shared" si="35"/>
        <v>4: Engaged Early</v>
      </c>
    </row>
    <row r="555" spans="1:15" ht="15" customHeight="1" x14ac:dyDescent="0.4">
      <c r="A555" s="62" t="s">
        <v>824</v>
      </c>
      <c r="B555" s="62" t="s">
        <v>611</v>
      </c>
      <c r="C555" s="62" t="s">
        <v>825</v>
      </c>
      <c r="D555" s="63">
        <v>17</v>
      </c>
      <c r="E555" s="63">
        <v>16</v>
      </c>
      <c r="F555" s="63">
        <v>3</v>
      </c>
      <c r="G555" s="64">
        <f t="shared" si="32"/>
        <v>0.94117647058823528</v>
      </c>
      <c r="H555" s="64">
        <f t="shared" si="33"/>
        <v>0.17647058823529413</v>
      </c>
      <c r="I555" s="63">
        <v>2</v>
      </c>
      <c r="J555" s="65">
        <v>83.003649999999993</v>
      </c>
      <c r="K555" s="65">
        <v>100</v>
      </c>
      <c r="L555" s="62" t="s">
        <v>826</v>
      </c>
      <c r="M555" s="63">
        <v>1</v>
      </c>
      <c r="N555" s="66">
        <f t="shared" si="34"/>
        <v>0.72499999999999998</v>
      </c>
      <c r="O555" s="62" t="str">
        <f t="shared" si="35"/>
        <v>2: High (No DBWT)</v>
      </c>
    </row>
    <row r="556" spans="1:15" ht="15" customHeight="1" x14ac:dyDescent="0.4">
      <c r="A556" s="62" t="s">
        <v>824</v>
      </c>
      <c r="B556" s="62" t="s">
        <v>1208</v>
      </c>
      <c r="C556" s="62" t="s">
        <v>826</v>
      </c>
      <c r="D556" s="63">
        <v>23</v>
      </c>
      <c r="E556" s="63">
        <v>12</v>
      </c>
      <c r="F556" s="63">
        <v>2</v>
      </c>
      <c r="G556" s="64">
        <f t="shared" si="32"/>
        <v>0.52173913043478259</v>
      </c>
      <c r="H556" s="64">
        <f t="shared" si="33"/>
        <v>8.6956521739130432E-2</v>
      </c>
      <c r="I556" s="63">
        <v>2</v>
      </c>
      <c r="J556" s="65">
        <v>84.307649999999995</v>
      </c>
      <c r="K556" s="65">
        <v>82.49</v>
      </c>
      <c r="L556" s="62" t="s">
        <v>825</v>
      </c>
      <c r="M556" s="63">
        <v>0</v>
      </c>
      <c r="N556" s="66">
        <f t="shared" si="34"/>
        <v>0.871</v>
      </c>
      <c r="O556" s="62" t="str">
        <f t="shared" si="35"/>
        <v>4: Engaged Early</v>
      </c>
    </row>
    <row r="557" spans="1:15" ht="15" customHeight="1" x14ac:dyDescent="0.4">
      <c r="A557" s="62" t="s">
        <v>824</v>
      </c>
      <c r="B557" s="62" t="s">
        <v>1209</v>
      </c>
      <c r="C557" s="62" t="s">
        <v>826</v>
      </c>
      <c r="D557" s="63">
        <v>17</v>
      </c>
      <c r="E557" s="63">
        <v>11</v>
      </c>
      <c r="F557" s="63">
        <v>6</v>
      </c>
      <c r="G557" s="64">
        <f t="shared" si="32"/>
        <v>0.6470588235294118</v>
      </c>
      <c r="H557" s="64">
        <f t="shared" si="33"/>
        <v>0.35294117647058826</v>
      </c>
      <c r="I557" s="63">
        <v>2</v>
      </c>
      <c r="J557" s="65">
        <v>88.748599999999996</v>
      </c>
      <c r="K557" s="65">
        <v>78.73</v>
      </c>
      <c r="L557" s="62" t="s">
        <v>825</v>
      </c>
      <c r="M557" s="63">
        <v>0</v>
      </c>
      <c r="N557" s="66">
        <f t="shared" si="34"/>
        <v>0.85599999999999998</v>
      </c>
      <c r="O557" s="62" t="str">
        <f t="shared" si="35"/>
        <v>4: Engaged Early</v>
      </c>
    </row>
    <row r="558" spans="1:15" ht="15" customHeight="1" x14ac:dyDescent="0.4">
      <c r="A558" s="62" t="s">
        <v>824</v>
      </c>
      <c r="B558" s="62" t="s">
        <v>1210</v>
      </c>
      <c r="C558" s="62" t="s">
        <v>826</v>
      </c>
      <c r="D558" s="63">
        <v>20</v>
      </c>
      <c r="E558" s="63">
        <v>6</v>
      </c>
      <c r="F558" s="63">
        <v>3</v>
      </c>
      <c r="G558" s="64">
        <f t="shared" si="32"/>
        <v>0.3</v>
      </c>
      <c r="H558" s="64">
        <f t="shared" si="33"/>
        <v>0.15</v>
      </c>
      <c r="I558" s="63">
        <v>2</v>
      </c>
      <c r="J558" s="65">
        <v>82.505799999999994</v>
      </c>
      <c r="K558" s="65">
        <v>100</v>
      </c>
      <c r="L558" s="62" t="s">
        <v>825</v>
      </c>
      <c r="M558" s="63">
        <v>0</v>
      </c>
      <c r="N558" s="66">
        <f t="shared" si="34"/>
        <v>0.97399999999999998</v>
      </c>
      <c r="O558" s="62" t="str">
        <f t="shared" si="35"/>
        <v>4: Engaged Early</v>
      </c>
    </row>
    <row r="559" spans="1:15" ht="15" customHeight="1" x14ac:dyDescent="0.4">
      <c r="A559" s="62" t="s">
        <v>824</v>
      </c>
      <c r="B559" s="62" t="s">
        <v>1211</v>
      </c>
      <c r="C559" s="62" t="s">
        <v>826</v>
      </c>
      <c r="D559" s="63">
        <v>6</v>
      </c>
      <c r="E559" s="63">
        <v>6</v>
      </c>
      <c r="F559" s="63">
        <v>0</v>
      </c>
      <c r="G559" s="64">
        <f t="shared" si="32"/>
        <v>1</v>
      </c>
      <c r="H559" s="64">
        <f t="shared" si="33"/>
        <v>0</v>
      </c>
      <c r="I559" s="63">
        <v>1</v>
      </c>
      <c r="J559" s="65">
        <v>79.891800000000003</v>
      </c>
      <c r="K559" s="65">
        <v>94.1</v>
      </c>
      <c r="L559" s="62" t="s">
        <v>825</v>
      </c>
      <c r="M559" s="63">
        <v>0</v>
      </c>
      <c r="N559" s="66">
        <f t="shared" si="34"/>
        <v>0.93400000000000005</v>
      </c>
      <c r="O559" s="62" t="str">
        <f t="shared" si="35"/>
        <v>4: Engaged Early</v>
      </c>
    </row>
    <row r="560" spans="1:15" ht="15" customHeight="1" x14ac:dyDescent="0.4">
      <c r="A560" s="62" t="s">
        <v>824</v>
      </c>
      <c r="B560" s="62" t="s">
        <v>1212</v>
      </c>
      <c r="C560" s="62" t="s">
        <v>826</v>
      </c>
      <c r="D560" s="63">
        <v>10</v>
      </c>
      <c r="E560" s="63">
        <v>9</v>
      </c>
      <c r="F560" s="63">
        <v>2</v>
      </c>
      <c r="G560" s="64">
        <f t="shared" si="32"/>
        <v>0.9</v>
      </c>
      <c r="H560" s="64">
        <f t="shared" si="33"/>
        <v>0.2</v>
      </c>
      <c r="I560" s="63">
        <v>2</v>
      </c>
      <c r="J560" s="65">
        <v>87.851950000000002</v>
      </c>
      <c r="K560" s="65">
        <v>100</v>
      </c>
      <c r="L560" s="62" t="s">
        <v>825</v>
      </c>
      <c r="M560" s="63">
        <v>0</v>
      </c>
      <c r="N560" s="66">
        <f t="shared" si="34"/>
        <v>0.98199999999999998</v>
      </c>
      <c r="O560" s="62" t="str">
        <f t="shared" si="35"/>
        <v>4: Engaged Early</v>
      </c>
    </row>
    <row r="561" spans="1:15" ht="15" customHeight="1" x14ac:dyDescent="0.4">
      <c r="A561" s="62" t="s">
        <v>824</v>
      </c>
      <c r="B561" s="62" t="s">
        <v>1213</v>
      </c>
      <c r="C561" s="62" t="s">
        <v>826</v>
      </c>
      <c r="D561" s="63">
        <v>0</v>
      </c>
      <c r="E561" s="63">
        <v>0</v>
      </c>
      <c r="F561" s="63">
        <v>0</v>
      </c>
      <c r="G561" s="64">
        <f t="shared" si="32"/>
        <v>0</v>
      </c>
      <c r="H561" s="64">
        <f t="shared" si="33"/>
        <v>0</v>
      </c>
      <c r="I561" s="63">
        <v>1</v>
      </c>
      <c r="J561" s="65">
        <v>100</v>
      </c>
      <c r="K561" s="65">
        <v>100</v>
      </c>
      <c r="L561" s="62" t="s">
        <v>840</v>
      </c>
      <c r="M561" s="63">
        <v>0</v>
      </c>
      <c r="N561" s="66">
        <f t="shared" si="34"/>
        <v>0.82499999999999996</v>
      </c>
      <c r="O561" s="62" t="str">
        <f t="shared" si="35"/>
        <v>4: Engaged Early</v>
      </c>
    </row>
    <row r="562" spans="1:15" ht="15" customHeight="1" x14ac:dyDescent="0.4">
      <c r="A562" s="62" t="s">
        <v>824</v>
      </c>
      <c r="B562" s="62" t="s">
        <v>1214</v>
      </c>
      <c r="C562" s="62" t="s">
        <v>826</v>
      </c>
      <c r="D562" s="63">
        <v>0</v>
      </c>
      <c r="E562" s="63">
        <v>0</v>
      </c>
      <c r="F562" s="63">
        <v>0</v>
      </c>
      <c r="G562" s="64">
        <f t="shared" si="32"/>
        <v>0</v>
      </c>
      <c r="H562" s="64">
        <f t="shared" si="33"/>
        <v>0</v>
      </c>
      <c r="I562" s="63">
        <v>2</v>
      </c>
      <c r="J562" s="65">
        <v>54.307250000000003</v>
      </c>
      <c r="K562" s="65">
        <v>93.57</v>
      </c>
      <c r="L562" s="62" t="s">
        <v>825</v>
      </c>
      <c r="M562" s="63">
        <v>0</v>
      </c>
      <c r="N562" s="66">
        <f t="shared" si="34"/>
        <v>0.89300000000000002</v>
      </c>
      <c r="O562" s="62" t="str">
        <f t="shared" si="35"/>
        <v>4: Engaged Early</v>
      </c>
    </row>
    <row r="563" spans="1:15" ht="15" customHeight="1" x14ac:dyDescent="0.4">
      <c r="A563" s="62" t="s">
        <v>824</v>
      </c>
      <c r="B563" s="62" t="s">
        <v>1215</v>
      </c>
      <c r="C563" s="62" t="s">
        <v>826</v>
      </c>
      <c r="D563" s="63">
        <v>10</v>
      </c>
      <c r="E563" s="63">
        <v>4</v>
      </c>
      <c r="F563" s="63">
        <v>2</v>
      </c>
      <c r="G563" s="64">
        <f t="shared" si="32"/>
        <v>0.4</v>
      </c>
      <c r="H563" s="64">
        <f t="shared" si="33"/>
        <v>0.2</v>
      </c>
      <c r="I563" s="63">
        <v>2</v>
      </c>
      <c r="J563" s="65">
        <v>88.661799999999999</v>
      </c>
      <c r="K563" s="65">
        <v>88.24</v>
      </c>
      <c r="L563" s="62" t="s">
        <v>825</v>
      </c>
      <c r="M563" s="63">
        <v>0</v>
      </c>
      <c r="N563" s="66">
        <f t="shared" si="34"/>
        <v>0.91200000000000003</v>
      </c>
      <c r="O563" s="62" t="str">
        <f t="shared" si="35"/>
        <v>4: Engaged Early</v>
      </c>
    </row>
    <row r="564" spans="1:15" ht="15" customHeight="1" x14ac:dyDescent="0.4">
      <c r="A564" s="62" t="s">
        <v>824</v>
      </c>
      <c r="B564" s="62" t="s">
        <v>1216</v>
      </c>
      <c r="C564" s="62" t="s">
        <v>826</v>
      </c>
      <c r="D564" s="63">
        <v>15</v>
      </c>
      <c r="E564" s="63">
        <v>10</v>
      </c>
      <c r="F564" s="63">
        <v>0</v>
      </c>
      <c r="G564" s="64">
        <f t="shared" si="32"/>
        <v>0.66666666666666663</v>
      </c>
      <c r="H564" s="64">
        <f t="shared" si="33"/>
        <v>0</v>
      </c>
      <c r="I564" s="63">
        <v>1</v>
      </c>
      <c r="J564" s="65">
        <v>81.22</v>
      </c>
      <c r="K564" s="65">
        <v>32.32</v>
      </c>
      <c r="L564" s="62" t="s">
        <v>825</v>
      </c>
      <c r="M564" s="63">
        <v>0</v>
      </c>
      <c r="N564" s="66">
        <f t="shared" si="34"/>
        <v>0.56599999999999995</v>
      </c>
      <c r="O564" s="62" t="str">
        <f t="shared" si="35"/>
        <v>4: Engaged Early</v>
      </c>
    </row>
    <row r="565" spans="1:15" ht="15" customHeight="1" x14ac:dyDescent="0.4">
      <c r="A565" s="62" t="s">
        <v>824</v>
      </c>
      <c r="B565" s="62" t="s">
        <v>1217</v>
      </c>
      <c r="C565" s="62" t="s">
        <v>826</v>
      </c>
      <c r="D565" s="63">
        <v>7</v>
      </c>
      <c r="E565" s="63">
        <v>5</v>
      </c>
      <c r="F565" s="63">
        <v>4</v>
      </c>
      <c r="G565" s="64">
        <f t="shared" si="32"/>
        <v>0.7142857142857143</v>
      </c>
      <c r="H565" s="64">
        <f t="shared" si="33"/>
        <v>0.5714285714285714</v>
      </c>
      <c r="I565" s="63">
        <v>2</v>
      </c>
      <c r="J565" s="65">
        <v>83.070849999999993</v>
      </c>
      <c r="K565" s="65">
        <v>100</v>
      </c>
      <c r="L565" s="62" t="s">
        <v>826</v>
      </c>
      <c r="M565" s="63">
        <v>0</v>
      </c>
      <c r="N565" s="66">
        <f t="shared" si="34"/>
        <v>0.72499999999999998</v>
      </c>
      <c r="O565" s="62" t="str">
        <f t="shared" si="35"/>
        <v>2: High (No DBWT)</v>
      </c>
    </row>
    <row r="566" spans="1:15" ht="15" customHeight="1" x14ac:dyDescent="0.4">
      <c r="A566" s="62" t="s">
        <v>824</v>
      </c>
      <c r="B566" s="62" t="s">
        <v>1218</v>
      </c>
      <c r="C566" s="62" t="s">
        <v>826</v>
      </c>
      <c r="D566" s="63">
        <v>8</v>
      </c>
      <c r="E566" s="63">
        <v>7</v>
      </c>
      <c r="F566" s="63">
        <v>2</v>
      </c>
      <c r="G566" s="64">
        <f t="shared" si="32"/>
        <v>0.875</v>
      </c>
      <c r="H566" s="64">
        <f t="shared" si="33"/>
        <v>0.25</v>
      </c>
      <c r="I566" s="63">
        <v>2</v>
      </c>
      <c r="J566" s="65">
        <v>81.891599999999997</v>
      </c>
      <c r="K566" s="65">
        <v>100</v>
      </c>
      <c r="L566" s="62" t="s">
        <v>826</v>
      </c>
      <c r="M566" s="63">
        <v>1</v>
      </c>
      <c r="N566" s="66">
        <f t="shared" si="34"/>
        <v>0.72299999999999998</v>
      </c>
      <c r="O566" s="62" t="str">
        <f t="shared" si="35"/>
        <v>2: High (No DBWT)</v>
      </c>
    </row>
    <row r="567" spans="1:15" ht="15" customHeight="1" x14ac:dyDescent="0.4">
      <c r="A567" s="62" t="s">
        <v>824</v>
      </c>
      <c r="B567" s="62" t="s">
        <v>1219</v>
      </c>
      <c r="C567" s="62" t="s">
        <v>826</v>
      </c>
      <c r="D567" s="63">
        <v>10</v>
      </c>
      <c r="E567" s="63">
        <v>9</v>
      </c>
      <c r="F567" s="63">
        <v>2</v>
      </c>
      <c r="G567" s="64">
        <f t="shared" si="32"/>
        <v>0.9</v>
      </c>
      <c r="H567" s="64">
        <f t="shared" si="33"/>
        <v>0.2</v>
      </c>
      <c r="I567" s="63">
        <v>2</v>
      </c>
      <c r="J567" s="65">
        <v>87.723849999999999</v>
      </c>
      <c r="K567" s="65">
        <v>44.12</v>
      </c>
      <c r="L567" s="62" t="s">
        <v>826</v>
      </c>
      <c r="M567" s="63">
        <v>0</v>
      </c>
      <c r="N567" s="66">
        <f t="shared" si="34"/>
        <v>0.39600000000000002</v>
      </c>
      <c r="O567" s="62" t="str">
        <f t="shared" si="35"/>
        <v>2: High (No DBWT)</v>
      </c>
    </row>
    <row r="568" spans="1:15" ht="15" customHeight="1" x14ac:dyDescent="0.4">
      <c r="A568" s="62" t="s">
        <v>824</v>
      </c>
      <c r="B568" s="62" t="s">
        <v>1220</v>
      </c>
      <c r="C568" s="62" t="s">
        <v>826</v>
      </c>
      <c r="D568" s="63">
        <v>15</v>
      </c>
      <c r="E568" s="63">
        <v>9</v>
      </c>
      <c r="F568" s="63">
        <v>2</v>
      </c>
      <c r="G568" s="64">
        <f t="shared" si="32"/>
        <v>0.6</v>
      </c>
      <c r="H568" s="64">
        <f t="shared" si="33"/>
        <v>0.13333333333333333</v>
      </c>
      <c r="I568" s="63">
        <v>2</v>
      </c>
      <c r="J568" s="65">
        <v>94.316299999999998</v>
      </c>
      <c r="K568" s="65">
        <v>71.650000000000006</v>
      </c>
      <c r="L568" s="62" t="s">
        <v>825</v>
      </c>
      <c r="M568" s="63">
        <v>1</v>
      </c>
      <c r="N568" s="66">
        <f t="shared" si="34"/>
        <v>0.82099999999999995</v>
      </c>
      <c r="O568" s="62" t="str">
        <f t="shared" si="35"/>
        <v>4: Engaged Early</v>
      </c>
    </row>
    <row r="569" spans="1:15" ht="15" customHeight="1" x14ac:dyDescent="0.4">
      <c r="A569" s="62" t="s">
        <v>824</v>
      </c>
      <c r="B569" s="62" t="s">
        <v>1221</v>
      </c>
      <c r="C569" s="62" t="s">
        <v>826</v>
      </c>
      <c r="D569" s="63">
        <v>17</v>
      </c>
      <c r="E569" s="63">
        <v>11</v>
      </c>
      <c r="F569" s="63">
        <v>2</v>
      </c>
      <c r="G569" s="64">
        <f t="shared" si="32"/>
        <v>0.6470588235294118</v>
      </c>
      <c r="H569" s="64">
        <f t="shared" si="33"/>
        <v>0.11764705882352941</v>
      </c>
      <c r="I569" s="63">
        <v>2</v>
      </c>
      <c r="J569" s="65">
        <v>93.875</v>
      </c>
      <c r="K569" s="65">
        <v>100</v>
      </c>
      <c r="L569" s="62" t="s">
        <v>825</v>
      </c>
      <c r="M569" s="63">
        <v>0</v>
      </c>
      <c r="N569" s="66">
        <f t="shared" si="34"/>
        <v>0.99099999999999999</v>
      </c>
      <c r="O569" s="62" t="str">
        <f t="shared" si="35"/>
        <v>4: Engaged Early</v>
      </c>
    </row>
    <row r="570" spans="1:15" ht="15" customHeight="1" x14ac:dyDescent="0.4">
      <c r="A570" s="62" t="s">
        <v>824</v>
      </c>
      <c r="B570" s="62" t="s">
        <v>433</v>
      </c>
      <c r="C570" s="62" t="s">
        <v>825</v>
      </c>
      <c r="D570" s="63">
        <v>14</v>
      </c>
      <c r="E570" s="63">
        <v>11</v>
      </c>
      <c r="F570" s="63">
        <v>3</v>
      </c>
      <c r="G570" s="64">
        <f t="shared" si="32"/>
        <v>0.7857142857142857</v>
      </c>
      <c r="H570" s="64">
        <f t="shared" si="33"/>
        <v>0.21428571428571427</v>
      </c>
      <c r="I570" s="63">
        <v>2</v>
      </c>
      <c r="J570" s="65">
        <v>98.860900000000001</v>
      </c>
      <c r="K570" s="65">
        <v>50</v>
      </c>
      <c r="L570" s="62" t="s">
        <v>825</v>
      </c>
      <c r="M570" s="63">
        <v>0</v>
      </c>
      <c r="N570" s="66">
        <f t="shared" si="34"/>
        <v>0.69799999999999995</v>
      </c>
      <c r="O570" s="62" t="str">
        <f t="shared" si="35"/>
        <v>4: Engaged Early</v>
      </c>
    </row>
    <row r="571" spans="1:15" ht="15" customHeight="1" x14ac:dyDescent="0.4">
      <c r="A571" s="62" t="s">
        <v>824</v>
      </c>
      <c r="B571" s="62" t="s">
        <v>1222</v>
      </c>
      <c r="C571" s="62" t="s">
        <v>826</v>
      </c>
      <c r="D571" s="63">
        <v>20</v>
      </c>
      <c r="E571" s="63">
        <v>14</v>
      </c>
      <c r="F571" s="63">
        <v>1</v>
      </c>
      <c r="G571" s="64">
        <f t="shared" si="32"/>
        <v>0.7</v>
      </c>
      <c r="H571" s="64">
        <f t="shared" si="33"/>
        <v>0.05</v>
      </c>
      <c r="I571" s="63">
        <v>2</v>
      </c>
      <c r="J571" s="65">
        <v>78.472399999999993</v>
      </c>
      <c r="K571" s="65">
        <v>88.89</v>
      </c>
      <c r="L571" s="62" t="s">
        <v>825</v>
      </c>
      <c r="M571" s="63">
        <v>0</v>
      </c>
      <c r="N571" s="66">
        <f t="shared" si="34"/>
        <v>0.90100000000000002</v>
      </c>
      <c r="O571" s="62" t="str">
        <f t="shared" si="35"/>
        <v>4: Engaged Early</v>
      </c>
    </row>
    <row r="572" spans="1:15" ht="15" customHeight="1" x14ac:dyDescent="0.4">
      <c r="A572" s="62" t="s">
        <v>824</v>
      </c>
      <c r="B572" s="62" t="s">
        <v>627</v>
      </c>
      <c r="C572" s="62" t="s">
        <v>825</v>
      </c>
      <c r="D572" s="63">
        <v>13</v>
      </c>
      <c r="E572" s="63">
        <v>11</v>
      </c>
      <c r="F572" s="63">
        <v>3</v>
      </c>
      <c r="G572" s="64">
        <f t="shared" si="32"/>
        <v>0.84615384615384615</v>
      </c>
      <c r="H572" s="64">
        <f t="shared" si="33"/>
        <v>0.23076923076923078</v>
      </c>
      <c r="I572" s="63">
        <v>2</v>
      </c>
      <c r="J572" s="65">
        <v>92.174999999999997</v>
      </c>
      <c r="K572" s="65">
        <v>66.72</v>
      </c>
      <c r="L572" s="62" t="s">
        <v>825</v>
      </c>
      <c r="M572" s="63">
        <v>0</v>
      </c>
      <c r="N572" s="66">
        <f t="shared" si="34"/>
        <v>0.78900000000000003</v>
      </c>
      <c r="O572" s="62" t="str">
        <f t="shared" si="35"/>
        <v>4: Engaged Early</v>
      </c>
    </row>
    <row r="573" spans="1:15" ht="15" customHeight="1" x14ac:dyDescent="0.4">
      <c r="A573" s="62" t="s">
        <v>824</v>
      </c>
      <c r="B573" s="62" t="s">
        <v>1223</v>
      </c>
      <c r="C573" s="62" t="s">
        <v>826</v>
      </c>
      <c r="D573" s="63">
        <v>9</v>
      </c>
      <c r="E573" s="63">
        <v>6</v>
      </c>
      <c r="F573" s="63">
        <v>1</v>
      </c>
      <c r="G573" s="64">
        <f t="shared" si="32"/>
        <v>0.66666666666666663</v>
      </c>
      <c r="H573" s="64">
        <f t="shared" si="33"/>
        <v>0.1111111111111111</v>
      </c>
      <c r="I573" s="63">
        <v>2</v>
      </c>
      <c r="J573" s="65">
        <v>94.941500000000005</v>
      </c>
      <c r="K573" s="65">
        <v>100</v>
      </c>
      <c r="L573" s="62" t="s">
        <v>825</v>
      </c>
      <c r="M573" s="63">
        <v>0</v>
      </c>
      <c r="N573" s="66">
        <f t="shared" si="34"/>
        <v>0.99199999999999999</v>
      </c>
      <c r="O573" s="62" t="str">
        <f t="shared" si="35"/>
        <v>4: Engaged Early</v>
      </c>
    </row>
    <row r="574" spans="1:15" ht="15" customHeight="1" x14ac:dyDescent="0.4">
      <c r="A574" s="62" t="s">
        <v>824</v>
      </c>
      <c r="B574" s="62" t="s">
        <v>428</v>
      </c>
      <c r="C574" s="62" t="s">
        <v>825</v>
      </c>
      <c r="D574" s="63">
        <v>3</v>
      </c>
      <c r="E574" s="63">
        <v>3</v>
      </c>
      <c r="F574" s="63">
        <v>3</v>
      </c>
      <c r="G574" s="64">
        <f t="shared" si="32"/>
        <v>1</v>
      </c>
      <c r="H574" s="64">
        <f t="shared" si="33"/>
        <v>1</v>
      </c>
      <c r="I574" s="63">
        <v>2</v>
      </c>
      <c r="J574" s="65">
        <v>49.613370000000003</v>
      </c>
      <c r="K574" s="65">
        <v>50.51</v>
      </c>
      <c r="L574" s="62" t="s">
        <v>826</v>
      </c>
      <c r="M574" s="63">
        <v>0</v>
      </c>
      <c r="N574" s="66">
        <f t="shared" si="34"/>
        <v>0.377</v>
      </c>
      <c r="O574" s="62" t="str">
        <f t="shared" si="35"/>
        <v>2: High (No DBWT)</v>
      </c>
    </row>
    <row r="575" spans="1:15" ht="15" customHeight="1" x14ac:dyDescent="0.4">
      <c r="A575" s="62" t="s">
        <v>824</v>
      </c>
      <c r="B575" s="62" t="s">
        <v>1224</v>
      </c>
      <c r="C575" s="62" t="s">
        <v>826</v>
      </c>
      <c r="D575" s="63">
        <v>21</v>
      </c>
      <c r="E575" s="63">
        <v>16</v>
      </c>
      <c r="F575" s="63">
        <v>2</v>
      </c>
      <c r="G575" s="64">
        <f t="shared" si="32"/>
        <v>0.76190476190476186</v>
      </c>
      <c r="H575" s="64">
        <f t="shared" si="33"/>
        <v>9.5238095238095233E-2</v>
      </c>
      <c r="I575" s="63">
        <v>2</v>
      </c>
      <c r="J575" s="65">
        <v>94.415000000000006</v>
      </c>
      <c r="K575" s="65">
        <v>100</v>
      </c>
      <c r="L575" s="62" t="s">
        <v>825</v>
      </c>
      <c r="M575" s="63">
        <v>1</v>
      </c>
      <c r="N575" s="66">
        <f t="shared" si="34"/>
        <v>0.99199999999999999</v>
      </c>
      <c r="O575" s="62" t="str">
        <f t="shared" si="35"/>
        <v>4: Engaged Early</v>
      </c>
    </row>
    <row r="576" spans="1:15" ht="15" customHeight="1" x14ac:dyDescent="0.4">
      <c r="A576" s="62" t="s">
        <v>824</v>
      </c>
      <c r="B576" s="62" t="s">
        <v>1225</v>
      </c>
      <c r="C576" s="62" t="s">
        <v>826</v>
      </c>
      <c r="D576" s="63">
        <v>9</v>
      </c>
      <c r="E576" s="63">
        <v>6</v>
      </c>
      <c r="F576" s="63">
        <v>0</v>
      </c>
      <c r="G576" s="64">
        <f t="shared" si="32"/>
        <v>0.66666666666666663</v>
      </c>
      <c r="H576" s="64">
        <f t="shared" si="33"/>
        <v>0</v>
      </c>
      <c r="I576" s="63">
        <v>2</v>
      </c>
      <c r="J576" s="65">
        <v>99.562049999999999</v>
      </c>
      <c r="K576" s="65">
        <v>61.65</v>
      </c>
      <c r="L576" s="62" t="s">
        <v>825</v>
      </c>
      <c r="M576" s="63">
        <v>0</v>
      </c>
      <c r="N576" s="66">
        <f t="shared" si="34"/>
        <v>0.76900000000000002</v>
      </c>
      <c r="O576" s="62" t="str">
        <f t="shared" si="35"/>
        <v>4: Engaged Early</v>
      </c>
    </row>
    <row r="577" spans="1:15" ht="15" customHeight="1" x14ac:dyDescent="0.4">
      <c r="A577" s="62" t="s">
        <v>824</v>
      </c>
      <c r="B577" s="62" t="s">
        <v>1226</v>
      </c>
      <c r="C577" s="62" t="s">
        <v>826</v>
      </c>
      <c r="D577" s="63">
        <v>10</v>
      </c>
      <c r="E577" s="63">
        <v>10</v>
      </c>
      <c r="F577" s="63">
        <v>5</v>
      </c>
      <c r="G577" s="64">
        <f t="shared" si="32"/>
        <v>1</v>
      </c>
      <c r="H577" s="64">
        <f t="shared" si="33"/>
        <v>0.5</v>
      </c>
      <c r="I577" s="63">
        <v>2</v>
      </c>
      <c r="J577" s="65">
        <v>90.3</v>
      </c>
      <c r="K577" s="65">
        <v>100</v>
      </c>
      <c r="L577" s="62" t="s">
        <v>826</v>
      </c>
      <c r="M577" s="63">
        <v>0</v>
      </c>
      <c r="N577" s="66">
        <f t="shared" si="34"/>
        <v>0.73499999999999999</v>
      </c>
      <c r="O577" s="62" t="str">
        <f t="shared" si="35"/>
        <v>2: High (No DBWT)</v>
      </c>
    </row>
    <row r="578" spans="1:15" ht="15" customHeight="1" x14ac:dyDescent="0.4">
      <c r="A578" s="62" t="s">
        <v>824</v>
      </c>
      <c r="B578" s="62" t="s">
        <v>770</v>
      </c>
      <c r="C578" s="62" t="s">
        <v>825</v>
      </c>
      <c r="D578" s="63">
        <v>4</v>
      </c>
      <c r="E578" s="63">
        <v>3</v>
      </c>
      <c r="F578" s="63">
        <v>1</v>
      </c>
      <c r="G578" s="64">
        <f t="shared" ref="G578:G641" si="36">IFERROR(E578/D578,0)</f>
        <v>0.75</v>
      </c>
      <c r="H578" s="64">
        <f t="shared" ref="H578:H641" si="37">IFERROR(F578/D578,0)</f>
        <v>0.25</v>
      </c>
      <c r="I578" s="63">
        <v>2</v>
      </c>
      <c r="J578" s="65">
        <v>85.216300000000004</v>
      </c>
      <c r="K578" s="65">
        <v>65.319999999999993</v>
      </c>
      <c r="L578" s="62" t="s">
        <v>826</v>
      </c>
      <c r="M578" s="63">
        <v>0</v>
      </c>
      <c r="N578" s="66">
        <f t="shared" ref="N578:N641" si="38">ROUND(IFERROR(K578/100,0)*0.6 + IF(L578="Yes",1,IF(L578="No",0,0.3))*0.25 + IFERROR(J578/100,0)*0.15,3)</f>
        <v>0.52</v>
      </c>
      <c r="O578" s="62" t="str">
        <f t="shared" ref="O578:O641" si="39">IF(AND(L578="No",I578=0),"1: Critical (No DBWT + No Wk0)",IF(L578="No","2: High (No DBWT)",IF(I578=0,"3: Elevated (No Wk0)","4: Engaged Early")))</f>
        <v>2: High (No DBWT)</v>
      </c>
    </row>
    <row r="579" spans="1:15" ht="15" customHeight="1" x14ac:dyDescent="0.4">
      <c r="A579" s="62" t="s">
        <v>824</v>
      </c>
      <c r="B579" s="62" t="s">
        <v>1227</v>
      </c>
      <c r="C579" s="62" t="s">
        <v>826</v>
      </c>
      <c r="D579" s="63">
        <v>22</v>
      </c>
      <c r="E579" s="63">
        <v>22</v>
      </c>
      <c r="F579" s="63">
        <v>6</v>
      </c>
      <c r="G579" s="64">
        <f t="shared" si="36"/>
        <v>1</v>
      </c>
      <c r="H579" s="64">
        <f t="shared" si="37"/>
        <v>0.27272727272727271</v>
      </c>
      <c r="I579" s="63">
        <v>2</v>
      </c>
      <c r="J579" s="65">
        <v>72.480149999999995</v>
      </c>
      <c r="K579" s="65">
        <v>99.11</v>
      </c>
      <c r="L579" s="62" t="s">
        <v>825</v>
      </c>
      <c r="M579" s="63">
        <v>0</v>
      </c>
      <c r="N579" s="66">
        <f t="shared" si="38"/>
        <v>0.95299999999999996</v>
      </c>
      <c r="O579" s="62" t="str">
        <f t="shared" si="39"/>
        <v>4: Engaged Early</v>
      </c>
    </row>
    <row r="580" spans="1:15" ht="15" customHeight="1" x14ac:dyDescent="0.4">
      <c r="A580" s="62" t="s">
        <v>824</v>
      </c>
      <c r="B580" s="62" t="s">
        <v>1228</v>
      </c>
      <c r="C580" s="62" t="s">
        <v>826</v>
      </c>
      <c r="D580" s="63">
        <v>12</v>
      </c>
      <c r="E580" s="63">
        <v>11</v>
      </c>
      <c r="F580" s="63">
        <v>3</v>
      </c>
      <c r="G580" s="64">
        <f t="shared" si="36"/>
        <v>0.91666666666666663</v>
      </c>
      <c r="H580" s="64">
        <f t="shared" si="37"/>
        <v>0.25</v>
      </c>
      <c r="I580" s="63">
        <v>1</v>
      </c>
      <c r="J580" s="65">
        <v>93.55</v>
      </c>
      <c r="K580" s="65">
        <v>84.85</v>
      </c>
      <c r="L580" s="62" t="s">
        <v>825</v>
      </c>
      <c r="M580" s="63">
        <v>1</v>
      </c>
      <c r="N580" s="66">
        <f t="shared" si="38"/>
        <v>0.89900000000000002</v>
      </c>
      <c r="O580" s="62" t="str">
        <f t="shared" si="39"/>
        <v>4: Engaged Early</v>
      </c>
    </row>
    <row r="581" spans="1:15" ht="15" customHeight="1" x14ac:dyDescent="0.4">
      <c r="A581" s="62" t="s">
        <v>824</v>
      </c>
      <c r="B581" s="62" t="s">
        <v>1229</v>
      </c>
      <c r="C581" s="62" t="s">
        <v>826</v>
      </c>
      <c r="D581" s="63">
        <v>10</v>
      </c>
      <c r="E581" s="63">
        <v>4</v>
      </c>
      <c r="F581" s="63">
        <v>1</v>
      </c>
      <c r="G581" s="64">
        <f t="shared" si="36"/>
        <v>0.4</v>
      </c>
      <c r="H581" s="64">
        <f t="shared" si="37"/>
        <v>0.1</v>
      </c>
      <c r="I581" s="63">
        <v>1</v>
      </c>
      <c r="J581" s="65">
        <v>51.3</v>
      </c>
      <c r="K581" s="65">
        <v>55.15</v>
      </c>
      <c r="L581" s="62" t="s">
        <v>825</v>
      </c>
      <c r="M581" s="63">
        <v>0</v>
      </c>
      <c r="N581" s="66">
        <f t="shared" si="38"/>
        <v>0.65800000000000003</v>
      </c>
      <c r="O581" s="62" t="str">
        <f t="shared" si="39"/>
        <v>4: Engaged Early</v>
      </c>
    </row>
    <row r="582" spans="1:15" ht="15" customHeight="1" x14ac:dyDescent="0.4">
      <c r="A582" s="62" t="s">
        <v>824</v>
      </c>
      <c r="B582" s="62" t="s">
        <v>1230</v>
      </c>
      <c r="C582" s="62" t="s">
        <v>826</v>
      </c>
      <c r="D582" s="63">
        <v>12</v>
      </c>
      <c r="E582" s="63">
        <v>6</v>
      </c>
      <c r="F582" s="63">
        <v>2</v>
      </c>
      <c r="G582" s="64">
        <f t="shared" si="36"/>
        <v>0.5</v>
      </c>
      <c r="H582" s="64">
        <f t="shared" si="37"/>
        <v>0.16666666666666666</v>
      </c>
      <c r="I582" s="63">
        <v>2</v>
      </c>
      <c r="J582" s="65">
        <v>100</v>
      </c>
      <c r="K582" s="65">
        <v>100</v>
      </c>
      <c r="L582" s="62" t="s">
        <v>825</v>
      </c>
      <c r="M582" s="63">
        <v>0</v>
      </c>
      <c r="N582" s="66">
        <f t="shared" si="38"/>
        <v>1</v>
      </c>
      <c r="O582" s="62" t="str">
        <f t="shared" si="39"/>
        <v>4: Engaged Early</v>
      </c>
    </row>
    <row r="583" spans="1:15" ht="15" customHeight="1" x14ac:dyDescent="0.4">
      <c r="A583" s="62" t="s">
        <v>824</v>
      </c>
      <c r="B583" s="62" t="s">
        <v>1231</v>
      </c>
      <c r="C583" s="62" t="s">
        <v>826</v>
      </c>
      <c r="D583" s="63">
        <v>23</v>
      </c>
      <c r="E583" s="63">
        <v>14</v>
      </c>
      <c r="F583" s="63">
        <v>2</v>
      </c>
      <c r="G583" s="64">
        <f t="shared" si="36"/>
        <v>0.60869565217391308</v>
      </c>
      <c r="H583" s="64">
        <f t="shared" si="37"/>
        <v>8.6956521739130432E-2</v>
      </c>
      <c r="I583" s="63">
        <v>2</v>
      </c>
      <c r="J583" s="65">
        <v>89.286249999999995</v>
      </c>
      <c r="K583" s="65">
        <v>100</v>
      </c>
      <c r="L583" s="62" t="s">
        <v>825</v>
      </c>
      <c r="M583" s="63">
        <v>1</v>
      </c>
      <c r="N583" s="66">
        <f t="shared" si="38"/>
        <v>0.98399999999999999</v>
      </c>
      <c r="O583" s="62" t="str">
        <f t="shared" si="39"/>
        <v>4: Engaged Early</v>
      </c>
    </row>
    <row r="584" spans="1:15" ht="15" customHeight="1" x14ac:dyDescent="0.4">
      <c r="A584" s="62" t="s">
        <v>824</v>
      </c>
      <c r="B584" s="62" t="s">
        <v>1232</v>
      </c>
      <c r="C584" s="62" t="s">
        <v>826</v>
      </c>
      <c r="D584" s="63">
        <v>17</v>
      </c>
      <c r="E584" s="63">
        <v>14</v>
      </c>
      <c r="F584" s="63">
        <v>2</v>
      </c>
      <c r="G584" s="64">
        <f t="shared" si="36"/>
        <v>0.82352941176470584</v>
      </c>
      <c r="H584" s="64">
        <f t="shared" si="37"/>
        <v>0.11764705882352941</v>
      </c>
      <c r="I584" s="63">
        <v>2</v>
      </c>
      <c r="J584" s="65">
        <v>71.580849999999998</v>
      </c>
      <c r="K584" s="65">
        <v>97.5</v>
      </c>
      <c r="L584" s="62" t="s">
        <v>825</v>
      </c>
      <c r="M584" s="63">
        <v>1</v>
      </c>
      <c r="N584" s="66">
        <f t="shared" si="38"/>
        <v>0.94199999999999995</v>
      </c>
      <c r="O584" s="62" t="str">
        <f t="shared" si="39"/>
        <v>4: Engaged Early</v>
      </c>
    </row>
    <row r="585" spans="1:15" ht="15" customHeight="1" x14ac:dyDescent="0.4">
      <c r="A585" s="62" t="s">
        <v>824</v>
      </c>
      <c r="B585" s="62" t="s">
        <v>1233</v>
      </c>
      <c r="C585" s="62" t="s">
        <v>826</v>
      </c>
      <c r="D585" s="63">
        <v>13</v>
      </c>
      <c r="E585" s="63">
        <v>4</v>
      </c>
      <c r="F585" s="63">
        <v>3</v>
      </c>
      <c r="G585" s="64">
        <f t="shared" si="36"/>
        <v>0.30769230769230771</v>
      </c>
      <c r="H585" s="64">
        <f t="shared" si="37"/>
        <v>0.23076923076923078</v>
      </c>
      <c r="I585" s="63">
        <v>2</v>
      </c>
      <c r="J585" s="65">
        <v>85.692850000000007</v>
      </c>
      <c r="K585" s="65">
        <v>66.67</v>
      </c>
      <c r="L585" s="62" t="s">
        <v>825</v>
      </c>
      <c r="M585" s="63">
        <v>0</v>
      </c>
      <c r="N585" s="66">
        <f t="shared" si="38"/>
        <v>0.77900000000000003</v>
      </c>
      <c r="O585" s="62" t="str">
        <f t="shared" si="39"/>
        <v>4: Engaged Early</v>
      </c>
    </row>
    <row r="586" spans="1:15" ht="15" customHeight="1" x14ac:dyDescent="0.4">
      <c r="A586" s="62" t="s">
        <v>824</v>
      </c>
      <c r="B586" s="62" t="s">
        <v>1234</v>
      </c>
      <c r="C586" s="62" t="s">
        <v>826</v>
      </c>
      <c r="D586" s="63">
        <v>4</v>
      </c>
      <c r="E586" s="63">
        <v>1</v>
      </c>
      <c r="F586" s="63">
        <v>1</v>
      </c>
      <c r="G586" s="64">
        <f t="shared" si="36"/>
        <v>0.25</v>
      </c>
      <c r="H586" s="64">
        <f t="shared" si="37"/>
        <v>0.25</v>
      </c>
      <c r="I586" s="63">
        <v>2</v>
      </c>
      <c r="J586" s="65">
        <v>43.973435000000002</v>
      </c>
      <c r="K586" s="65">
        <v>89.15</v>
      </c>
      <c r="L586" s="62" t="s">
        <v>825</v>
      </c>
      <c r="M586" s="63">
        <v>0</v>
      </c>
      <c r="N586" s="66">
        <f t="shared" si="38"/>
        <v>0.85099999999999998</v>
      </c>
      <c r="O586" s="62" t="str">
        <f t="shared" si="39"/>
        <v>4: Engaged Early</v>
      </c>
    </row>
    <row r="587" spans="1:15" ht="15" customHeight="1" x14ac:dyDescent="0.4">
      <c r="A587" s="62" t="s">
        <v>824</v>
      </c>
      <c r="B587" s="62" t="s">
        <v>718</v>
      </c>
      <c r="C587" s="62" t="s">
        <v>825</v>
      </c>
      <c r="D587" s="63">
        <v>3</v>
      </c>
      <c r="E587" s="63">
        <v>2</v>
      </c>
      <c r="F587" s="63">
        <v>2</v>
      </c>
      <c r="G587" s="64">
        <f t="shared" si="36"/>
        <v>0.66666666666666663</v>
      </c>
      <c r="H587" s="64">
        <f t="shared" si="37"/>
        <v>0.66666666666666663</v>
      </c>
      <c r="I587" s="63">
        <v>2</v>
      </c>
      <c r="J587" s="65">
        <v>79.815049999999999</v>
      </c>
      <c r="K587" s="65">
        <v>37.35</v>
      </c>
      <c r="L587" s="62" t="s">
        <v>825</v>
      </c>
      <c r="M587" s="63">
        <v>0</v>
      </c>
      <c r="N587" s="66">
        <f t="shared" si="38"/>
        <v>0.59399999999999997</v>
      </c>
      <c r="O587" s="62" t="str">
        <f t="shared" si="39"/>
        <v>4: Engaged Early</v>
      </c>
    </row>
    <row r="588" spans="1:15" ht="15" customHeight="1" x14ac:dyDescent="0.4">
      <c r="A588" s="62" t="s">
        <v>824</v>
      </c>
      <c r="B588" s="62" t="s">
        <v>1235</v>
      </c>
      <c r="C588" s="62" t="s">
        <v>826</v>
      </c>
      <c r="D588" s="63">
        <v>21</v>
      </c>
      <c r="E588" s="63">
        <v>19</v>
      </c>
      <c r="F588" s="63">
        <v>0</v>
      </c>
      <c r="G588" s="64">
        <f t="shared" si="36"/>
        <v>0.90476190476190477</v>
      </c>
      <c r="H588" s="64">
        <f t="shared" si="37"/>
        <v>0</v>
      </c>
      <c r="I588" s="63">
        <v>2</v>
      </c>
      <c r="J588" s="65">
        <v>63.6205</v>
      </c>
      <c r="K588" s="65">
        <v>95.06</v>
      </c>
      <c r="L588" s="62" t="s">
        <v>825</v>
      </c>
      <c r="M588" s="63">
        <v>0</v>
      </c>
      <c r="N588" s="66">
        <f t="shared" si="38"/>
        <v>0.91600000000000004</v>
      </c>
      <c r="O588" s="62" t="str">
        <f t="shared" si="39"/>
        <v>4: Engaged Early</v>
      </c>
    </row>
    <row r="589" spans="1:15" ht="15" customHeight="1" x14ac:dyDescent="0.4">
      <c r="A589" s="62" t="s">
        <v>824</v>
      </c>
      <c r="B589" s="62" t="s">
        <v>447</v>
      </c>
      <c r="C589" s="62" t="s">
        <v>825</v>
      </c>
      <c r="D589" s="63">
        <v>13</v>
      </c>
      <c r="E589" s="63">
        <v>13</v>
      </c>
      <c r="F589" s="63">
        <v>3</v>
      </c>
      <c r="G589" s="64">
        <f t="shared" si="36"/>
        <v>1</v>
      </c>
      <c r="H589" s="64">
        <f t="shared" si="37"/>
        <v>0.23076923076923078</v>
      </c>
      <c r="I589" s="63">
        <v>1</v>
      </c>
      <c r="J589" s="65">
        <v>90.64</v>
      </c>
      <c r="K589" s="65">
        <v>20</v>
      </c>
      <c r="L589" s="62" t="s">
        <v>826</v>
      </c>
      <c r="M589" s="63">
        <v>0</v>
      </c>
      <c r="N589" s="66">
        <f t="shared" si="38"/>
        <v>0.25600000000000001</v>
      </c>
      <c r="O589" s="62" t="str">
        <f t="shared" si="39"/>
        <v>2: High (No DBWT)</v>
      </c>
    </row>
    <row r="590" spans="1:15" ht="15" customHeight="1" x14ac:dyDescent="0.4">
      <c r="A590" s="62" t="s">
        <v>824</v>
      </c>
      <c r="B590" s="62" t="s">
        <v>1236</v>
      </c>
      <c r="C590" s="62" t="s">
        <v>826</v>
      </c>
      <c r="D590" s="63">
        <v>13</v>
      </c>
      <c r="E590" s="63">
        <v>12</v>
      </c>
      <c r="F590" s="63">
        <v>3</v>
      </c>
      <c r="G590" s="64">
        <f t="shared" si="36"/>
        <v>0.92307692307692313</v>
      </c>
      <c r="H590" s="64">
        <f t="shared" si="37"/>
        <v>0.23076923076923078</v>
      </c>
      <c r="I590" s="63">
        <v>2</v>
      </c>
      <c r="J590" s="65">
        <v>91.134200000000007</v>
      </c>
      <c r="K590" s="65">
        <v>100</v>
      </c>
      <c r="L590" s="62" t="s">
        <v>825</v>
      </c>
      <c r="M590" s="63">
        <v>0</v>
      </c>
      <c r="N590" s="66">
        <f t="shared" si="38"/>
        <v>0.98699999999999999</v>
      </c>
      <c r="O590" s="62" t="str">
        <f t="shared" si="39"/>
        <v>4: Engaged Early</v>
      </c>
    </row>
    <row r="591" spans="1:15" ht="15" customHeight="1" x14ac:dyDescent="0.4">
      <c r="A591" s="62" t="s">
        <v>824</v>
      </c>
      <c r="B591" s="62" t="s">
        <v>1237</v>
      </c>
      <c r="C591" s="62" t="s">
        <v>826</v>
      </c>
      <c r="D591" s="63">
        <v>20</v>
      </c>
      <c r="E591" s="63">
        <v>20</v>
      </c>
      <c r="F591" s="63">
        <v>2</v>
      </c>
      <c r="G591" s="64">
        <f t="shared" si="36"/>
        <v>1</v>
      </c>
      <c r="H591" s="64">
        <f t="shared" si="37"/>
        <v>0.1</v>
      </c>
      <c r="I591" s="63">
        <v>2</v>
      </c>
      <c r="J591" s="65">
        <v>90.056049999999999</v>
      </c>
      <c r="K591" s="65">
        <v>99.9</v>
      </c>
      <c r="L591" s="62" t="s">
        <v>825</v>
      </c>
      <c r="M591" s="63">
        <v>1</v>
      </c>
      <c r="N591" s="66">
        <f t="shared" si="38"/>
        <v>0.98399999999999999</v>
      </c>
      <c r="O591" s="62" t="str">
        <f t="shared" si="39"/>
        <v>4: Engaged Early</v>
      </c>
    </row>
    <row r="592" spans="1:15" ht="15" customHeight="1" x14ac:dyDescent="0.4">
      <c r="A592" s="62" t="s">
        <v>824</v>
      </c>
      <c r="B592" s="62" t="s">
        <v>1238</v>
      </c>
      <c r="C592" s="62" t="s">
        <v>826</v>
      </c>
      <c r="D592" s="63">
        <v>8</v>
      </c>
      <c r="E592" s="63">
        <v>2</v>
      </c>
      <c r="F592" s="63">
        <v>0</v>
      </c>
      <c r="G592" s="64">
        <f t="shared" si="36"/>
        <v>0.25</v>
      </c>
      <c r="H592" s="64">
        <f t="shared" si="37"/>
        <v>0</v>
      </c>
      <c r="I592" s="63">
        <v>2</v>
      </c>
      <c r="J592" s="65">
        <v>77.940449999999998</v>
      </c>
      <c r="K592" s="65">
        <v>99.12</v>
      </c>
      <c r="L592" s="62" t="s">
        <v>825</v>
      </c>
      <c r="M592" s="63">
        <v>0</v>
      </c>
      <c r="N592" s="66">
        <f t="shared" si="38"/>
        <v>0.96199999999999997</v>
      </c>
      <c r="O592" s="62" t="str">
        <f t="shared" si="39"/>
        <v>4: Engaged Early</v>
      </c>
    </row>
    <row r="593" spans="1:15" ht="15" customHeight="1" x14ac:dyDescent="0.4">
      <c r="A593" s="62" t="s">
        <v>824</v>
      </c>
      <c r="B593" s="62" t="s">
        <v>1239</v>
      </c>
      <c r="C593" s="62" t="s">
        <v>826</v>
      </c>
      <c r="D593" s="63">
        <v>13</v>
      </c>
      <c r="E593" s="63">
        <v>10</v>
      </c>
      <c r="F593" s="63">
        <v>0</v>
      </c>
      <c r="G593" s="64">
        <f t="shared" si="36"/>
        <v>0.76923076923076927</v>
      </c>
      <c r="H593" s="64">
        <f t="shared" si="37"/>
        <v>0</v>
      </c>
      <c r="I593" s="63">
        <v>2</v>
      </c>
      <c r="J593" s="65">
        <v>93.707300000000004</v>
      </c>
      <c r="K593" s="65">
        <v>93.57</v>
      </c>
      <c r="L593" s="62" t="s">
        <v>825</v>
      </c>
      <c r="M593" s="63">
        <v>0</v>
      </c>
      <c r="N593" s="66">
        <f t="shared" si="38"/>
        <v>0.95199999999999996</v>
      </c>
      <c r="O593" s="62" t="str">
        <f t="shared" si="39"/>
        <v>4: Engaged Early</v>
      </c>
    </row>
    <row r="594" spans="1:15" ht="15" customHeight="1" x14ac:dyDescent="0.4">
      <c r="A594" s="62" t="s">
        <v>824</v>
      </c>
      <c r="B594" s="62" t="s">
        <v>1240</v>
      </c>
      <c r="C594" s="62" t="s">
        <v>826</v>
      </c>
      <c r="D594" s="63">
        <v>14</v>
      </c>
      <c r="E594" s="63">
        <v>13</v>
      </c>
      <c r="F594" s="63">
        <v>1</v>
      </c>
      <c r="G594" s="64">
        <f t="shared" si="36"/>
        <v>0.9285714285714286</v>
      </c>
      <c r="H594" s="64">
        <f t="shared" si="37"/>
        <v>7.1428571428571425E-2</v>
      </c>
      <c r="I594" s="63">
        <v>2</v>
      </c>
      <c r="J594" s="65">
        <v>90.297899999999998</v>
      </c>
      <c r="K594" s="65">
        <v>100</v>
      </c>
      <c r="L594" s="62" t="s">
        <v>826</v>
      </c>
      <c r="M594" s="63">
        <v>0</v>
      </c>
      <c r="N594" s="66">
        <f t="shared" si="38"/>
        <v>0.73499999999999999</v>
      </c>
      <c r="O594" s="62" t="str">
        <f t="shared" si="39"/>
        <v>2: High (No DBWT)</v>
      </c>
    </row>
    <row r="595" spans="1:15" ht="15" customHeight="1" x14ac:dyDescent="0.4">
      <c r="A595" s="62" t="s">
        <v>824</v>
      </c>
      <c r="B595" s="62" t="s">
        <v>1241</v>
      </c>
      <c r="C595" s="62" t="s">
        <v>826</v>
      </c>
      <c r="D595" s="63">
        <v>3</v>
      </c>
      <c r="E595" s="63">
        <v>2</v>
      </c>
      <c r="F595" s="63">
        <v>0</v>
      </c>
      <c r="G595" s="64">
        <f t="shared" si="36"/>
        <v>0.66666666666666663</v>
      </c>
      <c r="H595" s="64">
        <f t="shared" si="37"/>
        <v>0</v>
      </c>
      <c r="I595" s="63">
        <v>2</v>
      </c>
      <c r="J595" s="65">
        <v>84.036850000000001</v>
      </c>
      <c r="K595" s="65">
        <v>100</v>
      </c>
      <c r="L595" s="62" t="s">
        <v>825</v>
      </c>
      <c r="M595" s="63">
        <v>0</v>
      </c>
      <c r="N595" s="66">
        <f t="shared" si="38"/>
        <v>0.97599999999999998</v>
      </c>
      <c r="O595" s="62" t="str">
        <f t="shared" si="39"/>
        <v>4: Engaged Early</v>
      </c>
    </row>
    <row r="596" spans="1:15" ht="15" customHeight="1" x14ac:dyDescent="0.4">
      <c r="A596" s="62" t="s">
        <v>824</v>
      </c>
      <c r="B596" s="62" t="s">
        <v>1242</v>
      </c>
      <c r="C596" s="62" t="s">
        <v>826</v>
      </c>
      <c r="D596" s="63">
        <v>0</v>
      </c>
      <c r="E596" s="63">
        <v>0</v>
      </c>
      <c r="F596" s="63">
        <v>0</v>
      </c>
      <c r="G596" s="64">
        <f t="shared" si="36"/>
        <v>0</v>
      </c>
      <c r="H596" s="64">
        <f t="shared" si="37"/>
        <v>0</v>
      </c>
      <c r="I596" s="63">
        <v>2</v>
      </c>
      <c r="J596" s="65">
        <v>88.78895</v>
      </c>
      <c r="K596" s="65">
        <v>100</v>
      </c>
      <c r="L596" s="62" t="s">
        <v>825</v>
      </c>
      <c r="M596" s="63">
        <v>0</v>
      </c>
      <c r="N596" s="66">
        <f t="shared" si="38"/>
        <v>0.98299999999999998</v>
      </c>
      <c r="O596" s="62" t="str">
        <f t="shared" si="39"/>
        <v>4: Engaged Early</v>
      </c>
    </row>
    <row r="597" spans="1:15" ht="15" customHeight="1" x14ac:dyDescent="0.4">
      <c r="A597" s="62" t="s">
        <v>824</v>
      </c>
      <c r="B597" s="62" t="s">
        <v>1243</v>
      </c>
      <c r="C597" s="62" t="s">
        <v>826</v>
      </c>
      <c r="D597" s="63">
        <v>0</v>
      </c>
      <c r="E597" s="63">
        <v>0</v>
      </c>
      <c r="F597" s="63">
        <v>0</v>
      </c>
      <c r="G597" s="64">
        <f t="shared" si="36"/>
        <v>0</v>
      </c>
      <c r="H597" s="64">
        <f t="shared" si="37"/>
        <v>0</v>
      </c>
      <c r="I597" s="63">
        <v>2</v>
      </c>
      <c r="J597" s="65">
        <v>84.710549999999998</v>
      </c>
      <c r="K597" s="65">
        <v>98.6</v>
      </c>
      <c r="L597" s="62" t="s">
        <v>825</v>
      </c>
      <c r="M597" s="63">
        <v>0</v>
      </c>
      <c r="N597" s="66">
        <f t="shared" si="38"/>
        <v>0.96899999999999997</v>
      </c>
      <c r="O597" s="62" t="str">
        <f t="shared" si="39"/>
        <v>4: Engaged Early</v>
      </c>
    </row>
    <row r="598" spans="1:15" ht="15" customHeight="1" x14ac:dyDescent="0.4">
      <c r="A598" s="62" t="s">
        <v>824</v>
      </c>
      <c r="B598" s="62" t="s">
        <v>1244</v>
      </c>
      <c r="C598" s="62" t="s">
        <v>826</v>
      </c>
      <c r="D598" s="63">
        <v>8</v>
      </c>
      <c r="E598" s="63">
        <v>7</v>
      </c>
      <c r="F598" s="63">
        <v>2</v>
      </c>
      <c r="G598" s="64">
        <f t="shared" si="36"/>
        <v>0.875</v>
      </c>
      <c r="H598" s="64">
        <f t="shared" si="37"/>
        <v>0.25</v>
      </c>
      <c r="I598" s="63">
        <v>2</v>
      </c>
      <c r="J598" s="65">
        <v>76.928799999999995</v>
      </c>
      <c r="K598" s="65">
        <v>95.96</v>
      </c>
      <c r="L598" s="62" t="s">
        <v>825</v>
      </c>
      <c r="M598" s="63">
        <v>0</v>
      </c>
      <c r="N598" s="66">
        <f t="shared" si="38"/>
        <v>0.94099999999999995</v>
      </c>
      <c r="O598" s="62" t="str">
        <f t="shared" si="39"/>
        <v>4: Engaged Early</v>
      </c>
    </row>
    <row r="599" spans="1:15" ht="15" customHeight="1" x14ac:dyDescent="0.4">
      <c r="A599" s="62" t="s">
        <v>824</v>
      </c>
      <c r="B599" s="62" t="s">
        <v>1245</v>
      </c>
      <c r="C599" s="62" t="s">
        <v>826</v>
      </c>
      <c r="D599" s="63">
        <v>8</v>
      </c>
      <c r="E599" s="63">
        <v>8</v>
      </c>
      <c r="F599" s="63">
        <v>3</v>
      </c>
      <c r="G599" s="64">
        <f t="shared" si="36"/>
        <v>1</v>
      </c>
      <c r="H599" s="64">
        <f t="shared" si="37"/>
        <v>0.375</v>
      </c>
      <c r="I599" s="63">
        <v>2</v>
      </c>
      <c r="J599" s="65">
        <v>97.165049999999994</v>
      </c>
      <c r="K599" s="65">
        <v>88.89</v>
      </c>
      <c r="L599" s="62" t="s">
        <v>825</v>
      </c>
      <c r="M599" s="63">
        <v>0</v>
      </c>
      <c r="N599" s="66">
        <f t="shared" si="38"/>
        <v>0.92900000000000005</v>
      </c>
      <c r="O599" s="62" t="str">
        <f t="shared" si="39"/>
        <v>4: Engaged Early</v>
      </c>
    </row>
    <row r="600" spans="1:15" ht="15" customHeight="1" x14ac:dyDescent="0.4">
      <c r="A600" s="62" t="s">
        <v>824</v>
      </c>
      <c r="B600" s="62" t="s">
        <v>1246</v>
      </c>
      <c r="C600" s="62" t="s">
        <v>826</v>
      </c>
      <c r="D600" s="63">
        <v>0</v>
      </c>
      <c r="E600" s="63">
        <v>0</v>
      </c>
      <c r="F600" s="63">
        <v>0</v>
      </c>
      <c r="G600" s="64">
        <f t="shared" si="36"/>
        <v>0</v>
      </c>
      <c r="H600" s="64">
        <f t="shared" si="37"/>
        <v>0</v>
      </c>
      <c r="I600" s="63">
        <v>1</v>
      </c>
      <c r="J600" s="65">
        <v>100</v>
      </c>
      <c r="K600" s="65">
        <v>44.1</v>
      </c>
      <c r="L600" s="62" t="s">
        <v>840</v>
      </c>
      <c r="M600" s="63">
        <v>0</v>
      </c>
      <c r="N600" s="66">
        <f t="shared" si="38"/>
        <v>0.49</v>
      </c>
      <c r="O600" s="62" t="str">
        <f t="shared" si="39"/>
        <v>4: Engaged Early</v>
      </c>
    </row>
    <row r="601" spans="1:15" ht="15" customHeight="1" x14ac:dyDescent="0.4">
      <c r="A601" s="62" t="s">
        <v>824</v>
      </c>
      <c r="B601" s="62" t="s">
        <v>513</v>
      </c>
      <c r="C601" s="62" t="s">
        <v>825</v>
      </c>
      <c r="D601" s="63">
        <v>5</v>
      </c>
      <c r="E601" s="63">
        <v>5</v>
      </c>
      <c r="F601" s="63">
        <v>3</v>
      </c>
      <c r="G601" s="64">
        <f t="shared" si="36"/>
        <v>1</v>
      </c>
      <c r="H601" s="64">
        <f t="shared" si="37"/>
        <v>0.6</v>
      </c>
      <c r="I601" s="63">
        <v>2</v>
      </c>
      <c r="J601" s="65">
        <v>75.5946</v>
      </c>
      <c r="K601" s="65">
        <v>33.9</v>
      </c>
      <c r="L601" s="62" t="s">
        <v>825</v>
      </c>
      <c r="M601" s="63">
        <v>1</v>
      </c>
      <c r="N601" s="66">
        <f t="shared" si="38"/>
        <v>0.56699999999999995</v>
      </c>
      <c r="O601" s="62" t="str">
        <f t="shared" si="39"/>
        <v>4: Engaged Early</v>
      </c>
    </row>
    <row r="602" spans="1:15" ht="15" customHeight="1" x14ac:dyDescent="0.4">
      <c r="A602" s="62" t="s">
        <v>824</v>
      </c>
      <c r="B602" s="62" t="s">
        <v>1247</v>
      </c>
      <c r="C602" s="62" t="s">
        <v>826</v>
      </c>
      <c r="D602" s="63">
        <v>24</v>
      </c>
      <c r="E602" s="63">
        <v>20</v>
      </c>
      <c r="F602" s="63">
        <v>2</v>
      </c>
      <c r="G602" s="64">
        <f t="shared" si="36"/>
        <v>0.83333333333333337</v>
      </c>
      <c r="H602" s="64">
        <f t="shared" si="37"/>
        <v>8.3333333333333329E-2</v>
      </c>
      <c r="I602" s="63">
        <v>0</v>
      </c>
      <c r="J602" s="65"/>
      <c r="K602" s="65">
        <v>21.88</v>
      </c>
      <c r="L602" s="62" t="s">
        <v>825</v>
      </c>
      <c r="M602" s="63">
        <v>0</v>
      </c>
      <c r="N602" s="66">
        <f t="shared" si="38"/>
        <v>0.38100000000000001</v>
      </c>
      <c r="O602" s="62" t="str">
        <f t="shared" si="39"/>
        <v>3: Elevated (No Wk0)</v>
      </c>
    </row>
    <row r="603" spans="1:15" ht="15" customHeight="1" x14ac:dyDescent="0.4">
      <c r="A603" s="62" t="s">
        <v>824</v>
      </c>
      <c r="B603" s="62" t="s">
        <v>1248</v>
      </c>
      <c r="C603" s="62" t="s">
        <v>826</v>
      </c>
      <c r="D603" s="63">
        <v>18</v>
      </c>
      <c r="E603" s="63">
        <v>10</v>
      </c>
      <c r="F603" s="63">
        <v>1</v>
      </c>
      <c r="G603" s="64">
        <f t="shared" si="36"/>
        <v>0.55555555555555558</v>
      </c>
      <c r="H603" s="64">
        <f t="shared" si="37"/>
        <v>5.5555555555555552E-2</v>
      </c>
      <c r="I603" s="63">
        <v>2</v>
      </c>
      <c r="J603" s="65">
        <v>65.787649999999999</v>
      </c>
      <c r="K603" s="65">
        <v>86.34</v>
      </c>
      <c r="L603" s="62" t="s">
        <v>825</v>
      </c>
      <c r="M603" s="63">
        <v>0</v>
      </c>
      <c r="N603" s="66">
        <f t="shared" si="38"/>
        <v>0.86699999999999999</v>
      </c>
      <c r="O603" s="62" t="str">
        <f t="shared" si="39"/>
        <v>4: Engaged Early</v>
      </c>
    </row>
    <row r="604" spans="1:15" ht="15" customHeight="1" x14ac:dyDescent="0.4">
      <c r="A604" s="62" t="s">
        <v>824</v>
      </c>
      <c r="B604" s="62" t="s">
        <v>1249</v>
      </c>
      <c r="C604" s="62" t="s">
        <v>826</v>
      </c>
      <c r="D604" s="63">
        <v>3</v>
      </c>
      <c r="E604" s="63">
        <v>3</v>
      </c>
      <c r="F604" s="63">
        <v>0</v>
      </c>
      <c r="G604" s="64">
        <f t="shared" si="36"/>
        <v>1</v>
      </c>
      <c r="H604" s="64">
        <f t="shared" si="37"/>
        <v>0</v>
      </c>
      <c r="I604" s="63">
        <v>2</v>
      </c>
      <c r="J604" s="65">
        <v>83.215850000000003</v>
      </c>
      <c r="K604" s="65">
        <v>71.62</v>
      </c>
      <c r="L604" s="62" t="s">
        <v>825</v>
      </c>
      <c r="M604" s="63">
        <v>0</v>
      </c>
      <c r="N604" s="66">
        <f t="shared" si="38"/>
        <v>0.80500000000000005</v>
      </c>
      <c r="O604" s="62" t="str">
        <f t="shared" si="39"/>
        <v>4: Engaged Early</v>
      </c>
    </row>
    <row r="605" spans="1:15" ht="15" customHeight="1" x14ac:dyDescent="0.4">
      <c r="A605" s="62" t="s">
        <v>824</v>
      </c>
      <c r="B605" s="62" t="s">
        <v>1250</v>
      </c>
      <c r="C605" s="62" t="s">
        <v>826</v>
      </c>
      <c r="D605" s="63">
        <v>10</v>
      </c>
      <c r="E605" s="63">
        <v>3</v>
      </c>
      <c r="F605" s="63">
        <v>0</v>
      </c>
      <c r="G605" s="64">
        <f t="shared" si="36"/>
        <v>0.3</v>
      </c>
      <c r="H605" s="64">
        <f t="shared" si="37"/>
        <v>0</v>
      </c>
      <c r="I605" s="63">
        <v>2</v>
      </c>
      <c r="J605" s="65">
        <v>48.616999999999997</v>
      </c>
      <c r="K605" s="65">
        <v>68.88</v>
      </c>
      <c r="L605" s="62" t="s">
        <v>825</v>
      </c>
      <c r="M605" s="63">
        <v>0</v>
      </c>
      <c r="N605" s="66">
        <f t="shared" si="38"/>
        <v>0.73599999999999999</v>
      </c>
      <c r="O605" s="62" t="str">
        <f t="shared" si="39"/>
        <v>4: Engaged Early</v>
      </c>
    </row>
    <row r="606" spans="1:15" ht="15" customHeight="1" x14ac:dyDescent="0.4">
      <c r="A606" s="62" t="s">
        <v>824</v>
      </c>
      <c r="B606" s="62" t="s">
        <v>738</v>
      </c>
      <c r="C606" s="62" t="s">
        <v>825</v>
      </c>
      <c r="D606" s="63">
        <v>11</v>
      </c>
      <c r="E606" s="63">
        <v>11</v>
      </c>
      <c r="F606" s="63">
        <v>2</v>
      </c>
      <c r="G606" s="64">
        <f t="shared" si="36"/>
        <v>1</v>
      </c>
      <c r="H606" s="64">
        <f t="shared" si="37"/>
        <v>0.18181818181818182</v>
      </c>
      <c r="I606" s="63">
        <v>2</v>
      </c>
      <c r="J606" s="65">
        <v>98.806849999999997</v>
      </c>
      <c r="K606" s="65">
        <v>50.09</v>
      </c>
      <c r="L606" s="62" t="s">
        <v>825</v>
      </c>
      <c r="M606" s="63">
        <v>1</v>
      </c>
      <c r="N606" s="66">
        <f t="shared" si="38"/>
        <v>0.69899999999999995</v>
      </c>
      <c r="O606" s="62" t="str">
        <f t="shared" si="39"/>
        <v>4: Engaged Early</v>
      </c>
    </row>
    <row r="607" spans="1:15" ht="15" customHeight="1" x14ac:dyDescent="0.4">
      <c r="A607" s="62" t="s">
        <v>824</v>
      </c>
      <c r="B607" s="62" t="s">
        <v>1251</v>
      </c>
      <c r="C607" s="62" t="s">
        <v>826</v>
      </c>
      <c r="D607" s="63">
        <v>10</v>
      </c>
      <c r="E607" s="63">
        <v>8</v>
      </c>
      <c r="F607" s="63">
        <v>2</v>
      </c>
      <c r="G607" s="64">
        <f t="shared" si="36"/>
        <v>0.8</v>
      </c>
      <c r="H607" s="64">
        <f t="shared" si="37"/>
        <v>0.2</v>
      </c>
      <c r="I607" s="63">
        <v>2</v>
      </c>
      <c r="J607" s="65">
        <v>50.57405</v>
      </c>
      <c r="K607" s="65">
        <v>80.44</v>
      </c>
      <c r="L607" s="62" t="s">
        <v>826</v>
      </c>
      <c r="M607" s="63">
        <v>0</v>
      </c>
      <c r="N607" s="66">
        <f t="shared" si="38"/>
        <v>0.55900000000000005</v>
      </c>
      <c r="O607" s="62" t="str">
        <f t="shared" si="39"/>
        <v>2: High (No DBWT)</v>
      </c>
    </row>
    <row r="608" spans="1:15" ht="15" customHeight="1" x14ac:dyDescent="0.4">
      <c r="A608" s="62" t="s">
        <v>824</v>
      </c>
      <c r="B608" s="62" t="s">
        <v>1252</v>
      </c>
      <c r="C608" s="62" t="s">
        <v>826</v>
      </c>
      <c r="D608" s="63">
        <v>15</v>
      </c>
      <c r="E608" s="63">
        <v>11</v>
      </c>
      <c r="F608" s="63">
        <v>7</v>
      </c>
      <c r="G608" s="64">
        <f t="shared" si="36"/>
        <v>0.73333333333333328</v>
      </c>
      <c r="H608" s="64">
        <f t="shared" si="37"/>
        <v>0.46666666666666667</v>
      </c>
      <c r="I608" s="63">
        <v>2</v>
      </c>
      <c r="J608" s="65">
        <v>99.125</v>
      </c>
      <c r="K608" s="65">
        <v>100</v>
      </c>
      <c r="L608" s="62" t="s">
        <v>826</v>
      </c>
      <c r="M608" s="63">
        <v>0</v>
      </c>
      <c r="N608" s="66">
        <f t="shared" si="38"/>
        <v>0.749</v>
      </c>
      <c r="O608" s="62" t="str">
        <f t="shared" si="39"/>
        <v>2: High (No DBWT)</v>
      </c>
    </row>
    <row r="609" spans="1:15" ht="15" customHeight="1" x14ac:dyDescent="0.4">
      <c r="A609" s="62" t="s">
        <v>824</v>
      </c>
      <c r="B609" s="62" t="s">
        <v>1253</v>
      </c>
      <c r="C609" s="62" t="s">
        <v>826</v>
      </c>
      <c r="D609" s="63">
        <v>15</v>
      </c>
      <c r="E609" s="63">
        <v>13</v>
      </c>
      <c r="F609" s="63">
        <v>1</v>
      </c>
      <c r="G609" s="64">
        <f t="shared" si="36"/>
        <v>0.8666666666666667</v>
      </c>
      <c r="H609" s="64">
        <f t="shared" si="37"/>
        <v>6.6666666666666666E-2</v>
      </c>
      <c r="I609" s="63">
        <v>2</v>
      </c>
      <c r="J609" s="65">
        <v>89.865499999999997</v>
      </c>
      <c r="K609" s="65">
        <v>87.85</v>
      </c>
      <c r="L609" s="62" t="s">
        <v>825</v>
      </c>
      <c r="M609" s="63">
        <v>0</v>
      </c>
      <c r="N609" s="66">
        <f t="shared" si="38"/>
        <v>0.91200000000000003</v>
      </c>
      <c r="O609" s="62" t="str">
        <f t="shared" si="39"/>
        <v>4: Engaged Early</v>
      </c>
    </row>
    <row r="610" spans="1:15" ht="15" customHeight="1" x14ac:dyDescent="0.4">
      <c r="A610" s="62" t="s">
        <v>824</v>
      </c>
      <c r="B610" s="62" t="s">
        <v>1254</v>
      </c>
      <c r="C610" s="62" t="s">
        <v>826</v>
      </c>
      <c r="D610" s="63">
        <v>13</v>
      </c>
      <c r="E610" s="63">
        <v>4</v>
      </c>
      <c r="F610" s="63">
        <v>1</v>
      </c>
      <c r="G610" s="64">
        <f t="shared" si="36"/>
        <v>0.30769230769230771</v>
      </c>
      <c r="H610" s="64">
        <f t="shared" si="37"/>
        <v>7.6923076923076927E-2</v>
      </c>
      <c r="I610" s="63">
        <v>2</v>
      </c>
      <c r="J610" s="65">
        <v>83.644900000000007</v>
      </c>
      <c r="K610" s="65">
        <v>100</v>
      </c>
      <c r="L610" s="62" t="s">
        <v>825</v>
      </c>
      <c r="M610" s="63">
        <v>0</v>
      </c>
      <c r="N610" s="66">
        <f t="shared" si="38"/>
        <v>0.97499999999999998</v>
      </c>
      <c r="O610" s="62" t="str">
        <f t="shared" si="39"/>
        <v>4: Engaged Early</v>
      </c>
    </row>
    <row r="611" spans="1:15" ht="15" customHeight="1" x14ac:dyDescent="0.4">
      <c r="A611" s="62" t="s">
        <v>824</v>
      </c>
      <c r="B611" s="62" t="s">
        <v>1255</v>
      </c>
      <c r="C611" s="62" t="s">
        <v>826</v>
      </c>
      <c r="D611" s="63">
        <v>21</v>
      </c>
      <c r="E611" s="63">
        <v>9</v>
      </c>
      <c r="F611" s="63">
        <v>0</v>
      </c>
      <c r="G611" s="64">
        <f t="shared" si="36"/>
        <v>0.42857142857142855</v>
      </c>
      <c r="H611" s="64">
        <f t="shared" si="37"/>
        <v>0</v>
      </c>
      <c r="I611" s="63">
        <v>2</v>
      </c>
      <c r="J611" s="65">
        <v>74.866299999999995</v>
      </c>
      <c r="K611" s="65">
        <v>97.89</v>
      </c>
      <c r="L611" s="62" t="s">
        <v>825</v>
      </c>
      <c r="M611" s="63">
        <v>0</v>
      </c>
      <c r="N611" s="66">
        <f t="shared" si="38"/>
        <v>0.95</v>
      </c>
      <c r="O611" s="62" t="str">
        <f t="shared" si="39"/>
        <v>4: Engaged Early</v>
      </c>
    </row>
    <row r="612" spans="1:15" ht="15" customHeight="1" x14ac:dyDescent="0.4">
      <c r="A612" s="62" t="s">
        <v>824</v>
      </c>
      <c r="B612" s="62" t="s">
        <v>1256</v>
      </c>
      <c r="C612" s="62" t="s">
        <v>826</v>
      </c>
      <c r="D612" s="63">
        <v>3</v>
      </c>
      <c r="E612" s="63">
        <v>2</v>
      </c>
      <c r="F612" s="63">
        <v>1</v>
      </c>
      <c r="G612" s="64">
        <f t="shared" si="36"/>
        <v>0.66666666666666663</v>
      </c>
      <c r="H612" s="64">
        <f t="shared" si="37"/>
        <v>0.33333333333333331</v>
      </c>
      <c r="I612" s="63">
        <v>2</v>
      </c>
      <c r="J612" s="65">
        <v>99.363</v>
      </c>
      <c r="K612" s="65">
        <v>86.97</v>
      </c>
      <c r="L612" s="62" t="s">
        <v>826</v>
      </c>
      <c r="M612" s="63">
        <v>0</v>
      </c>
      <c r="N612" s="66">
        <f t="shared" si="38"/>
        <v>0.67100000000000004</v>
      </c>
      <c r="O612" s="62" t="str">
        <f t="shared" si="39"/>
        <v>2: High (No DBWT)</v>
      </c>
    </row>
    <row r="613" spans="1:15" ht="15" customHeight="1" x14ac:dyDescent="0.4">
      <c r="A613" s="62" t="s">
        <v>824</v>
      </c>
      <c r="B613" s="62" t="s">
        <v>1257</v>
      </c>
      <c r="C613" s="62" t="s">
        <v>826</v>
      </c>
      <c r="D613" s="63">
        <v>8</v>
      </c>
      <c r="E613" s="63">
        <v>3</v>
      </c>
      <c r="F613" s="63">
        <v>0</v>
      </c>
      <c r="G613" s="64">
        <f t="shared" si="36"/>
        <v>0.375</v>
      </c>
      <c r="H613" s="64">
        <f t="shared" si="37"/>
        <v>0</v>
      </c>
      <c r="I613" s="63">
        <v>2</v>
      </c>
      <c r="J613" s="65">
        <v>65.000150000000005</v>
      </c>
      <c r="K613" s="65">
        <v>87.26</v>
      </c>
      <c r="L613" s="62" t="s">
        <v>825</v>
      </c>
      <c r="M613" s="63">
        <v>0</v>
      </c>
      <c r="N613" s="66">
        <f t="shared" si="38"/>
        <v>0.871</v>
      </c>
      <c r="O613" s="62" t="str">
        <f t="shared" si="39"/>
        <v>4: Engaged Early</v>
      </c>
    </row>
    <row r="614" spans="1:15" ht="15" customHeight="1" x14ac:dyDescent="0.4">
      <c r="A614" s="62" t="s">
        <v>824</v>
      </c>
      <c r="B614" s="62" t="s">
        <v>1258</v>
      </c>
      <c r="C614" s="62" t="s">
        <v>826</v>
      </c>
      <c r="D614" s="63">
        <v>22</v>
      </c>
      <c r="E614" s="63">
        <v>14</v>
      </c>
      <c r="F614" s="63">
        <v>3</v>
      </c>
      <c r="G614" s="64">
        <f t="shared" si="36"/>
        <v>0.63636363636363635</v>
      </c>
      <c r="H614" s="64">
        <f t="shared" si="37"/>
        <v>0.13636363636363635</v>
      </c>
      <c r="I614" s="63">
        <v>1</v>
      </c>
      <c r="J614" s="65">
        <v>99.35</v>
      </c>
      <c r="K614" s="65">
        <v>87.03</v>
      </c>
      <c r="L614" s="62" t="s">
        <v>825</v>
      </c>
      <c r="M614" s="63">
        <v>0</v>
      </c>
      <c r="N614" s="66">
        <f t="shared" si="38"/>
        <v>0.92100000000000004</v>
      </c>
      <c r="O614" s="62" t="str">
        <f t="shared" si="39"/>
        <v>4: Engaged Early</v>
      </c>
    </row>
    <row r="615" spans="1:15" ht="15" customHeight="1" x14ac:dyDescent="0.4">
      <c r="A615" s="62" t="s">
        <v>824</v>
      </c>
      <c r="B615" s="62" t="s">
        <v>1259</v>
      </c>
      <c r="C615" s="62" t="s">
        <v>826</v>
      </c>
      <c r="D615" s="63">
        <v>4</v>
      </c>
      <c r="E615" s="63">
        <v>3</v>
      </c>
      <c r="F615" s="63">
        <v>1</v>
      </c>
      <c r="G615" s="64">
        <f t="shared" si="36"/>
        <v>0.75</v>
      </c>
      <c r="H615" s="64">
        <f t="shared" si="37"/>
        <v>0.25</v>
      </c>
      <c r="I615" s="63">
        <v>2</v>
      </c>
      <c r="J615" s="65">
        <v>43.288049999999998</v>
      </c>
      <c r="K615" s="65">
        <v>77.569999999999993</v>
      </c>
      <c r="L615" s="62" t="s">
        <v>825</v>
      </c>
      <c r="M615" s="63">
        <v>0</v>
      </c>
      <c r="N615" s="66">
        <f t="shared" si="38"/>
        <v>0.78</v>
      </c>
      <c r="O615" s="62" t="str">
        <f t="shared" si="39"/>
        <v>4: Engaged Early</v>
      </c>
    </row>
    <row r="616" spans="1:15" ht="15" customHeight="1" x14ac:dyDescent="0.4">
      <c r="A616" s="62" t="s">
        <v>824</v>
      </c>
      <c r="B616" s="62" t="s">
        <v>1260</v>
      </c>
      <c r="C616" s="62" t="s">
        <v>826</v>
      </c>
      <c r="D616" s="63">
        <v>10</v>
      </c>
      <c r="E616" s="63">
        <v>9</v>
      </c>
      <c r="F616" s="63">
        <v>4</v>
      </c>
      <c r="G616" s="64">
        <f t="shared" si="36"/>
        <v>0.9</v>
      </c>
      <c r="H616" s="64">
        <f t="shared" si="37"/>
        <v>0.4</v>
      </c>
      <c r="I616" s="63">
        <v>2</v>
      </c>
      <c r="J616" s="65">
        <v>98.51</v>
      </c>
      <c r="K616" s="65">
        <v>99.95</v>
      </c>
      <c r="L616" s="62" t="s">
        <v>825</v>
      </c>
      <c r="M616" s="63">
        <v>1</v>
      </c>
      <c r="N616" s="66">
        <f t="shared" si="38"/>
        <v>0.997</v>
      </c>
      <c r="O616" s="62" t="str">
        <f t="shared" si="39"/>
        <v>4: Engaged Early</v>
      </c>
    </row>
    <row r="617" spans="1:15" ht="15" customHeight="1" x14ac:dyDescent="0.4">
      <c r="A617" s="62" t="s">
        <v>824</v>
      </c>
      <c r="B617" s="62" t="s">
        <v>1261</v>
      </c>
      <c r="C617" s="62" t="s">
        <v>826</v>
      </c>
      <c r="D617" s="63">
        <v>4</v>
      </c>
      <c r="E617" s="63">
        <v>4</v>
      </c>
      <c r="F617" s="63">
        <v>1</v>
      </c>
      <c r="G617" s="64">
        <f t="shared" si="36"/>
        <v>1</v>
      </c>
      <c r="H617" s="64">
        <f t="shared" si="37"/>
        <v>0.25</v>
      </c>
      <c r="I617" s="63">
        <v>2</v>
      </c>
      <c r="J617" s="65">
        <v>80.4054</v>
      </c>
      <c r="K617" s="65">
        <v>83.77</v>
      </c>
      <c r="L617" s="62" t="s">
        <v>825</v>
      </c>
      <c r="M617" s="63">
        <v>0</v>
      </c>
      <c r="N617" s="66">
        <f t="shared" si="38"/>
        <v>0.873</v>
      </c>
      <c r="O617" s="62" t="str">
        <f t="shared" si="39"/>
        <v>4: Engaged Early</v>
      </c>
    </row>
    <row r="618" spans="1:15" ht="15" customHeight="1" x14ac:dyDescent="0.4">
      <c r="A618" s="62" t="s">
        <v>824</v>
      </c>
      <c r="B618" s="62" t="s">
        <v>1262</v>
      </c>
      <c r="C618" s="62" t="s">
        <v>826</v>
      </c>
      <c r="D618" s="63">
        <v>21</v>
      </c>
      <c r="E618" s="63">
        <v>11</v>
      </c>
      <c r="F618" s="63">
        <v>1</v>
      </c>
      <c r="G618" s="64">
        <f t="shared" si="36"/>
        <v>0.52380952380952384</v>
      </c>
      <c r="H618" s="64">
        <f t="shared" si="37"/>
        <v>4.7619047619047616E-2</v>
      </c>
      <c r="I618" s="63">
        <v>1</v>
      </c>
      <c r="J618" s="65">
        <v>83.98</v>
      </c>
      <c r="K618" s="65">
        <v>75.12</v>
      </c>
      <c r="L618" s="62" t="s">
        <v>826</v>
      </c>
      <c r="M618" s="63">
        <v>2</v>
      </c>
      <c r="N618" s="66">
        <f t="shared" si="38"/>
        <v>0.57699999999999996</v>
      </c>
      <c r="O618" s="62" t="str">
        <f t="shared" si="39"/>
        <v>2: High (No DBWT)</v>
      </c>
    </row>
    <row r="619" spans="1:15" ht="15" customHeight="1" x14ac:dyDescent="0.4">
      <c r="A619" s="62" t="s">
        <v>824</v>
      </c>
      <c r="B619" s="62" t="s">
        <v>1263</v>
      </c>
      <c r="C619" s="62" t="s">
        <v>826</v>
      </c>
      <c r="D619" s="63">
        <v>10</v>
      </c>
      <c r="E619" s="63">
        <v>9</v>
      </c>
      <c r="F619" s="63">
        <v>2</v>
      </c>
      <c r="G619" s="64">
        <f t="shared" si="36"/>
        <v>0.9</v>
      </c>
      <c r="H619" s="64">
        <f t="shared" si="37"/>
        <v>0.2</v>
      </c>
      <c r="I619" s="63">
        <v>2</v>
      </c>
      <c r="J619" s="65">
        <v>94.948650000000001</v>
      </c>
      <c r="K619" s="65">
        <v>100</v>
      </c>
      <c r="L619" s="62" t="s">
        <v>825</v>
      </c>
      <c r="M619" s="63">
        <v>0</v>
      </c>
      <c r="N619" s="66">
        <f t="shared" si="38"/>
        <v>0.99199999999999999</v>
      </c>
      <c r="O619" s="62" t="str">
        <f t="shared" si="39"/>
        <v>4: Engaged Early</v>
      </c>
    </row>
    <row r="620" spans="1:15" ht="15" customHeight="1" x14ac:dyDescent="0.4">
      <c r="A620" s="62" t="s">
        <v>824</v>
      </c>
      <c r="B620" s="62" t="s">
        <v>1264</v>
      </c>
      <c r="C620" s="62" t="s">
        <v>826</v>
      </c>
      <c r="D620" s="63">
        <v>0</v>
      </c>
      <c r="E620" s="63">
        <v>0</v>
      </c>
      <c r="F620" s="63">
        <v>0</v>
      </c>
      <c r="G620" s="64">
        <f t="shared" si="36"/>
        <v>0</v>
      </c>
      <c r="H620" s="64">
        <f t="shared" si="37"/>
        <v>0</v>
      </c>
      <c r="I620" s="63">
        <v>1</v>
      </c>
      <c r="J620" s="65">
        <v>34.520000000000003</v>
      </c>
      <c r="K620" s="65">
        <v>22.48</v>
      </c>
      <c r="L620" s="62" t="s">
        <v>840</v>
      </c>
      <c r="M620" s="63">
        <v>0</v>
      </c>
      <c r="N620" s="66">
        <f t="shared" si="38"/>
        <v>0.26200000000000001</v>
      </c>
      <c r="O620" s="62" t="str">
        <f t="shared" si="39"/>
        <v>4: Engaged Early</v>
      </c>
    </row>
    <row r="621" spans="1:15" ht="15" customHeight="1" x14ac:dyDescent="0.4">
      <c r="A621" s="62" t="s">
        <v>824</v>
      </c>
      <c r="B621" s="62" t="s">
        <v>1265</v>
      </c>
      <c r="C621" s="62" t="s">
        <v>826</v>
      </c>
      <c r="D621" s="63">
        <v>10</v>
      </c>
      <c r="E621" s="63">
        <v>6</v>
      </c>
      <c r="F621" s="63">
        <v>1</v>
      </c>
      <c r="G621" s="64">
        <f t="shared" si="36"/>
        <v>0.6</v>
      </c>
      <c r="H621" s="64">
        <f t="shared" si="37"/>
        <v>0.1</v>
      </c>
      <c r="I621" s="63">
        <v>2</v>
      </c>
      <c r="J621" s="65">
        <v>93.048050000000003</v>
      </c>
      <c r="K621" s="65">
        <v>100</v>
      </c>
      <c r="L621" s="62" t="s">
        <v>825</v>
      </c>
      <c r="M621" s="63">
        <v>0</v>
      </c>
      <c r="N621" s="66">
        <f t="shared" si="38"/>
        <v>0.99</v>
      </c>
      <c r="O621" s="62" t="str">
        <f t="shared" si="39"/>
        <v>4: Engaged Early</v>
      </c>
    </row>
    <row r="622" spans="1:15" ht="15" customHeight="1" x14ac:dyDescent="0.4">
      <c r="A622" s="62" t="s">
        <v>824</v>
      </c>
      <c r="B622" s="62" t="s">
        <v>1266</v>
      </c>
      <c r="C622" s="62" t="s">
        <v>826</v>
      </c>
      <c r="D622" s="63">
        <v>22</v>
      </c>
      <c r="E622" s="63">
        <v>16</v>
      </c>
      <c r="F622" s="63">
        <v>7</v>
      </c>
      <c r="G622" s="64">
        <f t="shared" si="36"/>
        <v>0.72727272727272729</v>
      </c>
      <c r="H622" s="64">
        <f t="shared" si="37"/>
        <v>0.31818181818181818</v>
      </c>
      <c r="I622" s="63">
        <v>2</v>
      </c>
      <c r="J622" s="65">
        <v>80.732699999999994</v>
      </c>
      <c r="K622" s="65">
        <v>84.08</v>
      </c>
      <c r="L622" s="62" t="s">
        <v>825</v>
      </c>
      <c r="M622" s="63">
        <v>0</v>
      </c>
      <c r="N622" s="66">
        <f t="shared" si="38"/>
        <v>0.876</v>
      </c>
      <c r="O622" s="62" t="str">
        <f t="shared" si="39"/>
        <v>4: Engaged Early</v>
      </c>
    </row>
    <row r="623" spans="1:15" ht="15" customHeight="1" x14ac:dyDescent="0.4">
      <c r="A623" s="62" t="s">
        <v>824</v>
      </c>
      <c r="B623" s="62" t="s">
        <v>409</v>
      </c>
      <c r="C623" s="62" t="s">
        <v>825</v>
      </c>
      <c r="D623" s="63">
        <v>17</v>
      </c>
      <c r="E623" s="63">
        <v>15</v>
      </c>
      <c r="F623" s="63">
        <v>0</v>
      </c>
      <c r="G623" s="64">
        <f t="shared" si="36"/>
        <v>0.88235294117647056</v>
      </c>
      <c r="H623" s="64">
        <f t="shared" si="37"/>
        <v>0</v>
      </c>
      <c r="I623" s="63">
        <v>1</v>
      </c>
      <c r="J623" s="65">
        <v>70.45</v>
      </c>
      <c r="K623" s="65">
        <v>15.2</v>
      </c>
      <c r="L623" s="62" t="s">
        <v>825</v>
      </c>
      <c r="M623" s="63">
        <v>0</v>
      </c>
      <c r="N623" s="66">
        <f t="shared" si="38"/>
        <v>0.44700000000000001</v>
      </c>
      <c r="O623" s="62" t="str">
        <f t="shared" si="39"/>
        <v>4: Engaged Early</v>
      </c>
    </row>
    <row r="624" spans="1:15" ht="15" customHeight="1" x14ac:dyDescent="0.4">
      <c r="A624" s="62" t="s">
        <v>824</v>
      </c>
      <c r="B624" s="62" t="s">
        <v>1267</v>
      </c>
      <c r="C624" s="62" t="s">
        <v>826</v>
      </c>
      <c r="D624" s="63">
        <v>4</v>
      </c>
      <c r="E624" s="63">
        <v>4</v>
      </c>
      <c r="F624" s="63">
        <v>4</v>
      </c>
      <c r="G624" s="64">
        <f t="shared" si="36"/>
        <v>1</v>
      </c>
      <c r="H624" s="64">
        <f t="shared" si="37"/>
        <v>1</v>
      </c>
      <c r="I624" s="63">
        <v>2</v>
      </c>
      <c r="J624" s="65">
        <v>85.227249999999998</v>
      </c>
      <c r="K624" s="65">
        <v>88.73</v>
      </c>
      <c r="L624" s="62" t="s">
        <v>825</v>
      </c>
      <c r="M624" s="63">
        <v>0</v>
      </c>
      <c r="N624" s="66">
        <f t="shared" si="38"/>
        <v>0.91</v>
      </c>
      <c r="O624" s="62" t="str">
        <f t="shared" si="39"/>
        <v>4: Engaged Early</v>
      </c>
    </row>
    <row r="625" spans="1:15" ht="15" customHeight="1" x14ac:dyDescent="0.4">
      <c r="A625" s="62" t="s">
        <v>824</v>
      </c>
      <c r="B625" s="62" t="s">
        <v>1268</v>
      </c>
      <c r="C625" s="62" t="s">
        <v>826</v>
      </c>
      <c r="D625" s="63">
        <v>10</v>
      </c>
      <c r="E625" s="63">
        <v>2</v>
      </c>
      <c r="F625" s="63">
        <v>1</v>
      </c>
      <c r="G625" s="64">
        <f t="shared" si="36"/>
        <v>0.2</v>
      </c>
      <c r="H625" s="64">
        <f t="shared" si="37"/>
        <v>0.1</v>
      </c>
      <c r="I625" s="63">
        <v>2</v>
      </c>
      <c r="J625" s="65">
        <v>43.914884999999998</v>
      </c>
      <c r="K625" s="65">
        <v>28.61</v>
      </c>
      <c r="L625" s="62" t="s">
        <v>826</v>
      </c>
      <c r="M625" s="63">
        <v>0</v>
      </c>
      <c r="N625" s="66">
        <f t="shared" si="38"/>
        <v>0.23799999999999999</v>
      </c>
      <c r="O625" s="62" t="str">
        <f t="shared" si="39"/>
        <v>2: High (No DBWT)</v>
      </c>
    </row>
    <row r="626" spans="1:15" ht="15" customHeight="1" x14ac:dyDescent="0.4">
      <c r="A626" s="62" t="s">
        <v>824</v>
      </c>
      <c r="B626" s="62" t="s">
        <v>1269</v>
      </c>
      <c r="C626" s="62" t="s">
        <v>826</v>
      </c>
      <c r="D626" s="63">
        <v>12</v>
      </c>
      <c r="E626" s="63">
        <v>0</v>
      </c>
      <c r="F626" s="63">
        <v>1</v>
      </c>
      <c r="G626" s="64">
        <f t="shared" si="36"/>
        <v>0</v>
      </c>
      <c r="H626" s="64">
        <f t="shared" si="37"/>
        <v>8.3333333333333329E-2</v>
      </c>
      <c r="I626" s="63">
        <v>2</v>
      </c>
      <c r="J626" s="65">
        <v>92.149600000000007</v>
      </c>
      <c r="K626" s="65">
        <v>100</v>
      </c>
      <c r="L626" s="62" t="s">
        <v>826</v>
      </c>
      <c r="M626" s="63">
        <v>0</v>
      </c>
      <c r="N626" s="66">
        <f t="shared" si="38"/>
        <v>0.73799999999999999</v>
      </c>
      <c r="O626" s="62" t="str">
        <f t="shared" si="39"/>
        <v>2: High (No DBWT)</v>
      </c>
    </row>
    <row r="627" spans="1:15" ht="15" customHeight="1" x14ac:dyDescent="0.4">
      <c r="A627" s="62" t="s">
        <v>824</v>
      </c>
      <c r="B627" s="62" t="s">
        <v>742</v>
      </c>
      <c r="C627" s="62" t="s">
        <v>825</v>
      </c>
      <c r="D627" s="63">
        <v>1</v>
      </c>
      <c r="E627" s="63">
        <v>1</v>
      </c>
      <c r="F627" s="63">
        <v>1</v>
      </c>
      <c r="G627" s="64">
        <f t="shared" si="36"/>
        <v>1</v>
      </c>
      <c r="H627" s="64">
        <f t="shared" si="37"/>
        <v>1</v>
      </c>
      <c r="I627" s="63">
        <v>1</v>
      </c>
      <c r="J627" s="65">
        <v>89.42</v>
      </c>
      <c r="K627" s="65">
        <v>31.91</v>
      </c>
      <c r="L627" s="62" t="s">
        <v>825</v>
      </c>
      <c r="M627" s="63">
        <v>1</v>
      </c>
      <c r="N627" s="66">
        <f t="shared" si="38"/>
        <v>0.57599999999999996</v>
      </c>
      <c r="O627" s="62" t="str">
        <f t="shared" si="39"/>
        <v>4: Engaged Early</v>
      </c>
    </row>
    <row r="628" spans="1:15" ht="15" customHeight="1" x14ac:dyDescent="0.4">
      <c r="A628" s="62" t="s">
        <v>824</v>
      </c>
      <c r="B628" s="62" t="s">
        <v>1270</v>
      </c>
      <c r="C628" s="62" t="s">
        <v>826</v>
      </c>
      <c r="D628" s="63">
        <v>5</v>
      </c>
      <c r="E628" s="63">
        <v>5</v>
      </c>
      <c r="F628" s="63">
        <v>1</v>
      </c>
      <c r="G628" s="64">
        <f t="shared" si="36"/>
        <v>1</v>
      </c>
      <c r="H628" s="64">
        <f t="shared" si="37"/>
        <v>0.2</v>
      </c>
      <c r="I628" s="63">
        <v>2</v>
      </c>
      <c r="J628" s="65">
        <v>51.672725</v>
      </c>
      <c r="K628" s="65">
        <v>56.52</v>
      </c>
      <c r="L628" s="62" t="s">
        <v>825</v>
      </c>
      <c r="M628" s="63">
        <v>0</v>
      </c>
      <c r="N628" s="66">
        <f t="shared" si="38"/>
        <v>0.66700000000000004</v>
      </c>
      <c r="O628" s="62" t="str">
        <f t="shared" si="39"/>
        <v>4: Engaged Early</v>
      </c>
    </row>
    <row r="629" spans="1:15" ht="15" customHeight="1" x14ac:dyDescent="0.4">
      <c r="A629" s="62" t="s">
        <v>824</v>
      </c>
      <c r="B629" s="62" t="s">
        <v>1271</v>
      </c>
      <c r="C629" s="62" t="s">
        <v>826</v>
      </c>
      <c r="D629" s="63">
        <v>14</v>
      </c>
      <c r="E629" s="63">
        <v>9</v>
      </c>
      <c r="F629" s="63">
        <v>4</v>
      </c>
      <c r="G629" s="64">
        <f t="shared" si="36"/>
        <v>0.6428571428571429</v>
      </c>
      <c r="H629" s="64">
        <f t="shared" si="37"/>
        <v>0.2857142857142857</v>
      </c>
      <c r="I629" s="63">
        <v>2</v>
      </c>
      <c r="J629" s="65">
        <v>94.089299999999994</v>
      </c>
      <c r="K629" s="65">
        <v>78.48</v>
      </c>
      <c r="L629" s="62" t="s">
        <v>826</v>
      </c>
      <c r="M629" s="63">
        <v>0</v>
      </c>
      <c r="N629" s="66">
        <f t="shared" si="38"/>
        <v>0.61199999999999999</v>
      </c>
      <c r="O629" s="62" t="str">
        <f t="shared" si="39"/>
        <v>2: High (No DBWT)</v>
      </c>
    </row>
    <row r="630" spans="1:15" ht="15" customHeight="1" x14ac:dyDescent="0.4">
      <c r="A630" s="62" t="s">
        <v>824</v>
      </c>
      <c r="B630" s="62" t="s">
        <v>1272</v>
      </c>
      <c r="C630" s="62" t="s">
        <v>826</v>
      </c>
      <c r="D630" s="63">
        <v>0</v>
      </c>
      <c r="E630" s="63">
        <v>0</v>
      </c>
      <c r="F630" s="63">
        <v>0</v>
      </c>
      <c r="G630" s="64">
        <f t="shared" si="36"/>
        <v>0</v>
      </c>
      <c r="H630" s="64">
        <f t="shared" si="37"/>
        <v>0</v>
      </c>
      <c r="I630" s="63">
        <v>2</v>
      </c>
      <c r="J630" s="65">
        <v>86.710149999999999</v>
      </c>
      <c r="K630" s="65">
        <v>100</v>
      </c>
      <c r="L630" s="62" t="s">
        <v>825</v>
      </c>
      <c r="M630" s="63">
        <v>0</v>
      </c>
      <c r="N630" s="66">
        <f t="shared" si="38"/>
        <v>0.98</v>
      </c>
      <c r="O630" s="62" t="str">
        <f t="shared" si="39"/>
        <v>4: Engaged Early</v>
      </c>
    </row>
    <row r="631" spans="1:15" ht="15" customHeight="1" x14ac:dyDescent="0.4">
      <c r="A631" s="62" t="s">
        <v>824</v>
      </c>
      <c r="B631" s="62" t="s">
        <v>1273</v>
      </c>
      <c r="C631" s="62" t="s">
        <v>826</v>
      </c>
      <c r="D631" s="63">
        <v>4</v>
      </c>
      <c r="E631" s="63">
        <v>4</v>
      </c>
      <c r="F631" s="63">
        <v>1</v>
      </c>
      <c r="G631" s="64">
        <f t="shared" si="36"/>
        <v>1</v>
      </c>
      <c r="H631" s="64">
        <f t="shared" si="37"/>
        <v>0.25</v>
      </c>
      <c r="I631" s="63">
        <v>2</v>
      </c>
      <c r="J631" s="65">
        <v>88.991050000000001</v>
      </c>
      <c r="K631" s="65">
        <v>100</v>
      </c>
      <c r="L631" s="62" t="s">
        <v>825</v>
      </c>
      <c r="M631" s="63">
        <v>0</v>
      </c>
      <c r="N631" s="66">
        <f t="shared" si="38"/>
        <v>0.98299999999999998</v>
      </c>
      <c r="O631" s="62" t="str">
        <f t="shared" si="39"/>
        <v>4: Engaged Early</v>
      </c>
    </row>
    <row r="632" spans="1:15" ht="15" customHeight="1" x14ac:dyDescent="0.4">
      <c r="A632" s="62" t="s">
        <v>824</v>
      </c>
      <c r="B632" s="62" t="s">
        <v>1274</v>
      </c>
      <c r="C632" s="62" t="s">
        <v>826</v>
      </c>
      <c r="D632" s="63">
        <v>5</v>
      </c>
      <c r="E632" s="63">
        <v>4</v>
      </c>
      <c r="F632" s="63">
        <v>0</v>
      </c>
      <c r="G632" s="64">
        <f t="shared" si="36"/>
        <v>0.8</v>
      </c>
      <c r="H632" s="64">
        <f t="shared" si="37"/>
        <v>0</v>
      </c>
      <c r="I632" s="63">
        <v>2</v>
      </c>
      <c r="J632" s="65">
        <v>99.45505</v>
      </c>
      <c r="K632" s="65">
        <v>100</v>
      </c>
      <c r="L632" s="62" t="s">
        <v>825</v>
      </c>
      <c r="M632" s="63">
        <v>0</v>
      </c>
      <c r="N632" s="66">
        <f t="shared" si="38"/>
        <v>0.999</v>
      </c>
      <c r="O632" s="62" t="str">
        <f t="shared" si="39"/>
        <v>4: Engaged Early</v>
      </c>
    </row>
    <row r="633" spans="1:15" ht="15" customHeight="1" x14ac:dyDescent="0.4">
      <c r="A633" s="62" t="s">
        <v>824</v>
      </c>
      <c r="B633" s="62" t="s">
        <v>1275</v>
      </c>
      <c r="C633" s="62" t="s">
        <v>826</v>
      </c>
      <c r="D633" s="63">
        <v>15</v>
      </c>
      <c r="E633" s="63">
        <v>14</v>
      </c>
      <c r="F633" s="63">
        <v>0</v>
      </c>
      <c r="G633" s="64">
        <f t="shared" si="36"/>
        <v>0.93333333333333335</v>
      </c>
      <c r="H633" s="64">
        <f t="shared" si="37"/>
        <v>0</v>
      </c>
      <c r="I633" s="63">
        <v>2</v>
      </c>
      <c r="J633" s="65">
        <v>94.875900000000001</v>
      </c>
      <c r="K633" s="65">
        <v>98.46</v>
      </c>
      <c r="L633" s="62" t="s">
        <v>825</v>
      </c>
      <c r="M633" s="63">
        <v>0</v>
      </c>
      <c r="N633" s="66">
        <f t="shared" si="38"/>
        <v>0.98299999999999998</v>
      </c>
      <c r="O633" s="62" t="str">
        <f t="shared" si="39"/>
        <v>4: Engaged Early</v>
      </c>
    </row>
    <row r="634" spans="1:15" ht="15" customHeight="1" x14ac:dyDescent="0.4">
      <c r="A634" s="62" t="s">
        <v>824</v>
      </c>
      <c r="B634" s="62" t="s">
        <v>1276</v>
      </c>
      <c r="C634" s="62" t="s">
        <v>826</v>
      </c>
      <c r="D634" s="63">
        <v>11</v>
      </c>
      <c r="E634" s="63">
        <v>5</v>
      </c>
      <c r="F634" s="63">
        <v>1</v>
      </c>
      <c r="G634" s="64">
        <f t="shared" si="36"/>
        <v>0.45454545454545453</v>
      </c>
      <c r="H634" s="64">
        <f t="shared" si="37"/>
        <v>9.0909090909090912E-2</v>
      </c>
      <c r="I634" s="63">
        <v>2</v>
      </c>
      <c r="J634" s="65">
        <v>90.373350000000002</v>
      </c>
      <c r="K634" s="65">
        <v>100</v>
      </c>
      <c r="L634" s="62" t="s">
        <v>825</v>
      </c>
      <c r="M634" s="63">
        <v>0</v>
      </c>
      <c r="N634" s="66">
        <f t="shared" si="38"/>
        <v>0.98599999999999999</v>
      </c>
      <c r="O634" s="62" t="str">
        <f t="shared" si="39"/>
        <v>4: Engaged Early</v>
      </c>
    </row>
    <row r="635" spans="1:15" ht="15" customHeight="1" x14ac:dyDescent="0.4">
      <c r="A635" s="62" t="s">
        <v>824</v>
      </c>
      <c r="B635" s="62" t="s">
        <v>1277</v>
      </c>
      <c r="C635" s="62" t="s">
        <v>826</v>
      </c>
      <c r="D635" s="63">
        <v>17</v>
      </c>
      <c r="E635" s="63">
        <v>17</v>
      </c>
      <c r="F635" s="63">
        <v>4</v>
      </c>
      <c r="G635" s="64">
        <f t="shared" si="36"/>
        <v>1</v>
      </c>
      <c r="H635" s="64">
        <f t="shared" si="37"/>
        <v>0.23529411764705882</v>
      </c>
      <c r="I635" s="63">
        <v>2</v>
      </c>
      <c r="J635" s="65">
        <v>70.808549999999997</v>
      </c>
      <c r="K635" s="65">
        <v>92.76</v>
      </c>
      <c r="L635" s="62" t="s">
        <v>826</v>
      </c>
      <c r="M635" s="63">
        <v>0</v>
      </c>
      <c r="N635" s="66">
        <f t="shared" si="38"/>
        <v>0.66300000000000003</v>
      </c>
      <c r="O635" s="62" t="str">
        <f t="shared" si="39"/>
        <v>2: High (No DBWT)</v>
      </c>
    </row>
    <row r="636" spans="1:15" ht="15" customHeight="1" x14ac:dyDescent="0.4">
      <c r="A636" s="62" t="s">
        <v>824</v>
      </c>
      <c r="B636" s="62" t="s">
        <v>1278</v>
      </c>
      <c r="C636" s="62" t="s">
        <v>826</v>
      </c>
      <c r="D636" s="63">
        <v>5</v>
      </c>
      <c r="E636" s="63">
        <v>4</v>
      </c>
      <c r="F636" s="63">
        <v>0</v>
      </c>
      <c r="G636" s="64">
        <f t="shared" si="36"/>
        <v>0.8</v>
      </c>
      <c r="H636" s="64">
        <f t="shared" si="37"/>
        <v>0</v>
      </c>
      <c r="I636" s="63">
        <v>2</v>
      </c>
      <c r="J636" s="65">
        <v>90.97</v>
      </c>
      <c r="K636" s="65">
        <v>93.79</v>
      </c>
      <c r="L636" s="62" t="s">
        <v>825</v>
      </c>
      <c r="M636" s="63">
        <v>0</v>
      </c>
      <c r="N636" s="66">
        <f t="shared" si="38"/>
        <v>0.94899999999999995</v>
      </c>
      <c r="O636" s="62" t="str">
        <f t="shared" si="39"/>
        <v>4: Engaged Early</v>
      </c>
    </row>
    <row r="637" spans="1:15" ht="15" customHeight="1" x14ac:dyDescent="0.4">
      <c r="A637" s="62" t="s">
        <v>824</v>
      </c>
      <c r="B637" s="62" t="s">
        <v>1279</v>
      </c>
      <c r="C637" s="62" t="s">
        <v>826</v>
      </c>
      <c r="D637" s="63">
        <v>15</v>
      </c>
      <c r="E637" s="63">
        <v>15</v>
      </c>
      <c r="F637" s="63">
        <v>4</v>
      </c>
      <c r="G637" s="64">
        <f t="shared" si="36"/>
        <v>1</v>
      </c>
      <c r="H637" s="64">
        <f t="shared" si="37"/>
        <v>0.26666666666666666</v>
      </c>
      <c r="I637" s="63">
        <v>2</v>
      </c>
      <c r="J637" s="65">
        <v>99.96</v>
      </c>
      <c r="K637" s="65">
        <v>100</v>
      </c>
      <c r="L637" s="62" t="s">
        <v>825</v>
      </c>
      <c r="M637" s="63">
        <v>0</v>
      </c>
      <c r="N637" s="66">
        <f t="shared" si="38"/>
        <v>1</v>
      </c>
      <c r="O637" s="62" t="str">
        <f t="shared" si="39"/>
        <v>4: Engaged Early</v>
      </c>
    </row>
    <row r="638" spans="1:15" ht="15" customHeight="1" x14ac:dyDescent="0.4">
      <c r="A638" s="62" t="s">
        <v>824</v>
      </c>
      <c r="B638" s="62" t="s">
        <v>1280</v>
      </c>
      <c r="C638" s="62" t="s">
        <v>826</v>
      </c>
      <c r="D638" s="63">
        <v>12</v>
      </c>
      <c r="E638" s="63">
        <v>9</v>
      </c>
      <c r="F638" s="63">
        <v>0</v>
      </c>
      <c r="G638" s="64">
        <f t="shared" si="36"/>
        <v>0.75</v>
      </c>
      <c r="H638" s="64">
        <f t="shared" si="37"/>
        <v>0</v>
      </c>
      <c r="I638" s="63">
        <v>2</v>
      </c>
      <c r="J638" s="65">
        <v>64.680999999999997</v>
      </c>
      <c r="K638" s="65">
        <v>19.05</v>
      </c>
      <c r="L638" s="62" t="s">
        <v>825</v>
      </c>
      <c r="M638" s="63">
        <v>0</v>
      </c>
      <c r="N638" s="66">
        <f t="shared" si="38"/>
        <v>0.46100000000000002</v>
      </c>
      <c r="O638" s="62" t="str">
        <f t="shared" si="39"/>
        <v>4: Engaged Early</v>
      </c>
    </row>
    <row r="639" spans="1:15" ht="15" customHeight="1" x14ac:dyDescent="0.4">
      <c r="A639" s="62" t="s">
        <v>824</v>
      </c>
      <c r="B639" s="62" t="s">
        <v>1281</v>
      </c>
      <c r="C639" s="62" t="s">
        <v>826</v>
      </c>
      <c r="D639" s="63">
        <v>22</v>
      </c>
      <c r="E639" s="63">
        <v>17</v>
      </c>
      <c r="F639" s="63">
        <v>2</v>
      </c>
      <c r="G639" s="64">
        <f t="shared" si="36"/>
        <v>0.77272727272727271</v>
      </c>
      <c r="H639" s="64">
        <f t="shared" si="37"/>
        <v>9.0909090909090912E-2</v>
      </c>
      <c r="I639" s="63">
        <v>2</v>
      </c>
      <c r="J639" s="65">
        <v>58.643599999999999</v>
      </c>
      <c r="K639" s="65">
        <v>89.57</v>
      </c>
      <c r="L639" s="62" t="s">
        <v>825</v>
      </c>
      <c r="M639" s="63">
        <v>0</v>
      </c>
      <c r="N639" s="66">
        <f t="shared" si="38"/>
        <v>0.875</v>
      </c>
      <c r="O639" s="62" t="str">
        <f t="shared" si="39"/>
        <v>4: Engaged Early</v>
      </c>
    </row>
    <row r="640" spans="1:15" ht="15" customHeight="1" x14ac:dyDescent="0.4">
      <c r="A640" s="62" t="s">
        <v>824</v>
      </c>
      <c r="B640" s="62" t="s">
        <v>1282</v>
      </c>
      <c r="C640" s="62" t="s">
        <v>826</v>
      </c>
      <c r="D640" s="63">
        <v>25</v>
      </c>
      <c r="E640" s="63">
        <v>12</v>
      </c>
      <c r="F640" s="63">
        <v>2</v>
      </c>
      <c r="G640" s="64">
        <f t="shared" si="36"/>
        <v>0.48</v>
      </c>
      <c r="H640" s="64">
        <f t="shared" si="37"/>
        <v>0.08</v>
      </c>
      <c r="I640" s="63">
        <v>2</v>
      </c>
      <c r="J640" s="65">
        <v>86.778599999999997</v>
      </c>
      <c r="K640" s="65">
        <v>56.42</v>
      </c>
      <c r="L640" s="62" t="s">
        <v>825</v>
      </c>
      <c r="M640" s="63">
        <v>0</v>
      </c>
      <c r="N640" s="66">
        <f t="shared" si="38"/>
        <v>0.71899999999999997</v>
      </c>
      <c r="O640" s="62" t="str">
        <f t="shared" si="39"/>
        <v>4: Engaged Early</v>
      </c>
    </row>
    <row r="641" spans="1:15" ht="15" customHeight="1" x14ac:dyDescent="0.4">
      <c r="A641" s="62" t="s">
        <v>824</v>
      </c>
      <c r="B641" s="62" t="s">
        <v>1283</v>
      </c>
      <c r="C641" s="62" t="s">
        <v>826</v>
      </c>
      <c r="D641" s="63">
        <v>18</v>
      </c>
      <c r="E641" s="63">
        <v>15</v>
      </c>
      <c r="F641" s="63">
        <v>3</v>
      </c>
      <c r="G641" s="64">
        <f t="shared" si="36"/>
        <v>0.83333333333333337</v>
      </c>
      <c r="H641" s="64">
        <f t="shared" si="37"/>
        <v>0.16666666666666666</v>
      </c>
      <c r="I641" s="63">
        <v>2</v>
      </c>
      <c r="J641" s="65">
        <v>98.799800000000005</v>
      </c>
      <c r="K641" s="65">
        <v>100</v>
      </c>
      <c r="L641" s="62" t="s">
        <v>825</v>
      </c>
      <c r="M641" s="63">
        <v>0</v>
      </c>
      <c r="N641" s="66">
        <f t="shared" si="38"/>
        <v>0.998</v>
      </c>
      <c r="O641" s="62" t="str">
        <f t="shared" si="39"/>
        <v>4: Engaged Early</v>
      </c>
    </row>
    <row r="642" spans="1:15" ht="15" customHeight="1" x14ac:dyDescent="0.4">
      <c r="A642" s="62" t="s">
        <v>824</v>
      </c>
      <c r="B642" s="62" t="s">
        <v>1284</v>
      </c>
      <c r="C642" s="62" t="s">
        <v>826</v>
      </c>
      <c r="D642" s="63">
        <v>21</v>
      </c>
      <c r="E642" s="63">
        <v>9</v>
      </c>
      <c r="F642" s="63">
        <v>1</v>
      </c>
      <c r="G642" s="64">
        <f t="shared" ref="G642:G705" si="40">IFERROR(E642/D642,0)</f>
        <v>0.42857142857142855</v>
      </c>
      <c r="H642" s="64">
        <f t="shared" ref="H642:H705" si="41">IFERROR(F642/D642,0)</f>
        <v>4.7619047619047616E-2</v>
      </c>
      <c r="I642" s="63">
        <v>2</v>
      </c>
      <c r="J642" s="65">
        <v>57.556699999999999</v>
      </c>
      <c r="K642" s="65">
        <v>63.7</v>
      </c>
      <c r="L642" s="62" t="s">
        <v>825</v>
      </c>
      <c r="M642" s="63">
        <v>0</v>
      </c>
      <c r="N642" s="66">
        <f t="shared" ref="N642:N705" si="42">ROUND(IFERROR(K642/100,0)*0.6 + IF(L642="Yes",1,IF(L642="No",0,0.3))*0.25 + IFERROR(J642/100,0)*0.15,3)</f>
        <v>0.71899999999999997</v>
      </c>
      <c r="O642" s="62" t="str">
        <f t="shared" ref="O642:O705" si="43">IF(AND(L642="No",I642=0),"1: Critical (No DBWT + No Wk0)",IF(L642="No","2: High (No DBWT)",IF(I642=0,"3: Elevated (No Wk0)","4: Engaged Early")))</f>
        <v>4: Engaged Early</v>
      </c>
    </row>
    <row r="643" spans="1:15" ht="15" customHeight="1" x14ac:dyDescent="0.4">
      <c r="A643" s="62" t="s">
        <v>824</v>
      </c>
      <c r="B643" s="62" t="s">
        <v>1285</v>
      </c>
      <c r="C643" s="62" t="s">
        <v>826</v>
      </c>
      <c r="D643" s="63">
        <v>5</v>
      </c>
      <c r="E643" s="63">
        <v>2</v>
      </c>
      <c r="F643" s="63">
        <v>0</v>
      </c>
      <c r="G643" s="64">
        <f t="shared" si="40"/>
        <v>0.4</v>
      </c>
      <c r="H643" s="64">
        <f t="shared" si="41"/>
        <v>0</v>
      </c>
      <c r="I643" s="63">
        <v>2</v>
      </c>
      <c r="J643" s="65">
        <v>95.271649999999994</v>
      </c>
      <c r="K643" s="65">
        <v>100</v>
      </c>
      <c r="L643" s="62" t="s">
        <v>826</v>
      </c>
      <c r="M643" s="63">
        <v>0</v>
      </c>
      <c r="N643" s="66">
        <f t="shared" si="42"/>
        <v>0.74299999999999999</v>
      </c>
      <c r="O643" s="62" t="str">
        <f t="shared" si="43"/>
        <v>2: High (No DBWT)</v>
      </c>
    </row>
    <row r="644" spans="1:15" ht="15" customHeight="1" x14ac:dyDescent="0.4">
      <c r="A644" s="62" t="s">
        <v>824</v>
      </c>
      <c r="B644" s="62" t="s">
        <v>1286</v>
      </c>
      <c r="C644" s="62" t="s">
        <v>826</v>
      </c>
      <c r="D644" s="63">
        <v>12</v>
      </c>
      <c r="E644" s="63">
        <v>12</v>
      </c>
      <c r="F644" s="63">
        <v>4</v>
      </c>
      <c r="G644" s="64">
        <f t="shared" si="40"/>
        <v>1</v>
      </c>
      <c r="H644" s="64">
        <f t="shared" si="41"/>
        <v>0.33333333333333331</v>
      </c>
      <c r="I644" s="63">
        <v>2</v>
      </c>
      <c r="J644" s="65">
        <v>98.501499999999993</v>
      </c>
      <c r="K644" s="65">
        <v>100</v>
      </c>
      <c r="L644" s="62" t="s">
        <v>825</v>
      </c>
      <c r="M644" s="63">
        <v>0</v>
      </c>
      <c r="N644" s="66">
        <f t="shared" si="42"/>
        <v>0.998</v>
      </c>
      <c r="O644" s="62" t="str">
        <f t="shared" si="43"/>
        <v>4: Engaged Early</v>
      </c>
    </row>
    <row r="645" spans="1:15" ht="15" customHeight="1" x14ac:dyDescent="0.4">
      <c r="A645" s="62" t="s">
        <v>824</v>
      </c>
      <c r="B645" s="62" t="s">
        <v>623</v>
      </c>
      <c r="C645" s="62" t="s">
        <v>825</v>
      </c>
      <c r="D645" s="63">
        <v>17</v>
      </c>
      <c r="E645" s="63">
        <v>12</v>
      </c>
      <c r="F645" s="63">
        <v>2</v>
      </c>
      <c r="G645" s="64">
        <f t="shared" si="40"/>
        <v>0.70588235294117652</v>
      </c>
      <c r="H645" s="64">
        <f t="shared" si="41"/>
        <v>0.11764705882352941</v>
      </c>
      <c r="I645" s="63">
        <v>2</v>
      </c>
      <c r="J645" s="65">
        <v>59.619799999999998</v>
      </c>
      <c r="K645" s="65">
        <v>49.87</v>
      </c>
      <c r="L645" s="62" t="s">
        <v>825</v>
      </c>
      <c r="M645" s="63">
        <v>0</v>
      </c>
      <c r="N645" s="66">
        <f t="shared" si="42"/>
        <v>0.63900000000000001</v>
      </c>
      <c r="O645" s="62" t="str">
        <f t="shared" si="43"/>
        <v>4: Engaged Early</v>
      </c>
    </row>
    <row r="646" spans="1:15" ht="15" customHeight="1" x14ac:dyDescent="0.4">
      <c r="A646" s="62" t="s">
        <v>824</v>
      </c>
      <c r="B646" s="62" t="s">
        <v>1287</v>
      </c>
      <c r="C646" s="62" t="s">
        <v>826</v>
      </c>
      <c r="D646" s="63">
        <v>17</v>
      </c>
      <c r="E646" s="63">
        <v>15</v>
      </c>
      <c r="F646" s="63">
        <v>6</v>
      </c>
      <c r="G646" s="64">
        <f t="shared" si="40"/>
        <v>0.88235294117647056</v>
      </c>
      <c r="H646" s="64">
        <f t="shared" si="41"/>
        <v>0.35294117647058826</v>
      </c>
      <c r="I646" s="63">
        <v>2</v>
      </c>
      <c r="J646" s="65">
        <v>98.404250000000005</v>
      </c>
      <c r="K646" s="65">
        <v>100</v>
      </c>
      <c r="L646" s="62" t="s">
        <v>825</v>
      </c>
      <c r="M646" s="63">
        <v>0</v>
      </c>
      <c r="N646" s="66">
        <f t="shared" si="42"/>
        <v>0.998</v>
      </c>
      <c r="O646" s="62" t="str">
        <f t="shared" si="43"/>
        <v>4: Engaged Early</v>
      </c>
    </row>
    <row r="647" spans="1:15" ht="15" customHeight="1" x14ac:dyDescent="0.4">
      <c r="A647" s="62" t="s">
        <v>824</v>
      </c>
      <c r="B647" s="62" t="s">
        <v>1288</v>
      </c>
      <c r="C647" s="62" t="s">
        <v>826</v>
      </c>
      <c r="D647" s="63">
        <v>0</v>
      </c>
      <c r="E647" s="63">
        <v>0</v>
      </c>
      <c r="F647" s="63">
        <v>0</v>
      </c>
      <c r="G647" s="64">
        <f t="shared" si="40"/>
        <v>0</v>
      </c>
      <c r="H647" s="64">
        <f t="shared" si="41"/>
        <v>0</v>
      </c>
      <c r="I647" s="63">
        <v>0</v>
      </c>
      <c r="J647" s="65"/>
      <c r="K647" s="65">
        <v>14.05</v>
      </c>
      <c r="L647" s="62" t="s">
        <v>840</v>
      </c>
      <c r="M647" s="63">
        <v>0</v>
      </c>
      <c r="N647" s="66">
        <f t="shared" si="42"/>
        <v>0.159</v>
      </c>
      <c r="O647" s="62" t="str">
        <f t="shared" si="43"/>
        <v>3: Elevated (No Wk0)</v>
      </c>
    </row>
    <row r="648" spans="1:15" ht="15" customHeight="1" x14ac:dyDescent="0.4">
      <c r="A648" s="62" t="s">
        <v>824</v>
      </c>
      <c r="B648" s="62" t="s">
        <v>1289</v>
      </c>
      <c r="C648" s="62" t="s">
        <v>826</v>
      </c>
      <c r="D648" s="63">
        <v>22</v>
      </c>
      <c r="E648" s="63">
        <v>21</v>
      </c>
      <c r="F648" s="63">
        <v>2</v>
      </c>
      <c r="G648" s="64">
        <f t="shared" si="40"/>
        <v>0.95454545454545459</v>
      </c>
      <c r="H648" s="64">
        <f t="shared" si="41"/>
        <v>9.0909090909090912E-2</v>
      </c>
      <c r="I648" s="63">
        <v>2</v>
      </c>
      <c r="J648" s="65">
        <v>95.20205</v>
      </c>
      <c r="K648" s="65">
        <v>100</v>
      </c>
      <c r="L648" s="62" t="s">
        <v>825</v>
      </c>
      <c r="M648" s="63">
        <v>0</v>
      </c>
      <c r="N648" s="66">
        <f t="shared" si="42"/>
        <v>0.99299999999999999</v>
      </c>
      <c r="O648" s="62" t="str">
        <f t="shared" si="43"/>
        <v>4: Engaged Early</v>
      </c>
    </row>
    <row r="649" spans="1:15" ht="15" customHeight="1" x14ac:dyDescent="0.4">
      <c r="A649" s="62" t="s">
        <v>824</v>
      </c>
      <c r="B649" s="62" t="s">
        <v>535</v>
      </c>
      <c r="C649" s="62" t="s">
        <v>825</v>
      </c>
      <c r="D649" s="63">
        <v>15</v>
      </c>
      <c r="E649" s="63">
        <v>7</v>
      </c>
      <c r="F649" s="63">
        <v>3</v>
      </c>
      <c r="G649" s="64">
        <f t="shared" si="40"/>
        <v>0.46666666666666667</v>
      </c>
      <c r="H649" s="64">
        <f t="shared" si="41"/>
        <v>0.2</v>
      </c>
      <c r="I649" s="63">
        <v>2</v>
      </c>
      <c r="J649" s="65">
        <v>99.285499999999999</v>
      </c>
      <c r="K649" s="65">
        <v>33.33</v>
      </c>
      <c r="L649" s="62" t="s">
        <v>826</v>
      </c>
      <c r="M649" s="63">
        <v>0</v>
      </c>
      <c r="N649" s="66">
        <f t="shared" si="42"/>
        <v>0.34899999999999998</v>
      </c>
      <c r="O649" s="62" t="str">
        <f t="shared" si="43"/>
        <v>2: High (No DBWT)</v>
      </c>
    </row>
    <row r="650" spans="1:15" ht="15" customHeight="1" x14ac:dyDescent="0.4">
      <c r="A650" s="62" t="s">
        <v>824</v>
      </c>
      <c r="B650" s="62" t="s">
        <v>1290</v>
      </c>
      <c r="C650" s="62" t="s">
        <v>826</v>
      </c>
      <c r="D650" s="63">
        <v>16</v>
      </c>
      <c r="E650" s="63">
        <v>4</v>
      </c>
      <c r="F650" s="63">
        <v>0</v>
      </c>
      <c r="G650" s="64">
        <f t="shared" si="40"/>
        <v>0.25</v>
      </c>
      <c r="H650" s="64">
        <f t="shared" si="41"/>
        <v>0</v>
      </c>
      <c r="I650" s="63">
        <v>2</v>
      </c>
      <c r="J650" s="65">
        <v>85.383650000000003</v>
      </c>
      <c r="K650" s="65">
        <v>100</v>
      </c>
      <c r="L650" s="62" t="s">
        <v>825</v>
      </c>
      <c r="M650" s="63">
        <v>1</v>
      </c>
      <c r="N650" s="66">
        <f t="shared" si="42"/>
        <v>0.97799999999999998</v>
      </c>
      <c r="O650" s="62" t="str">
        <f t="shared" si="43"/>
        <v>4: Engaged Early</v>
      </c>
    </row>
    <row r="651" spans="1:15" ht="15" customHeight="1" x14ac:dyDescent="0.4">
      <c r="A651" s="62" t="s">
        <v>824</v>
      </c>
      <c r="B651" s="62" t="s">
        <v>649</v>
      </c>
      <c r="C651" s="62" t="s">
        <v>825</v>
      </c>
      <c r="D651" s="63">
        <v>16</v>
      </c>
      <c r="E651" s="63">
        <v>9</v>
      </c>
      <c r="F651" s="63">
        <v>1</v>
      </c>
      <c r="G651" s="64">
        <f t="shared" si="40"/>
        <v>0.5625</v>
      </c>
      <c r="H651" s="64">
        <f t="shared" si="41"/>
        <v>6.25E-2</v>
      </c>
      <c r="I651" s="63">
        <v>2</v>
      </c>
      <c r="J651" s="65">
        <v>59.842750000000002</v>
      </c>
      <c r="K651" s="65">
        <v>59.41</v>
      </c>
      <c r="L651" s="62" t="s">
        <v>825</v>
      </c>
      <c r="M651" s="63">
        <v>0</v>
      </c>
      <c r="N651" s="66">
        <f t="shared" si="42"/>
        <v>0.69599999999999995</v>
      </c>
      <c r="O651" s="62" t="str">
        <f t="shared" si="43"/>
        <v>4: Engaged Early</v>
      </c>
    </row>
    <row r="652" spans="1:15" ht="15" customHeight="1" x14ac:dyDescent="0.4">
      <c r="A652" s="62" t="s">
        <v>824</v>
      </c>
      <c r="B652" s="62" t="s">
        <v>1291</v>
      </c>
      <c r="C652" s="62" t="s">
        <v>826</v>
      </c>
      <c r="D652" s="63">
        <v>10</v>
      </c>
      <c r="E652" s="63">
        <v>10</v>
      </c>
      <c r="F652" s="63">
        <v>3</v>
      </c>
      <c r="G652" s="64">
        <f t="shared" si="40"/>
        <v>1</v>
      </c>
      <c r="H652" s="64">
        <f t="shared" si="41"/>
        <v>0.3</v>
      </c>
      <c r="I652" s="63">
        <v>2</v>
      </c>
      <c r="J652" s="65">
        <v>86.533649999999994</v>
      </c>
      <c r="K652" s="65">
        <v>97.91</v>
      </c>
      <c r="L652" s="62" t="s">
        <v>825</v>
      </c>
      <c r="M652" s="63">
        <v>0</v>
      </c>
      <c r="N652" s="66">
        <f t="shared" si="42"/>
        <v>0.96699999999999997</v>
      </c>
      <c r="O652" s="62" t="str">
        <f t="shared" si="43"/>
        <v>4: Engaged Early</v>
      </c>
    </row>
    <row r="653" spans="1:15" ht="15" customHeight="1" x14ac:dyDescent="0.4">
      <c r="A653" s="62" t="s">
        <v>824</v>
      </c>
      <c r="B653" s="62" t="s">
        <v>1292</v>
      </c>
      <c r="C653" s="62" t="s">
        <v>826</v>
      </c>
      <c r="D653" s="63">
        <v>0</v>
      </c>
      <c r="E653" s="63">
        <v>0</v>
      </c>
      <c r="F653" s="63">
        <v>0</v>
      </c>
      <c r="G653" s="64">
        <f t="shared" si="40"/>
        <v>0</v>
      </c>
      <c r="H653" s="64">
        <f t="shared" si="41"/>
        <v>0</v>
      </c>
      <c r="I653" s="63">
        <v>1</v>
      </c>
      <c r="J653" s="65">
        <v>100</v>
      </c>
      <c r="K653" s="65">
        <v>96.01</v>
      </c>
      <c r="L653" s="62" t="s">
        <v>840</v>
      </c>
      <c r="M653" s="63">
        <v>0</v>
      </c>
      <c r="N653" s="66">
        <f t="shared" si="42"/>
        <v>0.80100000000000005</v>
      </c>
      <c r="O653" s="62" t="str">
        <f t="shared" si="43"/>
        <v>4: Engaged Early</v>
      </c>
    </row>
    <row r="654" spans="1:15" ht="15" customHeight="1" x14ac:dyDescent="0.4">
      <c r="A654" s="62" t="s">
        <v>824</v>
      </c>
      <c r="B654" s="62" t="s">
        <v>1293</v>
      </c>
      <c r="C654" s="62" t="s">
        <v>826</v>
      </c>
      <c r="D654" s="63">
        <v>10</v>
      </c>
      <c r="E654" s="63">
        <v>8</v>
      </c>
      <c r="F654" s="63">
        <v>2</v>
      </c>
      <c r="G654" s="64">
        <f t="shared" si="40"/>
        <v>0.8</v>
      </c>
      <c r="H654" s="64">
        <f t="shared" si="41"/>
        <v>0.2</v>
      </c>
      <c r="I654" s="63">
        <v>2</v>
      </c>
      <c r="J654" s="65">
        <v>96.203999999999994</v>
      </c>
      <c r="K654" s="65">
        <v>100</v>
      </c>
      <c r="L654" s="62" t="s">
        <v>825</v>
      </c>
      <c r="M654" s="63">
        <v>2</v>
      </c>
      <c r="N654" s="66">
        <f t="shared" si="42"/>
        <v>0.99399999999999999</v>
      </c>
      <c r="O654" s="62" t="str">
        <f t="shared" si="43"/>
        <v>4: Engaged Early</v>
      </c>
    </row>
    <row r="655" spans="1:15" ht="15" customHeight="1" x14ac:dyDescent="0.4">
      <c r="A655" s="62" t="s">
        <v>824</v>
      </c>
      <c r="B655" s="62" t="s">
        <v>1294</v>
      </c>
      <c r="C655" s="62" t="s">
        <v>826</v>
      </c>
      <c r="D655" s="63">
        <v>5</v>
      </c>
      <c r="E655" s="63">
        <v>5</v>
      </c>
      <c r="F655" s="63">
        <v>0</v>
      </c>
      <c r="G655" s="64">
        <f t="shared" si="40"/>
        <v>1</v>
      </c>
      <c r="H655" s="64">
        <f t="shared" si="41"/>
        <v>0</v>
      </c>
      <c r="I655" s="63">
        <v>2</v>
      </c>
      <c r="J655" s="65">
        <v>91.801749999999998</v>
      </c>
      <c r="K655" s="65">
        <v>77.78</v>
      </c>
      <c r="L655" s="62" t="s">
        <v>825</v>
      </c>
      <c r="M655" s="63">
        <v>0</v>
      </c>
      <c r="N655" s="66">
        <f t="shared" si="42"/>
        <v>0.85399999999999998</v>
      </c>
      <c r="O655" s="62" t="str">
        <f t="shared" si="43"/>
        <v>4: Engaged Early</v>
      </c>
    </row>
    <row r="656" spans="1:15" ht="15" customHeight="1" x14ac:dyDescent="0.4">
      <c r="A656" s="62" t="s">
        <v>824</v>
      </c>
      <c r="B656" s="62" t="s">
        <v>1295</v>
      </c>
      <c r="C656" s="62" t="s">
        <v>826</v>
      </c>
      <c r="D656" s="63">
        <v>13</v>
      </c>
      <c r="E656" s="63">
        <v>13</v>
      </c>
      <c r="F656" s="63">
        <v>2</v>
      </c>
      <c r="G656" s="64">
        <f t="shared" si="40"/>
        <v>1</v>
      </c>
      <c r="H656" s="64">
        <f t="shared" si="41"/>
        <v>0.15384615384615385</v>
      </c>
      <c r="I656" s="63">
        <v>2</v>
      </c>
      <c r="J656" s="65">
        <v>44.493200000000002</v>
      </c>
      <c r="K656" s="65">
        <v>89.27</v>
      </c>
      <c r="L656" s="62" t="s">
        <v>825</v>
      </c>
      <c r="M656" s="63">
        <v>0</v>
      </c>
      <c r="N656" s="66">
        <f t="shared" si="42"/>
        <v>0.85199999999999998</v>
      </c>
      <c r="O656" s="62" t="str">
        <f t="shared" si="43"/>
        <v>4: Engaged Early</v>
      </c>
    </row>
    <row r="657" spans="1:15" ht="15" customHeight="1" x14ac:dyDescent="0.4">
      <c r="A657" s="62" t="s">
        <v>824</v>
      </c>
      <c r="B657" s="62" t="s">
        <v>1296</v>
      </c>
      <c r="C657" s="62" t="s">
        <v>826</v>
      </c>
      <c r="D657" s="63">
        <v>7</v>
      </c>
      <c r="E657" s="63">
        <v>6</v>
      </c>
      <c r="F657" s="63">
        <v>0</v>
      </c>
      <c r="G657" s="64">
        <f t="shared" si="40"/>
        <v>0.8571428571428571</v>
      </c>
      <c r="H657" s="64">
        <f t="shared" si="41"/>
        <v>0</v>
      </c>
      <c r="I657" s="63">
        <v>2</v>
      </c>
      <c r="J657" s="65">
        <v>99.674999999999997</v>
      </c>
      <c r="K657" s="65">
        <v>100</v>
      </c>
      <c r="L657" s="62" t="s">
        <v>825</v>
      </c>
      <c r="M657" s="63">
        <v>0</v>
      </c>
      <c r="N657" s="66">
        <f t="shared" si="42"/>
        <v>1</v>
      </c>
      <c r="O657" s="62" t="str">
        <f t="shared" si="43"/>
        <v>4: Engaged Early</v>
      </c>
    </row>
    <row r="658" spans="1:15" ht="15" customHeight="1" x14ac:dyDescent="0.4">
      <c r="A658" s="62" t="s">
        <v>824</v>
      </c>
      <c r="B658" s="62" t="s">
        <v>1297</v>
      </c>
      <c r="C658" s="62" t="s">
        <v>826</v>
      </c>
      <c r="D658" s="63">
        <v>13</v>
      </c>
      <c r="E658" s="63">
        <v>12</v>
      </c>
      <c r="F658" s="63">
        <v>1</v>
      </c>
      <c r="G658" s="64">
        <f t="shared" si="40"/>
        <v>0.92307692307692313</v>
      </c>
      <c r="H658" s="64">
        <f t="shared" si="41"/>
        <v>7.6923076923076927E-2</v>
      </c>
      <c r="I658" s="63">
        <v>2</v>
      </c>
      <c r="J658" s="65">
        <v>99.270899999999997</v>
      </c>
      <c r="K658" s="65">
        <v>100</v>
      </c>
      <c r="L658" s="62" t="s">
        <v>825</v>
      </c>
      <c r="M658" s="63">
        <v>0</v>
      </c>
      <c r="N658" s="66">
        <f t="shared" si="42"/>
        <v>0.999</v>
      </c>
      <c r="O658" s="62" t="str">
        <f t="shared" si="43"/>
        <v>4: Engaged Early</v>
      </c>
    </row>
    <row r="659" spans="1:15" ht="15" customHeight="1" x14ac:dyDescent="0.4">
      <c r="A659" s="62" t="s">
        <v>824</v>
      </c>
      <c r="B659" s="62" t="s">
        <v>1298</v>
      </c>
      <c r="C659" s="62" t="s">
        <v>826</v>
      </c>
      <c r="D659" s="63">
        <v>3</v>
      </c>
      <c r="E659" s="63">
        <v>2</v>
      </c>
      <c r="F659" s="63">
        <v>0</v>
      </c>
      <c r="G659" s="64">
        <f t="shared" si="40"/>
        <v>0.66666666666666663</v>
      </c>
      <c r="H659" s="64">
        <f t="shared" si="41"/>
        <v>0</v>
      </c>
      <c r="I659" s="63">
        <v>2</v>
      </c>
      <c r="J659" s="65">
        <v>25.748200000000001</v>
      </c>
      <c r="K659" s="65">
        <v>46.52</v>
      </c>
      <c r="L659" s="62" t="s">
        <v>825</v>
      </c>
      <c r="M659" s="63">
        <v>0</v>
      </c>
      <c r="N659" s="66">
        <f t="shared" si="42"/>
        <v>0.56799999999999995</v>
      </c>
      <c r="O659" s="62" t="str">
        <f t="shared" si="43"/>
        <v>4: Engaged Early</v>
      </c>
    </row>
    <row r="660" spans="1:15" ht="15" customHeight="1" x14ac:dyDescent="0.4">
      <c r="A660" s="62" t="s">
        <v>824</v>
      </c>
      <c r="B660" s="62" t="s">
        <v>645</v>
      </c>
      <c r="C660" s="62" t="s">
        <v>825</v>
      </c>
      <c r="D660" s="63">
        <v>10</v>
      </c>
      <c r="E660" s="63">
        <v>7</v>
      </c>
      <c r="F660" s="63">
        <v>3</v>
      </c>
      <c r="G660" s="64">
        <f t="shared" si="40"/>
        <v>0.7</v>
      </c>
      <c r="H660" s="64">
        <f t="shared" si="41"/>
        <v>0.3</v>
      </c>
      <c r="I660" s="63">
        <v>2</v>
      </c>
      <c r="J660" s="65">
        <v>96.307299999999998</v>
      </c>
      <c r="K660" s="65">
        <v>25.02</v>
      </c>
      <c r="L660" s="62" t="s">
        <v>826</v>
      </c>
      <c r="M660" s="63">
        <v>0</v>
      </c>
      <c r="N660" s="66">
        <f t="shared" si="42"/>
        <v>0.29499999999999998</v>
      </c>
      <c r="O660" s="62" t="str">
        <f t="shared" si="43"/>
        <v>2: High (No DBWT)</v>
      </c>
    </row>
    <row r="661" spans="1:15" ht="15" customHeight="1" x14ac:dyDescent="0.4">
      <c r="A661" s="62" t="s">
        <v>824</v>
      </c>
      <c r="B661" s="62" t="s">
        <v>1299</v>
      </c>
      <c r="C661" s="62" t="s">
        <v>826</v>
      </c>
      <c r="D661" s="63">
        <v>5</v>
      </c>
      <c r="E661" s="63">
        <v>4</v>
      </c>
      <c r="F661" s="63">
        <v>0</v>
      </c>
      <c r="G661" s="64">
        <f t="shared" si="40"/>
        <v>0.8</v>
      </c>
      <c r="H661" s="64">
        <f t="shared" si="41"/>
        <v>0</v>
      </c>
      <c r="I661" s="63">
        <v>2</v>
      </c>
      <c r="J661" s="65">
        <v>92.088449999999995</v>
      </c>
      <c r="K661" s="65">
        <v>100</v>
      </c>
      <c r="L661" s="62" t="s">
        <v>825</v>
      </c>
      <c r="M661" s="63">
        <v>0</v>
      </c>
      <c r="N661" s="66">
        <f t="shared" si="42"/>
        <v>0.98799999999999999</v>
      </c>
      <c r="O661" s="62" t="str">
        <f t="shared" si="43"/>
        <v>4: Engaged Early</v>
      </c>
    </row>
    <row r="662" spans="1:15" ht="15" customHeight="1" x14ac:dyDescent="0.4">
      <c r="A662" s="62" t="s">
        <v>824</v>
      </c>
      <c r="B662" s="62" t="s">
        <v>1300</v>
      </c>
      <c r="C662" s="62" t="s">
        <v>826</v>
      </c>
      <c r="D662" s="63">
        <v>18</v>
      </c>
      <c r="E662" s="63">
        <v>13</v>
      </c>
      <c r="F662" s="63">
        <v>3</v>
      </c>
      <c r="G662" s="64">
        <f t="shared" si="40"/>
        <v>0.72222222222222221</v>
      </c>
      <c r="H662" s="64">
        <f t="shared" si="41"/>
        <v>0.16666666666666666</v>
      </c>
      <c r="I662" s="63">
        <v>2</v>
      </c>
      <c r="J662" s="65">
        <v>94.122200000000007</v>
      </c>
      <c r="K662" s="65">
        <v>55.56</v>
      </c>
      <c r="L662" s="62" t="s">
        <v>825</v>
      </c>
      <c r="M662" s="63">
        <v>0</v>
      </c>
      <c r="N662" s="66">
        <f t="shared" si="42"/>
        <v>0.72499999999999998</v>
      </c>
      <c r="O662" s="62" t="str">
        <f t="shared" si="43"/>
        <v>4: Engaged Early</v>
      </c>
    </row>
    <row r="663" spans="1:15" ht="15" customHeight="1" x14ac:dyDescent="0.4">
      <c r="A663" s="62" t="s">
        <v>824</v>
      </c>
      <c r="B663" s="62" t="s">
        <v>1301</v>
      </c>
      <c r="C663" s="62" t="s">
        <v>826</v>
      </c>
      <c r="D663" s="63">
        <v>0</v>
      </c>
      <c r="E663" s="63">
        <v>0</v>
      </c>
      <c r="F663" s="63">
        <v>0</v>
      </c>
      <c r="G663" s="64">
        <f t="shared" si="40"/>
        <v>0</v>
      </c>
      <c r="H663" s="64">
        <f t="shared" si="41"/>
        <v>0</v>
      </c>
      <c r="I663" s="63">
        <v>1</v>
      </c>
      <c r="J663" s="65">
        <v>100</v>
      </c>
      <c r="K663" s="65">
        <v>45.7</v>
      </c>
      <c r="L663" s="62" t="s">
        <v>840</v>
      </c>
      <c r="M663" s="63">
        <v>1</v>
      </c>
      <c r="N663" s="66">
        <f t="shared" si="42"/>
        <v>0.499</v>
      </c>
      <c r="O663" s="62" t="str">
        <f t="shared" si="43"/>
        <v>4: Engaged Early</v>
      </c>
    </row>
    <row r="664" spans="1:15" ht="15" customHeight="1" x14ac:dyDescent="0.4">
      <c r="A664" s="62" t="s">
        <v>824</v>
      </c>
      <c r="B664" s="62" t="s">
        <v>1302</v>
      </c>
      <c r="C664" s="62" t="s">
        <v>826</v>
      </c>
      <c r="D664" s="63">
        <v>3</v>
      </c>
      <c r="E664" s="63">
        <v>1</v>
      </c>
      <c r="F664" s="63">
        <v>1</v>
      </c>
      <c r="G664" s="64">
        <f t="shared" si="40"/>
        <v>0.33333333333333331</v>
      </c>
      <c r="H664" s="64">
        <f t="shared" si="41"/>
        <v>0.33333333333333331</v>
      </c>
      <c r="I664" s="63">
        <v>2</v>
      </c>
      <c r="J664" s="65">
        <v>92.912700000000001</v>
      </c>
      <c r="K664" s="65">
        <v>82.76</v>
      </c>
      <c r="L664" s="62" t="s">
        <v>825</v>
      </c>
      <c r="M664" s="63">
        <v>0</v>
      </c>
      <c r="N664" s="66">
        <f t="shared" si="42"/>
        <v>0.88600000000000001</v>
      </c>
      <c r="O664" s="62" t="str">
        <f t="shared" si="43"/>
        <v>4: Engaged Early</v>
      </c>
    </row>
    <row r="665" spans="1:15" ht="15" customHeight="1" x14ac:dyDescent="0.4">
      <c r="A665" s="62" t="s">
        <v>824</v>
      </c>
      <c r="B665" s="62" t="s">
        <v>1303</v>
      </c>
      <c r="C665" s="62" t="s">
        <v>826</v>
      </c>
      <c r="D665" s="63">
        <v>8</v>
      </c>
      <c r="E665" s="63">
        <v>8</v>
      </c>
      <c r="F665" s="63">
        <v>0</v>
      </c>
      <c r="G665" s="64">
        <f t="shared" si="40"/>
        <v>1</v>
      </c>
      <c r="H665" s="64">
        <f t="shared" si="41"/>
        <v>0</v>
      </c>
      <c r="I665" s="63">
        <v>2</v>
      </c>
      <c r="J665" s="65">
        <v>67.383899999999997</v>
      </c>
      <c r="K665" s="65">
        <v>93.11</v>
      </c>
      <c r="L665" s="62" t="s">
        <v>825</v>
      </c>
      <c r="M665" s="63">
        <v>0</v>
      </c>
      <c r="N665" s="66">
        <f t="shared" si="42"/>
        <v>0.91</v>
      </c>
      <c r="O665" s="62" t="str">
        <f t="shared" si="43"/>
        <v>4: Engaged Early</v>
      </c>
    </row>
    <row r="666" spans="1:15" ht="15" customHeight="1" x14ac:dyDescent="0.4">
      <c r="A666" s="62" t="s">
        <v>824</v>
      </c>
      <c r="B666" s="62" t="s">
        <v>260</v>
      </c>
      <c r="C666" s="62" t="s">
        <v>825</v>
      </c>
      <c r="D666" s="63">
        <v>17</v>
      </c>
      <c r="E666" s="63">
        <v>5</v>
      </c>
      <c r="F666" s="63">
        <v>1</v>
      </c>
      <c r="G666" s="64">
        <f t="shared" si="40"/>
        <v>0.29411764705882354</v>
      </c>
      <c r="H666" s="64">
        <f t="shared" si="41"/>
        <v>5.8823529411764705E-2</v>
      </c>
      <c r="I666" s="63">
        <v>2</v>
      </c>
      <c r="J666" s="65">
        <v>36.845399999999998</v>
      </c>
      <c r="K666" s="65">
        <v>11.78</v>
      </c>
      <c r="L666" s="62" t="s">
        <v>826</v>
      </c>
      <c r="M666" s="63">
        <v>0</v>
      </c>
      <c r="N666" s="66">
        <f t="shared" si="42"/>
        <v>0.126</v>
      </c>
      <c r="O666" s="62" t="str">
        <f t="shared" si="43"/>
        <v>2: High (No DBWT)</v>
      </c>
    </row>
    <row r="667" spans="1:15" ht="15" customHeight="1" x14ac:dyDescent="0.4">
      <c r="A667" s="62" t="s">
        <v>824</v>
      </c>
      <c r="B667" s="62" t="s">
        <v>1304</v>
      </c>
      <c r="C667" s="62" t="s">
        <v>826</v>
      </c>
      <c r="D667" s="63">
        <v>12</v>
      </c>
      <c r="E667" s="63">
        <v>11</v>
      </c>
      <c r="F667" s="63">
        <v>3</v>
      </c>
      <c r="G667" s="64">
        <f t="shared" si="40"/>
        <v>0.91666666666666663</v>
      </c>
      <c r="H667" s="64">
        <f t="shared" si="41"/>
        <v>0.25</v>
      </c>
      <c r="I667" s="63">
        <v>2</v>
      </c>
      <c r="J667" s="65">
        <v>91.99</v>
      </c>
      <c r="K667" s="65">
        <v>100</v>
      </c>
      <c r="L667" s="62" t="s">
        <v>826</v>
      </c>
      <c r="M667" s="63">
        <v>0</v>
      </c>
      <c r="N667" s="66">
        <f t="shared" si="42"/>
        <v>0.73799999999999999</v>
      </c>
      <c r="O667" s="62" t="str">
        <f t="shared" si="43"/>
        <v>2: High (No DBWT)</v>
      </c>
    </row>
    <row r="668" spans="1:15" ht="15" customHeight="1" x14ac:dyDescent="0.4">
      <c r="A668" s="62" t="s">
        <v>824</v>
      </c>
      <c r="B668" s="62" t="s">
        <v>1305</v>
      </c>
      <c r="C668" s="62" t="s">
        <v>826</v>
      </c>
      <c r="D668" s="63">
        <v>14</v>
      </c>
      <c r="E668" s="63">
        <v>12</v>
      </c>
      <c r="F668" s="63">
        <v>3</v>
      </c>
      <c r="G668" s="64">
        <f t="shared" si="40"/>
        <v>0.8571428571428571</v>
      </c>
      <c r="H668" s="64">
        <f t="shared" si="41"/>
        <v>0.21428571428571427</v>
      </c>
      <c r="I668" s="63">
        <v>2</v>
      </c>
      <c r="J668" s="65">
        <v>86.634550000000004</v>
      </c>
      <c r="K668" s="65">
        <v>90.25</v>
      </c>
      <c r="L668" s="62" t="s">
        <v>825</v>
      </c>
      <c r="M668" s="63">
        <v>2</v>
      </c>
      <c r="N668" s="66">
        <f t="shared" si="42"/>
        <v>0.92100000000000004</v>
      </c>
      <c r="O668" s="62" t="str">
        <f t="shared" si="43"/>
        <v>4: Engaged Early</v>
      </c>
    </row>
    <row r="669" spans="1:15" ht="15" customHeight="1" x14ac:dyDescent="0.4">
      <c r="A669" s="62" t="s">
        <v>824</v>
      </c>
      <c r="B669" s="62" t="s">
        <v>1306</v>
      </c>
      <c r="C669" s="62" t="s">
        <v>826</v>
      </c>
      <c r="D669" s="63">
        <v>10</v>
      </c>
      <c r="E669" s="63">
        <v>5</v>
      </c>
      <c r="F669" s="63">
        <v>1</v>
      </c>
      <c r="G669" s="64">
        <f t="shared" si="40"/>
        <v>0.5</v>
      </c>
      <c r="H669" s="64">
        <f t="shared" si="41"/>
        <v>0.1</v>
      </c>
      <c r="I669" s="63">
        <v>2</v>
      </c>
      <c r="J669" s="65">
        <v>99.975399999999993</v>
      </c>
      <c r="K669" s="65">
        <v>100</v>
      </c>
      <c r="L669" s="62" t="s">
        <v>825</v>
      </c>
      <c r="M669" s="63">
        <v>0</v>
      </c>
      <c r="N669" s="66">
        <f t="shared" si="42"/>
        <v>1</v>
      </c>
      <c r="O669" s="62" t="str">
        <f t="shared" si="43"/>
        <v>4: Engaged Early</v>
      </c>
    </row>
    <row r="670" spans="1:15" ht="15" customHeight="1" x14ac:dyDescent="0.4">
      <c r="A670" s="62" t="s">
        <v>824</v>
      </c>
      <c r="B670" s="62" t="s">
        <v>1307</v>
      </c>
      <c r="C670" s="62" t="s">
        <v>826</v>
      </c>
      <c r="D670" s="63">
        <v>25</v>
      </c>
      <c r="E670" s="63">
        <v>23</v>
      </c>
      <c r="F670" s="63">
        <v>2</v>
      </c>
      <c r="G670" s="64">
        <f t="shared" si="40"/>
        <v>0.92</v>
      </c>
      <c r="H670" s="64">
        <f t="shared" si="41"/>
        <v>0.08</v>
      </c>
      <c r="I670" s="63">
        <v>1</v>
      </c>
      <c r="J670" s="65">
        <v>13.3627</v>
      </c>
      <c r="K670" s="65">
        <v>79.63</v>
      </c>
      <c r="L670" s="62" t="s">
        <v>825</v>
      </c>
      <c r="M670" s="63">
        <v>0</v>
      </c>
      <c r="N670" s="66">
        <f t="shared" si="42"/>
        <v>0.748</v>
      </c>
      <c r="O670" s="62" t="str">
        <f t="shared" si="43"/>
        <v>4: Engaged Early</v>
      </c>
    </row>
    <row r="671" spans="1:15" ht="15" customHeight="1" x14ac:dyDescent="0.4">
      <c r="A671" s="62" t="s">
        <v>824</v>
      </c>
      <c r="B671" s="62" t="s">
        <v>1308</v>
      </c>
      <c r="C671" s="62" t="s">
        <v>826</v>
      </c>
      <c r="D671" s="63">
        <v>1</v>
      </c>
      <c r="E671" s="63">
        <v>1</v>
      </c>
      <c r="F671" s="63">
        <v>1</v>
      </c>
      <c r="G671" s="64">
        <f t="shared" si="40"/>
        <v>1</v>
      </c>
      <c r="H671" s="64">
        <f t="shared" si="41"/>
        <v>1</v>
      </c>
      <c r="I671" s="63">
        <v>2</v>
      </c>
      <c r="J671" s="65">
        <v>92.435000000000002</v>
      </c>
      <c r="K671" s="65">
        <v>77.78</v>
      </c>
      <c r="L671" s="62" t="s">
        <v>825</v>
      </c>
      <c r="M671" s="63">
        <v>0</v>
      </c>
      <c r="N671" s="66">
        <f t="shared" si="42"/>
        <v>0.85499999999999998</v>
      </c>
      <c r="O671" s="62" t="str">
        <f t="shared" si="43"/>
        <v>4: Engaged Early</v>
      </c>
    </row>
    <row r="672" spans="1:15" ht="15" customHeight="1" x14ac:dyDescent="0.4">
      <c r="A672" s="62" t="s">
        <v>824</v>
      </c>
      <c r="B672" s="62" t="s">
        <v>1309</v>
      </c>
      <c r="C672" s="62" t="s">
        <v>826</v>
      </c>
      <c r="D672" s="63">
        <v>4</v>
      </c>
      <c r="E672" s="63">
        <v>4</v>
      </c>
      <c r="F672" s="63">
        <v>2</v>
      </c>
      <c r="G672" s="64">
        <f t="shared" si="40"/>
        <v>1</v>
      </c>
      <c r="H672" s="64">
        <f t="shared" si="41"/>
        <v>0.5</v>
      </c>
      <c r="I672" s="63">
        <v>2</v>
      </c>
      <c r="J672" s="65">
        <v>93.946449999999999</v>
      </c>
      <c r="K672" s="65">
        <v>100</v>
      </c>
      <c r="L672" s="62" t="s">
        <v>825</v>
      </c>
      <c r="M672" s="63">
        <v>0</v>
      </c>
      <c r="N672" s="66">
        <f t="shared" si="42"/>
        <v>0.99099999999999999</v>
      </c>
      <c r="O672" s="62" t="str">
        <f t="shared" si="43"/>
        <v>4: Engaged Early</v>
      </c>
    </row>
    <row r="673" spans="1:15" ht="15" customHeight="1" x14ac:dyDescent="0.4">
      <c r="A673" s="62" t="s">
        <v>824</v>
      </c>
      <c r="B673" s="62" t="s">
        <v>1310</v>
      </c>
      <c r="C673" s="62" t="s">
        <v>826</v>
      </c>
      <c r="D673" s="63">
        <v>1</v>
      </c>
      <c r="E673" s="63">
        <v>1</v>
      </c>
      <c r="F673" s="63">
        <v>0</v>
      </c>
      <c r="G673" s="64">
        <f t="shared" si="40"/>
        <v>1</v>
      </c>
      <c r="H673" s="64">
        <f t="shared" si="41"/>
        <v>0</v>
      </c>
      <c r="I673" s="63">
        <v>2</v>
      </c>
      <c r="J673" s="65">
        <v>78.775999999999996</v>
      </c>
      <c r="K673" s="65">
        <v>86.96</v>
      </c>
      <c r="L673" s="62" t="s">
        <v>826</v>
      </c>
      <c r="M673" s="63">
        <v>0</v>
      </c>
      <c r="N673" s="66">
        <f t="shared" si="42"/>
        <v>0.64</v>
      </c>
      <c r="O673" s="62" t="str">
        <f t="shared" si="43"/>
        <v>2: High (No DBWT)</v>
      </c>
    </row>
    <row r="674" spans="1:15" ht="15" customHeight="1" x14ac:dyDescent="0.4">
      <c r="A674" s="62" t="s">
        <v>824</v>
      </c>
      <c r="B674" s="62" t="s">
        <v>1311</v>
      </c>
      <c r="C674" s="62" t="s">
        <v>826</v>
      </c>
      <c r="D674" s="63">
        <v>21</v>
      </c>
      <c r="E674" s="63">
        <v>18</v>
      </c>
      <c r="F674" s="63">
        <v>1</v>
      </c>
      <c r="G674" s="64">
        <f t="shared" si="40"/>
        <v>0.8571428571428571</v>
      </c>
      <c r="H674" s="64">
        <f t="shared" si="41"/>
        <v>4.7619047619047616E-2</v>
      </c>
      <c r="I674" s="63">
        <v>2</v>
      </c>
      <c r="J674" s="65">
        <v>98.986000000000004</v>
      </c>
      <c r="K674" s="65">
        <v>100</v>
      </c>
      <c r="L674" s="62" t="s">
        <v>825</v>
      </c>
      <c r="M674" s="63">
        <v>0</v>
      </c>
      <c r="N674" s="66">
        <f t="shared" si="42"/>
        <v>0.998</v>
      </c>
      <c r="O674" s="62" t="str">
        <f t="shared" si="43"/>
        <v>4: Engaged Early</v>
      </c>
    </row>
    <row r="675" spans="1:15" ht="15" customHeight="1" x14ac:dyDescent="0.4">
      <c r="A675" s="62" t="s">
        <v>824</v>
      </c>
      <c r="B675" s="62" t="s">
        <v>1312</v>
      </c>
      <c r="C675" s="62" t="s">
        <v>826</v>
      </c>
      <c r="D675" s="63">
        <v>7</v>
      </c>
      <c r="E675" s="63">
        <v>7</v>
      </c>
      <c r="F675" s="63">
        <v>5</v>
      </c>
      <c r="G675" s="64">
        <f t="shared" si="40"/>
        <v>1</v>
      </c>
      <c r="H675" s="64">
        <f t="shared" si="41"/>
        <v>0.7142857142857143</v>
      </c>
      <c r="I675" s="63">
        <v>2</v>
      </c>
      <c r="J675" s="65">
        <v>100</v>
      </c>
      <c r="K675" s="65">
        <v>100</v>
      </c>
      <c r="L675" s="62" t="s">
        <v>825</v>
      </c>
      <c r="M675" s="63">
        <v>0</v>
      </c>
      <c r="N675" s="66">
        <f t="shared" si="42"/>
        <v>1</v>
      </c>
      <c r="O675" s="62" t="str">
        <f t="shared" si="43"/>
        <v>4: Engaged Early</v>
      </c>
    </row>
    <row r="676" spans="1:15" ht="15" customHeight="1" x14ac:dyDescent="0.4">
      <c r="A676" s="62" t="s">
        <v>824</v>
      </c>
      <c r="B676" s="62" t="s">
        <v>274</v>
      </c>
      <c r="C676" s="62" t="s">
        <v>825</v>
      </c>
      <c r="D676" s="63">
        <v>10</v>
      </c>
      <c r="E676" s="63">
        <v>10</v>
      </c>
      <c r="F676" s="63">
        <v>2</v>
      </c>
      <c r="G676" s="64">
        <f t="shared" si="40"/>
        <v>1</v>
      </c>
      <c r="H676" s="64">
        <f t="shared" si="41"/>
        <v>0.2</v>
      </c>
      <c r="I676" s="63">
        <v>2</v>
      </c>
      <c r="J676" s="65">
        <v>85.695549999999997</v>
      </c>
      <c r="K676" s="65">
        <v>99.3</v>
      </c>
      <c r="L676" s="62" t="s">
        <v>826</v>
      </c>
      <c r="M676" s="63">
        <v>0</v>
      </c>
      <c r="N676" s="66">
        <f t="shared" si="42"/>
        <v>0.72399999999999998</v>
      </c>
      <c r="O676" s="62" t="str">
        <f t="shared" si="43"/>
        <v>2: High (No DBWT)</v>
      </c>
    </row>
    <row r="677" spans="1:15" ht="15" customHeight="1" x14ac:dyDescent="0.4">
      <c r="A677" s="62" t="s">
        <v>824</v>
      </c>
      <c r="B677" s="62" t="s">
        <v>1313</v>
      </c>
      <c r="C677" s="62" t="s">
        <v>826</v>
      </c>
      <c r="D677" s="63">
        <v>4</v>
      </c>
      <c r="E677" s="63">
        <v>4</v>
      </c>
      <c r="F677" s="63">
        <v>1</v>
      </c>
      <c r="G677" s="64">
        <f t="shared" si="40"/>
        <v>1</v>
      </c>
      <c r="H677" s="64">
        <f t="shared" si="41"/>
        <v>0.25</v>
      </c>
      <c r="I677" s="63">
        <v>1</v>
      </c>
      <c r="J677" s="65">
        <v>98.36</v>
      </c>
      <c r="K677" s="65">
        <v>88.89</v>
      </c>
      <c r="L677" s="62" t="s">
        <v>825</v>
      </c>
      <c r="M677" s="63">
        <v>0</v>
      </c>
      <c r="N677" s="66">
        <f t="shared" si="42"/>
        <v>0.93100000000000005</v>
      </c>
      <c r="O677" s="62" t="str">
        <f t="shared" si="43"/>
        <v>4: Engaged Early</v>
      </c>
    </row>
    <row r="678" spans="1:15" ht="15" customHeight="1" x14ac:dyDescent="0.4">
      <c r="A678" s="62" t="s">
        <v>824</v>
      </c>
      <c r="B678" s="62" t="s">
        <v>1314</v>
      </c>
      <c r="C678" s="62" t="s">
        <v>826</v>
      </c>
      <c r="D678" s="63">
        <v>4</v>
      </c>
      <c r="E678" s="63">
        <v>4</v>
      </c>
      <c r="F678" s="63">
        <v>1</v>
      </c>
      <c r="G678" s="64">
        <f t="shared" si="40"/>
        <v>1</v>
      </c>
      <c r="H678" s="64">
        <f t="shared" si="41"/>
        <v>0.25</v>
      </c>
      <c r="I678" s="63">
        <v>2</v>
      </c>
      <c r="J678" s="65">
        <v>99.83</v>
      </c>
      <c r="K678" s="65">
        <v>100</v>
      </c>
      <c r="L678" s="62" t="s">
        <v>825</v>
      </c>
      <c r="M678" s="63">
        <v>0</v>
      </c>
      <c r="N678" s="66">
        <f t="shared" si="42"/>
        <v>1</v>
      </c>
      <c r="O678" s="62" t="str">
        <f t="shared" si="43"/>
        <v>4: Engaged Early</v>
      </c>
    </row>
    <row r="679" spans="1:15" ht="15" customHeight="1" x14ac:dyDescent="0.4">
      <c r="A679" s="62" t="s">
        <v>824</v>
      </c>
      <c r="B679" s="62" t="s">
        <v>1315</v>
      </c>
      <c r="C679" s="62" t="s">
        <v>826</v>
      </c>
      <c r="D679" s="63">
        <v>6</v>
      </c>
      <c r="E679" s="63">
        <v>3</v>
      </c>
      <c r="F679" s="63">
        <v>1</v>
      </c>
      <c r="G679" s="64">
        <f t="shared" si="40"/>
        <v>0.5</v>
      </c>
      <c r="H679" s="64">
        <f t="shared" si="41"/>
        <v>0.16666666666666666</v>
      </c>
      <c r="I679" s="63">
        <v>2</v>
      </c>
      <c r="J679" s="65">
        <v>66.108800000000002</v>
      </c>
      <c r="K679" s="65">
        <v>95.74</v>
      </c>
      <c r="L679" s="62" t="s">
        <v>825</v>
      </c>
      <c r="M679" s="63">
        <v>0</v>
      </c>
      <c r="N679" s="66">
        <f t="shared" si="42"/>
        <v>0.92400000000000004</v>
      </c>
      <c r="O679" s="62" t="str">
        <f t="shared" si="43"/>
        <v>4: Engaged Early</v>
      </c>
    </row>
    <row r="680" spans="1:15" ht="15" customHeight="1" x14ac:dyDescent="0.4">
      <c r="A680" s="62" t="s">
        <v>824</v>
      </c>
      <c r="B680" s="62" t="s">
        <v>1316</v>
      </c>
      <c r="C680" s="62" t="s">
        <v>826</v>
      </c>
      <c r="D680" s="63">
        <v>17</v>
      </c>
      <c r="E680" s="63">
        <v>16</v>
      </c>
      <c r="F680" s="63">
        <v>5</v>
      </c>
      <c r="G680" s="64">
        <f t="shared" si="40"/>
        <v>0.94117647058823528</v>
      </c>
      <c r="H680" s="64">
        <f t="shared" si="41"/>
        <v>0.29411764705882354</v>
      </c>
      <c r="I680" s="63">
        <v>2</v>
      </c>
      <c r="J680" s="65">
        <v>99.775000000000006</v>
      </c>
      <c r="K680" s="65">
        <v>100</v>
      </c>
      <c r="L680" s="62" t="s">
        <v>825</v>
      </c>
      <c r="M680" s="63">
        <v>0</v>
      </c>
      <c r="N680" s="66">
        <f t="shared" si="42"/>
        <v>1</v>
      </c>
      <c r="O680" s="62" t="str">
        <f t="shared" si="43"/>
        <v>4: Engaged Early</v>
      </c>
    </row>
    <row r="681" spans="1:15" ht="15" customHeight="1" x14ac:dyDescent="0.4">
      <c r="A681" s="62" t="s">
        <v>824</v>
      </c>
      <c r="B681" s="62" t="s">
        <v>1317</v>
      </c>
      <c r="C681" s="62" t="s">
        <v>826</v>
      </c>
      <c r="D681" s="63">
        <v>8</v>
      </c>
      <c r="E681" s="63">
        <v>6</v>
      </c>
      <c r="F681" s="63">
        <v>2</v>
      </c>
      <c r="G681" s="64">
        <f t="shared" si="40"/>
        <v>0.75</v>
      </c>
      <c r="H681" s="64">
        <f t="shared" si="41"/>
        <v>0.25</v>
      </c>
      <c r="I681" s="63">
        <v>2</v>
      </c>
      <c r="J681" s="65">
        <v>90.594999999999999</v>
      </c>
      <c r="K681" s="65">
        <v>51.72</v>
      </c>
      <c r="L681" s="62" t="s">
        <v>825</v>
      </c>
      <c r="M681" s="63">
        <v>0</v>
      </c>
      <c r="N681" s="66">
        <f t="shared" si="42"/>
        <v>0.69599999999999995</v>
      </c>
      <c r="O681" s="62" t="str">
        <f t="shared" si="43"/>
        <v>4: Engaged Early</v>
      </c>
    </row>
    <row r="682" spans="1:15" ht="15" customHeight="1" x14ac:dyDescent="0.4">
      <c r="A682" s="62" t="s">
        <v>824</v>
      </c>
      <c r="B682" s="62" t="s">
        <v>1318</v>
      </c>
      <c r="C682" s="62" t="s">
        <v>826</v>
      </c>
      <c r="D682" s="63">
        <v>3</v>
      </c>
      <c r="E682" s="63">
        <v>3</v>
      </c>
      <c r="F682" s="63">
        <v>2</v>
      </c>
      <c r="G682" s="64">
        <f t="shared" si="40"/>
        <v>1</v>
      </c>
      <c r="H682" s="64">
        <f t="shared" si="41"/>
        <v>0.66666666666666663</v>
      </c>
      <c r="I682" s="63">
        <v>2</v>
      </c>
      <c r="J682" s="65">
        <v>90.898499999999999</v>
      </c>
      <c r="K682" s="65">
        <v>100</v>
      </c>
      <c r="L682" s="62" t="s">
        <v>826</v>
      </c>
      <c r="M682" s="63">
        <v>0</v>
      </c>
      <c r="N682" s="66">
        <f t="shared" si="42"/>
        <v>0.73599999999999999</v>
      </c>
      <c r="O682" s="62" t="str">
        <f t="shared" si="43"/>
        <v>2: High (No DBWT)</v>
      </c>
    </row>
    <row r="683" spans="1:15" ht="15" customHeight="1" x14ac:dyDescent="0.4">
      <c r="A683" s="62" t="s">
        <v>824</v>
      </c>
      <c r="B683" s="62" t="s">
        <v>1319</v>
      </c>
      <c r="C683" s="62" t="s">
        <v>826</v>
      </c>
      <c r="D683" s="63">
        <v>13</v>
      </c>
      <c r="E683" s="63">
        <v>13</v>
      </c>
      <c r="F683" s="63">
        <v>1</v>
      </c>
      <c r="G683" s="64">
        <f t="shared" si="40"/>
        <v>1</v>
      </c>
      <c r="H683" s="64">
        <f t="shared" si="41"/>
        <v>7.6923076923076927E-2</v>
      </c>
      <c r="I683" s="63">
        <v>2</v>
      </c>
      <c r="J683" s="65">
        <v>77.581199999999995</v>
      </c>
      <c r="K683" s="65">
        <v>87.81</v>
      </c>
      <c r="L683" s="62" t="s">
        <v>826</v>
      </c>
      <c r="M683" s="63">
        <v>0</v>
      </c>
      <c r="N683" s="66">
        <f t="shared" si="42"/>
        <v>0.64300000000000002</v>
      </c>
      <c r="O683" s="62" t="str">
        <f t="shared" si="43"/>
        <v>2: High (No DBWT)</v>
      </c>
    </row>
    <row r="684" spans="1:15" ht="15" customHeight="1" x14ac:dyDescent="0.4">
      <c r="A684" s="62" t="s">
        <v>824</v>
      </c>
      <c r="B684" s="62" t="s">
        <v>748</v>
      </c>
      <c r="C684" s="62" t="s">
        <v>825</v>
      </c>
      <c r="D684" s="63">
        <v>13</v>
      </c>
      <c r="E684" s="63">
        <v>10</v>
      </c>
      <c r="F684" s="63">
        <v>4</v>
      </c>
      <c r="G684" s="64">
        <f t="shared" si="40"/>
        <v>0.76923076923076927</v>
      </c>
      <c r="H684" s="64">
        <f t="shared" si="41"/>
        <v>0.30769230769230771</v>
      </c>
      <c r="I684" s="63">
        <v>2</v>
      </c>
      <c r="J684" s="65">
        <v>95.746549999999999</v>
      </c>
      <c r="K684" s="65">
        <v>55.56</v>
      </c>
      <c r="L684" s="62" t="s">
        <v>825</v>
      </c>
      <c r="M684" s="63">
        <v>1</v>
      </c>
      <c r="N684" s="66">
        <f t="shared" si="42"/>
        <v>0.72699999999999998</v>
      </c>
      <c r="O684" s="62" t="str">
        <f t="shared" si="43"/>
        <v>4: Engaged Early</v>
      </c>
    </row>
    <row r="685" spans="1:15" ht="15" customHeight="1" x14ac:dyDescent="0.4">
      <c r="A685" s="62" t="s">
        <v>824</v>
      </c>
      <c r="B685" s="62" t="s">
        <v>1320</v>
      </c>
      <c r="C685" s="62" t="s">
        <v>826</v>
      </c>
      <c r="D685" s="63">
        <v>10</v>
      </c>
      <c r="E685" s="63">
        <v>8</v>
      </c>
      <c r="F685" s="63">
        <v>1</v>
      </c>
      <c r="G685" s="64">
        <f t="shared" si="40"/>
        <v>0.8</v>
      </c>
      <c r="H685" s="64">
        <f t="shared" si="41"/>
        <v>0.1</v>
      </c>
      <c r="I685" s="63">
        <v>2</v>
      </c>
      <c r="J685" s="65">
        <v>89.859049999999996</v>
      </c>
      <c r="K685" s="65">
        <v>100</v>
      </c>
      <c r="L685" s="62" t="s">
        <v>825</v>
      </c>
      <c r="M685" s="63">
        <v>1</v>
      </c>
      <c r="N685" s="66">
        <f t="shared" si="42"/>
        <v>0.98499999999999999</v>
      </c>
      <c r="O685" s="62" t="str">
        <f t="shared" si="43"/>
        <v>4: Engaged Early</v>
      </c>
    </row>
    <row r="686" spans="1:15" ht="15" customHeight="1" x14ac:dyDescent="0.4">
      <c r="A686" s="62" t="s">
        <v>824</v>
      </c>
      <c r="B686" s="62" t="s">
        <v>1321</v>
      </c>
      <c r="C686" s="62" t="s">
        <v>826</v>
      </c>
      <c r="D686" s="63">
        <v>4</v>
      </c>
      <c r="E686" s="63">
        <v>3</v>
      </c>
      <c r="F686" s="63">
        <v>2</v>
      </c>
      <c r="G686" s="64">
        <f t="shared" si="40"/>
        <v>0.75</v>
      </c>
      <c r="H686" s="64">
        <f t="shared" si="41"/>
        <v>0.5</v>
      </c>
      <c r="I686" s="63">
        <v>2</v>
      </c>
      <c r="J686" s="65">
        <v>92.342600000000004</v>
      </c>
      <c r="K686" s="65">
        <v>72.33</v>
      </c>
      <c r="L686" s="62" t="s">
        <v>826</v>
      </c>
      <c r="M686" s="63">
        <v>0</v>
      </c>
      <c r="N686" s="66">
        <f t="shared" si="42"/>
        <v>0.57199999999999995</v>
      </c>
      <c r="O686" s="62" t="str">
        <f t="shared" si="43"/>
        <v>2: High (No DBWT)</v>
      </c>
    </row>
    <row r="687" spans="1:15" ht="15" customHeight="1" x14ac:dyDescent="0.4">
      <c r="A687" s="62" t="s">
        <v>824</v>
      </c>
      <c r="B687" s="62" t="s">
        <v>1322</v>
      </c>
      <c r="C687" s="62" t="s">
        <v>826</v>
      </c>
      <c r="D687" s="63">
        <v>3</v>
      </c>
      <c r="E687" s="63">
        <v>0</v>
      </c>
      <c r="F687" s="63">
        <v>0</v>
      </c>
      <c r="G687" s="64">
        <f t="shared" si="40"/>
        <v>0</v>
      </c>
      <c r="H687" s="64">
        <f t="shared" si="41"/>
        <v>0</v>
      </c>
      <c r="I687" s="63">
        <v>2</v>
      </c>
      <c r="J687" s="65">
        <v>85.096450000000004</v>
      </c>
      <c r="K687" s="65">
        <v>100</v>
      </c>
      <c r="L687" s="62" t="s">
        <v>825</v>
      </c>
      <c r="M687" s="63">
        <v>0</v>
      </c>
      <c r="N687" s="66">
        <f t="shared" si="42"/>
        <v>0.97799999999999998</v>
      </c>
      <c r="O687" s="62" t="str">
        <f t="shared" si="43"/>
        <v>4: Engaged Early</v>
      </c>
    </row>
    <row r="688" spans="1:15" ht="15" customHeight="1" x14ac:dyDescent="0.4">
      <c r="A688" s="62" t="s">
        <v>824</v>
      </c>
      <c r="B688" s="62" t="s">
        <v>1323</v>
      </c>
      <c r="C688" s="62" t="s">
        <v>826</v>
      </c>
      <c r="D688" s="63">
        <v>0</v>
      </c>
      <c r="E688" s="63">
        <v>0</v>
      </c>
      <c r="F688" s="63">
        <v>0</v>
      </c>
      <c r="G688" s="64">
        <f t="shared" si="40"/>
        <v>0</v>
      </c>
      <c r="H688" s="64">
        <f t="shared" si="41"/>
        <v>0</v>
      </c>
      <c r="I688" s="63">
        <v>1</v>
      </c>
      <c r="J688" s="65">
        <v>92.66</v>
      </c>
      <c r="K688" s="65">
        <v>31.26</v>
      </c>
      <c r="L688" s="62" t="s">
        <v>840</v>
      </c>
      <c r="M688" s="63">
        <v>1</v>
      </c>
      <c r="N688" s="66">
        <f t="shared" si="42"/>
        <v>0.40200000000000002</v>
      </c>
      <c r="O688" s="62" t="str">
        <f t="shared" si="43"/>
        <v>4: Engaged Early</v>
      </c>
    </row>
    <row r="689" spans="1:15" ht="15" customHeight="1" x14ac:dyDescent="0.4">
      <c r="A689" s="62" t="s">
        <v>824</v>
      </c>
      <c r="B689" s="62" t="s">
        <v>1324</v>
      </c>
      <c r="C689" s="62" t="s">
        <v>826</v>
      </c>
      <c r="D689" s="63">
        <v>0</v>
      </c>
      <c r="E689" s="63">
        <v>0</v>
      </c>
      <c r="F689" s="63">
        <v>0</v>
      </c>
      <c r="G689" s="64">
        <f t="shared" si="40"/>
        <v>0</v>
      </c>
      <c r="H689" s="64">
        <f t="shared" si="41"/>
        <v>0</v>
      </c>
      <c r="I689" s="63">
        <v>2</v>
      </c>
      <c r="J689" s="65">
        <v>86.7</v>
      </c>
      <c r="K689" s="65">
        <v>69.040000000000006</v>
      </c>
      <c r="L689" s="62" t="s">
        <v>840</v>
      </c>
      <c r="M689" s="63">
        <v>0</v>
      </c>
      <c r="N689" s="66">
        <f t="shared" si="42"/>
        <v>0.61899999999999999</v>
      </c>
      <c r="O689" s="62" t="str">
        <f t="shared" si="43"/>
        <v>4: Engaged Early</v>
      </c>
    </row>
    <row r="690" spans="1:15" ht="15" customHeight="1" x14ac:dyDescent="0.4">
      <c r="A690" s="62" t="s">
        <v>824</v>
      </c>
      <c r="B690" s="62" t="s">
        <v>1325</v>
      </c>
      <c r="C690" s="62" t="s">
        <v>826</v>
      </c>
      <c r="D690" s="63">
        <v>17</v>
      </c>
      <c r="E690" s="63">
        <v>6</v>
      </c>
      <c r="F690" s="63">
        <v>0</v>
      </c>
      <c r="G690" s="64">
        <f t="shared" si="40"/>
        <v>0.35294117647058826</v>
      </c>
      <c r="H690" s="64">
        <f t="shared" si="41"/>
        <v>0</v>
      </c>
      <c r="I690" s="63">
        <v>2</v>
      </c>
      <c r="J690" s="65">
        <v>43.14208</v>
      </c>
      <c r="K690" s="65">
        <v>86.99</v>
      </c>
      <c r="L690" s="62" t="s">
        <v>825</v>
      </c>
      <c r="M690" s="63">
        <v>0</v>
      </c>
      <c r="N690" s="66">
        <f t="shared" si="42"/>
        <v>0.83699999999999997</v>
      </c>
      <c r="O690" s="62" t="str">
        <f t="shared" si="43"/>
        <v>4: Engaged Early</v>
      </c>
    </row>
    <row r="691" spans="1:15" ht="15" customHeight="1" x14ac:dyDescent="0.4">
      <c r="A691" s="62" t="s">
        <v>824</v>
      </c>
      <c r="B691" s="62" t="s">
        <v>1326</v>
      </c>
      <c r="C691" s="62" t="s">
        <v>826</v>
      </c>
      <c r="D691" s="63">
        <v>8</v>
      </c>
      <c r="E691" s="63">
        <v>2</v>
      </c>
      <c r="F691" s="63">
        <v>1</v>
      </c>
      <c r="G691" s="64">
        <f t="shared" si="40"/>
        <v>0.25</v>
      </c>
      <c r="H691" s="64">
        <f t="shared" si="41"/>
        <v>0.125</v>
      </c>
      <c r="I691" s="63">
        <v>2</v>
      </c>
      <c r="J691" s="65">
        <v>96.420400000000001</v>
      </c>
      <c r="K691" s="65">
        <v>99.6</v>
      </c>
      <c r="L691" s="62" t="s">
        <v>825</v>
      </c>
      <c r="M691" s="63">
        <v>0</v>
      </c>
      <c r="N691" s="66">
        <f t="shared" si="42"/>
        <v>0.99199999999999999</v>
      </c>
      <c r="O691" s="62" t="str">
        <f t="shared" si="43"/>
        <v>4: Engaged Early</v>
      </c>
    </row>
    <row r="692" spans="1:15" ht="15" customHeight="1" x14ac:dyDescent="0.4">
      <c r="A692" s="62" t="s">
        <v>824</v>
      </c>
      <c r="B692" s="62" t="s">
        <v>1327</v>
      </c>
      <c r="C692" s="62" t="s">
        <v>826</v>
      </c>
      <c r="D692" s="63">
        <v>15</v>
      </c>
      <c r="E692" s="63">
        <v>11</v>
      </c>
      <c r="F692" s="63">
        <v>1</v>
      </c>
      <c r="G692" s="64">
        <f t="shared" si="40"/>
        <v>0.73333333333333328</v>
      </c>
      <c r="H692" s="64">
        <f t="shared" si="41"/>
        <v>6.6666666666666666E-2</v>
      </c>
      <c r="I692" s="63">
        <v>2</v>
      </c>
      <c r="J692" s="65">
        <v>81.891149999999996</v>
      </c>
      <c r="K692" s="65">
        <v>99.57</v>
      </c>
      <c r="L692" s="62" t="s">
        <v>825</v>
      </c>
      <c r="M692" s="63">
        <v>0</v>
      </c>
      <c r="N692" s="66">
        <f t="shared" si="42"/>
        <v>0.97</v>
      </c>
      <c r="O692" s="62" t="str">
        <f t="shared" si="43"/>
        <v>4: Engaged Early</v>
      </c>
    </row>
    <row r="693" spans="1:15" ht="15" customHeight="1" x14ac:dyDescent="0.4">
      <c r="A693" s="62" t="s">
        <v>824</v>
      </c>
      <c r="B693" s="62" t="s">
        <v>1328</v>
      </c>
      <c r="C693" s="62" t="s">
        <v>826</v>
      </c>
      <c r="D693" s="63">
        <v>13</v>
      </c>
      <c r="E693" s="63">
        <v>11</v>
      </c>
      <c r="F693" s="63">
        <v>0</v>
      </c>
      <c r="G693" s="64">
        <f t="shared" si="40"/>
        <v>0.84615384615384615</v>
      </c>
      <c r="H693" s="64">
        <f t="shared" si="41"/>
        <v>0</v>
      </c>
      <c r="I693" s="63">
        <v>2</v>
      </c>
      <c r="J693" s="65">
        <v>97.69</v>
      </c>
      <c r="K693" s="65">
        <v>97.43</v>
      </c>
      <c r="L693" s="62" t="s">
        <v>826</v>
      </c>
      <c r="M693" s="63">
        <v>1</v>
      </c>
      <c r="N693" s="66">
        <f t="shared" si="42"/>
        <v>0.73099999999999998</v>
      </c>
      <c r="O693" s="62" t="str">
        <f t="shared" si="43"/>
        <v>2: High (No DBWT)</v>
      </c>
    </row>
    <row r="694" spans="1:15" ht="15" customHeight="1" x14ac:dyDescent="0.4">
      <c r="A694" s="62" t="s">
        <v>824</v>
      </c>
      <c r="B694" s="62" t="s">
        <v>1329</v>
      </c>
      <c r="C694" s="62" t="s">
        <v>826</v>
      </c>
      <c r="D694" s="63">
        <v>9</v>
      </c>
      <c r="E694" s="63">
        <v>6</v>
      </c>
      <c r="F694" s="63">
        <v>1</v>
      </c>
      <c r="G694" s="64">
        <f t="shared" si="40"/>
        <v>0.66666666666666663</v>
      </c>
      <c r="H694" s="64">
        <f t="shared" si="41"/>
        <v>0.1111111111111111</v>
      </c>
      <c r="I694" s="63">
        <v>2</v>
      </c>
      <c r="J694" s="65">
        <v>99.8</v>
      </c>
      <c r="K694" s="65">
        <v>100</v>
      </c>
      <c r="L694" s="62" t="s">
        <v>825</v>
      </c>
      <c r="M694" s="63">
        <v>0</v>
      </c>
      <c r="N694" s="66">
        <f t="shared" si="42"/>
        <v>1</v>
      </c>
      <c r="O694" s="62" t="str">
        <f t="shared" si="43"/>
        <v>4: Engaged Early</v>
      </c>
    </row>
    <row r="695" spans="1:15" ht="15" customHeight="1" x14ac:dyDescent="0.4">
      <c r="A695" s="62" t="s">
        <v>824</v>
      </c>
      <c r="B695" s="62" t="s">
        <v>1330</v>
      </c>
      <c r="C695" s="62" t="s">
        <v>826</v>
      </c>
      <c r="D695" s="63">
        <v>14</v>
      </c>
      <c r="E695" s="63">
        <v>12</v>
      </c>
      <c r="F695" s="63">
        <v>4</v>
      </c>
      <c r="G695" s="64">
        <f t="shared" si="40"/>
        <v>0.8571428571428571</v>
      </c>
      <c r="H695" s="64">
        <f t="shared" si="41"/>
        <v>0.2857142857142857</v>
      </c>
      <c r="I695" s="63">
        <v>2</v>
      </c>
      <c r="J695" s="65">
        <v>35.989849999999997</v>
      </c>
      <c r="K695" s="65">
        <v>80.489999999999995</v>
      </c>
      <c r="L695" s="62" t="s">
        <v>825</v>
      </c>
      <c r="M695" s="63">
        <v>0</v>
      </c>
      <c r="N695" s="66">
        <f t="shared" si="42"/>
        <v>0.78700000000000003</v>
      </c>
      <c r="O695" s="62" t="str">
        <f t="shared" si="43"/>
        <v>4: Engaged Early</v>
      </c>
    </row>
    <row r="696" spans="1:15" ht="15" customHeight="1" x14ac:dyDescent="0.4">
      <c r="A696" s="62" t="s">
        <v>824</v>
      </c>
      <c r="B696" s="62" t="s">
        <v>1331</v>
      </c>
      <c r="C696" s="62" t="s">
        <v>826</v>
      </c>
      <c r="D696" s="63">
        <v>3</v>
      </c>
      <c r="E696" s="63">
        <v>3</v>
      </c>
      <c r="F696" s="63">
        <v>3</v>
      </c>
      <c r="G696" s="64">
        <f t="shared" si="40"/>
        <v>1</v>
      </c>
      <c r="H696" s="64">
        <f t="shared" si="41"/>
        <v>1</v>
      </c>
      <c r="I696" s="63">
        <v>2</v>
      </c>
      <c r="J696" s="65">
        <v>89.974549999999994</v>
      </c>
      <c r="K696" s="65">
        <v>99.73</v>
      </c>
      <c r="L696" s="62" t="s">
        <v>825</v>
      </c>
      <c r="M696" s="63">
        <v>1</v>
      </c>
      <c r="N696" s="66">
        <f t="shared" si="42"/>
        <v>0.98299999999999998</v>
      </c>
      <c r="O696" s="62" t="str">
        <f t="shared" si="43"/>
        <v>4: Engaged Early</v>
      </c>
    </row>
    <row r="697" spans="1:15" ht="15" customHeight="1" x14ac:dyDescent="0.4">
      <c r="A697" s="62" t="s">
        <v>824</v>
      </c>
      <c r="B697" s="62" t="s">
        <v>1332</v>
      </c>
      <c r="C697" s="62" t="s">
        <v>826</v>
      </c>
      <c r="D697" s="63">
        <v>13</v>
      </c>
      <c r="E697" s="63">
        <v>12</v>
      </c>
      <c r="F697" s="63">
        <v>2</v>
      </c>
      <c r="G697" s="64">
        <f t="shared" si="40"/>
        <v>0.92307692307692313</v>
      </c>
      <c r="H697" s="64">
        <f t="shared" si="41"/>
        <v>0.15384615384615385</v>
      </c>
      <c r="I697" s="63">
        <v>2</v>
      </c>
      <c r="J697" s="65">
        <v>99.020499999999998</v>
      </c>
      <c r="K697" s="65">
        <v>100</v>
      </c>
      <c r="L697" s="62" t="s">
        <v>825</v>
      </c>
      <c r="M697" s="63">
        <v>0</v>
      </c>
      <c r="N697" s="66">
        <f t="shared" si="42"/>
        <v>0.999</v>
      </c>
      <c r="O697" s="62" t="str">
        <f t="shared" si="43"/>
        <v>4: Engaged Early</v>
      </c>
    </row>
    <row r="698" spans="1:15" ht="15" customHeight="1" x14ac:dyDescent="0.4">
      <c r="A698" s="62" t="s">
        <v>824</v>
      </c>
      <c r="B698" s="62" t="s">
        <v>1333</v>
      </c>
      <c r="C698" s="62" t="s">
        <v>826</v>
      </c>
      <c r="D698" s="63">
        <v>10</v>
      </c>
      <c r="E698" s="63">
        <v>5</v>
      </c>
      <c r="F698" s="63">
        <v>0</v>
      </c>
      <c r="G698" s="64">
        <f t="shared" si="40"/>
        <v>0.5</v>
      </c>
      <c r="H698" s="64">
        <f t="shared" si="41"/>
        <v>0</v>
      </c>
      <c r="I698" s="63">
        <v>2</v>
      </c>
      <c r="J698" s="65">
        <v>84.094849999999994</v>
      </c>
      <c r="K698" s="65">
        <v>99.68</v>
      </c>
      <c r="L698" s="62" t="s">
        <v>825</v>
      </c>
      <c r="M698" s="63">
        <v>0</v>
      </c>
      <c r="N698" s="66">
        <f t="shared" si="42"/>
        <v>0.97399999999999998</v>
      </c>
      <c r="O698" s="62" t="str">
        <f t="shared" si="43"/>
        <v>4: Engaged Early</v>
      </c>
    </row>
    <row r="699" spans="1:15" ht="15" customHeight="1" x14ac:dyDescent="0.4">
      <c r="A699" s="62" t="s">
        <v>824</v>
      </c>
      <c r="B699" s="62" t="s">
        <v>1334</v>
      </c>
      <c r="C699" s="62" t="s">
        <v>826</v>
      </c>
      <c r="D699" s="63">
        <v>5</v>
      </c>
      <c r="E699" s="63">
        <v>4</v>
      </c>
      <c r="F699" s="63">
        <v>1</v>
      </c>
      <c r="G699" s="64">
        <f t="shared" si="40"/>
        <v>0.8</v>
      </c>
      <c r="H699" s="64">
        <f t="shared" si="41"/>
        <v>0.2</v>
      </c>
      <c r="I699" s="63">
        <v>2</v>
      </c>
      <c r="J699" s="65">
        <v>81.063999999999993</v>
      </c>
      <c r="K699" s="65">
        <v>45.77</v>
      </c>
      <c r="L699" s="62" t="s">
        <v>825</v>
      </c>
      <c r="M699" s="63">
        <v>0</v>
      </c>
      <c r="N699" s="66">
        <f t="shared" si="42"/>
        <v>0.64600000000000002</v>
      </c>
      <c r="O699" s="62" t="str">
        <f t="shared" si="43"/>
        <v>4: Engaged Early</v>
      </c>
    </row>
    <row r="700" spans="1:15" ht="15" customHeight="1" x14ac:dyDescent="0.4">
      <c r="A700" s="62" t="s">
        <v>824</v>
      </c>
      <c r="B700" s="62" t="s">
        <v>1335</v>
      </c>
      <c r="C700" s="62" t="s">
        <v>826</v>
      </c>
      <c r="D700" s="63">
        <v>7</v>
      </c>
      <c r="E700" s="63">
        <v>7</v>
      </c>
      <c r="F700" s="63">
        <v>1</v>
      </c>
      <c r="G700" s="64">
        <f t="shared" si="40"/>
        <v>1</v>
      </c>
      <c r="H700" s="64">
        <f t="shared" si="41"/>
        <v>0.14285714285714285</v>
      </c>
      <c r="I700" s="63">
        <v>2</v>
      </c>
      <c r="J700" s="65">
        <v>67.733999999999995</v>
      </c>
      <c r="K700" s="65">
        <v>94.47</v>
      </c>
      <c r="L700" s="62" t="s">
        <v>825</v>
      </c>
      <c r="M700" s="63">
        <v>0</v>
      </c>
      <c r="N700" s="66">
        <f t="shared" si="42"/>
        <v>0.91800000000000004</v>
      </c>
      <c r="O700" s="62" t="str">
        <f t="shared" si="43"/>
        <v>4: Engaged Early</v>
      </c>
    </row>
    <row r="701" spans="1:15" ht="15" customHeight="1" x14ac:dyDescent="0.4">
      <c r="A701" s="62" t="s">
        <v>824</v>
      </c>
      <c r="B701" s="62" t="s">
        <v>1336</v>
      </c>
      <c r="C701" s="62" t="s">
        <v>826</v>
      </c>
      <c r="D701" s="63">
        <v>8</v>
      </c>
      <c r="E701" s="63">
        <v>8</v>
      </c>
      <c r="F701" s="63">
        <v>4</v>
      </c>
      <c r="G701" s="64">
        <f t="shared" si="40"/>
        <v>1</v>
      </c>
      <c r="H701" s="64">
        <f t="shared" si="41"/>
        <v>0.5</v>
      </c>
      <c r="I701" s="63">
        <v>2</v>
      </c>
      <c r="J701" s="65">
        <v>92.345299999999995</v>
      </c>
      <c r="K701" s="65">
        <v>100</v>
      </c>
      <c r="L701" s="62" t="s">
        <v>825</v>
      </c>
      <c r="M701" s="63">
        <v>0</v>
      </c>
      <c r="N701" s="66">
        <f t="shared" si="42"/>
        <v>0.98899999999999999</v>
      </c>
      <c r="O701" s="62" t="str">
        <f t="shared" si="43"/>
        <v>4: Engaged Early</v>
      </c>
    </row>
    <row r="702" spans="1:15" ht="15" customHeight="1" x14ac:dyDescent="0.4">
      <c r="A702" s="62" t="s">
        <v>824</v>
      </c>
      <c r="B702" s="62" t="s">
        <v>1337</v>
      </c>
      <c r="C702" s="62" t="s">
        <v>826</v>
      </c>
      <c r="D702" s="63">
        <v>0</v>
      </c>
      <c r="E702" s="63">
        <v>0</v>
      </c>
      <c r="F702" s="63">
        <v>0</v>
      </c>
      <c r="G702" s="64">
        <f t="shared" si="40"/>
        <v>0</v>
      </c>
      <c r="H702" s="64">
        <f t="shared" si="41"/>
        <v>0</v>
      </c>
      <c r="I702" s="63">
        <v>1</v>
      </c>
      <c r="J702" s="65">
        <v>85.93</v>
      </c>
      <c r="K702" s="65">
        <v>21.82</v>
      </c>
      <c r="L702" s="62" t="s">
        <v>840</v>
      </c>
      <c r="M702" s="63">
        <v>0</v>
      </c>
      <c r="N702" s="66">
        <f t="shared" si="42"/>
        <v>0.33500000000000002</v>
      </c>
      <c r="O702" s="62" t="str">
        <f t="shared" si="43"/>
        <v>4: Engaged Early</v>
      </c>
    </row>
    <row r="703" spans="1:15" ht="15" customHeight="1" x14ac:dyDescent="0.4">
      <c r="A703" s="62" t="s">
        <v>824</v>
      </c>
      <c r="B703" s="62" t="s">
        <v>593</v>
      </c>
      <c r="C703" s="62" t="s">
        <v>825</v>
      </c>
      <c r="D703" s="63">
        <v>15</v>
      </c>
      <c r="E703" s="63">
        <v>15</v>
      </c>
      <c r="F703" s="63">
        <v>6</v>
      </c>
      <c r="G703" s="64">
        <f t="shared" si="40"/>
        <v>1</v>
      </c>
      <c r="H703" s="64">
        <f t="shared" si="41"/>
        <v>0.4</v>
      </c>
      <c r="I703" s="63">
        <v>2</v>
      </c>
      <c r="J703" s="65">
        <v>62.3673</v>
      </c>
      <c r="K703" s="65">
        <v>30.93</v>
      </c>
      <c r="L703" s="62" t="s">
        <v>825</v>
      </c>
      <c r="M703" s="63">
        <v>0</v>
      </c>
      <c r="N703" s="66">
        <f t="shared" si="42"/>
        <v>0.52900000000000003</v>
      </c>
      <c r="O703" s="62" t="str">
        <f t="shared" si="43"/>
        <v>4: Engaged Early</v>
      </c>
    </row>
    <row r="704" spans="1:15" ht="15" customHeight="1" x14ac:dyDescent="0.4">
      <c r="A704" s="62" t="s">
        <v>824</v>
      </c>
      <c r="B704" s="62" t="s">
        <v>1338</v>
      </c>
      <c r="C704" s="62" t="s">
        <v>826</v>
      </c>
      <c r="D704" s="63">
        <v>17</v>
      </c>
      <c r="E704" s="63">
        <v>13</v>
      </c>
      <c r="F704" s="63">
        <v>1</v>
      </c>
      <c r="G704" s="64">
        <f t="shared" si="40"/>
        <v>0.76470588235294112</v>
      </c>
      <c r="H704" s="64">
        <f t="shared" si="41"/>
        <v>5.8823529411764705E-2</v>
      </c>
      <c r="I704" s="63">
        <v>1</v>
      </c>
      <c r="J704" s="65">
        <v>84.391900000000007</v>
      </c>
      <c r="K704" s="65">
        <v>86.47</v>
      </c>
      <c r="L704" s="62" t="s">
        <v>825</v>
      </c>
      <c r="M704" s="63">
        <v>0</v>
      </c>
      <c r="N704" s="66">
        <f t="shared" si="42"/>
        <v>0.89500000000000002</v>
      </c>
      <c r="O704" s="62" t="str">
        <f t="shared" si="43"/>
        <v>4: Engaged Early</v>
      </c>
    </row>
    <row r="705" spans="1:15" ht="15" customHeight="1" x14ac:dyDescent="0.4">
      <c r="A705" s="62" t="s">
        <v>824</v>
      </c>
      <c r="B705" s="62" t="s">
        <v>1339</v>
      </c>
      <c r="C705" s="62" t="s">
        <v>826</v>
      </c>
      <c r="D705" s="63">
        <v>4</v>
      </c>
      <c r="E705" s="63">
        <v>1</v>
      </c>
      <c r="F705" s="63">
        <v>0</v>
      </c>
      <c r="G705" s="64">
        <f t="shared" si="40"/>
        <v>0.25</v>
      </c>
      <c r="H705" s="64">
        <f t="shared" si="41"/>
        <v>0</v>
      </c>
      <c r="I705" s="63">
        <v>1</v>
      </c>
      <c r="J705" s="65">
        <v>83.78</v>
      </c>
      <c r="K705" s="65">
        <v>44.44</v>
      </c>
      <c r="L705" s="62" t="s">
        <v>825</v>
      </c>
      <c r="M705" s="63">
        <v>0</v>
      </c>
      <c r="N705" s="66">
        <f t="shared" si="42"/>
        <v>0.64200000000000002</v>
      </c>
      <c r="O705" s="62" t="str">
        <f t="shared" si="43"/>
        <v>4: Engaged Early</v>
      </c>
    </row>
    <row r="706" spans="1:15" ht="15" customHeight="1" x14ac:dyDescent="0.4">
      <c r="A706" s="62" t="s">
        <v>824</v>
      </c>
      <c r="B706" s="62" t="s">
        <v>750</v>
      </c>
      <c r="C706" s="62" t="s">
        <v>825</v>
      </c>
      <c r="D706" s="63">
        <v>5</v>
      </c>
      <c r="E706" s="63">
        <v>1</v>
      </c>
      <c r="F706" s="63">
        <v>0</v>
      </c>
      <c r="G706" s="64">
        <f t="shared" ref="G706:G769" si="44">IFERROR(E706/D706,0)</f>
        <v>0.2</v>
      </c>
      <c r="H706" s="64">
        <f t="shared" ref="H706:H769" si="45">IFERROR(F706/D706,0)</f>
        <v>0</v>
      </c>
      <c r="I706" s="63">
        <v>2</v>
      </c>
      <c r="J706" s="65">
        <v>84.163300000000007</v>
      </c>
      <c r="K706" s="65">
        <v>43.81</v>
      </c>
      <c r="L706" s="62" t="s">
        <v>826</v>
      </c>
      <c r="M706" s="63">
        <v>1</v>
      </c>
      <c r="N706" s="66">
        <f t="shared" ref="N706:N769" si="46">ROUND(IFERROR(K706/100,0)*0.6 + IF(L706="Yes",1,IF(L706="No",0,0.3))*0.25 + IFERROR(J706/100,0)*0.15,3)</f>
        <v>0.38900000000000001</v>
      </c>
      <c r="O706" s="62" t="str">
        <f t="shared" ref="O706:O769" si="47">IF(AND(L706="No",I706=0),"1: Critical (No DBWT + No Wk0)",IF(L706="No","2: High (No DBWT)",IF(I706=0,"3: Elevated (No Wk0)","4: Engaged Early")))</f>
        <v>2: High (No DBWT)</v>
      </c>
    </row>
    <row r="707" spans="1:15" ht="15" customHeight="1" x14ac:dyDescent="0.4">
      <c r="A707" s="62" t="s">
        <v>824</v>
      </c>
      <c r="B707" s="62" t="s">
        <v>1340</v>
      </c>
      <c r="C707" s="62" t="s">
        <v>826</v>
      </c>
      <c r="D707" s="63">
        <v>3</v>
      </c>
      <c r="E707" s="63">
        <v>1</v>
      </c>
      <c r="F707" s="63">
        <v>0</v>
      </c>
      <c r="G707" s="64">
        <f t="shared" si="44"/>
        <v>0.33333333333333331</v>
      </c>
      <c r="H707" s="64">
        <f t="shared" si="45"/>
        <v>0</v>
      </c>
      <c r="I707" s="63">
        <v>2</v>
      </c>
      <c r="J707" s="65">
        <v>93.702950000000001</v>
      </c>
      <c r="K707" s="65">
        <v>76.599999999999994</v>
      </c>
      <c r="L707" s="62" t="s">
        <v>825</v>
      </c>
      <c r="M707" s="63">
        <v>0</v>
      </c>
      <c r="N707" s="66">
        <f t="shared" si="46"/>
        <v>0.85</v>
      </c>
      <c r="O707" s="62" t="str">
        <f t="shared" si="47"/>
        <v>4: Engaged Early</v>
      </c>
    </row>
    <row r="708" spans="1:15" ht="15" customHeight="1" x14ac:dyDescent="0.4">
      <c r="A708" s="62" t="s">
        <v>824</v>
      </c>
      <c r="B708" s="62" t="s">
        <v>1341</v>
      </c>
      <c r="C708" s="62" t="s">
        <v>826</v>
      </c>
      <c r="D708" s="63">
        <v>0</v>
      </c>
      <c r="E708" s="63">
        <v>0</v>
      </c>
      <c r="F708" s="63">
        <v>0</v>
      </c>
      <c r="G708" s="64">
        <f t="shared" si="44"/>
        <v>0</v>
      </c>
      <c r="H708" s="64">
        <f t="shared" si="45"/>
        <v>0</v>
      </c>
      <c r="I708" s="63">
        <v>2</v>
      </c>
      <c r="J708" s="65">
        <v>96.905000000000001</v>
      </c>
      <c r="K708" s="65">
        <v>100</v>
      </c>
      <c r="L708" s="62" t="s">
        <v>825</v>
      </c>
      <c r="M708" s="63">
        <v>0</v>
      </c>
      <c r="N708" s="66">
        <f t="shared" si="46"/>
        <v>0.995</v>
      </c>
      <c r="O708" s="62" t="str">
        <f t="shared" si="47"/>
        <v>4: Engaged Early</v>
      </c>
    </row>
    <row r="709" spans="1:15" ht="15" customHeight="1" x14ac:dyDescent="0.4">
      <c r="A709" s="62" t="s">
        <v>824</v>
      </c>
      <c r="B709" s="62" t="s">
        <v>1342</v>
      </c>
      <c r="C709" s="62" t="s">
        <v>826</v>
      </c>
      <c r="D709" s="63">
        <v>5</v>
      </c>
      <c r="E709" s="63">
        <v>5</v>
      </c>
      <c r="F709" s="63">
        <v>0</v>
      </c>
      <c r="G709" s="64">
        <f t="shared" si="44"/>
        <v>1</v>
      </c>
      <c r="H709" s="64">
        <f t="shared" si="45"/>
        <v>0</v>
      </c>
      <c r="I709" s="63">
        <v>2</v>
      </c>
      <c r="J709" s="65">
        <v>79.478049999999996</v>
      </c>
      <c r="K709" s="65">
        <v>97.25</v>
      </c>
      <c r="L709" s="62" t="s">
        <v>825</v>
      </c>
      <c r="M709" s="63">
        <v>0</v>
      </c>
      <c r="N709" s="66">
        <f t="shared" si="46"/>
        <v>0.95299999999999996</v>
      </c>
      <c r="O709" s="62" t="str">
        <f t="shared" si="47"/>
        <v>4: Engaged Early</v>
      </c>
    </row>
    <row r="710" spans="1:15" ht="15" customHeight="1" x14ac:dyDescent="0.4">
      <c r="A710" s="62" t="s">
        <v>824</v>
      </c>
      <c r="B710" s="62" t="s">
        <v>1343</v>
      </c>
      <c r="C710" s="62" t="s">
        <v>826</v>
      </c>
      <c r="D710" s="63">
        <v>18</v>
      </c>
      <c r="E710" s="63">
        <v>0</v>
      </c>
      <c r="F710" s="63">
        <v>3</v>
      </c>
      <c r="G710" s="64">
        <f t="shared" si="44"/>
        <v>0</v>
      </c>
      <c r="H710" s="64">
        <f t="shared" si="45"/>
        <v>0.16666666666666666</v>
      </c>
      <c r="I710" s="63">
        <v>2</v>
      </c>
      <c r="J710" s="65">
        <v>48.984699999999997</v>
      </c>
      <c r="K710" s="65">
        <v>100</v>
      </c>
      <c r="L710" s="62" t="s">
        <v>825</v>
      </c>
      <c r="M710" s="63">
        <v>0</v>
      </c>
      <c r="N710" s="66">
        <f t="shared" si="46"/>
        <v>0.92300000000000004</v>
      </c>
      <c r="O710" s="62" t="str">
        <f t="shared" si="47"/>
        <v>4: Engaged Early</v>
      </c>
    </row>
    <row r="711" spans="1:15" ht="15" customHeight="1" x14ac:dyDescent="0.4">
      <c r="A711" s="62" t="s">
        <v>824</v>
      </c>
      <c r="B711" s="62" t="s">
        <v>1344</v>
      </c>
      <c r="C711" s="62" t="s">
        <v>826</v>
      </c>
      <c r="D711" s="63">
        <v>10</v>
      </c>
      <c r="E711" s="63">
        <v>6</v>
      </c>
      <c r="F711" s="63">
        <v>0</v>
      </c>
      <c r="G711" s="64">
        <f t="shared" si="44"/>
        <v>0.6</v>
      </c>
      <c r="H711" s="64">
        <f t="shared" si="45"/>
        <v>0</v>
      </c>
      <c r="I711" s="63">
        <v>2</v>
      </c>
      <c r="J711" s="65">
        <v>83.620800000000003</v>
      </c>
      <c r="K711" s="65">
        <v>100</v>
      </c>
      <c r="L711" s="62" t="s">
        <v>826</v>
      </c>
      <c r="M711" s="63">
        <v>0</v>
      </c>
      <c r="N711" s="66">
        <f t="shared" si="46"/>
        <v>0.72499999999999998</v>
      </c>
      <c r="O711" s="62" t="str">
        <f t="shared" si="47"/>
        <v>2: High (No DBWT)</v>
      </c>
    </row>
    <row r="712" spans="1:15" ht="15" customHeight="1" x14ac:dyDescent="0.4">
      <c r="A712" s="62" t="s">
        <v>824</v>
      </c>
      <c r="B712" s="62" t="s">
        <v>1345</v>
      </c>
      <c r="C712" s="62" t="s">
        <v>826</v>
      </c>
      <c r="D712" s="63">
        <v>5</v>
      </c>
      <c r="E712" s="63">
        <v>5</v>
      </c>
      <c r="F712" s="63">
        <v>1</v>
      </c>
      <c r="G712" s="64">
        <f t="shared" si="44"/>
        <v>1</v>
      </c>
      <c r="H712" s="64">
        <f t="shared" si="45"/>
        <v>0.2</v>
      </c>
      <c r="I712" s="63">
        <v>4</v>
      </c>
      <c r="J712" s="65">
        <v>84.748024999999998</v>
      </c>
      <c r="K712" s="65">
        <v>83.06</v>
      </c>
      <c r="L712" s="62" t="s">
        <v>826</v>
      </c>
      <c r="M712" s="63">
        <v>0</v>
      </c>
      <c r="N712" s="66">
        <f t="shared" si="46"/>
        <v>0.625</v>
      </c>
      <c r="O712" s="62" t="str">
        <f t="shared" si="47"/>
        <v>2: High (No DBWT)</v>
      </c>
    </row>
    <row r="713" spans="1:15" ht="15" customHeight="1" x14ac:dyDescent="0.4">
      <c r="A713" s="62" t="s">
        <v>824</v>
      </c>
      <c r="B713" s="62" t="s">
        <v>1346</v>
      </c>
      <c r="C713" s="62" t="s">
        <v>826</v>
      </c>
      <c r="D713" s="63">
        <v>17</v>
      </c>
      <c r="E713" s="63">
        <v>11</v>
      </c>
      <c r="F713" s="63">
        <v>1</v>
      </c>
      <c r="G713" s="64">
        <f t="shared" si="44"/>
        <v>0.6470588235294118</v>
      </c>
      <c r="H713" s="64">
        <f t="shared" si="45"/>
        <v>5.8823529411764705E-2</v>
      </c>
      <c r="I713" s="63">
        <v>2</v>
      </c>
      <c r="J713" s="65">
        <v>40.278311000000002</v>
      </c>
      <c r="K713" s="65">
        <v>77.81</v>
      </c>
      <c r="L713" s="62" t="s">
        <v>825</v>
      </c>
      <c r="M713" s="63">
        <v>1</v>
      </c>
      <c r="N713" s="66">
        <f t="shared" si="46"/>
        <v>0.77700000000000002</v>
      </c>
      <c r="O713" s="62" t="str">
        <f t="shared" si="47"/>
        <v>4: Engaged Early</v>
      </c>
    </row>
    <row r="714" spans="1:15" ht="15" customHeight="1" x14ac:dyDescent="0.4">
      <c r="A714" s="62" t="s">
        <v>824</v>
      </c>
      <c r="B714" s="62" t="s">
        <v>1347</v>
      </c>
      <c r="C714" s="62" t="s">
        <v>826</v>
      </c>
      <c r="D714" s="63">
        <v>0</v>
      </c>
      <c r="E714" s="63">
        <v>0</v>
      </c>
      <c r="F714" s="63">
        <v>0</v>
      </c>
      <c r="G714" s="64">
        <f t="shared" si="44"/>
        <v>0</v>
      </c>
      <c r="H714" s="64">
        <f t="shared" si="45"/>
        <v>0</v>
      </c>
      <c r="I714" s="63">
        <v>1</v>
      </c>
      <c r="J714" s="65">
        <v>71.489999999999995</v>
      </c>
      <c r="K714" s="65">
        <v>44.51</v>
      </c>
      <c r="L714" s="62" t="s">
        <v>840</v>
      </c>
      <c r="M714" s="63">
        <v>0</v>
      </c>
      <c r="N714" s="66">
        <f t="shared" si="46"/>
        <v>0.44900000000000001</v>
      </c>
      <c r="O714" s="62" t="str">
        <f t="shared" si="47"/>
        <v>4: Engaged Early</v>
      </c>
    </row>
    <row r="715" spans="1:15" ht="15" customHeight="1" x14ac:dyDescent="0.4">
      <c r="A715" s="62" t="s">
        <v>824</v>
      </c>
      <c r="B715" s="62" t="s">
        <v>1348</v>
      </c>
      <c r="C715" s="62" t="s">
        <v>826</v>
      </c>
      <c r="D715" s="63">
        <v>4</v>
      </c>
      <c r="E715" s="63">
        <v>4</v>
      </c>
      <c r="F715" s="63">
        <v>2</v>
      </c>
      <c r="G715" s="64">
        <f t="shared" si="44"/>
        <v>1</v>
      </c>
      <c r="H715" s="64">
        <f t="shared" si="45"/>
        <v>0.5</v>
      </c>
      <c r="I715" s="63">
        <v>2</v>
      </c>
      <c r="J715" s="65">
        <v>98.073449999999994</v>
      </c>
      <c r="K715" s="65">
        <v>87.32</v>
      </c>
      <c r="L715" s="62" t="s">
        <v>826</v>
      </c>
      <c r="M715" s="63">
        <v>0</v>
      </c>
      <c r="N715" s="66">
        <f t="shared" si="46"/>
        <v>0.67100000000000004</v>
      </c>
      <c r="O715" s="62" t="str">
        <f t="shared" si="47"/>
        <v>2: High (No DBWT)</v>
      </c>
    </row>
    <row r="716" spans="1:15" ht="15" customHeight="1" x14ac:dyDescent="0.4">
      <c r="A716" s="62" t="s">
        <v>824</v>
      </c>
      <c r="B716" s="62" t="s">
        <v>1349</v>
      </c>
      <c r="C716" s="62" t="s">
        <v>826</v>
      </c>
      <c r="D716" s="63">
        <v>13</v>
      </c>
      <c r="E716" s="63">
        <v>9</v>
      </c>
      <c r="F716" s="63">
        <v>0</v>
      </c>
      <c r="G716" s="64">
        <f t="shared" si="44"/>
        <v>0.69230769230769229</v>
      </c>
      <c r="H716" s="64">
        <f t="shared" si="45"/>
        <v>0</v>
      </c>
      <c r="I716" s="63">
        <v>2</v>
      </c>
      <c r="J716" s="65">
        <v>32.7774</v>
      </c>
      <c r="K716" s="65">
        <v>25.12</v>
      </c>
      <c r="L716" s="62" t="s">
        <v>825</v>
      </c>
      <c r="M716" s="63">
        <v>0</v>
      </c>
      <c r="N716" s="66">
        <f t="shared" si="46"/>
        <v>0.45</v>
      </c>
      <c r="O716" s="62" t="str">
        <f t="shared" si="47"/>
        <v>4: Engaged Early</v>
      </c>
    </row>
    <row r="717" spans="1:15" ht="15" customHeight="1" x14ac:dyDescent="0.4">
      <c r="A717" s="62" t="s">
        <v>824</v>
      </c>
      <c r="B717" s="62" t="s">
        <v>1350</v>
      </c>
      <c r="C717" s="62" t="s">
        <v>826</v>
      </c>
      <c r="D717" s="63">
        <v>10</v>
      </c>
      <c r="E717" s="63">
        <v>10</v>
      </c>
      <c r="F717" s="63">
        <v>0</v>
      </c>
      <c r="G717" s="64">
        <f t="shared" si="44"/>
        <v>1</v>
      </c>
      <c r="H717" s="64">
        <f t="shared" si="45"/>
        <v>0</v>
      </c>
      <c r="I717" s="63">
        <v>2</v>
      </c>
      <c r="J717" s="65">
        <v>92.475899999999996</v>
      </c>
      <c r="K717" s="65">
        <v>100</v>
      </c>
      <c r="L717" s="62" t="s">
        <v>825</v>
      </c>
      <c r="M717" s="63">
        <v>0</v>
      </c>
      <c r="N717" s="66">
        <f t="shared" si="46"/>
        <v>0.98899999999999999</v>
      </c>
      <c r="O717" s="62" t="str">
        <f t="shared" si="47"/>
        <v>4: Engaged Early</v>
      </c>
    </row>
    <row r="718" spans="1:15" ht="15" customHeight="1" x14ac:dyDescent="0.4">
      <c r="A718" s="62" t="s">
        <v>824</v>
      </c>
      <c r="B718" s="62" t="s">
        <v>1351</v>
      </c>
      <c r="C718" s="62" t="s">
        <v>826</v>
      </c>
      <c r="D718" s="63">
        <v>13</v>
      </c>
      <c r="E718" s="63">
        <v>13</v>
      </c>
      <c r="F718" s="63">
        <v>3</v>
      </c>
      <c r="G718" s="64">
        <f t="shared" si="44"/>
        <v>1</v>
      </c>
      <c r="H718" s="64">
        <f t="shared" si="45"/>
        <v>0.23076923076923078</v>
      </c>
      <c r="I718" s="63">
        <v>2</v>
      </c>
      <c r="J718" s="65">
        <v>64.078749999999999</v>
      </c>
      <c r="K718" s="65">
        <v>49.72</v>
      </c>
      <c r="L718" s="62" t="s">
        <v>825</v>
      </c>
      <c r="M718" s="63">
        <v>0</v>
      </c>
      <c r="N718" s="66">
        <f t="shared" si="46"/>
        <v>0.64400000000000002</v>
      </c>
      <c r="O718" s="62" t="str">
        <f t="shared" si="47"/>
        <v>4: Engaged Early</v>
      </c>
    </row>
    <row r="719" spans="1:15" ht="15" customHeight="1" x14ac:dyDescent="0.4">
      <c r="A719" s="62" t="s">
        <v>824</v>
      </c>
      <c r="B719" s="62" t="s">
        <v>1352</v>
      </c>
      <c r="C719" s="62" t="s">
        <v>826</v>
      </c>
      <c r="D719" s="63">
        <v>25</v>
      </c>
      <c r="E719" s="63">
        <v>8</v>
      </c>
      <c r="F719" s="63">
        <v>1</v>
      </c>
      <c r="G719" s="64">
        <f t="shared" si="44"/>
        <v>0.32</v>
      </c>
      <c r="H719" s="64">
        <f t="shared" si="45"/>
        <v>0.04</v>
      </c>
      <c r="I719" s="63">
        <v>2</v>
      </c>
      <c r="J719" s="65">
        <v>82.930599999999998</v>
      </c>
      <c r="K719" s="65">
        <v>60.93</v>
      </c>
      <c r="L719" s="62" t="s">
        <v>825</v>
      </c>
      <c r="M719" s="63">
        <v>0</v>
      </c>
      <c r="N719" s="66">
        <f t="shared" si="46"/>
        <v>0.74</v>
      </c>
      <c r="O719" s="62" t="str">
        <f t="shared" si="47"/>
        <v>4: Engaged Early</v>
      </c>
    </row>
    <row r="720" spans="1:15" ht="15" customHeight="1" x14ac:dyDescent="0.4">
      <c r="A720" s="62" t="s">
        <v>824</v>
      </c>
      <c r="B720" s="62" t="s">
        <v>1353</v>
      </c>
      <c r="C720" s="62" t="s">
        <v>826</v>
      </c>
      <c r="D720" s="63">
        <v>15</v>
      </c>
      <c r="E720" s="63">
        <v>13</v>
      </c>
      <c r="F720" s="63">
        <v>1</v>
      </c>
      <c r="G720" s="64">
        <f t="shared" si="44"/>
        <v>0.8666666666666667</v>
      </c>
      <c r="H720" s="64">
        <f t="shared" si="45"/>
        <v>6.6666666666666666E-2</v>
      </c>
      <c r="I720" s="63">
        <v>1</v>
      </c>
      <c r="J720" s="65">
        <v>84.14</v>
      </c>
      <c r="K720" s="65">
        <v>42.86</v>
      </c>
      <c r="L720" s="62" t="s">
        <v>825</v>
      </c>
      <c r="M720" s="63">
        <v>0</v>
      </c>
      <c r="N720" s="66">
        <f t="shared" si="46"/>
        <v>0.63300000000000001</v>
      </c>
      <c r="O720" s="62" t="str">
        <f t="shared" si="47"/>
        <v>4: Engaged Early</v>
      </c>
    </row>
    <row r="721" spans="1:15" ht="15" customHeight="1" x14ac:dyDescent="0.4">
      <c r="A721" s="62" t="s">
        <v>824</v>
      </c>
      <c r="B721" s="62" t="s">
        <v>1354</v>
      </c>
      <c r="C721" s="62" t="s">
        <v>826</v>
      </c>
      <c r="D721" s="63">
        <v>13</v>
      </c>
      <c r="E721" s="63">
        <v>8</v>
      </c>
      <c r="F721" s="63">
        <v>1</v>
      </c>
      <c r="G721" s="64">
        <f t="shared" si="44"/>
        <v>0.61538461538461542</v>
      </c>
      <c r="H721" s="64">
        <f t="shared" si="45"/>
        <v>7.6923076923076927E-2</v>
      </c>
      <c r="I721" s="63">
        <v>2</v>
      </c>
      <c r="J721" s="65">
        <v>77.675299999999993</v>
      </c>
      <c r="K721" s="65">
        <v>98.38</v>
      </c>
      <c r="L721" s="62" t="s">
        <v>825</v>
      </c>
      <c r="M721" s="63">
        <v>0</v>
      </c>
      <c r="N721" s="66">
        <f t="shared" si="46"/>
        <v>0.95699999999999996</v>
      </c>
      <c r="O721" s="62" t="str">
        <f t="shared" si="47"/>
        <v>4: Engaged Early</v>
      </c>
    </row>
    <row r="722" spans="1:15" ht="15" customHeight="1" x14ac:dyDescent="0.4">
      <c r="A722" s="62" t="s">
        <v>824</v>
      </c>
      <c r="B722" s="62" t="s">
        <v>1355</v>
      </c>
      <c r="C722" s="62" t="s">
        <v>826</v>
      </c>
      <c r="D722" s="63">
        <v>20</v>
      </c>
      <c r="E722" s="63">
        <v>15</v>
      </c>
      <c r="F722" s="63">
        <v>10</v>
      </c>
      <c r="G722" s="64">
        <f t="shared" si="44"/>
        <v>0.75</v>
      </c>
      <c r="H722" s="64">
        <f t="shared" si="45"/>
        <v>0.5</v>
      </c>
      <c r="I722" s="63">
        <v>2</v>
      </c>
      <c r="J722" s="65">
        <v>97.561700000000002</v>
      </c>
      <c r="K722" s="65">
        <v>55.56</v>
      </c>
      <c r="L722" s="62" t="s">
        <v>825</v>
      </c>
      <c r="M722" s="63">
        <v>0</v>
      </c>
      <c r="N722" s="66">
        <f t="shared" si="46"/>
        <v>0.73</v>
      </c>
      <c r="O722" s="62" t="str">
        <f t="shared" si="47"/>
        <v>4: Engaged Early</v>
      </c>
    </row>
    <row r="723" spans="1:15" ht="15" customHeight="1" x14ac:dyDescent="0.4">
      <c r="A723" s="62" t="s">
        <v>824</v>
      </c>
      <c r="B723" s="62" t="s">
        <v>1356</v>
      </c>
      <c r="C723" s="62" t="s">
        <v>826</v>
      </c>
      <c r="D723" s="63">
        <v>5</v>
      </c>
      <c r="E723" s="63">
        <v>4</v>
      </c>
      <c r="F723" s="63">
        <v>3</v>
      </c>
      <c r="G723" s="64">
        <f t="shared" si="44"/>
        <v>0.8</v>
      </c>
      <c r="H723" s="64">
        <f t="shared" si="45"/>
        <v>0.6</v>
      </c>
      <c r="I723" s="63">
        <v>2</v>
      </c>
      <c r="J723" s="65">
        <v>85.691400000000002</v>
      </c>
      <c r="K723" s="65">
        <v>100</v>
      </c>
      <c r="L723" s="62" t="s">
        <v>825</v>
      </c>
      <c r="M723" s="63">
        <v>0</v>
      </c>
      <c r="N723" s="66">
        <f t="shared" si="46"/>
        <v>0.97899999999999998</v>
      </c>
      <c r="O723" s="62" t="str">
        <f t="shared" si="47"/>
        <v>4: Engaged Early</v>
      </c>
    </row>
    <row r="724" spans="1:15" ht="15" customHeight="1" x14ac:dyDescent="0.4">
      <c r="A724" s="62" t="s">
        <v>824</v>
      </c>
      <c r="B724" s="62" t="s">
        <v>1357</v>
      </c>
      <c r="C724" s="62" t="s">
        <v>826</v>
      </c>
      <c r="D724" s="63">
        <v>10</v>
      </c>
      <c r="E724" s="63">
        <v>10</v>
      </c>
      <c r="F724" s="63">
        <v>3</v>
      </c>
      <c r="G724" s="64">
        <f t="shared" si="44"/>
        <v>1</v>
      </c>
      <c r="H724" s="64">
        <f t="shared" si="45"/>
        <v>0.3</v>
      </c>
      <c r="I724" s="63">
        <v>2</v>
      </c>
      <c r="J724" s="65">
        <v>99.450900000000004</v>
      </c>
      <c r="K724" s="65">
        <v>88.89</v>
      </c>
      <c r="L724" s="62" t="s">
        <v>825</v>
      </c>
      <c r="M724" s="63">
        <v>0</v>
      </c>
      <c r="N724" s="66">
        <f t="shared" si="46"/>
        <v>0.93300000000000005</v>
      </c>
      <c r="O724" s="62" t="str">
        <f t="shared" si="47"/>
        <v>4: Engaged Early</v>
      </c>
    </row>
    <row r="725" spans="1:15" ht="15" customHeight="1" x14ac:dyDescent="0.4">
      <c r="A725" s="62" t="s">
        <v>824</v>
      </c>
      <c r="B725" s="62" t="s">
        <v>663</v>
      </c>
      <c r="C725" s="62" t="s">
        <v>825</v>
      </c>
      <c r="D725" s="63">
        <v>3</v>
      </c>
      <c r="E725" s="63">
        <v>2</v>
      </c>
      <c r="F725" s="63">
        <v>0</v>
      </c>
      <c r="G725" s="64">
        <f t="shared" si="44"/>
        <v>0.66666666666666663</v>
      </c>
      <c r="H725" s="64">
        <f t="shared" si="45"/>
        <v>0</v>
      </c>
      <c r="I725" s="63">
        <v>2</v>
      </c>
      <c r="J725" s="65">
        <v>40.591799999999999</v>
      </c>
      <c r="K725" s="65">
        <v>17.71</v>
      </c>
      <c r="L725" s="62" t="s">
        <v>825</v>
      </c>
      <c r="M725" s="63">
        <v>0</v>
      </c>
      <c r="N725" s="66">
        <f t="shared" si="46"/>
        <v>0.41699999999999998</v>
      </c>
      <c r="O725" s="62" t="str">
        <f t="shared" si="47"/>
        <v>4: Engaged Early</v>
      </c>
    </row>
    <row r="726" spans="1:15" ht="15" customHeight="1" x14ac:dyDescent="0.4">
      <c r="A726" s="62" t="s">
        <v>824</v>
      </c>
      <c r="B726" s="62" t="s">
        <v>1358</v>
      </c>
      <c r="C726" s="62" t="s">
        <v>826</v>
      </c>
      <c r="D726" s="63">
        <v>17</v>
      </c>
      <c r="E726" s="63">
        <v>7</v>
      </c>
      <c r="F726" s="63">
        <v>4</v>
      </c>
      <c r="G726" s="64">
        <f t="shared" si="44"/>
        <v>0.41176470588235292</v>
      </c>
      <c r="H726" s="64">
        <f t="shared" si="45"/>
        <v>0.23529411764705882</v>
      </c>
      <c r="I726" s="63">
        <v>2</v>
      </c>
      <c r="J726" s="65">
        <v>87.859499999999997</v>
      </c>
      <c r="K726" s="65">
        <v>100</v>
      </c>
      <c r="L726" s="62" t="s">
        <v>825</v>
      </c>
      <c r="M726" s="63">
        <v>0</v>
      </c>
      <c r="N726" s="66">
        <f t="shared" si="46"/>
        <v>0.98199999999999998</v>
      </c>
      <c r="O726" s="62" t="str">
        <f t="shared" si="47"/>
        <v>4: Engaged Early</v>
      </c>
    </row>
    <row r="727" spans="1:15" ht="15" customHeight="1" x14ac:dyDescent="0.4">
      <c r="A727" s="62" t="s">
        <v>824</v>
      </c>
      <c r="B727" s="62" t="s">
        <v>694</v>
      </c>
      <c r="C727" s="62" t="s">
        <v>825</v>
      </c>
      <c r="D727" s="63">
        <v>7</v>
      </c>
      <c r="E727" s="63">
        <v>3</v>
      </c>
      <c r="F727" s="63">
        <v>0</v>
      </c>
      <c r="G727" s="64">
        <f t="shared" si="44"/>
        <v>0.42857142857142855</v>
      </c>
      <c r="H727" s="64">
        <f t="shared" si="45"/>
        <v>0</v>
      </c>
      <c r="I727" s="63">
        <v>2</v>
      </c>
      <c r="J727" s="65">
        <v>99.984999999999999</v>
      </c>
      <c r="K727" s="65">
        <v>45.07</v>
      </c>
      <c r="L727" s="62" t="s">
        <v>825</v>
      </c>
      <c r="M727" s="63">
        <v>0</v>
      </c>
      <c r="N727" s="66">
        <f t="shared" si="46"/>
        <v>0.67</v>
      </c>
      <c r="O727" s="62" t="str">
        <f t="shared" si="47"/>
        <v>4: Engaged Early</v>
      </c>
    </row>
    <row r="728" spans="1:15" ht="15" customHeight="1" x14ac:dyDescent="0.4">
      <c r="A728" s="62" t="s">
        <v>824</v>
      </c>
      <c r="B728" s="62" t="s">
        <v>1359</v>
      </c>
      <c r="C728" s="62" t="s">
        <v>826</v>
      </c>
      <c r="D728" s="63">
        <v>20</v>
      </c>
      <c r="E728" s="63">
        <v>11</v>
      </c>
      <c r="F728" s="63">
        <v>3</v>
      </c>
      <c r="G728" s="64">
        <f t="shared" si="44"/>
        <v>0.55000000000000004</v>
      </c>
      <c r="H728" s="64">
        <f t="shared" si="45"/>
        <v>0.15</v>
      </c>
      <c r="I728" s="63">
        <v>2</v>
      </c>
      <c r="J728" s="65">
        <v>41.636099999999999</v>
      </c>
      <c r="K728" s="65">
        <v>93.75</v>
      </c>
      <c r="L728" s="62" t="s">
        <v>825</v>
      </c>
      <c r="M728" s="63">
        <v>0</v>
      </c>
      <c r="N728" s="66">
        <f t="shared" si="46"/>
        <v>0.875</v>
      </c>
      <c r="O728" s="62" t="str">
        <f t="shared" si="47"/>
        <v>4: Engaged Early</v>
      </c>
    </row>
    <row r="729" spans="1:15" ht="15" customHeight="1" x14ac:dyDescent="0.4">
      <c r="A729" s="62" t="s">
        <v>824</v>
      </c>
      <c r="B729" s="62" t="s">
        <v>1360</v>
      </c>
      <c r="C729" s="62" t="s">
        <v>826</v>
      </c>
      <c r="D729" s="63">
        <v>13</v>
      </c>
      <c r="E729" s="63">
        <v>6</v>
      </c>
      <c r="F729" s="63">
        <v>2</v>
      </c>
      <c r="G729" s="64">
        <f t="shared" si="44"/>
        <v>0.46153846153846156</v>
      </c>
      <c r="H729" s="64">
        <f t="shared" si="45"/>
        <v>0.15384615384615385</v>
      </c>
      <c r="I729" s="63">
        <v>2</v>
      </c>
      <c r="J729" s="65">
        <v>89.92595</v>
      </c>
      <c r="K729" s="65">
        <v>99.09</v>
      </c>
      <c r="L729" s="62" t="s">
        <v>826</v>
      </c>
      <c r="M729" s="63">
        <v>0</v>
      </c>
      <c r="N729" s="66">
        <f t="shared" si="46"/>
        <v>0.72899999999999998</v>
      </c>
      <c r="O729" s="62" t="str">
        <f t="shared" si="47"/>
        <v>2: High (No DBWT)</v>
      </c>
    </row>
    <row r="730" spans="1:15" ht="15" customHeight="1" x14ac:dyDescent="0.4">
      <c r="A730" s="62" t="s">
        <v>824</v>
      </c>
      <c r="B730" s="62" t="s">
        <v>1361</v>
      </c>
      <c r="C730" s="62" t="s">
        <v>826</v>
      </c>
      <c r="D730" s="63">
        <v>13</v>
      </c>
      <c r="E730" s="63">
        <v>8</v>
      </c>
      <c r="F730" s="63">
        <v>3</v>
      </c>
      <c r="G730" s="64">
        <f t="shared" si="44"/>
        <v>0.61538461538461542</v>
      </c>
      <c r="H730" s="64">
        <f t="shared" si="45"/>
        <v>0.23076923076923078</v>
      </c>
      <c r="I730" s="63">
        <v>2</v>
      </c>
      <c r="J730" s="65">
        <v>96.600999999999999</v>
      </c>
      <c r="K730" s="65">
        <v>100</v>
      </c>
      <c r="L730" s="62" t="s">
        <v>825</v>
      </c>
      <c r="M730" s="63">
        <v>0</v>
      </c>
      <c r="N730" s="66">
        <f t="shared" si="46"/>
        <v>0.995</v>
      </c>
      <c r="O730" s="62" t="str">
        <f t="shared" si="47"/>
        <v>4: Engaged Early</v>
      </c>
    </row>
    <row r="731" spans="1:15" ht="15" customHeight="1" x14ac:dyDescent="0.4">
      <c r="A731" s="62" t="s">
        <v>824</v>
      </c>
      <c r="B731" s="62" t="s">
        <v>1362</v>
      </c>
      <c r="C731" s="62" t="s">
        <v>826</v>
      </c>
      <c r="D731" s="63">
        <v>22</v>
      </c>
      <c r="E731" s="63">
        <v>13</v>
      </c>
      <c r="F731" s="63">
        <v>7</v>
      </c>
      <c r="G731" s="64">
        <f t="shared" si="44"/>
        <v>0.59090909090909094</v>
      </c>
      <c r="H731" s="64">
        <f t="shared" si="45"/>
        <v>0.31818181818181818</v>
      </c>
      <c r="I731" s="63">
        <v>2</v>
      </c>
      <c r="J731" s="65">
        <v>63.887450000000001</v>
      </c>
      <c r="K731" s="65">
        <v>91.16</v>
      </c>
      <c r="L731" s="62" t="s">
        <v>825</v>
      </c>
      <c r="M731" s="63">
        <v>0</v>
      </c>
      <c r="N731" s="66">
        <f t="shared" si="46"/>
        <v>0.89300000000000002</v>
      </c>
      <c r="O731" s="62" t="str">
        <f t="shared" si="47"/>
        <v>4: Engaged Early</v>
      </c>
    </row>
    <row r="732" spans="1:15" ht="15" customHeight="1" x14ac:dyDescent="0.4">
      <c r="A732" s="62" t="s">
        <v>824</v>
      </c>
      <c r="B732" s="62" t="s">
        <v>1363</v>
      </c>
      <c r="C732" s="62" t="s">
        <v>826</v>
      </c>
      <c r="D732" s="63">
        <v>3</v>
      </c>
      <c r="E732" s="63">
        <v>2</v>
      </c>
      <c r="F732" s="63">
        <v>2</v>
      </c>
      <c r="G732" s="64">
        <f t="shared" si="44"/>
        <v>0.66666666666666663</v>
      </c>
      <c r="H732" s="64">
        <f t="shared" si="45"/>
        <v>0.66666666666666663</v>
      </c>
      <c r="I732" s="63">
        <v>2</v>
      </c>
      <c r="J732" s="65">
        <v>95.248149999999995</v>
      </c>
      <c r="K732" s="65">
        <v>100</v>
      </c>
      <c r="L732" s="62" t="s">
        <v>825</v>
      </c>
      <c r="M732" s="63">
        <v>1</v>
      </c>
      <c r="N732" s="66">
        <f t="shared" si="46"/>
        <v>0.99299999999999999</v>
      </c>
      <c r="O732" s="62" t="str">
        <f t="shared" si="47"/>
        <v>4: Engaged Early</v>
      </c>
    </row>
    <row r="733" spans="1:15" ht="15" customHeight="1" x14ac:dyDescent="0.4">
      <c r="A733" s="62" t="s">
        <v>824</v>
      </c>
      <c r="B733" s="62" t="s">
        <v>1364</v>
      </c>
      <c r="C733" s="62" t="s">
        <v>826</v>
      </c>
      <c r="D733" s="63">
        <v>15</v>
      </c>
      <c r="E733" s="63">
        <v>14</v>
      </c>
      <c r="F733" s="63">
        <v>1</v>
      </c>
      <c r="G733" s="64">
        <f t="shared" si="44"/>
        <v>0.93333333333333335</v>
      </c>
      <c r="H733" s="64">
        <f t="shared" si="45"/>
        <v>6.6666666666666666E-2</v>
      </c>
      <c r="I733" s="63">
        <v>1</v>
      </c>
      <c r="J733" s="65">
        <v>87.3339</v>
      </c>
      <c r="K733" s="65">
        <v>74.13</v>
      </c>
      <c r="L733" s="62" t="s">
        <v>825</v>
      </c>
      <c r="M733" s="63">
        <v>0</v>
      </c>
      <c r="N733" s="66">
        <f t="shared" si="46"/>
        <v>0.82599999999999996</v>
      </c>
      <c r="O733" s="62" t="str">
        <f t="shared" si="47"/>
        <v>4: Engaged Early</v>
      </c>
    </row>
    <row r="734" spans="1:15" ht="15" customHeight="1" x14ac:dyDescent="0.4">
      <c r="A734" s="62" t="s">
        <v>824</v>
      </c>
      <c r="B734" s="62" t="s">
        <v>1365</v>
      </c>
      <c r="C734" s="62" t="s">
        <v>826</v>
      </c>
      <c r="D734" s="63">
        <v>25</v>
      </c>
      <c r="E734" s="63">
        <v>17</v>
      </c>
      <c r="F734" s="63">
        <v>1</v>
      </c>
      <c r="G734" s="64">
        <f t="shared" si="44"/>
        <v>0.68</v>
      </c>
      <c r="H734" s="64">
        <f t="shared" si="45"/>
        <v>0.04</v>
      </c>
      <c r="I734" s="63">
        <v>2</v>
      </c>
      <c r="J734" s="65">
        <v>56.960850000000001</v>
      </c>
      <c r="K734" s="65">
        <v>48.38</v>
      </c>
      <c r="L734" s="62" t="s">
        <v>825</v>
      </c>
      <c r="M734" s="63">
        <v>0</v>
      </c>
      <c r="N734" s="66">
        <f t="shared" si="46"/>
        <v>0.626</v>
      </c>
      <c r="O734" s="62" t="str">
        <f t="shared" si="47"/>
        <v>4: Engaged Early</v>
      </c>
    </row>
    <row r="735" spans="1:15" ht="15" customHeight="1" x14ac:dyDescent="0.4">
      <c r="A735" s="62" t="s">
        <v>824</v>
      </c>
      <c r="B735" s="62" t="s">
        <v>1366</v>
      </c>
      <c r="C735" s="62" t="s">
        <v>826</v>
      </c>
      <c r="D735" s="63">
        <v>10</v>
      </c>
      <c r="E735" s="63">
        <v>3</v>
      </c>
      <c r="F735" s="63">
        <v>3</v>
      </c>
      <c r="G735" s="64">
        <f t="shared" si="44"/>
        <v>0.3</v>
      </c>
      <c r="H735" s="64">
        <f t="shared" si="45"/>
        <v>0.3</v>
      </c>
      <c r="I735" s="63">
        <v>2</v>
      </c>
      <c r="J735" s="65">
        <v>49.827550000000002</v>
      </c>
      <c r="K735" s="65">
        <v>66.06</v>
      </c>
      <c r="L735" s="62" t="s">
        <v>825</v>
      </c>
      <c r="M735" s="63">
        <v>0</v>
      </c>
      <c r="N735" s="66">
        <f t="shared" si="46"/>
        <v>0.72099999999999997</v>
      </c>
      <c r="O735" s="62" t="str">
        <f t="shared" si="47"/>
        <v>4: Engaged Early</v>
      </c>
    </row>
    <row r="736" spans="1:15" ht="15" customHeight="1" x14ac:dyDescent="0.4">
      <c r="A736" s="62" t="s">
        <v>824</v>
      </c>
      <c r="B736" s="62" t="s">
        <v>1367</v>
      </c>
      <c r="C736" s="62" t="s">
        <v>826</v>
      </c>
      <c r="D736" s="63">
        <v>8</v>
      </c>
      <c r="E736" s="63">
        <v>2</v>
      </c>
      <c r="F736" s="63">
        <v>0</v>
      </c>
      <c r="G736" s="64">
        <f t="shared" si="44"/>
        <v>0.25</v>
      </c>
      <c r="H736" s="64">
        <f t="shared" si="45"/>
        <v>0</v>
      </c>
      <c r="I736" s="63">
        <v>2</v>
      </c>
      <c r="J736" s="65">
        <v>83.984099999999998</v>
      </c>
      <c r="K736" s="65">
        <v>100</v>
      </c>
      <c r="L736" s="62" t="s">
        <v>825</v>
      </c>
      <c r="M736" s="63">
        <v>0</v>
      </c>
      <c r="N736" s="66">
        <f t="shared" si="46"/>
        <v>0.97599999999999998</v>
      </c>
      <c r="O736" s="62" t="str">
        <f t="shared" si="47"/>
        <v>4: Engaged Early</v>
      </c>
    </row>
    <row r="737" spans="1:15" ht="15" customHeight="1" x14ac:dyDescent="0.4">
      <c r="A737" s="62" t="s">
        <v>824</v>
      </c>
      <c r="B737" s="62" t="s">
        <v>1368</v>
      </c>
      <c r="C737" s="62" t="s">
        <v>826</v>
      </c>
      <c r="D737" s="63">
        <v>1</v>
      </c>
      <c r="E737" s="63">
        <v>1</v>
      </c>
      <c r="F737" s="63">
        <v>0</v>
      </c>
      <c r="G737" s="64">
        <f t="shared" si="44"/>
        <v>1</v>
      </c>
      <c r="H737" s="64">
        <f t="shared" si="45"/>
        <v>0</v>
      </c>
      <c r="I737" s="63">
        <v>2</v>
      </c>
      <c r="J737" s="65">
        <v>99.402900000000002</v>
      </c>
      <c r="K737" s="65">
        <v>99.79</v>
      </c>
      <c r="L737" s="62" t="s">
        <v>825</v>
      </c>
      <c r="M737" s="63">
        <v>0</v>
      </c>
      <c r="N737" s="66">
        <f t="shared" si="46"/>
        <v>0.998</v>
      </c>
      <c r="O737" s="62" t="str">
        <f t="shared" si="47"/>
        <v>4: Engaged Early</v>
      </c>
    </row>
    <row r="738" spans="1:15" ht="15" customHeight="1" x14ac:dyDescent="0.4">
      <c r="A738" s="62" t="s">
        <v>824</v>
      </c>
      <c r="B738" s="62" t="s">
        <v>1369</v>
      </c>
      <c r="C738" s="62" t="s">
        <v>826</v>
      </c>
      <c r="D738" s="63">
        <v>10</v>
      </c>
      <c r="E738" s="63">
        <v>3</v>
      </c>
      <c r="F738" s="63">
        <v>4</v>
      </c>
      <c r="G738" s="64">
        <f t="shared" si="44"/>
        <v>0.3</v>
      </c>
      <c r="H738" s="64">
        <f t="shared" si="45"/>
        <v>0.4</v>
      </c>
      <c r="I738" s="63">
        <v>2</v>
      </c>
      <c r="J738" s="65">
        <v>99.418000000000006</v>
      </c>
      <c r="K738" s="65">
        <v>66.67</v>
      </c>
      <c r="L738" s="62" t="s">
        <v>825</v>
      </c>
      <c r="M738" s="63">
        <v>0</v>
      </c>
      <c r="N738" s="66">
        <f t="shared" si="46"/>
        <v>0.79900000000000004</v>
      </c>
      <c r="O738" s="62" t="str">
        <f t="shared" si="47"/>
        <v>4: Engaged Early</v>
      </c>
    </row>
    <row r="739" spans="1:15" ht="15" customHeight="1" x14ac:dyDescent="0.4">
      <c r="A739" s="62" t="s">
        <v>824</v>
      </c>
      <c r="B739" s="62" t="s">
        <v>1370</v>
      </c>
      <c r="C739" s="62" t="s">
        <v>826</v>
      </c>
      <c r="D739" s="63">
        <v>20</v>
      </c>
      <c r="E739" s="63">
        <v>14</v>
      </c>
      <c r="F739" s="63">
        <v>8</v>
      </c>
      <c r="G739" s="64">
        <f t="shared" si="44"/>
        <v>0.7</v>
      </c>
      <c r="H739" s="64">
        <f t="shared" si="45"/>
        <v>0.4</v>
      </c>
      <c r="I739" s="63">
        <v>2</v>
      </c>
      <c r="J739" s="65">
        <v>60.348399999999998</v>
      </c>
      <c r="K739" s="65">
        <v>94.05</v>
      </c>
      <c r="L739" s="62" t="s">
        <v>825</v>
      </c>
      <c r="M739" s="63">
        <v>1</v>
      </c>
      <c r="N739" s="66">
        <f t="shared" si="46"/>
        <v>0.90500000000000003</v>
      </c>
      <c r="O739" s="62" t="str">
        <f t="shared" si="47"/>
        <v>4: Engaged Early</v>
      </c>
    </row>
    <row r="740" spans="1:15" ht="15" customHeight="1" x14ac:dyDescent="0.4">
      <c r="A740" s="62" t="s">
        <v>824</v>
      </c>
      <c r="B740" s="62" t="s">
        <v>1371</v>
      </c>
      <c r="C740" s="62" t="s">
        <v>826</v>
      </c>
      <c r="D740" s="63">
        <v>2</v>
      </c>
      <c r="E740" s="63">
        <v>1</v>
      </c>
      <c r="F740" s="63">
        <v>1</v>
      </c>
      <c r="G740" s="64">
        <f t="shared" si="44"/>
        <v>0.5</v>
      </c>
      <c r="H740" s="64">
        <f t="shared" si="45"/>
        <v>0.5</v>
      </c>
      <c r="I740" s="63">
        <v>2</v>
      </c>
      <c r="J740" s="65">
        <v>67.535600000000002</v>
      </c>
      <c r="K740" s="65">
        <v>55.13</v>
      </c>
      <c r="L740" s="62" t="s">
        <v>825</v>
      </c>
      <c r="M740" s="63">
        <v>0</v>
      </c>
      <c r="N740" s="66">
        <f t="shared" si="46"/>
        <v>0.68200000000000005</v>
      </c>
      <c r="O740" s="62" t="str">
        <f t="shared" si="47"/>
        <v>4: Engaged Early</v>
      </c>
    </row>
    <row r="741" spans="1:15" ht="15" customHeight="1" x14ac:dyDescent="0.4">
      <c r="A741" s="62" t="s">
        <v>824</v>
      </c>
      <c r="B741" s="62" t="s">
        <v>1372</v>
      </c>
      <c r="C741" s="62" t="s">
        <v>826</v>
      </c>
      <c r="D741" s="63">
        <v>5</v>
      </c>
      <c r="E741" s="63">
        <v>2</v>
      </c>
      <c r="F741" s="63">
        <v>0</v>
      </c>
      <c r="G741" s="64">
        <f t="shared" si="44"/>
        <v>0.4</v>
      </c>
      <c r="H741" s="64">
        <f t="shared" si="45"/>
        <v>0</v>
      </c>
      <c r="I741" s="63">
        <v>0</v>
      </c>
      <c r="J741" s="65"/>
      <c r="K741" s="65">
        <v>36.880000000000003</v>
      </c>
      <c r="L741" s="62" t="s">
        <v>826</v>
      </c>
      <c r="M741" s="63">
        <v>0</v>
      </c>
      <c r="N741" s="66">
        <f t="shared" si="46"/>
        <v>0.221</v>
      </c>
      <c r="O741" s="62" t="str">
        <f t="shared" si="47"/>
        <v>1: Critical (No DBWT + No Wk0)</v>
      </c>
    </row>
    <row r="742" spans="1:15" ht="15" customHeight="1" x14ac:dyDescent="0.4">
      <c r="A742" s="62" t="s">
        <v>824</v>
      </c>
      <c r="B742" s="62" t="s">
        <v>1373</v>
      </c>
      <c r="C742" s="62" t="s">
        <v>826</v>
      </c>
      <c r="D742" s="63">
        <v>13</v>
      </c>
      <c r="E742" s="63">
        <v>8</v>
      </c>
      <c r="F742" s="63">
        <v>3</v>
      </c>
      <c r="G742" s="64">
        <f t="shared" si="44"/>
        <v>0.61538461538461542</v>
      </c>
      <c r="H742" s="64">
        <f t="shared" si="45"/>
        <v>0.23076923076923078</v>
      </c>
      <c r="I742" s="63">
        <v>2</v>
      </c>
      <c r="J742" s="65">
        <v>57.961550000000003</v>
      </c>
      <c r="K742" s="65">
        <v>49.97</v>
      </c>
      <c r="L742" s="62" t="s">
        <v>825</v>
      </c>
      <c r="M742" s="63">
        <v>0</v>
      </c>
      <c r="N742" s="66">
        <f t="shared" si="46"/>
        <v>0.63700000000000001</v>
      </c>
      <c r="O742" s="62" t="str">
        <f t="shared" si="47"/>
        <v>4: Engaged Early</v>
      </c>
    </row>
    <row r="743" spans="1:15" ht="15" customHeight="1" x14ac:dyDescent="0.4">
      <c r="A743" s="62" t="s">
        <v>824</v>
      </c>
      <c r="B743" s="62" t="s">
        <v>1374</v>
      </c>
      <c r="C743" s="62" t="s">
        <v>826</v>
      </c>
      <c r="D743" s="63">
        <v>3</v>
      </c>
      <c r="E743" s="63">
        <v>3</v>
      </c>
      <c r="F743" s="63">
        <v>0</v>
      </c>
      <c r="G743" s="64">
        <f t="shared" si="44"/>
        <v>1</v>
      </c>
      <c r="H743" s="64">
        <f t="shared" si="45"/>
        <v>0</v>
      </c>
      <c r="I743" s="63">
        <v>2</v>
      </c>
      <c r="J743" s="65">
        <v>99.8</v>
      </c>
      <c r="K743" s="65">
        <v>100</v>
      </c>
      <c r="L743" s="62" t="s">
        <v>825</v>
      </c>
      <c r="M743" s="63">
        <v>0</v>
      </c>
      <c r="N743" s="66">
        <f t="shared" si="46"/>
        <v>1</v>
      </c>
      <c r="O743" s="62" t="str">
        <f t="shared" si="47"/>
        <v>4: Engaged Early</v>
      </c>
    </row>
    <row r="744" spans="1:15" ht="15" customHeight="1" x14ac:dyDescent="0.4">
      <c r="A744" s="62" t="s">
        <v>824</v>
      </c>
      <c r="B744" s="62" t="s">
        <v>1375</v>
      </c>
      <c r="C744" s="62" t="s">
        <v>826</v>
      </c>
      <c r="D744" s="63">
        <v>14</v>
      </c>
      <c r="E744" s="63">
        <v>5</v>
      </c>
      <c r="F744" s="63">
        <v>0</v>
      </c>
      <c r="G744" s="64">
        <f t="shared" si="44"/>
        <v>0.35714285714285715</v>
      </c>
      <c r="H744" s="64">
        <f t="shared" si="45"/>
        <v>0</v>
      </c>
      <c r="I744" s="63">
        <v>3</v>
      </c>
      <c r="J744" s="65">
        <v>72.995333333333306</v>
      </c>
      <c r="K744" s="65">
        <v>94.97</v>
      </c>
      <c r="L744" s="62" t="s">
        <v>825</v>
      </c>
      <c r="M744" s="63">
        <v>0</v>
      </c>
      <c r="N744" s="66">
        <f t="shared" si="46"/>
        <v>0.92900000000000005</v>
      </c>
      <c r="O744" s="62" t="str">
        <f t="shared" si="47"/>
        <v>4: Engaged Early</v>
      </c>
    </row>
    <row r="745" spans="1:15" ht="15" customHeight="1" x14ac:dyDescent="0.4">
      <c r="A745" s="62" t="s">
        <v>824</v>
      </c>
      <c r="B745" s="62" t="s">
        <v>485</v>
      </c>
      <c r="C745" s="62" t="s">
        <v>825</v>
      </c>
      <c r="D745" s="63">
        <v>8</v>
      </c>
      <c r="E745" s="63">
        <v>4</v>
      </c>
      <c r="F745" s="63">
        <v>2</v>
      </c>
      <c r="G745" s="64">
        <f t="shared" si="44"/>
        <v>0.5</v>
      </c>
      <c r="H745" s="64">
        <f t="shared" si="45"/>
        <v>0.25</v>
      </c>
      <c r="I745" s="63">
        <v>1</v>
      </c>
      <c r="J745" s="65">
        <v>82.03</v>
      </c>
      <c r="K745" s="65">
        <v>27.98</v>
      </c>
      <c r="L745" s="62" t="s">
        <v>825</v>
      </c>
      <c r="M745" s="63">
        <v>0</v>
      </c>
      <c r="N745" s="66">
        <f t="shared" si="46"/>
        <v>0.54100000000000004</v>
      </c>
      <c r="O745" s="62" t="str">
        <f t="shared" si="47"/>
        <v>4: Engaged Early</v>
      </c>
    </row>
    <row r="746" spans="1:15" ht="15" customHeight="1" x14ac:dyDescent="0.4">
      <c r="A746" s="62" t="s">
        <v>824</v>
      </c>
      <c r="B746" s="62" t="s">
        <v>1376</v>
      </c>
      <c r="C746" s="62" t="s">
        <v>826</v>
      </c>
      <c r="D746" s="63">
        <v>5</v>
      </c>
      <c r="E746" s="63">
        <v>4</v>
      </c>
      <c r="F746" s="63">
        <v>2</v>
      </c>
      <c r="G746" s="64">
        <f t="shared" si="44"/>
        <v>0.8</v>
      </c>
      <c r="H746" s="64">
        <f t="shared" si="45"/>
        <v>0.4</v>
      </c>
      <c r="I746" s="63">
        <v>2</v>
      </c>
      <c r="J746" s="65">
        <v>88.81635</v>
      </c>
      <c r="K746" s="65">
        <v>99.59</v>
      </c>
      <c r="L746" s="62" t="s">
        <v>825</v>
      </c>
      <c r="M746" s="63">
        <v>0</v>
      </c>
      <c r="N746" s="66">
        <f t="shared" si="46"/>
        <v>0.98099999999999998</v>
      </c>
      <c r="O746" s="62" t="str">
        <f t="shared" si="47"/>
        <v>4: Engaged Early</v>
      </c>
    </row>
    <row r="747" spans="1:15" ht="15" customHeight="1" x14ac:dyDescent="0.4">
      <c r="A747" s="62" t="s">
        <v>824</v>
      </c>
      <c r="B747" s="62" t="s">
        <v>1377</v>
      </c>
      <c r="C747" s="62" t="s">
        <v>826</v>
      </c>
      <c r="D747" s="63">
        <v>0</v>
      </c>
      <c r="E747" s="63">
        <v>0</v>
      </c>
      <c r="F747" s="63">
        <v>0</v>
      </c>
      <c r="G747" s="64">
        <f t="shared" si="44"/>
        <v>0</v>
      </c>
      <c r="H747" s="64">
        <f t="shared" si="45"/>
        <v>0</v>
      </c>
      <c r="I747" s="63">
        <v>1</v>
      </c>
      <c r="J747" s="65">
        <v>65.64</v>
      </c>
      <c r="K747" s="65">
        <v>27.27</v>
      </c>
      <c r="L747" s="62" t="s">
        <v>840</v>
      </c>
      <c r="M747" s="63">
        <v>0</v>
      </c>
      <c r="N747" s="66">
        <f t="shared" si="46"/>
        <v>0.33700000000000002</v>
      </c>
      <c r="O747" s="62" t="str">
        <f t="shared" si="47"/>
        <v>4: Engaged Early</v>
      </c>
    </row>
    <row r="748" spans="1:15" ht="15" customHeight="1" x14ac:dyDescent="0.4">
      <c r="A748" s="62" t="s">
        <v>824</v>
      </c>
      <c r="B748" s="62" t="s">
        <v>1378</v>
      </c>
      <c r="C748" s="62" t="s">
        <v>826</v>
      </c>
      <c r="D748" s="63">
        <v>4</v>
      </c>
      <c r="E748" s="63">
        <v>2</v>
      </c>
      <c r="F748" s="63">
        <v>0</v>
      </c>
      <c r="G748" s="64">
        <f t="shared" si="44"/>
        <v>0.5</v>
      </c>
      <c r="H748" s="64">
        <f t="shared" si="45"/>
        <v>0</v>
      </c>
      <c r="I748" s="63">
        <v>1</v>
      </c>
      <c r="J748" s="65">
        <v>56.117699999999999</v>
      </c>
      <c r="K748" s="65">
        <v>96.16</v>
      </c>
      <c r="L748" s="62" t="s">
        <v>825</v>
      </c>
      <c r="M748" s="63">
        <v>0</v>
      </c>
      <c r="N748" s="66">
        <f t="shared" si="46"/>
        <v>0.91100000000000003</v>
      </c>
      <c r="O748" s="62" t="str">
        <f t="shared" si="47"/>
        <v>4: Engaged Early</v>
      </c>
    </row>
    <row r="749" spans="1:15" ht="15" customHeight="1" x14ac:dyDescent="0.4">
      <c r="A749" s="62" t="s">
        <v>824</v>
      </c>
      <c r="B749" s="62" t="s">
        <v>726</v>
      </c>
      <c r="C749" s="62" t="s">
        <v>825</v>
      </c>
      <c r="D749" s="63">
        <v>10</v>
      </c>
      <c r="E749" s="63">
        <v>8</v>
      </c>
      <c r="F749" s="63">
        <v>1</v>
      </c>
      <c r="G749" s="64">
        <f t="shared" si="44"/>
        <v>0.8</v>
      </c>
      <c r="H749" s="64">
        <f t="shared" si="45"/>
        <v>0.1</v>
      </c>
      <c r="I749" s="63">
        <v>2</v>
      </c>
      <c r="J749" s="65">
        <v>90.444749999999999</v>
      </c>
      <c r="K749" s="65">
        <v>62.5</v>
      </c>
      <c r="L749" s="62" t="s">
        <v>825</v>
      </c>
      <c r="M749" s="63">
        <v>0</v>
      </c>
      <c r="N749" s="66">
        <f t="shared" si="46"/>
        <v>0.76100000000000001</v>
      </c>
      <c r="O749" s="62" t="str">
        <f t="shared" si="47"/>
        <v>4: Engaged Early</v>
      </c>
    </row>
    <row r="750" spans="1:15" ht="15" customHeight="1" x14ac:dyDescent="0.4">
      <c r="A750" s="62" t="s">
        <v>824</v>
      </c>
      <c r="B750" s="62" t="s">
        <v>232</v>
      </c>
      <c r="C750" s="62" t="s">
        <v>826</v>
      </c>
      <c r="D750" s="63">
        <v>8</v>
      </c>
      <c r="E750" s="63">
        <v>8</v>
      </c>
      <c r="F750" s="63">
        <v>2</v>
      </c>
      <c r="G750" s="64">
        <f t="shared" si="44"/>
        <v>1</v>
      </c>
      <c r="H750" s="64">
        <f t="shared" si="45"/>
        <v>0.25</v>
      </c>
      <c r="I750" s="63">
        <v>2</v>
      </c>
      <c r="J750" s="65">
        <v>90.040700000000001</v>
      </c>
      <c r="K750" s="65">
        <v>80</v>
      </c>
      <c r="L750" s="62" t="s">
        <v>825</v>
      </c>
      <c r="M750" s="63">
        <v>0</v>
      </c>
      <c r="N750" s="66">
        <f t="shared" si="46"/>
        <v>0.86499999999999999</v>
      </c>
      <c r="O750" s="62" t="str">
        <f t="shared" si="47"/>
        <v>4: Engaged Early</v>
      </c>
    </row>
    <row r="751" spans="1:15" ht="15" customHeight="1" x14ac:dyDescent="0.4">
      <c r="A751" s="62" t="s">
        <v>824</v>
      </c>
      <c r="B751" s="62" t="s">
        <v>1379</v>
      </c>
      <c r="C751" s="62" t="s">
        <v>826</v>
      </c>
      <c r="D751" s="63">
        <v>0</v>
      </c>
      <c r="E751" s="63">
        <v>0</v>
      </c>
      <c r="F751" s="63">
        <v>0</v>
      </c>
      <c r="G751" s="64">
        <f t="shared" si="44"/>
        <v>0</v>
      </c>
      <c r="H751" s="64">
        <f t="shared" si="45"/>
        <v>0</v>
      </c>
      <c r="I751" s="63">
        <v>0</v>
      </c>
      <c r="J751" s="65"/>
      <c r="K751" s="65">
        <v>68.36</v>
      </c>
      <c r="L751" s="62" t="s">
        <v>840</v>
      </c>
      <c r="M751" s="63">
        <v>0</v>
      </c>
      <c r="N751" s="66">
        <f t="shared" si="46"/>
        <v>0.48499999999999999</v>
      </c>
      <c r="O751" s="62" t="str">
        <f t="shared" si="47"/>
        <v>3: Elevated (No Wk0)</v>
      </c>
    </row>
    <row r="752" spans="1:15" ht="15" customHeight="1" x14ac:dyDescent="0.4">
      <c r="A752" s="62" t="s">
        <v>824</v>
      </c>
      <c r="B752" s="62" t="s">
        <v>1380</v>
      </c>
      <c r="C752" s="62" t="s">
        <v>826</v>
      </c>
      <c r="D752" s="63">
        <v>24</v>
      </c>
      <c r="E752" s="63">
        <v>20</v>
      </c>
      <c r="F752" s="63">
        <v>8</v>
      </c>
      <c r="G752" s="64">
        <f t="shared" si="44"/>
        <v>0.83333333333333337</v>
      </c>
      <c r="H752" s="64">
        <f t="shared" si="45"/>
        <v>0.33333333333333331</v>
      </c>
      <c r="I752" s="63">
        <v>2</v>
      </c>
      <c r="J752" s="65">
        <v>90.908900000000003</v>
      </c>
      <c r="K752" s="65">
        <v>100</v>
      </c>
      <c r="L752" s="62" t="s">
        <v>825</v>
      </c>
      <c r="M752" s="63">
        <v>0</v>
      </c>
      <c r="N752" s="66">
        <f t="shared" si="46"/>
        <v>0.98599999999999999</v>
      </c>
      <c r="O752" s="62" t="str">
        <f t="shared" si="47"/>
        <v>4: Engaged Early</v>
      </c>
    </row>
    <row r="753" spans="1:15" ht="15" customHeight="1" x14ac:dyDescent="0.4">
      <c r="A753" s="62" t="s">
        <v>824</v>
      </c>
      <c r="B753" s="62" t="s">
        <v>1381</v>
      </c>
      <c r="C753" s="62" t="s">
        <v>826</v>
      </c>
      <c r="D753" s="63">
        <v>22</v>
      </c>
      <c r="E753" s="63">
        <v>19</v>
      </c>
      <c r="F753" s="63">
        <v>6</v>
      </c>
      <c r="G753" s="64">
        <f t="shared" si="44"/>
        <v>0.86363636363636365</v>
      </c>
      <c r="H753" s="64">
        <f t="shared" si="45"/>
        <v>0.27272727272727271</v>
      </c>
      <c r="I753" s="63">
        <v>2</v>
      </c>
      <c r="J753" s="65">
        <v>53.508490000000002</v>
      </c>
      <c r="K753" s="65">
        <v>88.42</v>
      </c>
      <c r="L753" s="62" t="s">
        <v>825</v>
      </c>
      <c r="M753" s="63">
        <v>0</v>
      </c>
      <c r="N753" s="66">
        <f t="shared" si="46"/>
        <v>0.86099999999999999</v>
      </c>
      <c r="O753" s="62" t="str">
        <f t="shared" si="47"/>
        <v>4: Engaged Early</v>
      </c>
    </row>
    <row r="754" spans="1:15" ht="15" customHeight="1" x14ac:dyDescent="0.4">
      <c r="A754" s="62" t="s">
        <v>824</v>
      </c>
      <c r="B754" s="62" t="s">
        <v>1382</v>
      </c>
      <c r="C754" s="62" t="s">
        <v>826</v>
      </c>
      <c r="D754" s="63">
        <v>10</v>
      </c>
      <c r="E754" s="63">
        <v>9</v>
      </c>
      <c r="F754" s="63">
        <v>1</v>
      </c>
      <c r="G754" s="64">
        <f t="shared" si="44"/>
        <v>0.9</v>
      </c>
      <c r="H754" s="64">
        <f t="shared" si="45"/>
        <v>0.1</v>
      </c>
      <c r="I754" s="63">
        <v>2</v>
      </c>
      <c r="J754" s="65">
        <v>98.549400000000006</v>
      </c>
      <c r="K754" s="65">
        <v>80.03</v>
      </c>
      <c r="L754" s="62" t="s">
        <v>825</v>
      </c>
      <c r="M754" s="63">
        <v>1</v>
      </c>
      <c r="N754" s="66">
        <f t="shared" si="46"/>
        <v>0.878</v>
      </c>
      <c r="O754" s="62" t="str">
        <f t="shared" si="47"/>
        <v>4: Engaged Early</v>
      </c>
    </row>
    <row r="755" spans="1:15" ht="15" customHeight="1" x14ac:dyDescent="0.4">
      <c r="A755" s="62" t="s">
        <v>824</v>
      </c>
      <c r="B755" s="62" t="s">
        <v>1383</v>
      </c>
      <c r="C755" s="62" t="s">
        <v>826</v>
      </c>
      <c r="D755" s="63">
        <v>6</v>
      </c>
      <c r="E755" s="63">
        <v>4</v>
      </c>
      <c r="F755" s="63">
        <v>2</v>
      </c>
      <c r="G755" s="64">
        <f t="shared" si="44"/>
        <v>0.66666666666666663</v>
      </c>
      <c r="H755" s="64">
        <f t="shared" si="45"/>
        <v>0.33333333333333331</v>
      </c>
      <c r="I755" s="63">
        <v>2</v>
      </c>
      <c r="J755" s="65">
        <v>97.731849999999994</v>
      </c>
      <c r="K755" s="65">
        <v>100</v>
      </c>
      <c r="L755" s="62" t="s">
        <v>825</v>
      </c>
      <c r="M755" s="63">
        <v>0</v>
      </c>
      <c r="N755" s="66">
        <f t="shared" si="46"/>
        <v>0.997</v>
      </c>
      <c r="O755" s="62" t="str">
        <f t="shared" si="47"/>
        <v>4: Engaged Early</v>
      </c>
    </row>
    <row r="756" spans="1:15" ht="15" customHeight="1" x14ac:dyDescent="0.4">
      <c r="A756" s="62" t="s">
        <v>824</v>
      </c>
      <c r="B756" s="62" t="s">
        <v>1384</v>
      </c>
      <c r="C756" s="62" t="s">
        <v>826</v>
      </c>
      <c r="D756" s="63">
        <v>26</v>
      </c>
      <c r="E756" s="63">
        <v>21</v>
      </c>
      <c r="F756" s="63">
        <v>1</v>
      </c>
      <c r="G756" s="64">
        <f t="shared" si="44"/>
        <v>0.80769230769230771</v>
      </c>
      <c r="H756" s="64">
        <f t="shared" si="45"/>
        <v>3.8461538461538464E-2</v>
      </c>
      <c r="I756" s="63">
        <v>2</v>
      </c>
      <c r="J756" s="65">
        <v>99.584999999999994</v>
      </c>
      <c r="K756" s="65">
        <v>100</v>
      </c>
      <c r="L756" s="62" t="s">
        <v>825</v>
      </c>
      <c r="M756" s="63">
        <v>0</v>
      </c>
      <c r="N756" s="66">
        <f t="shared" si="46"/>
        <v>0.999</v>
      </c>
      <c r="O756" s="62" t="str">
        <f t="shared" si="47"/>
        <v>4: Engaged Early</v>
      </c>
    </row>
    <row r="757" spans="1:15" ht="15" customHeight="1" x14ac:dyDescent="0.4">
      <c r="A757" s="62" t="s">
        <v>824</v>
      </c>
      <c r="B757" s="62" t="s">
        <v>1385</v>
      </c>
      <c r="C757" s="62" t="s">
        <v>826</v>
      </c>
      <c r="D757" s="63">
        <v>10</v>
      </c>
      <c r="E757" s="63">
        <v>9</v>
      </c>
      <c r="F757" s="63">
        <v>2</v>
      </c>
      <c r="G757" s="64">
        <f t="shared" si="44"/>
        <v>0.9</v>
      </c>
      <c r="H757" s="64">
        <f t="shared" si="45"/>
        <v>0.2</v>
      </c>
      <c r="I757" s="63">
        <v>2</v>
      </c>
      <c r="J757" s="65">
        <v>78.245000000000005</v>
      </c>
      <c r="K757" s="65">
        <v>100</v>
      </c>
      <c r="L757" s="62" t="s">
        <v>825</v>
      </c>
      <c r="M757" s="63">
        <v>0</v>
      </c>
      <c r="N757" s="66">
        <f t="shared" si="46"/>
        <v>0.96699999999999997</v>
      </c>
      <c r="O757" s="62" t="str">
        <f t="shared" si="47"/>
        <v>4: Engaged Early</v>
      </c>
    </row>
    <row r="758" spans="1:15" ht="15" customHeight="1" x14ac:dyDescent="0.4">
      <c r="A758" s="62" t="s">
        <v>824</v>
      </c>
      <c r="B758" s="62" t="s">
        <v>1386</v>
      </c>
      <c r="C758" s="62" t="s">
        <v>826</v>
      </c>
      <c r="D758" s="63">
        <v>21</v>
      </c>
      <c r="E758" s="63">
        <v>21</v>
      </c>
      <c r="F758" s="63">
        <v>3</v>
      </c>
      <c r="G758" s="64">
        <f t="shared" si="44"/>
        <v>1</v>
      </c>
      <c r="H758" s="64">
        <f t="shared" si="45"/>
        <v>0.14285714285714285</v>
      </c>
      <c r="I758" s="63">
        <v>2</v>
      </c>
      <c r="J758" s="65">
        <v>54.030095000000003</v>
      </c>
      <c r="K758" s="65">
        <v>82.69</v>
      </c>
      <c r="L758" s="62" t="s">
        <v>825</v>
      </c>
      <c r="M758" s="63">
        <v>0</v>
      </c>
      <c r="N758" s="66">
        <f t="shared" si="46"/>
        <v>0.82699999999999996</v>
      </c>
      <c r="O758" s="62" t="str">
        <f t="shared" si="47"/>
        <v>4: Engaged Early</v>
      </c>
    </row>
    <row r="759" spans="1:15" ht="15" customHeight="1" x14ac:dyDescent="0.4">
      <c r="A759" s="62" t="s">
        <v>824</v>
      </c>
      <c r="B759" s="62" t="s">
        <v>1387</v>
      </c>
      <c r="C759" s="62" t="s">
        <v>826</v>
      </c>
      <c r="D759" s="63">
        <v>22</v>
      </c>
      <c r="E759" s="63">
        <v>22</v>
      </c>
      <c r="F759" s="63">
        <v>4</v>
      </c>
      <c r="G759" s="64">
        <f t="shared" si="44"/>
        <v>1</v>
      </c>
      <c r="H759" s="64">
        <f t="shared" si="45"/>
        <v>0.18181818181818182</v>
      </c>
      <c r="I759" s="63">
        <v>1</v>
      </c>
      <c r="J759" s="65">
        <v>1.37476</v>
      </c>
      <c r="K759" s="65">
        <v>9.74</v>
      </c>
      <c r="L759" s="62" t="s">
        <v>825</v>
      </c>
      <c r="M759" s="63">
        <v>1</v>
      </c>
      <c r="N759" s="66">
        <f t="shared" si="46"/>
        <v>0.311</v>
      </c>
      <c r="O759" s="62" t="str">
        <f t="shared" si="47"/>
        <v>4: Engaged Early</v>
      </c>
    </row>
    <row r="760" spans="1:15" ht="15" customHeight="1" x14ac:dyDescent="0.4">
      <c r="A760" s="62" t="s">
        <v>824</v>
      </c>
      <c r="B760" s="62" t="s">
        <v>1388</v>
      </c>
      <c r="C760" s="62" t="s">
        <v>826</v>
      </c>
      <c r="D760" s="63">
        <v>12</v>
      </c>
      <c r="E760" s="63">
        <v>0</v>
      </c>
      <c r="F760" s="63">
        <v>0</v>
      </c>
      <c r="G760" s="64">
        <f t="shared" si="44"/>
        <v>0</v>
      </c>
      <c r="H760" s="64">
        <f t="shared" si="45"/>
        <v>0</v>
      </c>
      <c r="I760" s="63">
        <v>2</v>
      </c>
      <c r="J760" s="65">
        <v>98.670900000000003</v>
      </c>
      <c r="K760" s="65">
        <v>75.72</v>
      </c>
      <c r="L760" s="62" t="s">
        <v>825</v>
      </c>
      <c r="M760" s="63">
        <v>1</v>
      </c>
      <c r="N760" s="66">
        <f t="shared" si="46"/>
        <v>0.85199999999999998</v>
      </c>
      <c r="O760" s="62" t="str">
        <f t="shared" si="47"/>
        <v>4: Engaged Early</v>
      </c>
    </row>
    <row r="761" spans="1:15" ht="15" customHeight="1" x14ac:dyDescent="0.4">
      <c r="A761" s="62" t="s">
        <v>824</v>
      </c>
      <c r="B761" s="62" t="s">
        <v>1389</v>
      </c>
      <c r="C761" s="62" t="s">
        <v>826</v>
      </c>
      <c r="D761" s="63">
        <v>5</v>
      </c>
      <c r="E761" s="63">
        <v>5</v>
      </c>
      <c r="F761" s="63">
        <v>1</v>
      </c>
      <c r="G761" s="64">
        <f t="shared" si="44"/>
        <v>1</v>
      </c>
      <c r="H761" s="64">
        <f t="shared" si="45"/>
        <v>0.2</v>
      </c>
      <c r="I761" s="63">
        <v>2</v>
      </c>
      <c r="J761" s="65">
        <v>66.191299999999998</v>
      </c>
      <c r="K761" s="65">
        <v>93.44</v>
      </c>
      <c r="L761" s="62" t="s">
        <v>825</v>
      </c>
      <c r="M761" s="63">
        <v>0</v>
      </c>
      <c r="N761" s="66">
        <f t="shared" si="46"/>
        <v>0.91</v>
      </c>
      <c r="O761" s="62" t="str">
        <f t="shared" si="47"/>
        <v>4: Engaged Early</v>
      </c>
    </row>
    <row r="762" spans="1:15" ht="15" customHeight="1" x14ac:dyDescent="0.4">
      <c r="A762" s="62" t="s">
        <v>824</v>
      </c>
      <c r="B762" s="62" t="s">
        <v>226</v>
      </c>
      <c r="C762" s="62" t="s">
        <v>826</v>
      </c>
      <c r="D762" s="63">
        <v>21</v>
      </c>
      <c r="E762" s="63">
        <v>20</v>
      </c>
      <c r="F762" s="63">
        <v>10</v>
      </c>
      <c r="G762" s="64">
        <f t="shared" si="44"/>
        <v>0.95238095238095233</v>
      </c>
      <c r="H762" s="64">
        <f t="shared" si="45"/>
        <v>0.47619047619047616</v>
      </c>
      <c r="I762" s="63">
        <v>2</v>
      </c>
      <c r="J762" s="65">
        <v>94.81335</v>
      </c>
      <c r="K762" s="65">
        <v>100</v>
      </c>
      <c r="L762" s="62" t="s">
        <v>825</v>
      </c>
      <c r="M762" s="63">
        <v>0</v>
      </c>
      <c r="N762" s="66">
        <f t="shared" si="46"/>
        <v>0.99199999999999999</v>
      </c>
      <c r="O762" s="62" t="str">
        <f t="shared" si="47"/>
        <v>4: Engaged Early</v>
      </c>
    </row>
    <row r="763" spans="1:15" ht="15" customHeight="1" x14ac:dyDescent="0.4">
      <c r="A763" s="62" t="s">
        <v>824</v>
      </c>
      <c r="B763" s="62" t="s">
        <v>1390</v>
      </c>
      <c r="C763" s="62" t="s">
        <v>826</v>
      </c>
      <c r="D763" s="63">
        <v>4</v>
      </c>
      <c r="E763" s="63">
        <v>0</v>
      </c>
      <c r="F763" s="63">
        <v>0</v>
      </c>
      <c r="G763" s="64">
        <f t="shared" si="44"/>
        <v>0</v>
      </c>
      <c r="H763" s="64">
        <f t="shared" si="45"/>
        <v>0</v>
      </c>
      <c r="I763" s="63">
        <v>2</v>
      </c>
      <c r="J763" s="65">
        <v>62.225200000000001</v>
      </c>
      <c r="K763" s="65">
        <v>85.29</v>
      </c>
      <c r="L763" s="62" t="s">
        <v>825</v>
      </c>
      <c r="M763" s="63">
        <v>0</v>
      </c>
      <c r="N763" s="66">
        <f t="shared" si="46"/>
        <v>0.85499999999999998</v>
      </c>
      <c r="O763" s="62" t="str">
        <f t="shared" si="47"/>
        <v>4: Engaged Early</v>
      </c>
    </row>
    <row r="764" spans="1:15" ht="15" customHeight="1" x14ac:dyDescent="0.4">
      <c r="A764" s="62" t="s">
        <v>824</v>
      </c>
      <c r="B764" s="62" t="s">
        <v>1391</v>
      </c>
      <c r="C764" s="62" t="s">
        <v>826</v>
      </c>
      <c r="D764" s="63">
        <v>8</v>
      </c>
      <c r="E764" s="63">
        <v>8</v>
      </c>
      <c r="F764" s="63">
        <v>3</v>
      </c>
      <c r="G764" s="64">
        <f t="shared" si="44"/>
        <v>1</v>
      </c>
      <c r="H764" s="64">
        <f t="shared" si="45"/>
        <v>0.375</v>
      </c>
      <c r="I764" s="63">
        <v>2</v>
      </c>
      <c r="J764" s="65">
        <v>90.930700000000002</v>
      </c>
      <c r="K764" s="65">
        <v>100</v>
      </c>
      <c r="L764" s="62" t="s">
        <v>825</v>
      </c>
      <c r="M764" s="63">
        <v>0</v>
      </c>
      <c r="N764" s="66">
        <f t="shared" si="46"/>
        <v>0.98599999999999999</v>
      </c>
      <c r="O764" s="62" t="str">
        <f t="shared" si="47"/>
        <v>4: Engaged Early</v>
      </c>
    </row>
    <row r="765" spans="1:15" ht="15" customHeight="1" x14ac:dyDescent="0.4">
      <c r="A765" s="62" t="s">
        <v>824</v>
      </c>
      <c r="B765" s="62" t="s">
        <v>1392</v>
      </c>
      <c r="C765" s="62" t="s">
        <v>826</v>
      </c>
      <c r="D765" s="63">
        <v>8</v>
      </c>
      <c r="E765" s="63">
        <v>7</v>
      </c>
      <c r="F765" s="63">
        <v>0</v>
      </c>
      <c r="G765" s="64">
        <f t="shared" si="44"/>
        <v>0.875</v>
      </c>
      <c r="H765" s="64">
        <f t="shared" si="45"/>
        <v>0</v>
      </c>
      <c r="I765" s="63">
        <v>2</v>
      </c>
      <c r="J765" s="65">
        <v>99.070049999999995</v>
      </c>
      <c r="K765" s="65">
        <v>88.85</v>
      </c>
      <c r="L765" s="62" t="s">
        <v>825</v>
      </c>
      <c r="M765" s="63">
        <v>0</v>
      </c>
      <c r="N765" s="66">
        <f t="shared" si="46"/>
        <v>0.93200000000000005</v>
      </c>
      <c r="O765" s="62" t="str">
        <f t="shared" si="47"/>
        <v>4: Engaged Early</v>
      </c>
    </row>
    <row r="766" spans="1:15" ht="15" customHeight="1" x14ac:dyDescent="0.4">
      <c r="A766" s="62" t="s">
        <v>824</v>
      </c>
      <c r="B766" s="62" t="s">
        <v>1393</v>
      </c>
      <c r="C766" s="62" t="s">
        <v>826</v>
      </c>
      <c r="D766" s="63">
        <v>23</v>
      </c>
      <c r="E766" s="63">
        <v>17</v>
      </c>
      <c r="F766" s="63">
        <v>1</v>
      </c>
      <c r="G766" s="64">
        <f t="shared" si="44"/>
        <v>0.73913043478260865</v>
      </c>
      <c r="H766" s="64">
        <f t="shared" si="45"/>
        <v>4.3478260869565216E-2</v>
      </c>
      <c r="I766" s="63">
        <v>2</v>
      </c>
      <c r="J766" s="65">
        <v>91.98</v>
      </c>
      <c r="K766" s="65">
        <v>100</v>
      </c>
      <c r="L766" s="62" t="s">
        <v>825</v>
      </c>
      <c r="M766" s="63">
        <v>0</v>
      </c>
      <c r="N766" s="66">
        <f t="shared" si="46"/>
        <v>0.98799999999999999</v>
      </c>
      <c r="O766" s="62" t="str">
        <f t="shared" si="47"/>
        <v>4: Engaged Early</v>
      </c>
    </row>
    <row r="767" spans="1:15" ht="15" customHeight="1" x14ac:dyDescent="0.4">
      <c r="A767" s="62" t="s">
        <v>824</v>
      </c>
      <c r="B767" s="62" t="s">
        <v>1394</v>
      </c>
      <c r="C767" s="62" t="s">
        <v>826</v>
      </c>
      <c r="D767" s="63">
        <v>15</v>
      </c>
      <c r="E767" s="63">
        <v>10</v>
      </c>
      <c r="F767" s="63">
        <v>0</v>
      </c>
      <c r="G767" s="64">
        <f t="shared" si="44"/>
        <v>0.66666666666666663</v>
      </c>
      <c r="H767" s="64">
        <f t="shared" si="45"/>
        <v>0</v>
      </c>
      <c r="I767" s="63">
        <v>1</v>
      </c>
      <c r="J767" s="65">
        <v>81.53</v>
      </c>
      <c r="K767" s="65">
        <v>55.56</v>
      </c>
      <c r="L767" s="62" t="s">
        <v>826</v>
      </c>
      <c r="M767" s="63">
        <v>0</v>
      </c>
      <c r="N767" s="66">
        <f t="shared" si="46"/>
        <v>0.45600000000000002</v>
      </c>
      <c r="O767" s="62" t="str">
        <f t="shared" si="47"/>
        <v>2: High (No DBWT)</v>
      </c>
    </row>
    <row r="768" spans="1:15" ht="15" customHeight="1" x14ac:dyDescent="0.4">
      <c r="A768" s="62" t="s">
        <v>824</v>
      </c>
      <c r="B768" s="62" t="s">
        <v>1395</v>
      </c>
      <c r="C768" s="62" t="s">
        <v>826</v>
      </c>
      <c r="D768" s="63">
        <v>17</v>
      </c>
      <c r="E768" s="63">
        <v>16</v>
      </c>
      <c r="F768" s="63">
        <v>4</v>
      </c>
      <c r="G768" s="64">
        <f t="shared" si="44"/>
        <v>0.94117647058823528</v>
      </c>
      <c r="H768" s="64">
        <f t="shared" si="45"/>
        <v>0.23529411764705882</v>
      </c>
      <c r="I768" s="63">
        <v>2</v>
      </c>
      <c r="J768" s="65">
        <v>97.66</v>
      </c>
      <c r="K768" s="65">
        <v>100</v>
      </c>
      <c r="L768" s="62" t="s">
        <v>825</v>
      </c>
      <c r="M768" s="63">
        <v>0</v>
      </c>
      <c r="N768" s="66">
        <f t="shared" si="46"/>
        <v>0.996</v>
      </c>
      <c r="O768" s="62" t="str">
        <f t="shared" si="47"/>
        <v>4: Engaged Early</v>
      </c>
    </row>
    <row r="769" spans="1:15" ht="15" customHeight="1" x14ac:dyDescent="0.4">
      <c r="A769" s="62" t="s">
        <v>824</v>
      </c>
      <c r="B769" s="62" t="s">
        <v>475</v>
      </c>
      <c r="C769" s="62" t="s">
        <v>825</v>
      </c>
      <c r="D769" s="63">
        <v>10</v>
      </c>
      <c r="E769" s="63">
        <v>8</v>
      </c>
      <c r="F769" s="63">
        <v>0</v>
      </c>
      <c r="G769" s="64">
        <f t="shared" si="44"/>
        <v>0.8</v>
      </c>
      <c r="H769" s="64">
        <f t="shared" si="45"/>
        <v>0</v>
      </c>
      <c r="I769" s="63">
        <v>1</v>
      </c>
      <c r="J769" s="65">
        <v>37.11</v>
      </c>
      <c r="K769" s="65">
        <v>7.73</v>
      </c>
      <c r="L769" s="62" t="s">
        <v>826</v>
      </c>
      <c r="M769" s="63">
        <v>0</v>
      </c>
      <c r="N769" s="66">
        <f t="shared" si="46"/>
        <v>0.10199999999999999</v>
      </c>
      <c r="O769" s="62" t="str">
        <f t="shared" si="47"/>
        <v>2: High (No DBWT)</v>
      </c>
    </row>
    <row r="770" spans="1:15" ht="15" customHeight="1" x14ac:dyDescent="0.4">
      <c r="A770" s="62" t="s">
        <v>824</v>
      </c>
      <c r="B770" s="62" t="s">
        <v>1396</v>
      </c>
      <c r="C770" s="62" t="s">
        <v>826</v>
      </c>
      <c r="D770" s="63">
        <v>15</v>
      </c>
      <c r="E770" s="63">
        <v>10</v>
      </c>
      <c r="F770" s="63">
        <v>4</v>
      </c>
      <c r="G770" s="64">
        <f t="shared" ref="G770:G833" si="48">IFERROR(E770/D770,0)</f>
        <v>0.66666666666666663</v>
      </c>
      <c r="H770" s="64">
        <f t="shared" ref="H770:H833" si="49">IFERROR(F770/D770,0)</f>
        <v>0.26666666666666666</v>
      </c>
      <c r="I770" s="63">
        <v>1</v>
      </c>
      <c r="J770" s="65">
        <v>92.78</v>
      </c>
      <c r="K770" s="65">
        <v>88.89</v>
      </c>
      <c r="L770" s="62" t="s">
        <v>825</v>
      </c>
      <c r="M770" s="63">
        <v>0</v>
      </c>
      <c r="N770" s="66">
        <f t="shared" ref="N770:N833" si="50">ROUND(IFERROR(K770/100,0)*0.6 + IF(L770="Yes",1,IF(L770="No",0,0.3))*0.25 + IFERROR(J770/100,0)*0.15,3)</f>
        <v>0.92300000000000004</v>
      </c>
      <c r="O770" s="62" t="str">
        <f t="shared" ref="O770:O833" si="51">IF(AND(L770="No",I770=0),"1: Critical (No DBWT + No Wk0)",IF(L770="No","2: High (No DBWT)",IF(I770=0,"3: Elevated (No Wk0)","4: Engaged Early")))</f>
        <v>4: Engaged Early</v>
      </c>
    </row>
    <row r="771" spans="1:15" ht="15" customHeight="1" x14ac:dyDescent="0.4">
      <c r="A771" s="62" t="s">
        <v>824</v>
      </c>
      <c r="B771" s="62" t="s">
        <v>1397</v>
      </c>
      <c r="C771" s="62" t="s">
        <v>826</v>
      </c>
      <c r="D771" s="63">
        <v>23</v>
      </c>
      <c r="E771" s="63">
        <v>22</v>
      </c>
      <c r="F771" s="63">
        <v>2</v>
      </c>
      <c r="G771" s="64">
        <f t="shared" si="48"/>
        <v>0.95652173913043481</v>
      </c>
      <c r="H771" s="64">
        <f t="shared" si="49"/>
        <v>8.6956521739130432E-2</v>
      </c>
      <c r="I771" s="63">
        <v>2</v>
      </c>
      <c r="J771" s="65">
        <v>95.813850000000002</v>
      </c>
      <c r="K771" s="65">
        <v>87.34</v>
      </c>
      <c r="L771" s="62" t="s">
        <v>825</v>
      </c>
      <c r="M771" s="63">
        <v>0</v>
      </c>
      <c r="N771" s="66">
        <f t="shared" si="50"/>
        <v>0.91800000000000004</v>
      </c>
      <c r="O771" s="62" t="str">
        <f t="shared" si="51"/>
        <v>4: Engaged Early</v>
      </c>
    </row>
    <row r="772" spans="1:15" ht="15" customHeight="1" x14ac:dyDescent="0.4">
      <c r="A772" s="62" t="s">
        <v>824</v>
      </c>
      <c r="B772" s="62" t="s">
        <v>1398</v>
      </c>
      <c r="C772" s="62" t="s">
        <v>826</v>
      </c>
      <c r="D772" s="63">
        <v>13</v>
      </c>
      <c r="E772" s="63">
        <v>10</v>
      </c>
      <c r="F772" s="63">
        <v>0</v>
      </c>
      <c r="G772" s="64">
        <f t="shared" si="48"/>
        <v>0.76923076923076927</v>
      </c>
      <c r="H772" s="64">
        <f t="shared" si="49"/>
        <v>0</v>
      </c>
      <c r="I772" s="63">
        <v>2</v>
      </c>
      <c r="J772" s="65">
        <v>92.125550000000004</v>
      </c>
      <c r="K772" s="65">
        <v>74.56</v>
      </c>
      <c r="L772" s="62" t="s">
        <v>825</v>
      </c>
      <c r="M772" s="63">
        <v>0</v>
      </c>
      <c r="N772" s="66">
        <f t="shared" si="50"/>
        <v>0.83599999999999997</v>
      </c>
      <c r="O772" s="62" t="str">
        <f t="shared" si="51"/>
        <v>4: Engaged Early</v>
      </c>
    </row>
    <row r="773" spans="1:15" ht="15" customHeight="1" x14ac:dyDescent="0.4">
      <c r="A773" s="62" t="s">
        <v>824</v>
      </c>
      <c r="B773" s="62" t="s">
        <v>1399</v>
      </c>
      <c r="C773" s="62" t="s">
        <v>826</v>
      </c>
      <c r="D773" s="63">
        <v>5</v>
      </c>
      <c r="E773" s="63">
        <v>5</v>
      </c>
      <c r="F773" s="63">
        <v>0</v>
      </c>
      <c r="G773" s="64">
        <f t="shared" si="48"/>
        <v>1</v>
      </c>
      <c r="H773" s="64">
        <f t="shared" si="49"/>
        <v>0</v>
      </c>
      <c r="I773" s="63">
        <v>2</v>
      </c>
      <c r="J773" s="65">
        <v>54.724449999999997</v>
      </c>
      <c r="K773" s="65">
        <v>99.15</v>
      </c>
      <c r="L773" s="62" t="s">
        <v>825</v>
      </c>
      <c r="M773" s="63">
        <v>0</v>
      </c>
      <c r="N773" s="66">
        <f t="shared" si="50"/>
        <v>0.92700000000000005</v>
      </c>
      <c r="O773" s="62" t="str">
        <f t="shared" si="51"/>
        <v>4: Engaged Early</v>
      </c>
    </row>
    <row r="774" spans="1:15" ht="15" customHeight="1" x14ac:dyDescent="0.4">
      <c r="A774" s="62" t="s">
        <v>824</v>
      </c>
      <c r="B774" s="62" t="s">
        <v>1400</v>
      </c>
      <c r="C774" s="62" t="s">
        <v>826</v>
      </c>
      <c r="D774" s="63">
        <v>7</v>
      </c>
      <c r="E774" s="63">
        <v>0</v>
      </c>
      <c r="F774" s="63">
        <v>0</v>
      </c>
      <c r="G774" s="64">
        <f t="shared" si="48"/>
        <v>0</v>
      </c>
      <c r="H774" s="64">
        <f t="shared" si="49"/>
        <v>0</v>
      </c>
      <c r="I774" s="63">
        <v>2</v>
      </c>
      <c r="J774" s="65">
        <v>90.223050000000001</v>
      </c>
      <c r="K774" s="65">
        <v>82.45</v>
      </c>
      <c r="L774" s="62" t="s">
        <v>825</v>
      </c>
      <c r="M774" s="63">
        <v>0</v>
      </c>
      <c r="N774" s="66">
        <f t="shared" si="50"/>
        <v>0.88</v>
      </c>
      <c r="O774" s="62" t="str">
        <f t="shared" si="51"/>
        <v>4: Engaged Early</v>
      </c>
    </row>
    <row r="775" spans="1:15" ht="15" customHeight="1" x14ac:dyDescent="0.4">
      <c r="A775" s="62" t="s">
        <v>824</v>
      </c>
      <c r="B775" s="62" t="s">
        <v>1401</v>
      </c>
      <c r="C775" s="62" t="s">
        <v>826</v>
      </c>
      <c r="D775" s="63">
        <v>14</v>
      </c>
      <c r="E775" s="63">
        <v>13</v>
      </c>
      <c r="F775" s="63">
        <v>6</v>
      </c>
      <c r="G775" s="64">
        <f t="shared" si="48"/>
        <v>0.9285714285714286</v>
      </c>
      <c r="H775" s="64">
        <f t="shared" si="49"/>
        <v>0.42857142857142855</v>
      </c>
      <c r="I775" s="63">
        <v>2</v>
      </c>
      <c r="J775" s="65">
        <v>90.654349999999994</v>
      </c>
      <c r="K775" s="65">
        <v>81.62</v>
      </c>
      <c r="L775" s="62" t="s">
        <v>825</v>
      </c>
      <c r="M775" s="63">
        <v>0</v>
      </c>
      <c r="N775" s="66">
        <f t="shared" si="50"/>
        <v>0.876</v>
      </c>
      <c r="O775" s="62" t="str">
        <f t="shared" si="51"/>
        <v>4: Engaged Early</v>
      </c>
    </row>
    <row r="776" spans="1:15" ht="15" customHeight="1" x14ac:dyDescent="0.4">
      <c r="A776" s="62" t="s">
        <v>824</v>
      </c>
      <c r="B776" s="62" t="s">
        <v>1402</v>
      </c>
      <c r="C776" s="62" t="s">
        <v>826</v>
      </c>
      <c r="D776" s="63">
        <v>3</v>
      </c>
      <c r="E776" s="63">
        <v>0</v>
      </c>
      <c r="F776" s="63">
        <v>0</v>
      </c>
      <c r="G776" s="64">
        <f t="shared" si="48"/>
        <v>0</v>
      </c>
      <c r="H776" s="64">
        <f t="shared" si="49"/>
        <v>0</v>
      </c>
      <c r="I776" s="63">
        <v>2</v>
      </c>
      <c r="J776" s="65">
        <v>75.935500000000005</v>
      </c>
      <c r="K776" s="65">
        <v>86.41</v>
      </c>
      <c r="L776" s="62" t="s">
        <v>825</v>
      </c>
      <c r="M776" s="63">
        <v>0</v>
      </c>
      <c r="N776" s="66">
        <f t="shared" si="50"/>
        <v>0.88200000000000001</v>
      </c>
      <c r="O776" s="62" t="str">
        <f t="shared" si="51"/>
        <v>4: Engaged Early</v>
      </c>
    </row>
    <row r="777" spans="1:15" ht="15" customHeight="1" x14ac:dyDescent="0.4">
      <c r="A777" s="62" t="s">
        <v>824</v>
      </c>
      <c r="B777" s="62" t="s">
        <v>1403</v>
      </c>
      <c r="C777" s="62" t="s">
        <v>826</v>
      </c>
      <c r="D777" s="63">
        <v>23</v>
      </c>
      <c r="E777" s="63">
        <v>19</v>
      </c>
      <c r="F777" s="63">
        <v>3</v>
      </c>
      <c r="G777" s="64">
        <f t="shared" si="48"/>
        <v>0.82608695652173914</v>
      </c>
      <c r="H777" s="64">
        <f t="shared" si="49"/>
        <v>0.13043478260869565</v>
      </c>
      <c r="I777" s="63">
        <v>2</v>
      </c>
      <c r="J777" s="65">
        <v>90.2</v>
      </c>
      <c r="K777" s="65">
        <v>100</v>
      </c>
      <c r="L777" s="62" t="s">
        <v>825</v>
      </c>
      <c r="M777" s="63">
        <v>0</v>
      </c>
      <c r="N777" s="66">
        <f t="shared" si="50"/>
        <v>0.98499999999999999</v>
      </c>
      <c r="O777" s="62" t="str">
        <f t="shared" si="51"/>
        <v>4: Engaged Early</v>
      </c>
    </row>
    <row r="778" spans="1:15" ht="15" customHeight="1" x14ac:dyDescent="0.4">
      <c r="A778" s="62" t="s">
        <v>824</v>
      </c>
      <c r="B778" s="62" t="s">
        <v>1404</v>
      </c>
      <c r="C778" s="62" t="s">
        <v>826</v>
      </c>
      <c r="D778" s="63">
        <v>7</v>
      </c>
      <c r="E778" s="63">
        <v>7</v>
      </c>
      <c r="F778" s="63">
        <v>2</v>
      </c>
      <c r="G778" s="64">
        <f t="shared" si="48"/>
        <v>1</v>
      </c>
      <c r="H778" s="64">
        <f t="shared" si="49"/>
        <v>0.2857142857142857</v>
      </c>
      <c r="I778" s="63">
        <v>2</v>
      </c>
      <c r="J778" s="65">
        <v>86.940550000000002</v>
      </c>
      <c r="K778" s="65">
        <v>83.4</v>
      </c>
      <c r="L778" s="62" t="s">
        <v>825</v>
      </c>
      <c r="M778" s="63">
        <v>0</v>
      </c>
      <c r="N778" s="66">
        <f t="shared" si="50"/>
        <v>0.88100000000000001</v>
      </c>
      <c r="O778" s="62" t="str">
        <f t="shared" si="51"/>
        <v>4: Engaged Early</v>
      </c>
    </row>
    <row r="779" spans="1:15" ht="15" customHeight="1" x14ac:dyDescent="0.4">
      <c r="A779" s="62" t="s">
        <v>824</v>
      </c>
      <c r="B779" s="62" t="s">
        <v>1405</v>
      </c>
      <c r="C779" s="62" t="s">
        <v>826</v>
      </c>
      <c r="D779" s="63">
        <v>10</v>
      </c>
      <c r="E779" s="63">
        <v>9</v>
      </c>
      <c r="F779" s="63">
        <v>0</v>
      </c>
      <c r="G779" s="64">
        <f t="shared" si="48"/>
        <v>0.9</v>
      </c>
      <c r="H779" s="64">
        <f t="shared" si="49"/>
        <v>0</v>
      </c>
      <c r="I779" s="63">
        <v>2</v>
      </c>
      <c r="J779" s="65">
        <v>87.260149999999996</v>
      </c>
      <c r="K779" s="65">
        <v>99.26</v>
      </c>
      <c r="L779" s="62" t="s">
        <v>825</v>
      </c>
      <c r="M779" s="63">
        <v>0</v>
      </c>
      <c r="N779" s="66">
        <f t="shared" si="50"/>
        <v>0.97599999999999998</v>
      </c>
      <c r="O779" s="62" t="str">
        <f t="shared" si="51"/>
        <v>4: Engaged Early</v>
      </c>
    </row>
    <row r="780" spans="1:15" ht="15" customHeight="1" x14ac:dyDescent="0.4">
      <c r="A780" s="62" t="s">
        <v>824</v>
      </c>
      <c r="B780" s="62" t="s">
        <v>1406</v>
      </c>
      <c r="C780" s="62" t="s">
        <v>826</v>
      </c>
      <c r="D780" s="63">
        <v>18</v>
      </c>
      <c r="E780" s="63">
        <v>15</v>
      </c>
      <c r="F780" s="63">
        <v>1</v>
      </c>
      <c r="G780" s="64">
        <f t="shared" si="48"/>
        <v>0.83333333333333337</v>
      </c>
      <c r="H780" s="64">
        <f t="shared" si="49"/>
        <v>5.5555555555555552E-2</v>
      </c>
      <c r="I780" s="63">
        <v>2</v>
      </c>
      <c r="J780" s="65">
        <v>88.306250000000006</v>
      </c>
      <c r="K780" s="65">
        <v>96.88</v>
      </c>
      <c r="L780" s="62" t="s">
        <v>825</v>
      </c>
      <c r="M780" s="63">
        <v>0</v>
      </c>
      <c r="N780" s="66">
        <f t="shared" si="50"/>
        <v>0.96399999999999997</v>
      </c>
      <c r="O780" s="62" t="str">
        <f t="shared" si="51"/>
        <v>4: Engaged Early</v>
      </c>
    </row>
    <row r="781" spans="1:15" ht="15" customHeight="1" x14ac:dyDescent="0.4">
      <c r="A781" s="62" t="s">
        <v>824</v>
      </c>
      <c r="B781" s="62" t="s">
        <v>1407</v>
      </c>
      <c r="C781" s="62" t="s">
        <v>826</v>
      </c>
      <c r="D781" s="63">
        <v>13</v>
      </c>
      <c r="E781" s="63">
        <v>12</v>
      </c>
      <c r="F781" s="63">
        <v>1</v>
      </c>
      <c r="G781" s="64">
        <f t="shared" si="48"/>
        <v>0.92307692307692313</v>
      </c>
      <c r="H781" s="64">
        <f t="shared" si="49"/>
        <v>7.6923076923076927E-2</v>
      </c>
      <c r="I781" s="63">
        <v>2</v>
      </c>
      <c r="J781" s="65">
        <v>85.749600000000001</v>
      </c>
      <c r="K781" s="65">
        <v>100</v>
      </c>
      <c r="L781" s="62" t="s">
        <v>825</v>
      </c>
      <c r="M781" s="63">
        <v>0</v>
      </c>
      <c r="N781" s="66">
        <f t="shared" si="50"/>
        <v>0.97899999999999998</v>
      </c>
      <c r="O781" s="62" t="str">
        <f t="shared" si="51"/>
        <v>4: Engaged Early</v>
      </c>
    </row>
    <row r="782" spans="1:15" ht="15" customHeight="1" x14ac:dyDescent="0.4">
      <c r="A782" s="62" t="s">
        <v>824</v>
      </c>
      <c r="B782" s="62" t="s">
        <v>1408</v>
      </c>
      <c r="C782" s="62" t="s">
        <v>826</v>
      </c>
      <c r="D782" s="63">
        <v>17</v>
      </c>
      <c r="E782" s="63">
        <v>10</v>
      </c>
      <c r="F782" s="63">
        <v>2</v>
      </c>
      <c r="G782" s="64">
        <f t="shared" si="48"/>
        <v>0.58823529411764708</v>
      </c>
      <c r="H782" s="64">
        <f t="shared" si="49"/>
        <v>0.11764705882352941</v>
      </c>
      <c r="I782" s="63">
        <v>1</v>
      </c>
      <c r="J782" s="65">
        <v>98.41</v>
      </c>
      <c r="K782" s="65">
        <v>88.89</v>
      </c>
      <c r="L782" s="62" t="s">
        <v>825</v>
      </c>
      <c r="M782" s="63">
        <v>0</v>
      </c>
      <c r="N782" s="66">
        <f t="shared" si="50"/>
        <v>0.93100000000000005</v>
      </c>
      <c r="O782" s="62" t="str">
        <f t="shared" si="51"/>
        <v>4: Engaged Early</v>
      </c>
    </row>
    <row r="783" spans="1:15" ht="15" customHeight="1" x14ac:dyDescent="0.4">
      <c r="A783" s="62" t="s">
        <v>824</v>
      </c>
      <c r="B783" s="62" t="s">
        <v>1409</v>
      </c>
      <c r="C783" s="62" t="s">
        <v>826</v>
      </c>
      <c r="D783" s="63">
        <v>3</v>
      </c>
      <c r="E783" s="63">
        <v>2</v>
      </c>
      <c r="F783" s="63">
        <v>1</v>
      </c>
      <c r="G783" s="64">
        <f t="shared" si="48"/>
        <v>0.66666666666666663</v>
      </c>
      <c r="H783" s="64">
        <f t="shared" si="49"/>
        <v>0.33333333333333331</v>
      </c>
      <c r="I783" s="63">
        <v>2</v>
      </c>
      <c r="J783" s="65">
        <v>92.54</v>
      </c>
      <c r="K783" s="65">
        <v>100</v>
      </c>
      <c r="L783" s="62" t="s">
        <v>825</v>
      </c>
      <c r="M783" s="63">
        <v>0</v>
      </c>
      <c r="N783" s="66">
        <f t="shared" si="50"/>
        <v>0.98899999999999999</v>
      </c>
      <c r="O783" s="62" t="str">
        <f t="shared" si="51"/>
        <v>4: Engaged Early</v>
      </c>
    </row>
    <row r="784" spans="1:15" ht="15" customHeight="1" x14ac:dyDescent="0.4">
      <c r="A784" s="62" t="s">
        <v>824</v>
      </c>
      <c r="B784" s="62" t="s">
        <v>1410</v>
      </c>
      <c r="C784" s="62" t="s">
        <v>826</v>
      </c>
      <c r="D784" s="63">
        <v>6</v>
      </c>
      <c r="E784" s="63">
        <v>4</v>
      </c>
      <c r="F784" s="63">
        <v>0</v>
      </c>
      <c r="G784" s="64">
        <f t="shared" si="48"/>
        <v>0.66666666666666663</v>
      </c>
      <c r="H784" s="64">
        <f t="shared" si="49"/>
        <v>0</v>
      </c>
      <c r="I784" s="63">
        <v>2</v>
      </c>
      <c r="J784" s="65">
        <v>90.773499999999999</v>
      </c>
      <c r="K784" s="65">
        <v>98.21</v>
      </c>
      <c r="L784" s="62" t="s">
        <v>825</v>
      </c>
      <c r="M784" s="63">
        <v>0</v>
      </c>
      <c r="N784" s="66">
        <f t="shared" si="50"/>
        <v>0.97499999999999998</v>
      </c>
      <c r="O784" s="62" t="str">
        <f t="shared" si="51"/>
        <v>4: Engaged Early</v>
      </c>
    </row>
    <row r="785" spans="1:15" ht="15" customHeight="1" x14ac:dyDescent="0.4">
      <c r="A785" s="62" t="s">
        <v>824</v>
      </c>
      <c r="B785" s="62" t="s">
        <v>1411</v>
      </c>
      <c r="C785" s="62" t="s">
        <v>826</v>
      </c>
      <c r="D785" s="63">
        <v>19</v>
      </c>
      <c r="E785" s="63">
        <v>18</v>
      </c>
      <c r="F785" s="63">
        <v>9</v>
      </c>
      <c r="G785" s="64">
        <f t="shared" si="48"/>
        <v>0.94736842105263153</v>
      </c>
      <c r="H785" s="64">
        <f t="shared" si="49"/>
        <v>0.47368421052631576</v>
      </c>
      <c r="I785" s="63">
        <v>2</v>
      </c>
      <c r="J785" s="65">
        <v>97.677449999999993</v>
      </c>
      <c r="K785" s="65">
        <v>100</v>
      </c>
      <c r="L785" s="62" t="s">
        <v>825</v>
      </c>
      <c r="M785" s="63">
        <v>0</v>
      </c>
      <c r="N785" s="66">
        <f t="shared" si="50"/>
        <v>0.997</v>
      </c>
      <c r="O785" s="62" t="str">
        <f t="shared" si="51"/>
        <v>4: Engaged Early</v>
      </c>
    </row>
    <row r="786" spans="1:15" ht="15" customHeight="1" x14ac:dyDescent="0.4">
      <c r="A786" s="62" t="s">
        <v>824</v>
      </c>
      <c r="B786" s="62" t="s">
        <v>1412</v>
      </c>
      <c r="C786" s="62" t="s">
        <v>826</v>
      </c>
      <c r="D786" s="63">
        <v>11</v>
      </c>
      <c r="E786" s="63">
        <v>6</v>
      </c>
      <c r="F786" s="63">
        <v>2</v>
      </c>
      <c r="G786" s="64">
        <f t="shared" si="48"/>
        <v>0.54545454545454541</v>
      </c>
      <c r="H786" s="64">
        <f t="shared" si="49"/>
        <v>0.18181818181818182</v>
      </c>
      <c r="I786" s="63">
        <v>2</v>
      </c>
      <c r="J786" s="65">
        <v>69.216549999999998</v>
      </c>
      <c r="K786" s="65">
        <v>94.37</v>
      </c>
      <c r="L786" s="62" t="s">
        <v>825</v>
      </c>
      <c r="M786" s="63">
        <v>0</v>
      </c>
      <c r="N786" s="66">
        <f t="shared" si="50"/>
        <v>0.92</v>
      </c>
      <c r="O786" s="62" t="str">
        <f t="shared" si="51"/>
        <v>4: Engaged Early</v>
      </c>
    </row>
    <row r="787" spans="1:15" ht="15" customHeight="1" x14ac:dyDescent="0.4">
      <c r="A787" s="62" t="s">
        <v>824</v>
      </c>
      <c r="B787" s="62" t="s">
        <v>1413</v>
      </c>
      <c r="C787" s="62" t="s">
        <v>826</v>
      </c>
      <c r="D787" s="63">
        <v>0</v>
      </c>
      <c r="E787" s="63">
        <v>0</v>
      </c>
      <c r="F787" s="63">
        <v>0</v>
      </c>
      <c r="G787" s="64">
        <f t="shared" si="48"/>
        <v>0</v>
      </c>
      <c r="H787" s="64">
        <f t="shared" si="49"/>
        <v>0</v>
      </c>
      <c r="I787" s="63">
        <v>2</v>
      </c>
      <c r="J787" s="65">
        <v>92.754450000000006</v>
      </c>
      <c r="K787" s="65">
        <v>66.680000000000007</v>
      </c>
      <c r="L787" s="62" t="s">
        <v>825</v>
      </c>
      <c r="M787" s="63">
        <v>0</v>
      </c>
      <c r="N787" s="66">
        <f t="shared" si="50"/>
        <v>0.78900000000000003</v>
      </c>
      <c r="O787" s="62" t="str">
        <f t="shared" si="51"/>
        <v>4: Engaged Early</v>
      </c>
    </row>
    <row r="788" spans="1:15" ht="15" customHeight="1" x14ac:dyDescent="0.4">
      <c r="A788" s="62" t="s">
        <v>824</v>
      </c>
      <c r="B788" s="62" t="s">
        <v>1414</v>
      </c>
      <c r="C788" s="62" t="s">
        <v>826</v>
      </c>
      <c r="D788" s="63">
        <v>6</v>
      </c>
      <c r="E788" s="63">
        <v>6</v>
      </c>
      <c r="F788" s="63">
        <v>2</v>
      </c>
      <c r="G788" s="64">
        <f t="shared" si="48"/>
        <v>1</v>
      </c>
      <c r="H788" s="64">
        <f t="shared" si="49"/>
        <v>0.33333333333333331</v>
      </c>
      <c r="I788" s="63">
        <v>2</v>
      </c>
      <c r="J788" s="65">
        <v>99.9</v>
      </c>
      <c r="K788" s="65">
        <v>71.430000000000007</v>
      </c>
      <c r="L788" s="62" t="s">
        <v>825</v>
      </c>
      <c r="M788" s="63">
        <v>0</v>
      </c>
      <c r="N788" s="66">
        <f t="shared" si="50"/>
        <v>0.82799999999999996</v>
      </c>
      <c r="O788" s="62" t="str">
        <f t="shared" si="51"/>
        <v>4: Engaged Early</v>
      </c>
    </row>
    <row r="789" spans="1:15" ht="15" customHeight="1" x14ac:dyDescent="0.4">
      <c r="A789" s="62" t="s">
        <v>824</v>
      </c>
      <c r="B789" s="62" t="s">
        <v>1415</v>
      </c>
      <c r="C789" s="62" t="s">
        <v>826</v>
      </c>
      <c r="D789" s="63">
        <v>19</v>
      </c>
      <c r="E789" s="63">
        <v>18</v>
      </c>
      <c r="F789" s="63">
        <v>2</v>
      </c>
      <c r="G789" s="64">
        <f t="shared" si="48"/>
        <v>0.94736842105263153</v>
      </c>
      <c r="H789" s="64">
        <f t="shared" si="49"/>
        <v>0.10526315789473684</v>
      </c>
      <c r="I789" s="63">
        <v>2</v>
      </c>
      <c r="J789" s="65">
        <v>96.238650000000007</v>
      </c>
      <c r="K789" s="65">
        <v>100</v>
      </c>
      <c r="L789" s="62" t="s">
        <v>825</v>
      </c>
      <c r="M789" s="63">
        <v>1</v>
      </c>
      <c r="N789" s="66">
        <f t="shared" si="50"/>
        <v>0.99399999999999999</v>
      </c>
      <c r="O789" s="62" t="str">
        <f t="shared" si="51"/>
        <v>4: Engaged Early</v>
      </c>
    </row>
    <row r="790" spans="1:15" ht="15" customHeight="1" x14ac:dyDescent="0.4">
      <c r="A790" s="62" t="s">
        <v>824</v>
      </c>
      <c r="B790" s="62" t="s">
        <v>1416</v>
      </c>
      <c r="C790" s="62" t="s">
        <v>826</v>
      </c>
      <c r="D790" s="63">
        <v>16</v>
      </c>
      <c r="E790" s="63">
        <v>10</v>
      </c>
      <c r="F790" s="63">
        <v>1</v>
      </c>
      <c r="G790" s="64">
        <f t="shared" si="48"/>
        <v>0.625</v>
      </c>
      <c r="H790" s="64">
        <f t="shared" si="49"/>
        <v>6.25E-2</v>
      </c>
      <c r="I790" s="63">
        <v>2</v>
      </c>
      <c r="J790" s="65">
        <v>80.774050000000003</v>
      </c>
      <c r="K790" s="65">
        <v>97.69</v>
      </c>
      <c r="L790" s="62" t="s">
        <v>825</v>
      </c>
      <c r="M790" s="63">
        <v>0</v>
      </c>
      <c r="N790" s="66">
        <f t="shared" si="50"/>
        <v>0.95699999999999996</v>
      </c>
      <c r="O790" s="62" t="str">
        <f t="shared" si="51"/>
        <v>4: Engaged Early</v>
      </c>
    </row>
    <row r="791" spans="1:15" ht="15" customHeight="1" x14ac:dyDescent="0.4">
      <c r="A791" s="62" t="s">
        <v>824</v>
      </c>
      <c r="B791" s="62" t="s">
        <v>1417</v>
      </c>
      <c r="C791" s="62" t="s">
        <v>826</v>
      </c>
      <c r="D791" s="63">
        <v>10</v>
      </c>
      <c r="E791" s="63">
        <v>9</v>
      </c>
      <c r="F791" s="63">
        <v>1</v>
      </c>
      <c r="G791" s="64">
        <f t="shared" si="48"/>
        <v>0.9</v>
      </c>
      <c r="H791" s="64">
        <f t="shared" si="49"/>
        <v>0.1</v>
      </c>
      <c r="I791" s="63">
        <v>2</v>
      </c>
      <c r="J791" s="65">
        <v>97.144999999999996</v>
      </c>
      <c r="K791" s="65">
        <v>100</v>
      </c>
      <c r="L791" s="62" t="s">
        <v>825</v>
      </c>
      <c r="M791" s="63">
        <v>0</v>
      </c>
      <c r="N791" s="66">
        <f t="shared" si="50"/>
        <v>0.996</v>
      </c>
      <c r="O791" s="62" t="str">
        <f t="shared" si="51"/>
        <v>4: Engaged Early</v>
      </c>
    </row>
    <row r="792" spans="1:15" ht="15" customHeight="1" x14ac:dyDescent="0.4">
      <c r="A792" s="62" t="s">
        <v>824</v>
      </c>
      <c r="B792" s="62" t="s">
        <v>1418</v>
      </c>
      <c r="C792" s="62" t="s">
        <v>826</v>
      </c>
      <c r="D792" s="63">
        <v>22</v>
      </c>
      <c r="E792" s="63">
        <v>10</v>
      </c>
      <c r="F792" s="63">
        <v>1</v>
      </c>
      <c r="G792" s="64">
        <f t="shared" si="48"/>
        <v>0.45454545454545453</v>
      </c>
      <c r="H792" s="64">
        <f t="shared" si="49"/>
        <v>4.5454545454545456E-2</v>
      </c>
      <c r="I792" s="63">
        <v>0</v>
      </c>
      <c r="J792" s="65"/>
      <c r="K792" s="65">
        <v>76.150000000000006</v>
      </c>
      <c r="L792" s="62" t="s">
        <v>826</v>
      </c>
      <c r="M792" s="63">
        <v>0</v>
      </c>
      <c r="N792" s="66">
        <f t="shared" si="50"/>
        <v>0.45700000000000002</v>
      </c>
      <c r="O792" s="62" t="str">
        <f t="shared" si="51"/>
        <v>1: Critical (No DBWT + No Wk0)</v>
      </c>
    </row>
    <row r="793" spans="1:15" ht="15" customHeight="1" x14ac:dyDescent="0.4">
      <c r="A793" s="62" t="s">
        <v>824</v>
      </c>
      <c r="B793" s="62" t="s">
        <v>1419</v>
      </c>
      <c r="C793" s="62" t="s">
        <v>826</v>
      </c>
      <c r="D793" s="63">
        <v>23</v>
      </c>
      <c r="E793" s="63">
        <v>23</v>
      </c>
      <c r="F793" s="63">
        <v>2</v>
      </c>
      <c r="G793" s="64">
        <f t="shared" si="48"/>
        <v>1</v>
      </c>
      <c r="H793" s="64">
        <f t="shared" si="49"/>
        <v>8.6956521739130432E-2</v>
      </c>
      <c r="I793" s="63">
        <v>2</v>
      </c>
      <c r="J793" s="65">
        <v>99.581699999999998</v>
      </c>
      <c r="K793" s="65">
        <v>100</v>
      </c>
      <c r="L793" s="62" t="s">
        <v>825</v>
      </c>
      <c r="M793" s="63">
        <v>0</v>
      </c>
      <c r="N793" s="66">
        <f t="shared" si="50"/>
        <v>0.999</v>
      </c>
      <c r="O793" s="62" t="str">
        <f t="shared" si="51"/>
        <v>4: Engaged Early</v>
      </c>
    </row>
    <row r="794" spans="1:15" ht="15" customHeight="1" x14ac:dyDescent="0.4">
      <c r="A794" s="62" t="s">
        <v>824</v>
      </c>
      <c r="B794" s="62" t="s">
        <v>1420</v>
      </c>
      <c r="C794" s="62" t="s">
        <v>826</v>
      </c>
      <c r="D794" s="63">
        <v>12</v>
      </c>
      <c r="E794" s="63">
        <v>4</v>
      </c>
      <c r="F794" s="63">
        <v>0</v>
      </c>
      <c r="G794" s="64">
        <f t="shared" si="48"/>
        <v>0.33333333333333331</v>
      </c>
      <c r="H794" s="64">
        <f t="shared" si="49"/>
        <v>0</v>
      </c>
      <c r="I794" s="63">
        <v>2</v>
      </c>
      <c r="J794" s="65">
        <v>59.110700000000001</v>
      </c>
      <c r="K794" s="65">
        <v>95.09</v>
      </c>
      <c r="L794" s="62" t="s">
        <v>825</v>
      </c>
      <c r="M794" s="63">
        <v>0</v>
      </c>
      <c r="N794" s="66">
        <f t="shared" si="50"/>
        <v>0.90900000000000003</v>
      </c>
      <c r="O794" s="62" t="str">
        <f t="shared" si="51"/>
        <v>4: Engaged Early</v>
      </c>
    </row>
    <row r="795" spans="1:15" ht="15" customHeight="1" x14ac:dyDescent="0.4">
      <c r="A795" s="62" t="s">
        <v>824</v>
      </c>
      <c r="B795" s="62" t="s">
        <v>1421</v>
      </c>
      <c r="C795" s="62" t="s">
        <v>826</v>
      </c>
      <c r="D795" s="63">
        <v>19</v>
      </c>
      <c r="E795" s="63">
        <v>0</v>
      </c>
      <c r="F795" s="63">
        <v>4</v>
      </c>
      <c r="G795" s="64">
        <f t="shared" si="48"/>
        <v>0</v>
      </c>
      <c r="H795" s="64">
        <f t="shared" si="49"/>
        <v>0.21052631578947367</v>
      </c>
      <c r="I795" s="63">
        <v>0</v>
      </c>
      <c r="J795" s="65"/>
      <c r="K795" s="65">
        <v>53.19</v>
      </c>
      <c r="L795" s="62" t="s">
        <v>825</v>
      </c>
      <c r="M795" s="63">
        <v>0</v>
      </c>
      <c r="N795" s="66">
        <f t="shared" si="50"/>
        <v>0.56899999999999995</v>
      </c>
      <c r="O795" s="62" t="str">
        <f t="shared" si="51"/>
        <v>3: Elevated (No Wk0)</v>
      </c>
    </row>
    <row r="796" spans="1:15" ht="15" customHeight="1" x14ac:dyDescent="0.4">
      <c r="A796" s="62" t="s">
        <v>824</v>
      </c>
      <c r="B796" s="62" t="s">
        <v>1422</v>
      </c>
      <c r="C796" s="62" t="s">
        <v>826</v>
      </c>
      <c r="D796" s="63">
        <v>5</v>
      </c>
      <c r="E796" s="63">
        <v>5</v>
      </c>
      <c r="F796" s="63">
        <v>0</v>
      </c>
      <c r="G796" s="64">
        <f t="shared" si="48"/>
        <v>1</v>
      </c>
      <c r="H796" s="64">
        <f t="shared" si="49"/>
        <v>0</v>
      </c>
      <c r="I796" s="63">
        <v>2</v>
      </c>
      <c r="J796" s="65">
        <v>97.433899999999994</v>
      </c>
      <c r="K796" s="65">
        <v>100</v>
      </c>
      <c r="L796" s="62" t="s">
        <v>825</v>
      </c>
      <c r="M796" s="63">
        <v>0</v>
      </c>
      <c r="N796" s="66">
        <f t="shared" si="50"/>
        <v>0.996</v>
      </c>
      <c r="O796" s="62" t="str">
        <f t="shared" si="51"/>
        <v>4: Engaged Early</v>
      </c>
    </row>
    <row r="797" spans="1:15" ht="15" customHeight="1" x14ac:dyDescent="0.4">
      <c r="A797" s="62" t="s">
        <v>824</v>
      </c>
      <c r="B797" s="62" t="s">
        <v>665</v>
      </c>
      <c r="C797" s="62" t="s">
        <v>825</v>
      </c>
      <c r="D797" s="63">
        <v>20</v>
      </c>
      <c r="E797" s="63">
        <v>16</v>
      </c>
      <c r="F797" s="63">
        <v>3</v>
      </c>
      <c r="G797" s="64">
        <f t="shared" si="48"/>
        <v>0.8</v>
      </c>
      <c r="H797" s="64">
        <f t="shared" si="49"/>
        <v>0.15</v>
      </c>
      <c r="I797" s="63">
        <v>2</v>
      </c>
      <c r="J797" s="65">
        <v>64.496549999999999</v>
      </c>
      <c r="K797" s="65">
        <v>55.77</v>
      </c>
      <c r="L797" s="62" t="s">
        <v>825</v>
      </c>
      <c r="M797" s="63">
        <v>0</v>
      </c>
      <c r="N797" s="66">
        <f t="shared" si="50"/>
        <v>0.68100000000000005</v>
      </c>
      <c r="O797" s="62" t="str">
        <f t="shared" si="51"/>
        <v>4: Engaged Early</v>
      </c>
    </row>
    <row r="798" spans="1:15" ht="15" customHeight="1" x14ac:dyDescent="0.4">
      <c r="A798" s="62" t="s">
        <v>824</v>
      </c>
      <c r="B798" s="62" t="s">
        <v>1423</v>
      </c>
      <c r="C798" s="62" t="s">
        <v>826</v>
      </c>
      <c r="D798" s="63">
        <v>2</v>
      </c>
      <c r="E798" s="63">
        <v>1</v>
      </c>
      <c r="F798" s="63">
        <v>0</v>
      </c>
      <c r="G798" s="64">
        <f t="shared" si="48"/>
        <v>0.5</v>
      </c>
      <c r="H798" s="64">
        <f t="shared" si="49"/>
        <v>0</v>
      </c>
      <c r="I798" s="63">
        <v>2</v>
      </c>
      <c r="J798" s="65">
        <v>97.256749999999997</v>
      </c>
      <c r="K798" s="65">
        <v>100</v>
      </c>
      <c r="L798" s="62" t="s">
        <v>825</v>
      </c>
      <c r="M798" s="63">
        <v>1</v>
      </c>
      <c r="N798" s="66">
        <f t="shared" si="50"/>
        <v>0.996</v>
      </c>
      <c r="O798" s="62" t="str">
        <f t="shared" si="51"/>
        <v>4: Engaged Early</v>
      </c>
    </row>
    <row r="799" spans="1:15" ht="15" customHeight="1" x14ac:dyDescent="0.4">
      <c r="A799" s="62" t="s">
        <v>824</v>
      </c>
      <c r="B799" s="62" t="s">
        <v>1424</v>
      </c>
      <c r="C799" s="62" t="s">
        <v>826</v>
      </c>
      <c r="D799" s="63">
        <v>25</v>
      </c>
      <c r="E799" s="63">
        <v>8</v>
      </c>
      <c r="F799" s="63">
        <v>5</v>
      </c>
      <c r="G799" s="64">
        <f t="shared" si="48"/>
        <v>0.32</v>
      </c>
      <c r="H799" s="64">
        <f t="shared" si="49"/>
        <v>0.2</v>
      </c>
      <c r="I799" s="63">
        <v>2</v>
      </c>
      <c r="J799" s="65">
        <v>74.837299999999999</v>
      </c>
      <c r="K799" s="65">
        <v>95.79</v>
      </c>
      <c r="L799" s="62" t="s">
        <v>826</v>
      </c>
      <c r="M799" s="63">
        <v>0</v>
      </c>
      <c r="N799" s="66">
        <f t="shared" si="50"/>
        <v>0.68700000000000006</v>
      </c>
      <c r="O799" s="62" t="str">
        <f t="shared" si="51"/>
        <v>2: High (No DBWT)</v>
      </c>
    </row>
    <row r="800" spans="1:15" ht="15" customHeight="1" x14ac:dyDescent="0.4">
      <c r="A800" s="62" t="s">
        <v>824</v>
      </c>
      <c r="B800" s="62" t="s">
        <v>1425</v>
      </c>
      <c r="C800" s="62" t="s">
        <v>826</v>
      </c>
      <c r="D800" s="63">
        <v>10</v>
      </c>
      <c r="E800" s="63">
        <v>8</v>
      </c>
      <c r="F800" s="63">
        <v>3</v>
      </c>
      <c r="G800" s="64">
        <f t="shared" si="48"/>
        <v>0.8</v>
      </c>
      <c r="H800" s="64">
        <f t="shared" si="49"/>
        <v>0.3</v>
      </c>
      <c r="I800" s="63">
        <v>2</v>
      </c>
      <c r="J800" s="65">
        <v>94.127099999999999</v>
      </c>
      <c r="K800" s="65">
        <v>100</v>
      </c>
      <c r="L800" s="62" t="s">
        <v>825</v>
      </c>
      <c r="M800" s="63">
        <v>1</v>
      </c>
      <c r="N800" s="66">
        <f t="shared" si="50"/>
        <v>0.99099999999999999</v>
      </c>
      <c r="O800" s="62" t="str">
        <f t="shared" si="51"/>
        <v>4: Engaged Early</v>
      </c>
    </row>
    <row r="801" spans="1:15" ht="15" customHeight="1" x14ac:dyDescent="0.4">
      <c r="A801" s="62" t="s">
        <v>824</v>
      </c>
      <c r="B801" s="62" t="s">
        <v>1426</v>
      </c>
      <c r="C801" s="62" t="s">
        <v>826</v>
      </c>
      <c r="D801" s="63">
        <v>4</v>
      </c>
      <c r="E801" s="63">
        <v>3</v>
      </c>
      <c r="F801" s="63">
        <v>1</v>
      </c>
      <c r="G801" s="64">
        <f t="shared" si="48"/>
        <v>0.75</v>
      </c>
      <c r="H801" s="64">
        <f t="shared" si="49"/>
        <v>0.25</v>
      </c>
      <c r="I801" s="63">
        <v>1</v>
      </c>
      <c r="J801" s="65">
        <v>67.5</v>
      </c>
      <c r="K801" s="65">
        <v>23.05</v>
      </c>
      <c r="L801" s="62" t="s">
        <v>825</v>
      </c>
      <c r="M801" s="63">
        <v>0</v>
      </c>
      <c r="N801" s="66">
        <f t="shared" si="50"/>
        <v>0.49</v>
      </c>
      <c r="O801" s="62" t="str">
        <f t="shared" si="51"/>
        <v>4: Engaged Early</v>
      </c>
    </row>
    <row r="802" spans="1:15" ht="15" customHeight="1" x14ac:dyDescent="0.4">
      <c r="A802" s="62" t="s">
        <v>824</v>
      </c>
      <c r="B802" s="62" t="s">
        <v>1427</v>
      </c>
      <c r="C802" s="62" t="s">
        <v>826</v>
      </c>
      <c r="D802" s="63">
        <v>6</v>
      </c>
      <c r="E802" s="63">
        <v>5</v>
      </c>
      <c r="F802" s="63">
        <v>1</v>
      </c>
      <c r="G802" s="64">
        <f t="shared" si="48"/>
        <v>0.83333333333333337</v>
      </c>
      <c r="H802" s="64">
        <f t="shared" si="49"/>
        <v>0.16666666666666666</v>
      </c>
      <c r="I802" s="63">
        <v>2</v>
      </c>
      <c r="J802" s="65">
        <v>99.09</v>
      </c>
      <c r="K802" s="65">
        <v>100</v>
      </c>
      <c r="L802" s="62" t="s">
        <v>825</v>
      </c>
      <c r="M802" s="63">
        <v>0</v>
      </c>
      <c r="N802" s="66">
        <f t="shared" si="50"/>
        <v>0.999</v>
      </c>
      <c r="O802" s="62" t="str">
        <f t="shared" si="51"/>
        <v>4: Engaged Early</v>
      </c>
    </row>
    <row r="803" spans="1:15" ht="15" customHeight="1" x14ac:dyDescent="0.4">
      <c r="A803" s="62" t="s">
        <v>824</v>
      </c>
      <c r="B803" s="62" t="s">
        <v>1428</v>
      </c>
      <c r="C803" s="62" t="s">
        <v>826</v>
      </c>
      <c r="D803" s="63">
        <v>1</v>
      </c>
      <c r="E803" s="63">
        <v>1</v>
      </c>
      <c r="F803" s="63">
        <v>0</v>
      </c>
      <c r="G803" s="64">
        <f t="shared" si="48"/>
        <v>1</v>
      </c>
      <c r="H803" s="64">
        <f t="shared" si="49"/>
        <v>0</v>
      </c>
      <c r="I803" s="63">
        <v>2</v>
      </c>
      <c r="J803" s="65">
        <v>82.328199999999995</v>
      </c>
      <c r="K803" s="65">
        <v>98.83</v>
      </c>
      <c r="L803" s="62" t="s">
        <v>825</v>
      </c>
      <c r="M803" s="63">
        <v>0</v>
      </c>
      <c r="N803" s="66">
        <f t="shared" si="50"/>
        <v>0.96599999999999997</v>
      </c>
      <c r="O803" s="62" t="str">
        <f t="shared" si="51"/>
        <v>4: Engaged Early</v>
      </c>
    </row>
    <row r="804" spans="1:15" ht="15" customHeight="1" x14ac:dyDescent="0.4">
      <c r="A804" s="62" t="s">
        <v>824</v>
      </c>
      <c r="B804" s="62" t="s">
        <v>1429</v>
      </c>
      <c r="C804" s="62" t="s">
        <v>826</v>
      </c>
      <c r="D804" s="63">
        <v>13</v>
      </c>
      <c r="E804" s="63">
        <v>10</v>
      </c>
      <c r="F804" s="63">
        <v>0</v>
      </c>
      <c r="G804" s="64">
        <f t="shared" si="48"/>
        <v>0.76923076923076927</v>
      </c>
      <c r="H804" s="64">
        <f t="shared" si="49"/>
        <v>0</v>
      </c>
      <c r="I804" s="63">
        <v>1</v>
      </c>
      <c r="J804" s="65">
        <v>85.61</v>
      </c>
      <c r="K804" s="65">
        <v>77.78</v>
      </c>
      <c r="L804" s="62" t="s">
        <v>825</v>
      </c>
      <c r="M804" s="63">
        <v>0</v>
      </c>
      <c r="N804" s="66">
        <f t="shared" si="50"/>
        <v>0.84499999999999997</v>
      </c>
      <c r="O804" s="62" t="str">
        <f t="shared" si="51"/>
        <v>4: Engaged Early</v>
      </c>
    </row>
    <row r="805" spans="1:15" ht="15" customHeight="1" x14ac:dyDescent="0.4">
      <c r="A805" s="62" t="s">
        <v>824</v>
      </c>
      <c r="B805" s="62" t="s">
        <v>1430</v>
      </c>
      <c r="C805" s="62" t="s">
        <v>826</v>
      </c>
      <c r="D805" s="63">
        <v>11</v>
      </c>
      <c r="E805" s="63">
        <v>5</v>
      </c>
      <c r="F805" s="63">
        <v>2</v>
      </c>
      <c r="G805" s="64">
        <f t="shared" si="48"/>
        <v>0.45454545454545453</v>
      </c>
      <c r="H805" s="64">
        <f t="shared" si="49"/>
        <v>0.18181818181818182</v>
      </c>
      <c r="I805" s="63">
        <v>2</v>
      </c>
      <c r="J805" s="65">
        <v>60.342350000000003</v>
      </c>
      <c r="K805" s="65">
        <v>91.81</v>
      </c>
      <c r="L805" s="62" t="s">
        <v>825</v>
      </c>
      <c r="M805" s="63">
        <v>0</v>
      </c>
      <c r="N805" s="66">
        <f t="shared" si="50"/>
        <v>0.89100000000000001</v>
      </c>
      <c r="O805" s="62" t="str">
        <f t="shared" si="51"/>
        <v>4: Engaged Early</v>
      </c>
    </row>
    <row r="806" spans="1:15" ht="15" customHeight="1" x14ac:dyDescent="0.4">
      <c r="A806" s="62" t="s">
        <v>824</v>
      </c>
      <c r="B806" s="62" t="s">
        <v>1431</v>
      </c>
      <c r="C806" s="62" t="s">
        <v>826</v>
      </c>
      <c r="D806" s="63">
        <v>13</v>
      </c>
      <c r="E806" s="63">
        <v>10</v>
      </c>
      <c r="F806" s="63">
        <v>0</v>
      </c>
      <c r="G806" s="64">
        <f t="shared" si="48"/>
        <v>0.76923076923076927</v>
      </c>
      <c r="H806" s="64">
        <f t="shared" si="49"/>
        <v>0</v>
      </c>
      <c r="I806" s="63">
        <v>2</v>
      </c>
      <c r="J806" s="65">
        <v>71.303849999999997</v>
      </c>
      <c r="K806" s="65">
        <v>94.97</v>
      </c>
      <c r="L806" s="62" t="s">
        <v>825</v>
      </c>
      <c r="M806" s="63">
        <v>0</v>
      </c>
      <c r="N806" s="66">
        <f t="shared" si="50"/>
        <v>0.92700000000000005</v>
      </c>
      <c r="O806" s="62" t="str">
        <f t="shared" si="51"/>
        <v>4: Engaged Early</v>
      </c>
    </row>
    <row r="807" spans="1:15" ht="15" customHeight="1" x14ac:dyDescent="0.4">
      <c r="A807" s="62" t="s">
        <v>824</v>
      </c>
      <c r="B807" s="62" t="s">
        <v>1432</v>
      </c>
      <c r="C807" s="62" t="s">
        <v>826</v>
      </c>
      <c r="D807" s="63">
        <v>5</v>
      </c>
      <c r="E807" s="63">
        <v>3</v>
      </c>
      <c r="F807" s="63">
        <v>0</v>
      </c>
      <c r="G807" s="64">
        <f t="shared" si="48"/>
        <v>0.6</v>
      </c>
      <c r="H807" s="64">
        <f t="shared" si="49"/>
        <v>0</v>
      </c>
      <c r="I807" s="63">
        <v>2</v>
      </c>
      <c r="J807" s="65">
        <v>96.612549999999999</v>
      </c>
      <c r="K807" s="65">
        <v>100</v>
      </c>
      <c r="L807" s="62" t="s">
        <v>825</v>
      </c>
      <c r="M807" s="63">
        <v>0</v>
      </c>
      <c r="N807" s="66">
        <f t="shared" si="50"/>
        <v>0.995</v>
      </c>
      <c r="O807" s="62" t="str">
        <f t="shared" si="51"/>
        <v>4: Engaged Early</v>
      </c>
    </row>
    <row r="808" spans="1:15" ht="15" customHeight="1" x14ac:dyDescent="0.4">
      <c r="A808" s="62" t="s">
        <v>824</v>
      </c>
      <c r="B808" s="62" t="s">
        <v>1433</v>
      </c>
      <c r="C808" s="62" t="s">
        <v>826</v>
      </c>
      <c r="D808" s="63">
        <v>16</v>
      </c>
      <c r="E808" s="63">
        <v>9</v>
      </c>
      <c r="F808" s="63">
        <v>4</v>
      </c>
      <c r="G808" s="64">
        <f t="shared" si="48"/>
        <v>0.5625</v>
      </c>
      <c r="H808" s="64">
        <f t="shared" si="49"/>
        <v>0.25</v>
      </c>
      <c r="I808" s="63">
        <v>2</v>
      </c>
      <c r="J808" s="65">
        <v>76.437899999999999</v>
      </c>
      <c r="K808" s="65">
        <v>89.2</v>
      </c>
      <c r="L808" s="62" t="s">
        <v>825</v>
      </c>
      <c r="M808" s="63">
        <v>0</v>
      </c>
      <c r="N808" s="66">
        <f t="shared" si="50"/>
        <v>0.9</v>
      </c>
      <c r="O808" s="62" t="str">
        <f t="shared" si="51"/>
        <v>4: Engaged Early</v>
      </c>
    </row>
    <row r="809" spans="1:15" ht="15" customHeight="1" x14ac:dyDescent="0.4">
      <c r="A809" s="62" t="s">
        <v>824</v>
      </c>
      <c r="B809" s="62" t="s">
        <v>1434</v>
      </c>
      <c r="C809" s="62" t="s">
        <v>826</v>
      </c>
      <c r="D809" s="63">
        <v>16</v>
      </c>
      <c r="E809" s="63">
        <v>7</v>
      </c>
      <c r="F809" s="63">
        <v>0</v>
      </c>
      <c r="G809" s="64">
        <f t="shared" si="48"/>
        <v>0.4375</v>
      </c>
      <c r="H809" s="64">
        <f t="shared" si="49"/>
        <v>0</v>
      </c>
      <c r="I809" s="63">
        <v>2</v>
      </c>
      <c r="J809" s="65">
        <v>68.037450000000007</v>
      </c>
      <c r="K809" s="65">
        <v>58.68</v>
      </c>
      <c r="L809" s="62" t="s">
        <v>825</v>
      </c>
      <c r="M809" s="63">
        <v>0</v>
      </c>
      <c r="N809" s="66">
        <f t="shared" si="50"/>
        <v>0.70399999999999996</v>
      </c>
      <c r="O809" s="62" t="str">
        <f t="shared" si="51"/>
        <v>4: Engaged Early</v>
      </c>
    </row>
    <row r="810" spans="1:15" ht="15" customHeight="1" x14ac:dyDescent="0.4">
      <c r="A810" s="62" t="s">
        <v>824</v>
      </c>
      <c r="B810" s="62" t="s">
        <v>1435</v>
      </c>
      <c r="C810" s="62" t="s">
        <v>826</v>
      </c>
      <c r="D810" s="63">
        <v>10</v>
      </c>
      <c r="E810" s="63">
        <v>4</v>
      </c>
      <c r="F810" s="63">
        <v>1</v>
      </c>
      <c r="G810" s="64">
        <f t="shared" si="48"/>
        <v>0.4</v>
      </c>
      <c r="H810" s="64">
        <f t="shared" si="49"/>
        <v>0.1</v>
      </c>
      <c r="I810" s="63">
        <v>2</v>
      </c>
      <c r="J810" s="65">
        <v>43.124833500000001</v>
      </c>
      <c r="K810" s="65">
        <v>77.84</v>
      </c>
      <c r="L810" s="62" t="s">
        <v>825</v>
      </c>
      <c r="M810" s="63">
        <v>0</v>
      </c>
      <c r="N810" s="66">
        <f t="shared" si="50"/>
        <v>0.78200000000000003</v>
      </c>
      <c r="O810" s="62" t="str">
        <f t="shared" si="51"/>
        <v>4: Engaged Early</v>
      </c>
    </row>
    <row r="811" spans="1:15" ht="15" customHeight="1" x14ac:dyDescent="0.4">
      <c r="A811" s="62" t="s">
        <v>824</v>
      </c>
      <c r="B811" s="62" t="s">
        <v>1436</v>
      </c>
      <c r="C811" s="62" t="s">
        <v>826</v>
      </c>
      <c r="D811" s="63">
        <v>6</v>
      </c>
      <c r="E811" s="63">
        <v>6</v>
      </c>
      <c r="F811" s="63">
        <v>1</v>
      </c>
      <c r="G811" s="64">
        <f t="shared" si="48"/>
        <v>1</v>
      </c>
      <c r="H811" s="64">
        <f t="shared" si="49"/>
        <v>0.16666666666666666</v>
      </c>
      <c r="I811" s="63">
        <v>2</v>
      </c>
      <c r="J811" s="65">
        <v>98.626850000000005</v>
      </c>
      <c r="K811" s="65">
        <v>100</v>
      </c>
      <c r="L811" s="62" t="s">
        <v>825</v>
      </c>
      <c r="M811" s="63">
        <v>0</v>
      </c>
      <c r="N811" s="66">
        <f t="shared" si="50"/>
        <v>0.998</v>
      </c>
      <c r="O811" s="62" t="str">
        <f t="shared" si="51"/>
        <v>4: Engaged Early</v>
      </c>
    </row>
    <row r="812" spans="1:15" ht="15" customHeight="1" x14ac:dyDescent="0.4">
      <c r="A812" s="62" t="s">
        <v>824</v>
      </c>
      <c r="B812" s="62" t="s">
        <v>1437</v>
      </c>
      <c r="C812" s="62" t="s">
        <v>826</v>
      </c>
      <c r="D812" s="63">
        <v>5</v>
      </c>
      <c r="E812" s="63">
        <v>0</v>
      </c>
      <c r="F812" s="63">
        <v>0</v>
      </c>
      <c r="G812" s="64">
        <f t="shared" si="48"/>
        <v>0</v>
      </c>
      <c r="H812" s="64">
        <f t="shared" si="49"/>
        <v>0</v>
      </c>
      <c r="I812" s="63">
        <v>2</v>
      </c>
      <c r="J812" s="65">
        <v>90.482100000000003</v>
      </c>
      <c r="K812" s="65">
        <v>50.71</v>
      </c>
      <c r="L812" s="62" t="s">
        <v>825</v>
      </c>
      <c r="M812" s="63">
        <v>0</v>
      </c>
      <c r="N812" s="66">
        <f t="shared" si="50"/>
        <v>0.69</v>
      </c>
      <c r="O812" s="62" t="str">
        <f t="shared" si="51"/>
        <v>4: Engaged Early</v>
      </c>
    </row>
    <row r="813" spans="1:15" ht="15" customHeight="1" x14ac:dyDescent="0.4">
      <c r="A813" s="62" t="s">
        <v>824</v>
      </c>
      <c r="B813" s="62" t="s">
        <v>1438</v>
      </c>
      <c r="C813" s="62" t="s">
        <v>826</v>
      </c>
      <c r="D813" s="63">
        <v>13</v>
      </c>
      <c r="E813" s="63">
        <v>10</v>
      </c>
      <c r="F813" s="63">
        <v>1</v>
      </c>
      <c r="G813" s="64">
        <f t="shared" si="48"/>
        <v>0.76923076923076927</v>
      </c>
      <c r="H813" s="64">
        <f t="shared" si="49"/>
        <v>7.6923076923076927E-2</v>
      </c>
      <c r="I813" s="63">
        <v>2</v>
      </c>
      <c r="J813" s="65">
        <v>86.992199999999997</v>
      </c>
      <c r="K813" s="65">
        <v>89.24</v>
      </c>
      <c r="L813" s="62" t="s">
        <v>826</v>
      </c>
      <c r="M813" s="63">
        <v>0</v>
      </c>
      <c r="N813" s="66">
        <f t="shared" si="50"/>
        <v>0.66600000000000004</v>
      </c>
      <c r="O813" s="62" t="str">
        <f t="shared" si="51"/>
        <v>2: High (No DBWT)</v>
      </c>
    </row>
    <row r="814" spans="1:15" ht="15" customHeight="1" x14ac:dyDescent="0.4">
      <c r="A814" s="62" t="s">
        <v>824</v>
      </c>
      <c r="B814" s="62" t="s">
        <v>1439</v>
      </c>
      <c r="C814" s="62" t="s">
        <v>826</v>
      </c>
      <c r="D814" s="63">
        <v>0</v>
      </c>
      <c r="E814" s="63">
        <v>0</v>
      </c>
      <c r="F814" s="63">
        <v>0</v>
      </c>
      <c r="G814" s="64">
        <f t="shared" si="48"/>
        <v>0</v>
      </c>
      <c r="H814" s="64">
        <f t="shared" si="49"/>
        <v>0</v>
      </c>
      <c r="I814" s="63">
        <v>2</v>
      </c>
      <c r="J814" s="65">
        <v>91.749099999999999</v>
      </c>
      <c r="K814" s="65">
        <v>100</v>
      </c>
      <c r="L814" s="62" t="s">
        <v>825</v>
      </c>
      <c r="M814" s="63">
        <v>0</v>
      </c>
      <c r="N814" s="66">
        <f t="shared" si="50"/>
        <v>0.98799999999999999</v>
      </c>
      <c r="O814" s="62" t="str">
        <f t="shared" si="51"/>
        <v>4: Engaged Early</v>
      </c>
    </row>
    <row r="815" spans="1:15" ht="15" customHeight="1" x14ac:dyDescent="0.4">
      <c r="A815" s="62" t="s">
        <v>824</v>
      </c>
      <c r="B815" s="62" t="s">
        <v>1440</v>
      </c>
      <c r="C815" s="62" t="s">
        <v>826</v>
      </c>
      <c r="D815" s="63">
        <v>16</v>
      </c>
      <c r="E815" s="63">
        <v>14</v>
      </c>
      <c r="F815" s="63">
        <v>2</v>
      </c>
      <c r="G815" s="64">
        <f t="shared" si="48"/>
        <v>0.875</v>
      </c>
      <c r="H815" s="64">
        <f t="shared" si="49"/>
        <v>0.125</v>
      </c>
      <c r="I815" s="63">
        <v>1</v>
      </c>
      <c r="J815" s="65">
        <v>80.28</v>
      </c>
      <c r="K815" s="65">
        <v>87.89</v>
      </c>
      <c r="L815" s="62" t="s">
        <v>825</v>
      </c>
      <c r="M815" s="63">
        <v>0</v>
      </c>
      <c r="N815" s="66">
        <f t="shared" si="50"/>
        <v>0.89800000000000002</v>
      </c>
      <c r="O815" s="62" t="str">
        <f t="shared" si="51"/>
        <v>4: Engaged Early</v>
      </c>
    </row>
    <row r="816" spans="1:15" ht="15" customHeight="1" x14ac:dyDescent="0.4">
      <c r="A816" s="62" t="s">
        <v>824</v>
      </c>
      <c r="B816" s="62" t="s">
        <v>1441</v>
      </c>
      <c r="C816" s="62" t="s">
        <v>826</v>
      </c>
      <c r="D816" s="63">
        <v>12</v>
      </c>
      <c r="E816" s="63">
        <v>8</v>
      </c>
      <c r="F816" s="63">
        <v>0</v>
      </c>
      <c r="G816" s="64">
        <f t="shared" si="48"/>
        <v>0.66666666666666663</v>
      </c>
      <c r="H816" s="64">
        <f t="shared" si="49"/>
        <v>0</v>
      </c>
      <c r="I816" s="63">
        <v>1</v>
      </c>
      <c r="J816" s="65">
        <v>52.506599999999999</v>
      </c>
      <c r="K816" s="65">
        <v>95.12</v>
      </c>
      <c r="L816" s="62" t="s">
        <v>825</v>
      </c>
      <c r="M816" s="63">
        <v>0</v>
      </c>
      <c r="N816" s="66">
        <f t="shared" si="50"/>
        <v>0.89900000000000002</v>
      </c>
      <c r="O816" s="62" t="str">
        <f t="shared" si="51"/>
        <v>4: Engaged Early</v>
      </c>
    </row>
    <row r="817" spans="1:15" ht="15" customHeight="1" x14ac:dyDescent="0.4">
      <c r="A817" s="62" t="s">
        <v>824</v>
      </c>
      <c r="B817" s="62" t="s">
        <v>1442</v>
      </c>
      <c r="C817" s="62" t="s">
        <v>826</v>
      </c>
      <c r="D817" s="63">
        <v>22</v>
      </c>
      <c r="E817" s="63">
        <v>15</v>
      </c>
      <c r="F817" s="63">
        <v>4</v>
      </c>
      <c r="G817" s="64">
        <f t="shared" si="48"/>
        <v>0.68181818181818177</v>
      </c>
      <c r="H817" s="64">
        <f t="shared" si="49"/>
        <v>0.18181818181818182</v>
      </c>
      <c r="I817" s="63">
        <v>2</v>
      </c>
      <c r="J817" s="65">
        <v>99.735849999999999</v>
      </c>
      <c r="K817" s="65">
        <v>55.56</v>
      </c>
      <c r="L817" s="62" t="s">
        <v>825</v>
      </c>
      <c r="M817" s="63">
        <v>0</v>
      </c>
      <c r="N817" s="66">
        <f t="shared" si="50"/>
        <v>0.73299999999999998</v>
      </c>
      <c r="O817" s="62" t="str">
        <f t="shared" si="51"/>
        <v>4: Engaged Early</v>
      </c>
    </row>
    <row r="818" spans="1:15" ht="15" customHeight="1" x14ac:dyDescent="0.4">
      <c r="A818" s="62" t="s">
        <v>824</v>
      </c>
      <c r="B818" s="62" t="s">
        <v>1443</v>
      </c>
      <c r="C818" s="62" t="s">
        <v>826</v>
      </c>
      <c r="D818" s="63">
        <v>4</v>
      </c>
      <c r="E818" s="63">
        <v>3</v>
      </c>
      <c r="F818" s="63">
        <v>0</v>
      </c>
      <c r="G818" s="64">
        <f t="shared" si="48"/>
        <v>0.75</v>
      </c>
      <c r="H818" s="64">
        <f t="shared" si="49"/>
        <v>0</v>
      </c>
      <c r="I818" s="63">
        <v>1</v>
      </c>
      <c r="J818" s="65">
        <v>81.86</v>
      </c>
      <c r="K818" s="65">
        <v>87.79</v>
      </c>
      <c r="L818" s="62" t="s">
        <v>825</v>
      </c>
      <c r="M818" s="63">
        <v>0</v>
      </c>
      <c r="N818" s="66">
        <f t="shared" si="50"/>
        <v>0.9</v>
      </c>
      <c r="O818" s="62" t="str">
        <f t="shared" si="51"/>
        <v>4: Engaged Early</v>
      </c>
    </row>
    <row r="819" spans="1:15" ht="15" customHeight="1" x14ac:dyDescent="0.4">
      <c r="A819" s="62" t="s">
        <v>824</v>
      </c>
      <c r="B819" s="62" t="s">
        <v>1444</v>
      </c>
      <c r="C819" s="62" t="s">
        <v>826</v>
      </c>
      <c r="D819" s="63">
        <v>13</v>
      </c>
      <c r="E819" s="63">
        <v>6</v>
      </c>
      <c r="F819" s="63">
        <v>0</v>
      </c>
      <c r="G819" s="64">
        <f t="shared" si="48"/>
        <v>0.46153846153846156</v>
      </c>
      <c r="H819" s="64">
        <f t="shared" si="49"/>
        <v>0</v>
      </c>
      <c r="I819" s="63">
        <v>2</v>
      </c>
      <c r="J819" s="65">
        <v>92.126300000000001</v>
      </c>
      <c r="K819" s="65">
        <v>99.18</v>
      </c>
      <c r="L819" s="62" t="s">
        <v>825</v>
      </c>
      <c r="M819" s="63">
        <v>0</v>
      </c>
      <c r="N819" s="66">
        <f t="shared" si="50"/>
        <v>0.98299999999999998</v>
      </c>
      <c r="O819" s="62" t="str">
        <f t="shared" si="51"/>
        <v>4: Engaged Early</v>
      </c>
    </row>
    <row r="820" spans="1:15" ht="15" customHeight="1" x14ac:dyDescent="0.4">
      <c r="A820" s="62" t="s">
        <v>824</v>
      </c>
      <c r="B820" s="62" t="s">
        <v>1445</v>
      </c>
      <c r="C820" s="62" t="s">
        <v>826</v>
      </c>
      <c r="D820" s="63">
        <v>13</v>
      </c>
      <c r="E820" s="63">
        <v>9</v>
      </c>
      <c r="F820" s="63">
        <v>1</v>
      </c>
      <c r="G820" s="64">
        <f t="shared" si="48"/>
        <v>0.69230769230769229</v>
      </c>
      <c r="H820" s="64">
        <f t="shared" si="49"/>
        <v>7.6923076923076927E-2</v>
      </c>
      <c r="I820" s="63">
        <v>2</v>
      </c>
      <c r="J820" s="65">
        <v>81.785300000000007</v>
      </c>
      <c r="K820" s="65">
        <v>100</v>
      </c>
      <c r="L820" s="62" t="s">
        <v>826</v>
      </c>
      <c r="M820" s="63">
        <v>0</v>
      </c>
      <c r="N820" s="66">
        <f t="shared" si="50"/>
        <v>0.72299999999999998</v>
      </c>
      <c r="O820" s="62" t="str">
        <f t="shared" si="51"/>
        <v>2: High (No DBWT)</v>
      </c>
    </row>
    <row r="821" spans="1:15" ht="15" customHeight="1" x14ac:dyDescent="0.4">
      <c r="A821" s="62" t="s">
        <v>824</v>
      </c>
      <c r="B821" s="62" t="s">
        <v>1446</v>
      </c>
      <c r="C821" s="62" t="s">
        <v>826</v>
      </c>
      <c r="D821" s="63">
        <v>4</v>
      </c>
      <c r="E821" s="63">
        <v>3</v>
      </c>
      <c r="F821" s="63">
        <v>2</v>
      </c>
      <c r="G821" s="64">
        <f t="shared" si="48"/>
        <v>0.75</v>
      </c>
      <c r="H821" s="64">
        <f t="shared" si="49"/>
        <v>0.5</v>
      </c>
      <c r="I821" s="63">
        <v>2</v>
      </c>
      <c r="J821" s="65">
        <v>65.995500000000007</v>
      </c>
      <c r="K821" s="65">
        <v>90.13</v>
      </c>
      <c r="L821" s="62" t="s">
        <v>825</v>
      </c>
      <c r="M821" s="63">
        <v>0</v>
      </c>
      <c r="N821" s="66">
        <f t="shared" si="50"/>
        <v>0.89</v>
      </c>
      <c r="O821" s="62" t="str">
        <f t="shared" si="51"/>
        <v>4: Engaged Early</v>
      </c>
    </row>
    <row r="822" spans="1:15" ht="15" customHeight="1" x14ac:dyDescent="0.4">
      <c r="A822" s="62" t="s">
        <v>824</v>
      </c>
      <c r="B822" s="62" t="s">
        <v>1447</v>
      </c>
      <c r="C822" s="62" t="s">
        <v>826</v>
      </c>
      <c r="D822" s="63">
        <v>10</v>
      </c>
      <c r="E822" s="63">
        <v>5</v>
      </c>
      <c r="F822" s="63">
        <v>2</v>
      </c>
      <c r="G822" s="64">
        <f t="shared" si="48"/>
        <v>0.5</v>
      </c>
      <c r="H822" s="64">
        <f t="shared" si="49"/>
        <v>0.2</v>
      </c>
      <c r="I822" s="63">
        <v>2</v>
      </c>
      <c r="J822" s="65">
        <v>96.717849999999999</v>
      </c>
      <c r="K822" s="65">
        <v>99.24</v>
      </c>
      <c r="L822" s="62" t="s">
        <v>825</v>
      </c>
      <c r="M822" s="63">
        <v>0</v>
      </c>
      <c r="N822" s="66">
        <f t="shared" si="50"/>
        <v>0.99099999999999999</v>
      </c>
      <c r="O822" s="62" t="str">
        <f t="shared" si="51"/>
        <v>4: Engaged Early</v>
      </c>
    </row>
    <row r="823" spans="1:15" ht="15" customHeight="1" x14ac:dyDescent="0.4">
      <c r="A823" s="62" t="s">
        <v>824</v>
      </c>
      <c r="B823" s="62" t="s">
        <v>1448</v>
      </c>
      <c r="C823" s="62" t="s">
        <v>826</v>
      </c>
      <c r="D823" s="63">
        <v>6</v>
      </c>
      <c r="E823" s="63">
        <v>6</v>
      </c>
      <c r="F823" s="63">
        <v>0</v>
      </c>
      <c r="G823" s="64">
        <f t="shared" si="48"/>
        <v>1</v>
      </c>
      <c r="H823" s="64">
        <f t="shared" si="49"/>
        <v>0</v>
      </c>
      <c r="I823" s="63">
        <v>2</v>
      </c>
      <c r="J823" s="65">
        <v>66.933999999999997</v>
      </c>
      <c r="K823" s="65">
        <v>65.8</v>
      </c>
      <c r="L823" s="62" t="s">
        <v>825</v>
      </c>
      <c r="M823" s="63">
        <v>0</v>
      </c>
      <c r="N823" s="66">
        <f t="shared" si="50"/>
        <v>0.745</v>
      </c>
      <c r="O823" s="62" t="str">
        <f t="shared" si="51"/>
        <v>4: Engaged Early</v>
      </c>
    </row>
    <row r="824" spans="1:15" ht="15" customHeight="1" x14ac:dyDescent="0.4">
      <c r="A824" s="62" t="s">
        <v>824</v>
      </c>
      <c r="B824" s="62" t="s">
        <v>756</v>
      </c>
      <c r="C824" s="62" t="s">
        <v>825</v>
      </c>
      <c r="D824" s="63">
        <v>2</v>
      </c>
      <c r="E824" s="63">
        <v>2</v>
      </c>
      <c r="F824" s="63">
        <v>1</v>
      </c>
      <c r="G824" s="64">
        <f t="shared" si="48"/>
        <v>1</v>
      </c>
      <c r="H824" s="64">
        <f t="shared" si="49"/>
        <v>0.5</v>
      </c>
      <c r="I824" s="63">
        <v>2</v>
      </c>
      <c r="J824" s="65">
        <v>99.935000000000002</v>
      </c>
      <c r="K824" s="65">
        <v>75.7</v>
      </c>
      <c r="L824" s="62" t="s">
        <v>825</v>
      </c>
      <c r="M824" s="63">
        <v>1</v>
      </c>
      <c r="N824" s="66">
        <f t="shared" si="50"/>
        <v>0.85399999999999998</v>
      </c>
      <c r="O824" s="62" t="str">
        <f t="shared" si="51"/>
        <v>4: Engaged Early</v>
      </c>
    </row>
    <row r="825" spans="1:15" ht="15" customHeight="1" x14ac:dyDescent="0.4">
      <c r="A825" s="62" t="s">
        <v>824</v>
      </c>
      <c r="B825" s="62" t="s">
        <v>1449</v>
      </c>
      <c r="C825" s="62" t="s">
        <v>826</v>
      </c>
      <c r="D825" s="63">
        <v>1</v>
      </c>
      <c r="E825" s="63">
        <v>1</v>
      </c>
      <c r="F825" s="63">
        <v>0</v>
      </c>
      <c r="G825" s="64">
        <f t="shared" si="48"/>
        <v>1</v>
      </c>
      <c r="H825" s="64">
        <f t="shared" si="49"/>
        <v>0</v>
      </c>
      <c r="I825" s="63">
        <v>2</v>
      </c>
      <c r="J825" s="65">
        <v>93.663349999999994</v>
      </c>
      <c r="K825" s="65">
        <v>95.9</v>
      </c>
      <c r="L825" s="62" t="s">
        <v>825</v>
      </c>
      <c r="M825" s="63">
        <v>0</v>
      </c>
      <c r="N825" s="66">
        <f t="shared" si="50"/>
        <v>0.96599999999999997</v>
      </c>
      <c r="O825" s="62" t="str">
        <f t="shared" si="51"/>
        <v>4: Engaged Early</v>
      </c>
    </row>
    <row r="826" spans="1:15" ht="15" customHeight="1" x14ac:dyDescent="0.4">
      <c r="A826" s="62" t="s">
        <v>824</v>
      </c>
      <c r="B826" s="62" t="s">
        <v>1450</v>
      </c>
      <c r="C826" s="62" t="s">
        <v>826</v>
      </c>
      <c r="D826" s="63">
        <v>17</v>
      </c>
      <c r="E826" s="63">
        <v>15</v>
      </c>
      <c r="F826" s="63">
        <v>2</v>
      </c>
      <c r="G826" s="64">
        <f t="shared" si="48"/>
        <v>0.88235294117647056</v>
      </c>
      <c r="H826" s="64">
        <f t="shared" si="49"/>
        <v>0.11764705882352941</v>
      </c>
      <c r="I826" s="63">
        <v>2</v>
      </c>
      <c r="J826" s="65">
        <v>97.094650000000001</v>
      </c>
      <c r="K826" s="65">
        <v>88.89</v>
      </c>
      <c r="L826" s="62" t="s">
        <v>825</v>
      </c>
      <c r="M826" s="63">
        <v>0</v>
      </c>
      <c r="N826" s="66">
        <f t="shared" si="50"/>
        <v>0.92900000000000005</v>
      </c>
      <c r="O826" s="62" t="str">
        <f t="shared" si="51"/>
        <v>4: Engaged Early</v>
      </c>
    </row>
    <row r="827" spans="1:15" ht="15" customHeight="1" x14ac:dyDescent="0.4">
      <c r="A827" s="62" t="s">
        <v>824</v>
      </c>
      <c r="B827" s="62" t="s">
        <v>1451</v>
      </c>
      <c r="C827" s="62" t="s">
        <v>826</v>
      </c>
      <c r="D827" s="63">
        <v>21</v>
      </c>
      <c r="E827" s="63">
        <v>19</v>
      </c>
      <c r="F827" s="63">
        <v>7</v>
      </c>
      <c r="G827" s="64">
        <f t="shared" si="48"/>
        <v>0.90476190476190477</v>
      </c>
      <c r="H827" s="64">
        <f t="shared" si="49"/>
        <v>0.33333333333333331</v>
      </c>
      <c r="I827" s="63">
        <v>2</v>
      </c>
      <c r="J827" s="65">
        <v>89.108999999999995</v>
      </c>
      <c r="K827" s="65">
        <v>100</v>
      </c>
      <c r="L827" s="62" t="s">
        <v>825</v>
      </c>
      <c r="M827" s="63">
        <v>0</v>
      </c>
      <c r="N827" s="66">
        <f t="shared" si="50"/>
        <v>0.98399999999999999</v>
      </c>
      <c r="O827" s="62" t="str">
        <f t="shared" si="51"/>
        <v>4: Engaged Early</v>
      </c>
    </row>
    <row r="828" spans="1:15" ht="15" customHeight="1" x14ac:dyDescent="0.4">
      <c r="A828" s="62" t="s">
        <v>824</v>
      </c>
      <c r="B828" s="62" t="s">
        <v>1452</v>
      </c>
      <c r="C828" s="62" t="s">
        <v>826</v>
      </c>
      <c r="D828" s="63">
        <v>0</v>
      </c>
      <c r="E828" s="63">
        <v>0</v>
      </c>
      <c r="F828" s="63">
        <v>0</v>
      </c>
      <c r="G828" s="64">
        <f t="shared" si="48"/>
        <v>0</v>
      </c>
      <c r="H828" s="64">
        <f t="shared" si="49"/>
        <v>0</v>
      </c>
      <c r="I828" s="63">
        <v>0</v>
      </c>
      <c r="J828" s="65"/>
      <c r="K828" s="65">
        <v>91.3</v>
      </c>
      <c r="L828" s="62" t="s">
        <v>840</v>
      </c>
      <c r="M828" s="63">
        <v>0</v>
      </c>
      <c r="N828" s="66">
        <f t="shared" si="50"/>
        <v>0.623</v>
      </c>
      <c r="O828" s="62" t="str">
        <f t="shared" si="51"/>
        <v>3: Elevated (No Wk0)</v>
      </c>
    </row>
    <row r="829" spans="1:15" ht="15" customHeight="1" x14ac:dyDescent="0.4">
      <c r="A829" s="62" t="s">
        <v>824</v>
      </c>
      <c r="B829" s="62" t="s">
        <v>1453</v>
      </c>
      <c r="C829" s="62" t="s">
        <v>826</v>
      </c>
      <c r="D829" s="63">
        <v>9</v>
      </c>
      <c r="E829" s="63">
        <v>7</v>
      </c>
      <c r="F829" s="63">
        <v>0</v>
      </c>
      <c r="G829" s="64">
        <f t="shared" si="48"/>
        <v>0.77777777777777779</v>
      </c>
      <c r="H829" s="64">
        <f t="shared" si="49"/>
        <v>0</v>
      </c>
      <c r="I829" s="63">
        <v>2</v>
      </c>
      <c r="J829" s="65">
        <v>55.646149999999999</v>
      </c>
      <c r="K829" s="65">
        <v>86.19</v>
      </c>
      <c r="L829" s="62" t="s">
        <v>825</v>
      </c>
      <c r="M829" s="63">
        <v>0</v>
      </c>
      <c r="N829" s="66">
        <f t="shared" si="50"/>
        <v>0.85099999999999998</v>
      </c>
      <c r="O829" s="62" t="str">
        <f t="shared" si="51"/>
        <v>4: Engaged Early</v>
      </c>
    </row>
    <row r="830" spans="1:15" ht="15" customHeight="1" x14ac:dyDescent="0.4">
      <c r="A830" s="62" t="s">
        <v>824</v>
      </c>
      <c r="B830" s="62" t="s">
        <v>1454</v>
      </c>
      <c r="C830" s="62" t="s">
        <v>826</v>
      </c>
      <c r="D830" s="63">
        <v>17</v>
      </c>
      <c r="E830" s="63">
        <v>15</v>
      </c>
      <c r="F830" s="63">
        <v>1</v>
      </c>
      <c r="G830" s="64">
        <f t="shared" si="48"/>
        <v>0.88235294117647056</v>
      </c>
      <c r="H830" s="64">
        <f t="shared" si="49"/>
        <v>5.8823529411764705E-2</v>
      </c>
      <c r="I830" s="63">
        <v>2</v>
      </c>
      <c r="J830" s="65">
        <v>88.966549999999998</v>
      </c>
      <c r="K830" s="65">
        <v>99.15</v>
      </c>
      <c r="L830" s="62" t="s">
        <v>825</v>
      </c>
      <c r="M830" s="63">
        <v>0</v>
      </c>
      <c r="N830" s="66">
        <f t="shared" si="50"/>
        <v>0.97799999999999998</v>
      </c>
      <c r="O830" s="62" t="str">
        <f t="shared" si="51"/>
        <v>4: Engaged Early</v>
      </c>
    </row>
    <row r="831" spans="1:15" ht="15" customHeight="1" x14ac:dyDescent="0.4">
      <c r="A831" s="62" t="s">
        <v>824</v>
      </c>
      <c r="B831" s="62" t="s">
        <v>1455</v>
      </c>
      <c r="C831" s="62" t="s">
        <v>826</v>
      </c>
      <c r="D831" s="63">
        <v>15</v>
      </c>
      <c r="E831" s="63">
        <v>11</v>
      </c>
      <c r="F831" s="63">
        <v>1</v>
      </c>
      <c r="G831" s="64">
        <f t="shared" si="48"/>
        <v>0.73333333333333328</v>
      </c>
      <c r="H831" s="64">
        <f t="shared" si="49"/>
        <v>6.6666666666666666E-2</v>
      </c>
      <c r="I831" s="63">
        <v>2</v>
      </c>
      <c r="J831" s="65">
        <v>97.512600000000006</v>
      </c>
      <c r="K831" s="65">
        <v>100</v>
      </c>
      <c r="L831" s="62" t="s">
        <v>825</v>
      </c>
      <c r="M831" s="63">
        <v>0</v>
      </c>
      <c r="N831" s="66">
        <f t="shared" si="50"/>
        <v>0.996</v>
      </c>
      <c r="O831" s="62" t="str">
        <f t="shared" si="51"/>
        <v>4: Engaged Early</v>
      </c>
    </row>
    <row r="832" spans="1:15" ht="15" customHeight="1" x14ac:dyDescent="0.4">
      <c r="A832" s="62" t="s">
        <v>824</v>
      </c>
      <c r="B832" s="62" t="s">
        <v>1456</v>
      </c>
      <c r="C832" s="62" t="s">
        <v>826</v>
      </c>
      <c r="D832" s="63">
        <v>23</v>
      </c>
      <c r="E832" s="63">
        <v>23</v>
      </c>
      <c r="F832" s="63">
        <v>8</v>
      </c>
      <c r="G832" s="64">
        <f t="shared" si="48"/>
        <v>1</v>
      </c>
      <c r="H832" s="64">
        <f t="shared" si="49"/>
        <v>0.34782608695652173</v>
      </c>
      <c r="I832" s="63">
        <v>2</v>
      </c>
      <c r="J832" s="65">
        <v>62.14705</v>
      </c>
      <c r="K832" s="65">
        <v>100</v>
      </c>
      <c r="L832" s="62" t="s">
        <v>825</v>
      </c>
      <c r="M832" s="63">
        <v>0</v>
      </c>
      <c r="N832" s="66">
        <f t="shared" si="50"/>
        <v>0.94299999999999995</v>
      </c>
      <c r="O832" s="62" t="str">
        <f t="shared" si="51"/>
        <v>4: Engaged Early</v>
      </c>
    </row>
    <row r="833" spans="1:15" ht="15" customHeight="1" x14ac:dyDescent="0.4">
      <c r="A833" s="62" t="s">
        <v>824</v>
      </c>
      <c r="B833" s="62" t="s">
        <v>1457</v>
      </c>
      <c r="C833" s="62" t="s">
        <v>826</v>
      </c>
      <c r="D833" s="63">
        <v>14</v>
      </c>
      <c r="E833" s="63">
        <v>1</v>
      </c>
      <c r="F833" s="63">
        <v>2</v>
      </c>
      <c r="G833" s="64">
        <f t="shared" si="48"/>
        <v>7.1428571428571425E-2</v>
      </c>
      <c r="H833" s="64">
        <f t="shared" si="49"/>
        <v>0.14285714285714285</v>
      </c>
      <c r="I833" s="63">
        <v>2</v>
      </c>
      <c r="J833" s="65">
        <v>63.6126</v>
      </c>
      <c r="K833" s="65">
        <v>95.38</v>
      </c>
      <c r="L833" s="62" t="s">
        <v>825</v>
      </c>
      <c r="M833" s="63">
        <v>0</v>
      </c>
      <c r="N833" s="66">
        <f t="shared" si="50"/>
        <v>0.91800000000000004</v>
      </c>
      <c r="O833" s="62" t="str">
        <f t="shared" si="51"/>
        <v>4: Engaged Early</v>
      </c>
    </row>
    <row r="834" spans="1:15" ht="15" customHeight="1" x14ac:dyDescent="0.4">
      <c r="A834" s="62" t="s">
        <v>824</v>
      </c>
      <c r="B834" s="62" t="s">
        <v>1458</v>
      </c>
      <c r="C834" s="62" t="s">
        <v>826</v>
      </c>
      <c r="D834" s="63">
        <v>15</v>
      </c>
      <c r="E834" s="63">
        <v>7</v>
      </c>
      <c r="F834" s="63">
        <v>5</v>
      </c>
      <c r="G834" s="64">
        <f t="shared" ref="G834:G897" si="52">IFERROR(E834/D834,0)</f>
        <v>0.46666666666666667</v>
      </c>
      <c r="H834" s="64">
        <f t="shared" ref="H834:H897" si="53">IFERROR(F834/D834,0)</f>
        <v>0.33333333333333331</v>
      </c>
      <c r="I834" s="63">
        <v>2</v>
      </c>
      <c r="J834" s="65">
        <v>99.73</v>
      </c>
      <c r="K834" s="65">
        <v>100</v>
      </c>
      <c r="L834" s="62" t="s">
        <v>825</v>
      </c>
      <c r="M834" s="63">
        <v>0</v>
      </c>
      <c r="N834" s="66">
        <f t="shared" ref="N834:N897" si="54">ROUND(IFERROR(K834/100,0)*0.6 + IF(L834="Yes",1,IF(L834="No",0,0.3))*0.25 + IFERROR(J834/100,0)*0.15,3)</f>
        <v>1</v>
      </c>
      <c r="O834" s="62" t="str">
        <f t="shared" ref="O834:O897" si="55">IF(AND(L834="No",I834=0),"1: Critical (No DBWT + No Wk0)",IF(L834="No","2: High (No DBWT)",IF(I834=0,"3: Elevated (No Wk0)","4: Engaged Early")))</f>
        <v>4: Engaged Early</v>
      </c>
    </row>
    <row r="835" spans="1:15" ht="15" customHeight="1" x14ac:dyDescent="0.4">
      <c r="A835" s="62" t="s">
        <v>824</v>
      </c>
      <c r="B835" s="62" t="s">
        <v>1459</v>
      </c>
      <c r="C835" s="62" t="s">
        <v>826</v>
      </c>
      <c r="D835" s="63">
        <v>1</v>
      </c>
      <c r="E835" s="63">
        <v>0</v>
      </c>
      <c r="F835" s="63">
        <v>0</v>
      </c>
      <c r="G835" s="64">
        <f t="shared" si="52"/>
        <v>0</v>
      </c>
      <c r="H835" s="64">
        <f t="shared" si="53"/>
        <v>0</v>
      </c>
      <c r="I835" s="63">
        <v>2</v>
      </c>
      <c r="J835" s="65">
        <v>69.229150000000004</v>
      </c>
      <c r="K835" s="65">
        <v>93.76</v>
      </c>
      <c r="L835" s="62" t="s">
        <v>825</v>
      </c>
      <c r="M835" s="63">
        <v>0</v>
      </c>
      <c r="N835" s="66">
        <f t="shared" si="54"/>
        <v>0.91600000000000004</v>
      </c>
      <c r="O835" s="62" t="str">
        <f t="shared" si="55"/>
        <v>4: Engaged Early</v>
      </c>
    </row>
    <row r="836" spans="1:15" ht="15" customHeight="1" x14ac:dyDescent="0.4">
      <c r="A836" s="62" t="s">
        <v>824</v>
      </c>
      <c r="B836" s="62" t="s">
        <v>1460</v>
      </c>
      <c r="C836" s="62" t="s">
        <v>826</v>
      </c>
      <c r="D836" s="63">
        <v>25</v>
      </c>
      <c r="E836" s="63">
        <v>23</v>
      </c>
      <c r="F836" s="63">
        <v>4</v>
      </c>
      <c r="G836" s="64">
        <f t="shared" si="52"/>
        <v>0.92</v>
      </c>
      <c r="H836" s="64">
        <f t="shared" si="53"/>
        <v>0.16</v>
      </c>
      <c r="I836" s="63">
        <v>2</v>
      </c>
      <c r="J836" s="65">
        <v>92.465000000000003</v>
      </c>
      <c r="K836" s="65">
        <v>77.78</v>
      </c>
      <c r="L836" s="62" t="s">
        <v>826</v>
      </c>
      <c r="M836" s="63">
        <v>0</v>
      </c>
      <c r="N836" s="66">
        <f t="shared" si="54"/>
        <v>0.60499999999999998</v>
      </c>
      <c r="O836" s="62" t="str">
        <f t="shared" si="55"/>
        <v>2: High (No DBWT)</v>
      </c>
    </row>
    <row r="837" spans="1:15" ht="15" customHeight="1" x14ac:dyDescent="0.4">
      <c r="A837" s="62" t="s">
        <v>824</v>
      </c>
      <c r="B837" s="62" t="s">
        <v>1461</v>
      </c>
      <c r="C837" s="62" t="s">
        <v>826</v>
      </c>
      <c r="D837" s="63">
        <v>10</v>
      </c>
      <c r="E837" s="63">
        <v>1</v>
      </c>
      <c r="F837" s="63">
        <v>1</v>
      </c>
      <c r="G837" s="64">
        <f t="shared" si="52"/>
        <v>0.1</v>
      </c>
      <c r="H837" s="64">
        <f t="shared" si="53"/>
        <v>0.1</v>
      </c>
      <c r="I837" s="63">
        <v>2</v>
      </c>
      <c r="J837" s="65">
        <v>72.670150000000007</v>
      </c>
      <c r="K837" s="65">
        <v>88.59</v>
      </c>
      <c r="L837" s="62" t="s">
        <v>825</v>
      </c>
      <c r="M837" s="63">
        <v>0</v>
      </c>
      <c r="N837" s="66">
        <f t="shared" si="54"/>
        <v>0.89100000000000001</v>
      </c>
      <c r="O837" s="62" t="str">
        <f t="shared" si="55"/>
        <v>4: Engaged Early</v>
      </c>
    </row>
    <row r="838" spans="1:15" ht="15" customHeight="1" x14ac:dyDescent="0.4">
      <c r="A838" s="62" t="s">
        <v>824</v>
      </c>
      <c r="B838" s="62" t="s">
        <v>1462</v>
      </c>
      <c r="C838" s="62" t="s">
        <v>826</v>
      </c>
      <c r="D838" s="63">
        <v>3</v>
      </c>
      <c r="E838" s="63">
        <v>3</v>
      </c>
      <c r="F838" s="63">
        <v>0</v>
      </c>
      <c r="G838" s="64">
        <f t="shared" si="52"/>
        <v>1</v>
      </c>
      <c r="H838" s="64">
        <f t="shared" si="53"/>
        <v>0</v>
      </c>
      <c r="I838" s="63">
        <v>2</v>
      </c>
      <c r="J838" s="65">
        <v>88.764949999999999</v>
      </c>
      <c r="K838" s="65">
        <v>90.62</v>
      </c>
      <c r="L838" s="62" t="s">
        <v>825</v>
      </c>
      <c r="M838" s="63">
        <v>0</v>
      </c>
      <c r="N838" s="66">
        <f t="shared" si="54"/>
        <v>0.92700000000000005</v>
      </c>
      <c r="O838" s="62" t="str">
        <f t="shared" si="55"/>
        <v>4: Engaged Early</v>
      </c>
    </row>
    <row r="839" spans="1:15" ht="15" customHeight="1" x14ac:dyDescent="0.4">
      <c r="A839" s="62" t="s">
        <v>824</v>
      </c>
      <c r="B839" s="62" t="s">
        <v>1463</v>
      </c>
      <c r="C839" s="62" t="s">
        <v>826</v>
      </c>
      <c r="D839" s="63">
        <v>17</v>
      </c>
      <c r="E839" s="63">
        <v>11</v>
      </c>
      <c r="F839" s="63">
        <v>3</v>
      </c>
      <c r="G839" s="64">
        <f t="shared" si="52"/>
        <v>0.6470588235294118</v>
      </c>
      <c r="H839" s="64">
        <f t="shared" si="53"/>
        <v>0.17647058823529413</v>
      </c>
      <c r="I839" s="63">
        <v>2</v>
      </c>
      <c r="J839" s="65">
        <v>88.668800000000005</v>
      </c>
      <c r="K839" s="65">
        <v>100</v>
      </c>
      <c r="L839" s="62" t="s">
        <v>825</v>
      </c>
      <c r="M839" s="63">
        <v>0</v>
      </c>
      <c r="N839" s="66">
        <f t="shared" si="54"/>
        <v>0.98299999999999998</v>
      </c>
      <c r="O839" s="62" t="str">
        <f t="shared" si="55"/>
        <v>4: Engaged Early</v>
      </c>
    </row>
    <row r="840" spans="1:15" ht="15" customHeight="1" x14ac:dyDescent="0.4">
      <c r="A840" s="62" t="s">
        <v>824</v>
      </c>
      <c r="B840" s="62" t="s">
        <v>1464</v>
      </c>
      <c r="C840" s="62" t="s">
        <v>826</v>
      </c>
      <c r="D840" s="63">
        <v>13</v>
      </c>
      <c r="E840" s="63">
        <v>10</v>
      </c>
      <c r="F840" s="63">
        <v>0</v>
      </c>
      <c r="G840" s="64">
        <f t="shared" si="52"/>
        <v>0.76923076923076927</v>
      </c>
      <c r="H840" s="64">
        <f t="shared" si="53"/>
        <v>0</v>
      </c>
      <c r="I840" s="63">
        <v>2</v>
      </c>
      <c r="J840" s="65">
        <v>99.95</v>
      </c>
      <c r="K840" s="65">
        <v>100</v>
      </c>
      <c r="L840" s="62" t="s">
        <v>825</v>
      </c>
      <c r="M840" s="63">
        <v>0</v>
      </c>
      <c r="N840" s="66">
        <f t="shared" si="54"/>
        <v>1</v>
      </c>
      <c r="O840" s="62" t="str">
        <f t="shared" si="55"/>
        <v>4: Engaged Early</v>
      </c>
    </row>
    <row r="841" spans="1:15" ht="15" customHeight="1" x14ac:dyDescent="0.4">
      <c r="A841" s="62" t="s">
        <v>824</v>
      </c>
      <c r="B841" s="62" t="s">
        <v>1465</v>
      </c>
      <c r="C841" s="62" t="s">
        <v>826</v>
      </c>
      <c r="D841" s="63">
        <v>13</v>
      </c>
      <c r="E841" s="63">
        <v>12</v>
      </c>
      <c r="F841" s="63">
        <v>1</v>
      </c>
      <c r="G841" s="64">
        <f t="shared" si="52"/>
        <v>0.92307692307692313</v>
      </c>
      <c r="H841" s="64">
        <f t="shared" si="53"/>
        <v>7.6923076923076927E-2</v>
      </c>
      <c r="I841" s="63">
        <v>1</v>
      </c>
      <c r="J841" s="65">
        <v>20.337299999999999</v>
      </c>
      <c r="K841" s="65">
        <v>37.049999999999997</v>
      </c>
      <c r="L841" s="62" t="s">
        <v>825</v>
      </c>
      <c r="M841" s="63">
        <v>0</v>
      </c>
      <c r="N841" s="66">
        <f t="shared" si="54"/>
        <v>0.503</v>
      </c>
      <c r="O841" s="62" t="str">
        <f t="shared" si="55"/>
        <v>4: Engaged Early</v>
      </c>
    </row>
    <row r="842" spans="1:15" ht="15" customHeight="1" x14ac:dyDescent="0.4">
      <c r="A842" s="62" t="s">
        <v>824</v>
      </c>
      <c r="B842" s="62" t="s">
        <v>786</v>
      </c>
      <c r="C842" s="62" t="s">
        <v>825</v>
      </c>
      <c r="D842" s="63">
        <v>7</v>
      </c>
      <c r="E842" s="63">
        <v>5</v>
      </c>
      <c r="F842" s="63">
        <v>1</v>
      </c>
      <c r="G842" s="64">
        <f t="shared" si="52"/>
        <v>0.7142857142857143</v>
      </c>
      <c r="H842" s="64">
        <f t="shared" si="53"/>
        <v>0.14285714285714285</v>
      </c>
      <c r="I842" s="63">
        <v>1</v>
      </c>
      <c r="J842" s="65">
        <v>20.6</v>
      </c>
      <c r="K842" s="65">
        <v>35.53</v>
      </c>
      <c r="L842" s="62" t="s">
        <v>826</v>
      </c>
      <c r="M842" s="63">
        <v>0</v>
      </c>
      <c r="N842" s="66">
        <f t="shared" si="54"/>
        <v>0.24399999999999999</v>
      </c>
      <c r="O842" s="62" t="str">
        <f t="shared" si="55"/>
        <v>2: High (No DBWT)</v>
      </c>
    </row>
    <row r="843" spans="1:15" ht="15" customHeight="1" x14ac:dyDescent="0.4">
      <c r="A843" s="62" t="s">
        <v>824</v>
      </c>
      <c r="B843" s="62" t="s">
        <v>712</v>
      </c>
      <c r="C843" s="62" t="s">
        <v>825</v>
      </c>
      <c r="D843" s="63">
        <v>25</v>
      </c>
      <c r="E843" s="63">
        <v>14</v>
      </c>
      <c r="F843" s="63">
        <v>1</v>
      </c>
      <c r="G843" s="64">
        <f t="shared" si="52"/>
        <v>0.56000000000000005</v>
      </c>
      <c r="H843" s="64">
        <f t="shared" si="53"/>
        <v>0.04</v>
      </c>
      <c r="I843" s="63">
        <v>2</v>
      </c>
      <c r="J843" s="65">
        <v>46.665050000000001</v>
      </c>
      <c r="K843" s="65">
        <v>45.07</v>
      </c>
      <c r="L843" s="62" t="s">
        <v>825</v>
      </c>
      <c r="M843" s="63">
        <v>0</v>
      </c>
      <c r="N843" s="66">
        <f t="shared" si="54"/>
        <v>0.59</v>
      </c>
      <c r="O843" s="62" t="str">
        <f t="shared" si="55"/>
        <v>4: Engaged Early</v>
      </c>
    </row>
    <row r="844" spans="1:15" ht="15" customHeight="1" x14ac:dyDescent="0.4">
      <c r="A844" s="62" t="s">
        <v>824</v>
      </c>
      <c r="B844" s="62" t="s">
        <v>1466</v>
      </c>
      <c r="C844" s="62" t="s">
        <v>826</v>
      </c>
      <c r="D844" s="63">
        <v>17</v>
      </c>
      <c r="E844" s="63">
        <v>0</v>
      </c>
      <c r="F844" s="63">
        <v>0</v>
      </c>
      <c r="G844" s="64">
        <f t="shared" si="52"/>
        <v>0</v>
      </c>
      <c r="H844" s="64">
        <f t="shared" si="53"/>
        <v>0</v>
      </c>
      <c r="I844" s="63">
        <v>0</v>
      </c>
      <c r="J844" s="65"/>
      <c r="K844" s="65">
        <v>68.42</v>
      </c>
      <c r="L844" s="62" t="s">
        <v>825</v>
      </c>
      <c r="M844" s="63">
        <v>0</v>
      </c>
      <c r="N844" s="66">
        <f t="shared" si="54"/>
        <v>0.66100000000000003</v>
      </c>
      <c r="O844" s="62" t="str">
        <f t="shared" si="55"/>
        <v>3: Elevated (No Wk0)</v>
      </c>
    </row>
    <row r="845" spans="1:15" ht="15" customHeight="1" x14ac:dyDescent="0.4">
      <c r="A845" s="62" t="s">
        <v>824</v>
      </c>
      <c r="B845" s="62" t="s">
        <v>1467</v>
      </c>
      <c r="C845" s="62" t="s">
        <v>826</v>
      </c>
      <c r="D845" s="63">
        <v>15</v>
      </c>
      <c r="E845" s="63">
        <v>6</v>
      </c>
      <c r="F845" s="63">
        <v>0</v>
      </c>
      <c r="G845" s="64">
        <f t="shared" si="52"/>
        <v>0.4</v>
      </c>
      <c r="H845" s="64">
        <f t="shared" si="53"/>
        <v>0</v>
      </c>
      <c r="I845" s="63">
        <v>1</v>
      </c>
      <c r="J845" s="65">
        <v>94.042699999999996</v>
      </c>
      <c r="K845" s="65">
        <v>43.16</v>
      </c>
      <c r="L845" s="62" t="s">
        <v>825</v>
      </c>
      <c r="M845" s="63">
        <v>0</v>
      </c>
      <c r="N845" s="66">
        <f t="shared" si="54"/>
        <v>0.65</v>
      </c>
      <c r="O845" s="62" t="str">
        <f t="shared" si="55"/>
        <v>4: Engaged Early</v>
      </c>
    </row>
    <row r="846" spans="1:15" ht="15" customHeight="1" x14ac:dyDescent="0.4">
      <c r="A846" s="62" t="s">
        <v>824</v>
      </c>
      <c r="B846" s="62" t="s">
        <v>1468</v>
      </c>
      <c r="C846" s="62" t="s">
        <v>826</v>
      </c>
      <c r="D846" s="63">
        <v>4</v>
      </c>
      <c r="E846" s="63">
        <v>3</v>
      </c>
      <c r="F846" s="63">
        <v>1</v>
      </c>
      <c r="G846" s="64">
        <f t="shared" si="52"/>
        <v>0.75</v>
      </c>
      <c r="H846" s="64">
        <f t="shared" si="53"/>
        <v>0.25</v>
      </c>
      <c r="I846" s="63">
        <v>1</v>
      </c>
      <c r="J846" s="65">
        <v>80.650000000000006</v>
      </c>
      <c r="K846" s="65">
        <v>77.78</v>
      </c>
      <c r="L846" s="62" t="s">
        <v>825</v>
      </c>
      <c r="M846" s="63">
        <v>0</v>
      </c>
      <c r="N846" s="66">
        <f t="shared" si="54"/>
        <v>0.83799999999999997</v>
      </c>
      <c r="O846" s="62" t="str">
        <f t="shared" si="55"/>
        <v>4: Engaged Early</v>
      </c>
    </row>
    <row r="847" spans="1:15" ht="15" customHeight="1" x14ac:dyDescent="0.4">
      <c r="A847" s="62" t="s">
        <v>824</v>
      </c>
      <c r="B847" s="62" t="s">
        <v>1469</v>
      </c>
      <c r="C847" s="62" t="s">
        <v>826</v>
      </c>
      <c r="D847" s="63">
        <v>21</v>
      </c>
      <c r="E847" s="63">
        <v>15</v>
      </c>
      <c r="F847" s="63">
        <v>6</v>
      </c>
      <c r="G847" s="64">
        <f t="shared" si="52"/>
        <v>0.7142857142857143</v>
      </c>
      <c r="H847" s="64">
        <f t="shared" si="53"/>
        <v>0.2857142857142857</v>
      </c>
      <c r="I847" s="63">
        <v>2</v>
      </c>
      <c r="J847" s="65">
        <v>90.187349999999995</v>
      </c>
      <c r="K847" s="65">
        <v>99.42</v>
      </c>
      <c r="L847" s="62" t="s">
        <v>825</v>
      </c>
      <c r="M847" s="63">
        <v>0</v>
      </c>
      <c r="N847" s="66">
        <f t="shared" si="54"/>
        <v>0.98199999999999998</v>
      </c>
      <c r="O847" s="62" t="str">
        <f t="shared" si="55"/>
        <v>4: Engaged Early</v>
      </c>
    </row>
    <row r="848" spans="1:15" ht="15" customHeight="1" x14ac:dyDescent="0.4">
      <c r="A848" s="62" t="s">
        <v>824</v>
      </c>
      <c r="B848" s="62" t="s">
        <v>1470</v>
      </c>
      <c r="C848" s="62" t="s">
        <v>826</v>
      </c>
      <c r="D848" s="63">
        <v>22</v>
      </c>
      <c r="E848" s="63">
        <v>15</v>
      </c>
      <c r="F848" s="63">
        <v>2</v>
      </c>
      <c r="G848" s="64">
        <f t="shared" si="52"/>
        <v>0.68181818181818177</v>
      </c>
      <c r="H848" s="64">
        <f t="shared" si="53"/>
        <v>9.0909090909090912E-2</v>
      </c>
      <c r="I848" s="63">
        <v>2</v>
      </c>
      <c r="J848" s="65">
        <v>64.811949999999996</v>
      </c>
      <c r="K848" s="65">
        <v>90.73</v>
      </c>
      <c r="L848" s="62" t="s">
        <v>825</v>
      </c>
      <c r="M848" s="63">
        <v>0</v>
      </c>
      <c r="N848" s="66">
        <f t="shared" si="54"/>
        <v>0.89200000000000002</v>
      </c>
      <c r="O848" s="62" t="str">
        <f t="shared" si="55"/>
        <v>4: Engaged Early</v>
      </c>
    </row>
    <row r="849" spans="1:15" ht="15" customHeight="1" x14ac:dyDescent="0.4">
      <c r="A849" s="62" t="s">
        <v>824</v>
      </c>
      <c r="B849" s="62" t="s">
        <v>1471</v>
      </c>
      <c r="C849" s="62" t="s">
        <v>826</v>
      </c>
      <c r="D849" s="63">
        <v>10</v>
      </c>
      <c r="E849" s="63">
        <v>6</v>
      </c>
      <c r="F849" s="63">
        <v>0</v>
      </c>
      <c r="G849" s="64">
        <f t="shared" si="52"/>
        <v>0.6</v>
      </c>
      <c r="H849" s="64">
        <f t="shared" si="53"/>
        <v>0</v>
      </c>
      <c r="I849" s="63">
        <v>2</v>
      </c>
      <c r="J849" s="65">
        <v>98.045199999999994</v>
      </c>
      <c r="K849" s="65">
        <v>98.58</v>
      </c>
      <c r="L849" s="62" t="s">
        <v>826</v>
      </c>
      <c r="M849" s="63">
        <v>0</v>
      </c>
      <c r="N849" s="66">
        <f t="shared" si="54"/>
        <v>0.73899999999999999</v>
      </c>
      <c r="O849" s="62" t="str">
        <f t="shared" si="55"/>
        <v>2: High (No DBWT)</v>
      </c>
    </row>
    <row r="850" spans="1:15" ht="15" customHeight="1" x14ac:dyDescent="0.4">
      <c r="A850" s="62" t="s">
        <v>824</v>
      </c>
      <c r="B850" s="62" t="s">
        <v>1472</v>
      </c>
      <c r="C850" s="62" t="s">
        <v>826</v>
      </c>
      <c r="D850" s="63">
        <v>26</v>
      </c>
      <c r="E850" s="63">
        <v>18</v>
      </c>
      <c r="F850" s="63">
        <v>2</v>
      </c>
      <c r="G850" s="64">
        <f t="shared" si="52"/>
        <v>0.69230769230769229</v>
      </c>
      <c r="H850" s="64">
        <f t="shared" si="53"/>
        <v>7.6923076923076927E-2</v>
      </c>
      <c r="I850" s="63">
        <v>2</v>
      </c>
      <c r="J850" s="65">
        <v>99.840850000000003</v>
      </c>
      <c r="K850" s="65">
        <v>100</v>
      </c>
      <c r="L850" s="62" t="s">
        <v>825</v>
      </c>
      <c r="M850" s="63">
        <v>0</v>
      </c>
      <c r="N850" s="66">
        <f t="shared" si="54"/>
        <v>1</v>
      </c>
      <c r="O850" s="62" t="str">
        <f t="shared" si="55"/>
        <v>4: Engaged Early</v>
      </c>
    </row>
    <row r="851" spans="1:15" ht="15" customHeight="1" x14ac:dyDescent="0.4">
      <c r="A851" s="62" t="s">
        <v>824</v>
      </c>
      <c r="B851" s="62" t="s">
        <v>1473</v>
      </c>
      <c r="C851" s="62" t="s">
        <v>826</v>
      </c>
      <c r="D851" s="63">
        <v>4</v>
      </c>
      <c r="E851" s="63">
        <v>1</v>
      </c>
      <c r="F851" s="63">
        <v>0</v>
      </c>
      <c r="G851" s="64">
        <f t="shared" si="52"/>
        <v>0.25</v>
      </c>
      <c r="H851" s="64">
        <f t="shared" si="53"/>
        <v>0</v>
      </c>
      <c r="I851" s="63">
        <v>2</v>
      </c>
      <c r="J851" s="65">
        <v>95.904650000000004</v>
      </c>
      <c r="K851" s="65">
        <v>95.34</v>
      </c>
      <c r="L851" s="62" t="s">
        <v>825</v>
      </c>
      <c r="M851" s="63">
        <v>0</v>
      </c>
      <c r="N851" s="66">
        <f t="shared" si="54"/>
        <v>0.96599999999999997</v>
      </c>
      <c r="O851" s="62" t="str">
        <f t="shared" si="55"/>
        <v>4: Engaged Early</v>
      </c>
    </row>
    <row r="852" spans="1:15" ht="15" customHeight="1" x14ac:dyDescent="0.4">
      <c r="A852" s="62" t="s">
        <v>824</v>
      </c>
      <c r="B852" s="62" t="s">
        <v>1474</v>
      </c>
      <c r="C852" s="62" t="s">
        <v>826</v>
      </c>
      <c r="D852" s="63">
        <v>13</v>
      </c>
      <c r="E852" s="63">
        <v>8</v>
      </c>
      <c r="F852" s="63">
        <v>0</v>
      </c>
      <c r="G852" s="64">
        <f t="shared" si="52"/>
        <v>0.61538461538461542</v>
      </c>
      <c r="H852" s="64">
        <f t="shared" si="53"/>
        <v>0</v>
      </c>
      <c r="I852" s="63">
        <v>2</v>
      </c>
      <c r="J852" s="65">
        <v>99.442999999999998</v>
      </c>
      <c r="K852" s="65">
        <v>100</v>
      </c>
      <c r="L852" s="62" t="s">
        <v>825</v>
      </c>
      <c r="M852" s="63">
        <v>0</v>
      </c>
      <c r="N852" s="66">
        <f t="shared" si="54"/>
        <v>0.999</v>
      </c>
      <c r="O852" s="62" t="str">
        <f t="shared" si="55"/>
        <v>4: Engaged Early</v>
      </c>
    </row>
    <row r="853" spans="1:15" ht="15" customHeight="1" x14ac:dyDescent="0.4">
      <c r="A853" s="62" t="s">
        <v>824</v>
      </c>
      <c r="B853" s="62" t="s">
        <v>1475</v>
      </c>
      <c r="C853" s="62" t="s">
        <v>826</v>
      </c>
      <c r="D853" s="63">
        <v>0</v>
      </c>
      <c r="E853" s="63">
        <v>0</v>
      </c>
      <c r="F853" s="63">
        <v>0</v>
      </c>
      <c r="G853" s="64">
        <f t="shared" si="52"/>
        <v>0</v>
      </c>
      <c r="H853" s="64">
        <f t="shared" si="53"/>
        <v>0</v>
      </c>
      <c r="I853" s="63">
        <v>2</v>
      </c>
      <c r="J853" s="65">
        <v>64.394850000000005</v>
      </c>
      <c r="K853" s="65">
        <v>100</v>
      </c>
      <c r="L853" s="62" t="s">
        <v>825</v>
      </c>
      <c r="M853" s="63">
        <v>0</v>
      </c>
      <c r="N853" s="66">
        <f t="shared" si="54"/>
        <v>0.94699999999999995</v>
      </c>
      <c r="O853" s="62" t="str">
        <f t="shared" si="55"/>
        <v>4: Engaged Early</v>
      </c>
    </row>
    <row r="854" spans="1:15" ht="15" customHeight="1" x14ac:dyDescent="0.4">
      <c r="A854" s="62" t="s">
        <v>824</v>
      </c>
      <c r="B854" s="62" t="s">
        <v>1476</v>
      </c>
      <c r="C854" s="62" t="s">
        <v>826</v>
      </c>
      <c r="D854" s="63">
        <v>20</v>
      </c>
      <c r="E854" s="63">
        <v>19</v>
      </c>
      <c r="F854" s="63">
        <v>12</v>
      </c>
      <c r="G854" s="64">
        <f t="shared" si="52"/>
        <v>0.95</v>
      </c>
      <c r="H854" s="64">
        <f t="shared" si="53"/>
        <v>0.6</v>
      </c>
      <c r="I854" s="63">
        <v>2</v>
      </c>
      <c r="J854" s="65">
        <v>95.961299999999994</v>
      </c>
      <c r="K854" s="65">
        <v>100</v>
      </c>
      <c r="L854" s="62" t="s">
        <v>825</v>
      </c>
      <c r="M854" s="63">
        <v>0</v>
      </c>
      <c r="N854" s="66">
        <f t="shared" si="54"/>
        <v>0.99399999999999999</v>
      </c>
      <c r="O854" s="62" t="str">
        <f t="shared" si="55"/>
        <v>4: Engaged Early</v>
      </c>
    </row>
    <row r="855" spans="1:15" ht="15" customHeight="1" x14ac:dyDescent="0.4">
      <c r="A855" s="62" t="s">
        <v>824</v>
      </c>
      <c r="B855" s="62" t="s">
        <v>1477</v>
      </c>
      <c r="C855" s="62" t="s">
        <v>826</v>
      </c>
      <c r="D855" s="63">
        <v>21</v>
      </c>
      <c r="E855" s="63">
        <v>4</v>
      </c>
      <c r="F855" s="63">
        <v>2</v>
      </c>
      <c r="G855" s="64">
        <f t="shared" si="52"/>
        <v>0.19047619047619047</v>
      </c>
      <c r="H855" s="64">
        <f t="shared" si="53"/>
        <v>9.5238095238095233E-2</v>
      </c>
      <c r="I855" s="63">
        <v>2</v>
      </c>
      <c r="J855" s="65">
        <v>99.687550000000002</v>
      </c>
      <c r="K855" s="65">
        <v>100</v>
      </c>
      <c r="L855" s="62" t="s">
        <v>825</v>
      </c>
      <c r="M855" s="63">
        <v>0</v>
      </c>
      <c r="N855" s="66">
        <f t="shared" si="54"/>
        <v>1</v>
      </c>
      <c r="O855" s="62" t="str">
        <f t="shared" si="55"/>
        <v>4: Engaged Early</v>
      </c>
    </row>
    <row r="856" spans="1:15" ht="15" customHeight="1" x14ac:dyDescent="0.4">
      <c r="A856" s="62" t="s">
        <v>824</v>
      </c>
      <c r="B856" s="62" t="s">
        <v>1478</v>
      </c>
      <c r="C856" s="62" t="s">
        <v>826</v>
      </c>
      <c r="D856" s="63">
        <v>22</v>
      </c>
      <c r="E856" s="63">
        <v>9</v>
      </c>
      <c r="F856" s="63">
        <v>2</v>
      </c>
      <c r="G856" s="64">
        <f t="shared" si="52"/>
        <v>0.40909090909090912</v>
      </c>
      <c r="H856" s="64">
        <f t="shared" si="53"/>
        <v>9.0909090909090912E-2</v>
      </c>
      <c r="I856" s="63">
        <v>2</v>
      </c>
      <c r="J856" s="65">
        <v>94.424999999999997</v>
      </c>
      <c r="K856" s="65">
        <v>100</v>
      </c>
      <c r="L856" s="62" t="s">
        <v>825</v>
      </c>
      <c r="M856" s="63">
        <v>1</v>
      </c>
      <c r="N856" s="66">
        <f t="shared" si="54"/>
        <v>0.99199999999999999</v>
      </c>
      <c r="O856" s="62" t="str">
        <f t="shared" si="55"/>
        <v>4: Engaged Early</v>
      </c>
    </row>
    <row r="857" spans="1:15" ht="15" customHeight="1" x14ac:dyDescent="0.4">
      <c r="A857" s="62" t="s">
        <v>824</v>
      </c>
      <c r="B857" s="62" t="s">
        <v>1479</v>
      </c>
      <c r="C857" s="62" t="s">
        <v>826</v>
      </c>
      <c r="D857" s="63">
        <v>8</v>
      </c>
      <c r="E857" s="63">
        <v>6</v>
      </c>
      <c r="F857" s="63">
        <v>0</v>
      </c>
      <c r="G857" s="64">
        <f t="shared" si="52"/>
        <v>0.75</v>
      </c>
      <c r="H857" s="64">
        <f t="shared" si="53"/>
        <v>0</v>
      </c>
      <c r="I857" s="63">
        <v>2</v>
      </c>
      <c r="J857" s="65">
        <v>99.352549999999994</v>
      </c>
      <c r="K857" s="65">
        <v>100</v>
      </c>
      <c r="L857" s="62" t="s">
        <v>825</v>
      </c>
      <c r="M857" s="63">
        <v>0</v>
      </c>
      <c r="N857" s="66">
        <f t="shared" si="54"/>
        <v>0.999</v>
      </c>
      <c r="O857" s="62" t="str">
        <f t="shared" si="55"/>
        <v>4: Engaged Early</v>
      </c>
    </row>
    <row r="858" spans="1:15" ht="15" customHeight="1" x14ac:dyDescent="0.4">
      <c r="A858" s="62" t="s">
        <v>824</v>
      </c>
      <c r="B858" s="62" t="s">
        <v>1480</v>
      </c>
      <c r="C858" s="62" t="s">
        <v>826</v>
      </c>
      <c r="D858" s="63">
        <v>17</v>
      </c>
      <c r="E858" s="63">
        <v>8</v>
      </c>
      <c r="F858" s="63">
        <v>4</v>
      </c>
      <c r="G858" s="64">
        <f t="shared" si="52"/>
        <v>0.47058823529411764</v>
      </c>
      <c r="H858" s="64">
        <f t="shared" si="53"/>
        <v>0.23529411764705882</v>
      </c>
      <c r="I858" s="63">
        <v>2</v>
      </c>
      <c r="J858" s="65">
        <v>95.227350000000001</v>
      </c>
      <c r="K858" s="65">
        <v>100</v>
      </c>
      <c r="L858" s="62" t="s">
        <v>825</v>
      </c>
      <c r="M858" s="63">
        <v>0</v>
      </c>
      <c r="N858" s="66">
        <f t="shared" si="54"/>
        <v>0.99299999999999999</v>
      </c>
      <c r="O858" s="62" t="str">
        <f t="shared" si="55"/>
        <v>4: Engaged Early</v>
      </c>
    </row>
    <row r="859" spans="1:15" ht="15" customHeight="1" x14ac:dyDescent="0.4">
      <c r="A859" s="62" t="s">
        <v>824</v>
      </c>
      <c r="B859" s="62" t="s">
        <v>1481</v>
      </c>
      <c r="C859" s="62" t="s">
        <v>826</v>
      </c>
      <c r="D859" s="63">
        <v>7</v>
      </c>
      <c r="E859" s="63">
        <v>6</v>
      </c>
      <c r="F859" s="63">
        <v>2</v>
      </c>
      <c r="G859" s="64">
        <f t="shared" si="52"/>
        <v>0.8571428571428571</v>
      </c>
      <c r="H859" s="64">
        <f t="shared" si="53"/>
        <v>0.2857142857142857</v>
      </c>
      <c r="I859" s="63">
        <v>2</v>
      </c>
      <c r="J859" s="65">
        <v>87.463449999999995</v>
      </c>
      <c r="K859" s="65">
        <v>100</v>
      </c>
      <c r="L859" s="62" t="s">
        <v>825</v>
      </c>
      <c r="M859" s="63">
        <v>0</v>
      </c>
      <c r="N859" s="66">
        <f t="shared" si="54"/>
        <v>0.98099999999999998</v>
      </c>
      <c r="O859" s="62" t="str">
        <f t="shared" si="55"/>
        <v>4: Engaged Early</v>
      </c>
    </row>
    <row r="860" spans="1:15" ht="15" customHeight="1" x14ac:dyDescent="0.4">
      <c r="A860" s="62" t="s">
        <v>824</v>
      </c>
      <c r="B860" s="62" t="s">
        <v>1482</v>
      </c>
      <c r="C860" s="62" t="s">
        <v>826</v>
      </c>
      <c r="D860" s="63">
        <v>14</v>
      </c>
      <c r="E860" s="63">
        <v>12</v>
      </c>
      <c r="F860" s="63">
        <v>4</v>
      </c>
      <c r="G860" s="64">
        <f t="shared" si="52"/>
        <v>0.8571428571428571</v>
      </c>
      <c r="H860" s="64">
        <f t="shared" si="53"/>
        <v>0.2857142857142857</v>
      </c>
      <c r="I860" s="63">
        <v>2</v>
      </c>
      <c r="J860" s="65">
        <v>87.998500000000007</v>
      </c>
      <c r="K860" s="65">
        <v>85.38</v>
      </c>
      <c r="L860" s="62" t="s">
        <v>825</v>
      </c>
      <c r="M860" s="63">
        <v>0</v>
      </c>
      <c r="N860" s="66">
        <f t="shared" si="54"/>
        <v>0.89400000000000002</v>
      </c>
      <c r="O860" s="62" t="str">
        <f t="shared" si="55"/>
        <v>4: Engaged Early</v>
      </c>
    </row>
    <row r="861" spans="1:15" ht="15" customHeight="1" x14ac:dyDescent="0.4">
      <c r="A861" s="62" t="s">
        <v>824</v>
      </c>
      <c r="B861" s="62" t="s">
        <v>1483</v>
      </c>
      <c r="C861" s="62" t="s">
        <v>826</v>
      </c>
      <c r="D861" s="63">
        <v>13</v>
      </c>
      <c r="E861" s="63">
        <v>12</v>
      </c>
      <c r="F861" s="63">
        <v>0</v>
      </c>
      <c r="G861" s="64">
        <f t="shared" si="52"/>
        <v>0.92307692307692313</v>
      </c>
      <c r="H861" s="64">
        <f t="shared" si="53"/>
        <v>0</v>
      </c>
      <c r="I861" s="63">
        <v>2</v>
      </c>
      <c r="J861" s="65">
        <v>86.718999999999994</v>
      </c>
      <c r="K861" s="65">
        <v>100</v>
      </c>
      <c r="L861" s="62" t="s">
        <v>825</v>
      </c>
      <c r="M861" s="63">
        <v>0</v>
      </c>
      <c r="N861" s="66">
        <f t="shared" si="54"/>
        <v>0.98</v>
      </c>
      <c r="O861" s="62" t="str">
        <f t="shared" si="55"/>
        <v>4: Engaged Early</v>
      </c>
    </row>
    <row r="862" spans="1:15" ht="15" customHeight="1" x14ac:dyDescent="0.4">
      <c r="A862" s="62" t="s">
        <v>824</v>
      </c>
      <c r="B862" s="62" t="s">
        <v>1484</v>
      </c>
      <c r="C862" s="62" t="s">
        <v>826</v>
      </c>
      <c r="D862" s="63">
        <v>16</v>
      </c>
      <c r="E862" s="63">
        <v>15</v>
      </c>
      <c r="F862" s="63">
        <v>8</v>
      </c>
      <c r="G862" s="64">
        <f t="shared" si="52"/>
        <v>0.9375</v>
      </c>
      <c r="H862" s="64">
        <f t="shared" si="53"/>
        <v>0.5</v>
      </c>
      <c r="I862" s="63">
        <v>2</v>
      </c>
      <c r="J862" s="65">
        <v>79.611750000000001</v>
      </c>
      <c r="K862" s="65">
        <v>91.24</v>
      </c>
      <c r="L862" s="62" t="s">
        <v>825</v>
      </c>
      <c r="M862" s="63">
        <v>1</v>
      </c>
      <c r="N862" s="66">
        <f t="shared" si="54"/>
        <v>0.91700000000000004</v>
      </c>
      <c r="O862" s="62" t="str">
        <f t="shared" si="55"/>
        <v>4: Engaged Early</v>
      </c>
    </row>
    <row r="863" spans="1:15" ht="15" customHeight="1" x14ac:dyDescent="0.4">
      <c r="A863" s="62" t="s">
        <v>824</v>
      </c>
      <c r="B863" s="62" t="s">
        <v>1485</v>
      </c>
      <c r="C863" s="62" t="s">
        <v>826</v>
      </c>
      <c r="D863" s="63">
        <v>10</v>
      </c>
      <c r="E863" s="63">
        <v>2</v>
      </c>
      <c r="F863" s="63">
        <v>5</v>
      </c>
      <c r="G863" s="64">
        <f t="shared" si="52"/>
        <v>0.2</v>
      </c>
      <c r="H863" s="64">
        <f t="shared" si="53"/>
        <v>0.5</v>
      </c>
      <c r="I863" s="63">
        <v>2</v>
      </c>
      <c r="J863" s="65">
        <v>87.281300000000002</v>
      </c>
      <c r="K863" s="65">
        <v>90.89</v>
      </c>
      <c r="L863" s="62" t="s">
        <v>825</v>
      </c>
      <c r="M863" s="63">
        <v>0</v>
      </c>
      <c r="N863" s="66">
        <f t="shared" si="54"/>
        <v>0.92600000000000005</v>
      </c>
      <c r="O863" s="62" t="str">
        <f t="shared" si="55"/>
        <v>4: Engaged Early</v>
      </c>
    </row>
    <row r="864" spans="1:15" ht="15" customHeight="1" x14ac:dyDescent="0.4">
      <c r="A864" s="62" t="s">
        <v>824</v>
      </c>
      <c r="B864" s="62" t="s">
        <v>1486</v>
      </c>
      <c r="C864" s="62" t="s">
        <v>826</v>
      </c>
      <c r="D864" s="63">
        <v>3</v>
      </c>
      <c r="E864" s="63">
        <v>1</v>
      </c>
      <c r="F864" s="63">
        <v>0</v>
      </c>
      <c r="G864" s="64">
        <f t="shared" si="52"/>
        <v>0.33333333333333331</v>
      </c>
      <c r="H864" s="64">
        <f t="shared" si="53"/>
        <v>0</v>
      </c>
      <c r="I864" s="63">
        <v>2</v>
      </c>
      <c r="J864" s="65">
        <v>85.034149999999997</v>
      </c>
      <c r="K864" s="65">
        <v>100</v>
      </c>
      <c r="L864" s="62" t="s">
        <v>825</v>
      </c>
      <c r="M864" s="63">
        <v>0</v>
      </c>
      <c r="N864" s="66">
        <f t="shared" si="54"/>
        <v>0.97799999999999998</v>
      </c>
      <c r="O864" s="62" t="str">
        <f t="shared" si="55"/>
        <v>4: Engaged Early</v>
      </c>
    </row>
    <row r="865" spans="1:15" ht="15" customHeight="1" x14ac:dyDescent="0.4">
      <c r="A865" s="62" t="s">
        <v>824</v>
      </c>
      <c r="B865" s="62" t="s">
        <v>1487</v>
      </c>
      <c r="C865" s="62" t="s">
        <v>826</v>
      </c>
      <c r="D865" s="63">
        <v>11</v>
      </c>
      <c r="E865" s="63">
        <v>10</v>
      </c>
      <c r="F865" s="63">
        <v>4</v>
      </c>
      <c r="G865" s="64">
        <f t="shared" si="52"/>
        <v>0.90909090909090906</v>
      </c>
      <c r="H865" s="64">
        <f t="shared" si="53"/>
        <v>0.36363636363636365</v>
      </c>
      <c r="I865" s="63">
        <v>2</v>
      </c>
      <c r="J865" s="65">
        <v>95.536050000000003</v>
      </c>
      <c r="K865" s="65">
        <v>100</v>
      </c>
      <c r="L865" s="62" t="s">
        <v>825</v>
      </c>
      <c r="M865" s="63">
        <v>0</v>
      </c>
      <c r="N865" s="66">
        <f t="shared" si="54"/>
        <v>0.99299999999999999</v>
      </c>
      <c r="O865" s="62" t="str">
        <f t="shared" si="55"/>
        <v>4: Engaged Early</v>
      </c>
    </row>
    <row r="866" spans="1:15" ht="15" customHeight="1" x14ac:dyDescent="0.4">
      <c r="A866" s="62" t="s">
        <v>824</v>
      </c>
      <c r="B866" s="62" t="s">
        <v>1488</v>
      </c>
      <c r="C866" s="62" t="s">
        <v>826</v>
      </c>
      <c r="D866" s="63">
        <v>8</v>
      </c>
      <c r="E866" s="63">
        <v>6</v>
      </c>
      <c r="F866" s="63">
        <v>3</v>
      </c>
      <c r="G866" s="64">
        <f t="shared" si="52"/>
        <v>0.75</v>
      </c>
      <c r="H866" s="64">
        <f t="shared" si="53"/>
        <v>0.375</v>
      </c>
      <c r="I866" s="63">
        <v>2</v>
      </c>
      <c r="J866" s="65">
        <v>91.530600000000007</v>
      </c>
      <c r="K866" s="65">
        <v>100</v>
      </c>
      <c r="L866" s="62" t="s">
        <v>825</v>
      </c>
      <c r="M866" s="63">
        <v>1</v>
      </c>
      <c r="N866" s="66">
        <f t="shared" si="54"/>
        <v>0.98699999999999999</v>
      </c>
      <c r="O866" s="62" t="str">
        <f t="shared" si="55"/>
        <v>4: Engaged Early</v>
      </c>
    </row>
    <row r="867" spans="1:15" ht="15" customHeight="1" x14ac:dyDescent="0.4">
      <c r="A867" s="62" t="s">
        <v>824</v>
      </c>
      <c r="B867" s="62" t="s">
        <v>1489</v>
      </c>
      <c r="C867" s="62" t="s">
        <v>826</v>
      </c>
      <c r="D867" s="63">
        <v>0</v>
      </c>
      <c r="E867" s="63">
        <v>0</v>
      </c>
      <c r="F867" s="63">
        <v>0</v>
      </c>
      <c r="G867" s="64">
        <f t="shared" si="52"/>
        <v>0</v>
      </c>
      <c r="H867" s="64">
        <f t="shared" si="53"/>
        <v>0</v>
      </c>
      <c r="I867" s="63">
        <v>1</v>
      </c>
      <c r="J867" s="65">
        <v>42.79</v>
      </c>
      <c r="K867" s="65">
        <v>33.33</v>
      </c>
      <c r="L867" s="62" t="s">
        <v>840</v>
      </c>
      <c r="M867" s="63">
        <v>0</v>
      </c>
      <c r="N867" s="66">
        <f t="shared" si="54"/>
        <v>0.33900000000000002</v>
      </c>
      <c r="O867" s="62" t="str">
        <f t="shared" si="55"/>
        <v>4: Engaged Early</v>
      </c>
    </row>
    <row r="868" spans="1:15" ht="15" customHeight="1" x14ac:dyDescent="0.4">
      <c r="A868" s="62" t="s">
        <v>824</v>
      </c>
      <c r="B868" s="62" t="s">
        <v>1490</v>
      </c>
      <c r="C868" s="62" t="s">
        <v>826</v>
      </c>
      <c r="D868" s="63">
        <v>22</v>
      </c>
      <c r="E868" s="63">
        <v>11</v>
      </c>
      <c r="F868" s="63">
        <v>0</v>
      </c>
      <c r="G868" s="64">
        <f t="shared" si="52"/>
        <v>0.5</v>
      </c>
      <c r="H868" s="64">
        <f t="shared" si="53"/>
        <v>0</v>
      </c>
      <c r="I868" s="63">
        <v>2</v>
      </c>
      <c r="J868" s="65">
        <v>62.083550000000002</v>
      </c>
      <c r="K868" s="65">
        <v>90.76</v>
      </c>
      <c r="L868" s="62" t="s">
        <v>825</v>
      </c>
      <c r="M868" s="63">
        <v>0</v>
      </c>
      <c r="N868" s="66">
        <f t="shared" si="54"/>
        <v>0.88800000000000001</v>
      </c>
      <c r="O868" s="62" t="str">
        <f t="shared" si="55"/>
        <v>4: Engaged Early</v>
      </c>
    </row>
    <row r="869" spans="1:15" ht="15" customHeight="1" x14ac:dyDescent="0.4">
      <c r="A869" s="62" t="s">
        <v>824</v>
      </c>
      <c r="B869" s="62" t="s">
        <v>1491</v>
      </c>
      <c r="C869" s="62" t="s">
        <v>826</v>
      </c>
      <c r="D869" s="63">
        <v>20</v>
      </c>
      <c r="E869" s="63">
        <v>6</v>
      </c>
      <c r="F869" s="63">
        <v>6</v>
      </c>
      <c r="G869" s="64">
        <f t="shared" si="52"/>
        <v>0.3</v>
      </c>
      <c r="H869" s="64">
        <f t="shared" si="53"/>
        <v>0.3</v>
      </c>
      <c r="I869" s="63">
        <v>2</v>
      </c>
      <c r="J869" s="65">
        <v>84.048450000000003</v>
      </c>
      <c r="K869" s="65">
        <v>100</v>
      </c>
      <c r="L869" s="62" t="s">
        <v>825</v>
      </c>
      <c r="M869" s="63">
        <v>1</v>
      </c>
      <c r="N869" s="66">
        <f t="shared" si="54"/>
        <v>0.97599999999999998</v>
      </c>
      <c r="O869" s="62" t="str">
        <f t="shared" si="55"/>
        <v>4: Engaged Early</v>
      </c>
    </row>
    <row r="870" spans="1:15" ht="15" customHeight="1" x14ac:dyDescent="0.4">
      <c r="A870" s="62" t="s">
        <v>824</v>
      </c>
      <c r="B870" s="62" t="s">
        <v>1492</v>
      </c>
      <c r="C870" s="62" t="s">
        <v>826</v>
      </c>
      <c r="D870" s="63">
        <v>12</v>
      </c>
      <c r="E870" s="63">
        <v>9</v>
      </c>
      <c r="F870" s="63">
        <v>2</v>
      </c>
      <c r="G870" s="64">
        <f t="shared" si="52"/>
        <v>0.75</v>
      </c>
      <c r="H870" s="64">
        <f t="shared" si="53"/>
        <v>0.16666666666666666</v>
      </c>
      <c r="I870" s="63">
        <v>2</v>
      </c>
      <c r="J870" s="65">
        <v>99.224999999999994</v>
      </c>
      <c r="K870" s="65">
        <v>100</v>
      </c>
      <c r="L870" s="62" t="s">
        <v>825</v>
      </c>
      <c r="M870" s="63">
        <v>0</v>
      </c>
      <c r="N870" s="66">
        <f t="shared" si="54"/>
        <v>0.999</v>
      </c>
      <c r="O870" s="62" t="str">
        <f t="shared" si="55"/>
        <v>4: Engaged Early</v>
      </c>
    </row>
    <row r="871" spans="1:15" ht="15" customHeight="1" x14ac:dyDescent="0.4">
      <c r="A871" s="62" t="s">
        <v>824</v>
      </c>
      <c r="B871" s="62" t="s">
        <v>1493</v>
      </c>
      <c r="C871" s="62" t="s">
        <v>826</v>
      </c>
      <c r="D871" s="63">
        <v>5</v>
      </c>
      <c r="E871" s="63">
        <v>4</v>
      </c>
      <c r="F871" s="63">
        <v>0</v>
      </c>
      <c r="G871" s="64">
        <f t="shared" si="52"/>
        <v>0.8</v>
      </c>
      <c r="H871" s="64">
        <f t="shared" si="53"/>
        <v>0</v>
      </c>
      <c r="I871" s="63">
        <v>2</v>
      </c>
      <c r="J871" s="65">
        <v>94.305350000000004</v>
      </c>
      <c r="K871" s="65">
        <v>100</v>
      </c>
      <c r="L871" s="62" t="s">
        <v>825</v>
      </c>
      <c r="M871" s="63">
        <v>0</v>
      </c>
      <c r="N871" s="66">
        <f t="shared" si="54"/>
        <v>0.99099999999999999</v>
      </c>
      <c r="O871" s="62" t="str">
        <f t="shared" si="55"/>
        <v>4: Engaged Early</v>
      </c>
    </row>
    <row r="872" spans="1:15" ht="15" customHeight="1" x14ac:dyDescent="0.4">
      <c r="A872" s="62" t="s">
        <v>824</v>
      </c>
      <c r="B872" s="62" t="s">
        <v>1494</v>
      </c>
      <c r="C872" s="62" t="s">
        <v>826</v>
      </c>
      <c r="D872" s="63">
        <v>5</v>
      </c>
      <c r="E872" s="63">
        <v>4</v>
      </c>
      <c r="F872" s="63">
        <v>1</v>
      </c>
      <c r="G872" s="64">
        <f t="shared" si="52"/>
        <v>0.8</v>
      </c>
      <c r="H872" s="64">
        <f t="shared" si="53"/>
        <v>0.2</v>
      </c>
      <c r="I872" s="63">
        <v>2</v>
      </c>
      <c r="J872" s="65">
        <v>92.400350000000003</v>
      </c>
      <c r="K872" s="65">
        <v>100</v>
      </c>
      <c r="L872" s="62" t="s">
        <v>825</v>
      </c>
      <c r="M872" s="63">
        <v>0</v>
      </c>
      <c r="N872" s="66">
        <f t="shared" si="54"/>
        <v>0.98899999999999999</v>
      </c>
      <c r="O872" s="62" t="str">
        <f t="shared" si="55"/>
        <v>4: Engaged Early</v>
      </c>
    </row>
    <row r="873" spans="1:15" ht="15" customHeight="1" x14ac:dyDescent="0.4">
      <c r="A873" s="62" t="s">
        <v>824</v>
      </c>
      <c r="B873" s="62" t="s">
        <v>681</v>
      </c>
      <c r="C873" s="62" t="s">
        <v>825</v>
      </c>
      <c r="D873" s="63">
        <v>13</v>
      </c>
      <c r="E873" s="63">
        <v>9</v>
      </c>
      <c r="F873" s="63">
        <v>1</v>
      </c>
      <c r="G873" s="64">
        <f t="shared" si="52"/>
        <v>0.69230769230769229</v>
      </c>
      <c r="H873" s="64">
        <f t="shared" si="53"/>
        <v>7.6923076923076927E-2</v>
      </c>
      <c r="I873" s="63">
        <v>1</v>
      </c>
      <c r="J873" s="65">
        <v>61.82</v>
      </c>
      <c r="K873" s="65">
        <v>12.89</v>
      </c>
      <c r="L873" s="62" t="s">
        <v>826</v>
      </c>
      <c r="M873" s="63">
        <v>0</v>
      </c>
      <c r="N873" s="66">
        <f t="shared" si="54"/>
        <v>0.17</v>
      </c>
      <c r="O873" s="62" t="str">
        <f t="shared" si="55"/>
        <v>2: High (No DBWT)</v>
      </c>
    </row>
    <row r="874" spans="1:15" ht="15" customHeight="1" x14ac:dyDescent="0.4">
      <c r="A874" s="62" t="s">
        <v>824</v>
      </c>
      <c r="B874" s="62" t="s">
        <v>1495</v>
      </c>
      <c r="C874" s="62" t="s">
        <v>826</v>
      </c>
      <c r="D874" s="63">
        <v>22</v>
      </c>
      <c r="E874" s="63">
        <v>5</v>
      </c>
      <c r="F874" s="63">
        <v>2</v>
      </c>
      <c r="G874" s="64">
        <f t="shared" si="52"/>
        <v>0.22727272727272727</v>
      </c>
      <c r="H874" s="64">
        <f t="shared" si="53"/>
        <v>9.0909090909090912E-2</v>
      </c>
      <c r="I874" s="63">
        <v>2</v>
      </c>
      <c r="J874" s="65">
        <v>57.207500000000003</v>
      </c>
      <c r="K874" s="65">
        <v>89.77</v>
      </c>
      <c r="L874" s="62" t="s">
        <v>825</v>
      </c>
      <c r="M874" s="63">
        <v>0</v>
      </c>
      <c r="N874" s="66">
        <f t="shared" si="54"/>
        <v>0.874</v>
      </c>
      <c r="O874" s="62" t="str">
        <f t="shared" si="55"/>
        <v>4: Engaged Early</v>
      </c>
    </row>
    <row r="875" spans="1:15" ht="15" customHeight="1" x14ac:dyDescent="0.4">
      <c r="A875" s="62" t="s">
        <v>824</v>
      </c>
      <c r="B875" s="62" t="s">
        <v>700</v>
      </c>
      <c r="C875" s="62" t="s">
        <v>825</v>
      </c>
      <c r="D875" s="63">
        <v>25</v>
      </c>
      <c r="E875" s="63">
        <v>25</v>
      </c>
      <c r="F875" s="63">
        <v>8</v>
      </c>
      <c r="G875" s="64">
        <f t="shared" si="52"/>
        <v>1</v>
      </c>
      <c r="H875" s="64">
        <f t="shared" si="53"/>
        <v>0.32</v>
      </c>
      <c r="I875" s="63">
        <v>0</v>
      </c>
      <c r="J875" s="65"/>
      <c r="K875" s="65">
        <v>35.1</v>
      </c>
      <c r="L875" s="62" t="s">
        <v>825</v>
      </c>
      <c r="M875" s="63">
        <v>0</v>
      </c>
      <c r="N875" s="66">
        <f t="shared" si="54"/>
        <v>0.46100000000000002</v>
      </c>
      <c r="O875" s="62" t="str">
        <f t="shared" si="55"/>
        <v>3: Elevated (No Wk0)</v>
      </c>
    </row>
    <row r="876" spans="1:15" ht="15" customHeight="1" x14ac:dyDescent="0.4">
      <c r="A876" s="62" t="s">
        <v>824</v>
      </c>
      <c r="B876" s="62" t="s">
        <v>1496</v>
      </c>
      <c r="C876" s="62" t="s">
        <v>826</v>
      </c>
      <c r="D876" s="63">
        <v>17</v>
      </c>
      <c r="E876" s="63">
        <v>9</v>
      </c>
      <c r="F876" s="63">
        <v>1</v>
      </c>
      <c r="G876" s="64">
        <f t="shared" si="52"/>
        <v>0.52941176470588236</v>
      </c>
      <c r="H876" s="64">
        <f t="shared" si="53"/>
        <v>5.8823529411764705E-2</v>
      </c>
      <c r="I876" s="63">
        <v>2</v>
      </c>
      <c r="J876" s="65">
        <v>99.936250000000001</v>
      </c>
      <c r="K876" s="65">
        <v>100</v>
      </c>
      <c r="L876" s="62" t="s">
        <v>825</v>
      </c>
      <c r="M876" s="63">
        <v>1</v>
      </c>
      <c r="N876" s="66">
        <f t="shared" si="54"/>
        <v>1</v>
      </c>
      <c r="O876" s="62" t="str">
        <f t="shared" si="55"/>
        <v>4: Engaged Early</v>
      </c>
    </row>
    <row r="877" spans="1:15" ht="15" customHeight="1" x14ac:dyDescent="0.4">
      <c r="A877" s="62" t="s">
        <v>824</v>
      </c>
      <c r="B877" s="62" t="s">
        <v>1497</v>
      </c>
      <c r="C877" s="62" t="s">
        <v>826</v>
      </c>
      <c r="D877" s="63">
        <v>10</v>
      </c>
      <c r="E877" s="63">
        <v>8</v>
      </c>
      <c r="F877" s="63">
        <v>0</v>
      </c>
      <c r="G877" s="64">
        <f t="shared" si="52"/>
        <v>0.8</v>
      </c>
      <c r="H877" s="64">
        <f t="shared" si="53"/>
        <v>0</v>
      </c>
      <c r="I877" s="63">
        <v>2</v>
      </c>
      <c r="J877" s="65">
        <v>93.007400000000004</v>
      </c>
      <c r="K877" s="65">
        <v>100</v>
      </c>
      <c r="L877" s="62" t="s">
        <v>825</v>
      </c>
      <c r="M877" s="63">
        <v>0</v>
      </c>
      <c r="N877" s="66">
        <f t="shared" si="54"/>
        <v>0.99</v>
      </c>
      <c r="O877" s="62" t="str">
        <f t="shared" si="55"/>
        <v>4: Engaged Early</v>
      </c>
    </row>
    <row r="878" spans="1:15" ht="15" customHeight="1" x14ac:dyDescent="0.4">
      <c r="A878" s="62" t="s">
        <v>824</v>
      </c>
      <c r="B878" s="62" t="s">
        <v>1498</v>
      </c>
      <c r="C878" s="62" t="s">
        <v>826</v>
      </c>
      <c r="D878" s="63">
        <v>6</v>
      </c>
      <c r="E878" s="63">
        <v>6</v>
      </c>
      <c r="F878" s="63">
        <v>1</v>
      </c>
      <c r="G878" s="64">
        <f t="shared" si="52"/>
        <v>1</v>
      </c>
      <c r="H878" s="64">
        <f t="shared" si="53"/>
        <v>0.16666666666666666</v>
      </c>
      <c r="I878" s="63">
        <v>2</v>
      </c>
      <c r="J878" s="65">
        <v>98.96</v>
      </c>
      <c r="K878" s="65">
        <v>41.63</v>
      </c>
      <c r="L878" s="62" t="s">
        <v>825</v>
      </c>
      <c r="M878" s="63">
        <v>1</v>
      </c>
      <c r="N878" s="66">
        <f t="shared" si="54"/>
        <v>0.64800000000000002</v>
      </c>
      <c r="O878" s="62" t="str">
        <f t="shared" si="55"/>
        <v>4: Engaged Early</v>
      </c>
    </row>
    <row r="879" spans="1:15" ht="15" customHeight="1" x14ac:dyDescent="0.4">
      <c r="A879" s="62" t="s">
        <v>824</v>
      </c>
      <c r="B879" s="62" t="s">
        <v>1499</v>
      </c>
      <c r="C879" s="62" t="s">
        <v>826</v>
      </c>
      <c r="D879" s="63">
        <v>1</v>
      </c>
      <c r="E879" s="63">
        <v>1</v>
      </c>
      <c r="F879" s="63">
        <v>0</v>
      </c>
      <c r="G879" s="64">
        <f t="shared" si="52"/>
        <v>1</v>
      </c>
      <c r="H879" s="64">
        <f t="shared" si="53"/>
        <v>0</v>
      </c>
      <c r="I879" s="63">
        <v>2</v>
      </c>
      <c r="J879" s="65">
        <v>99.624200000000002</v>
      </c>
      <c r="K879" s="65">
        <v>100</v>
      </c>
      <c r="L879" s="62" t="s">
        <v>826</v>
      </c>
      <c r="M879" s="63">
        <v>0</v>
      </c>
      <c r="N879" s="66">
        <f t="shared" si="54"/>
        <v>0.749</v>
      </c>
      <c r="O879" s="62" t="str">
        <f t="shared" si="55"/>
        <v>2: High (No DBWT)</v>
      </c>
    </row>
    <row r="880" spans="1:15" ht="15" customHeight="1" x14ac:dyDescent="0.4">
      <c r="A880" s="62" t="s">
        <v>824</v>
      </c>
      <c r="B880" s="62" t="s">
        <v>280</v>
      </c>
      <c r="C880" s="62" t="s">
        <v>825</v>
      </c>
      <c r="D880" s="63">
        <v>13</v>
      </c>
      <c r="E880" s="63">
        <v>12</v>
      </c>
      <c r="F880" s="63">
        <v>2</v>
      </c>
      <c r="G880" s="64">
        <f t="shared" si="52"/>
        <v>0.92307692307692313</v>
      </c>
      <c r="H880" s="64">
        <f t="shared" si="53"/>
        <v>0.15384615384615385</v>
      </c>
      <c r="I880" s="63">
        <v>1</v>
      </c>
      <c r="J880" s="65">
        <v>95.48</v>
      </c>
      <c r="K880" s="65">
        <v>22.53</v>
      </c>
      <c r="L880" s="62" t="s">
        <v>825</v>
      </c>
      <c r="M880" s="63">
        <v>0</v>
      </c>
      <c r="N880" s="66">
        <f t="shared" si="54"/>
        <v>0.52800000000000002</v>
      </c>
      <c r="O880" s="62" t="str">
        <f t="shared" si="55"/>
        <v>4: Engaged Early</v>
      </c>
    </row>
    <row r="881" spans="1:15" ht="15" customHeight="1" x14ac:dyDescent="0.4">
      <c r="A881" s="62" t="s">
        <v>824</v>
      </c>
      <c r="B881" s="62" t="s">
        <v>722</v>
      </c>
      <c r="C881" s="62" t="s">
        <v>825</v>
      </c>
      <c r="D881" s="63">
        <v>15</v>
      </c>
      <c r="E881" s="63">
        <v>12</v>
      </c>
      <c r="F881" s="63">
        <v>3</v>
      </c>
      <c r="G881" s="64">
        <f t="shared" si="52"/>
        <v>0.8</v>
      </c>
      <c r="H881" s="64">
        <f t="shared" si="53"/>
        <v>0.2</v>
      </c>
      <c r="I881" s="63">
        <v>2</v>
      </c>
      <c r="J881" s="65">
        <v>99.526650000000004</v>
      </c>
      <c r="K881" s="65">
        <v>75.06</v>
      </c>
      <c r="L881" s="62" t="s">
        <v>825</v>
      </c>
      <c r="M881" s="63">
        <v>1</v>
      </c>
      <c r="N881" s="66">
        <f t="shared" si="54"/>
        <v>0.85</v>
      </c>
      <c r="O881" s="62" t="str">
        <f t="shared" si="55"/>
        <v>4: Engaged Early</v>
      </c>
    </row>
    <row r="882" spans="1:15" ht="15" customHeight="1" x14ac:dyDescent="0.4">
      <c r="A882" s="62" t="s">
        <v>824</v>
      </c>
      <c r="B882" s="62" t="s">
        <v>671</v>
      </c>
      <c r="C882" s="62" t="s">
        <v>825</v>
      </c>
      <c r="D882" s="63">
        <v>16</v>
      </c>
      <c r="E882" s="63">
        <v>13</v>
      </c>
      <c r="F882" s="63">
        <v>3</v>
      </c>
      <c r="G882" s="64">
        <f t="shared" si="52"/>
        <v>0.8125</v>
      </c>
      <c r="H882" s="64">
        <f t="shared" si="53"/>
        <v>0.1875</v>
      </c>
      <c r="I882" s="63">
        <v>2</v>
      </c>
      <c r="J882" s="65">
        <v>86.179500000000004</v>
      </c>
      <c r="K882" s="65">
        <v>48.82</v>
      </c>
      <c r="L882" s="62" t="s">
        <v>825</v>
      </c>
      <c r="M882" s="63">
        <v>0</v>
      </c>
      <c r="N882" s="66">
        <f t="shared" si="54"/>
        <v>0.67200000000000004</v>
      </c>
      <c r="O882" s="62" t="str">
        <f t="shared" si="55"/>
        <v>4: Engaged Early</v>
      </c>
    </row>
    <row r="883" spans="1:15" ht="15" customHeight="1" x14ac:dyDescent="0.4">
      <c r="A883" s="62" t="s">
        <v>824</v>
      </c>
      <c r="B883" s="62" t="s">
        <v>1500</v>
      </c>
      <c r="C883" s="62" t="s">
        <v>826</v>
      </c>
      <c r="D883" s="63">
        <v>22</v>
      </c>
      <c r="E883" s="63">
        <v>17</v>
      </c>
      <c r="F883" s="63">
        <v>0</v>
      </c>
      <c r="G883" s="64">
        <f t="shared" si="52"/>
        <v>0.77272727272727271</v>
      </c>
      <c r="H883" s="64">
        <f t="shared" si="53"/>
        <v>0</v>
      </c>
      <c r="I883" s="63">
        <v>2</v>
      </c>
      <c r="J883" s="65">
        <v>59.86365</v>
      </c>
      <c r="K883" s="65">
        <v>61.11</v>
      </c>
      <c r="L883" s="62" t="s">
        <v>825</v>
      </c>
      <c r="M883" s="63">
        <v>0</v>
      </c>
      <c r="N883" s="66">
        <f t="shared" si="54"/>
        <v>0.70599999999999996</v>
      </c>
      <c r="O883" s="62" t="str">
        <f t="shared" si="55"/>
        <v>4: Engaged Early</v>
      </c>
    </row>
    <row r="884" spans="1:15" ht="15" customHeight="1" x14ac:dyDescent="0.4">
      <c r="A884" s="62" t="s">
        <v>824</v>
      </c>
      <c r="B884" s="62" t="s">
        <v>1501</v>
      </c>
      <c r="C884" s="62" t="s">
        <v>826</v>
      </c>
      <c r="D884" s="63">
        <v>17</v>
      </c>
      <c r="E884" s="63">
        <v>13</v>
      </c>
      <c r="F884" s="63">
        <v>2</v>
      </c>
      <c r="G884" s="64">
        <f t="shared" si="52"/>
        <v>0.76470588235294112</v>
      </c>
      <c r="H884" s="64">
        <f t="shared" si="53"/>
        <v>0.11764705882352941</v>
      </c>
      <c r="I884" s="63">
        <v>2</v>
      </c>
      <c r="J884" s="65">
        <v>54.307099999999998</v>
      </c>
      <c r="K884" s="65">
        <v>27.21</v>
      </c>
      <c r="L884" s="62" t="s">
        <v>826</v>
      </c>
      <c r="M884" s="63">
        <v>0</v>
      </c>
      <c r="N884" s="66">
        <f t="shared" si="54"/>
        <v>0.245</v>
      </c>
      <c r="O884" s="62" t="str">
        <f t="shared" si="55"/>
        <v>2: High (No DBWT)</v>
      </c>
    </row>
    <row r="885" spans="1:15" ht="15" customHeight="1" x14ac:dyDescent="0.4">
      <c r="A885" s="62" t="s">
        <v>824</v>
      </c>
      <c r="B885" s="62" t="s">
        <v>1502</v>
      </c>
      <c r="C885" s="62" t="s">
        <v>826</v>
      </c>
      <c r="D885" s="63">
        <v>14</v>
      </c>
      <c r="E885" s="63">
        <v>9</v>
      </c>
      <c r="F885" s="63">
        <v>0</v>
      </c>
      <c r="G885" s="64">
        <f t="shared" si="52"/>
        <v>0.6428571428571429</v>
      </c>
      <c r="H885" s="64">
        <f t="shared" si="53"/>
        <v>0</v>
      </c>
      <c r="I885" s="63">
        <v>2</v>
      </c>
      <c r="J885" s="65">
        <v>85.993200000000002</v>
      </c>
      <c r="K885" s="65">
        <v>92.61</v>
      </c>
      <c r="L885" s="62" t="s">
        <v>825</v>
      </c>
      <c r="M885" s="63">
        <v>1</v>
      </c>
      <c r="N885" s="66">
        <f t="shared" si="54"/>
        <v>0.93500000000000005</v>
      </c>
      <c r="O885" s="62" t="str">
        <f t="shared" si="55"/>
        <v>4: Engaged Early</v>
      </c>
    </row>
    <row r="886" spans="1:15" ht="15" customHeight="1" x14ac:dyDescent="0.4">
      <c r="A886" s="62" t="s">
        <v>824</v>
      </c>
      <c r="B886" s="62" t="s">
        <v>1503</v>
      </c>
      <c r="C886" s="62" t="s">
        <v>826</v>
      </c>
      <c r="D886" s="63">
        <v>7</v>
      </c>
      <c r="E886" s="63">
        <v>7</v>
      </c>
      <c r="F886" s="63">
        <v>0</v>
      </c>
      <c r="G886" s="64">
        <f t="shared" si="52"/>
        <v>1</v>
      </c>
      <c r="H886" s="64">
        <f t="shared" si="53"/>
        <v>0</v>
      </c>
      <c r="I886" s="63">
        <v>2</v>
      </c>
      <c r="J886" s="65">
        <v>3.3865599999999998</v>
      </c>
      <c r="K886" s="65">
        <v>60.63</v>
      </c>
      <c r="L886" s="62" t="s">
        <v>825</v>
      </c>
      <c r="M886" s="63">
        <v>0</v>
      </c>
      <c r="N886" s="66">
        <f t="shared" si="54"/>
        <v>0.61899999999999999</v>
      </c>
      <c r="O886" s="62" t="str">
        <f t="shared" si="55"/>
        <v>4: Engaged Early</v>
      </c>
    </row>
    <row r="887" spans="1:15" ht="15" customHeight="1" x14ac:dyDescent="0.4">
      <c r="A887" s="62" t="s">
        <v>824</v>
      </c>
      <c r="B887" s="62" t="s">
        <v>1504</v>
      </c>
      <c r="C887" s="62" t="s">
        <v>826</v>
      </c>
      <c r="D887" s="63">
        <v>7</v>
      </c>
      <c r="E887" s="63">
        <v>2</v>
      </c>
      <c r="F887" s="63">
        <v>0</v>
      </c>
      <c r="G887" s="64">
        <f t="shared" si="52"/>
        <v>0.2857142857142857</v>
      </c>
      <c r="H887" s="64">
        <f t="shared" si="53"/>
        <v>0</v>
      </c>
      <c r="I887" s="63">
        <v>2</v>
      </c>
      <c r="J887" s="65">
        <v>87.489350000000002</v>
      </c>
      <c r="K887" s="65">
        <v>100</v>
      </c>
      <c r="L887" s="62" t="s">
        <v>825</v>
      </c>
      <c r="M887" s="63">
        <v>0</v>
      </c>
      <c r="N887" s="66">
        <f t="shared" si="54"/>
        <v>0.98099999999999998</v>
      </c>
      <c r="O887" s="62" t="str">
        <f t="shared" si="55"/>
        <v>4: Engaged Early</v>
      </c>
    </row>
    <row r="888" spans="1:15" ht="15" customHeight="1" x14ac:dyDescent="0.4">
      <c r="A888" s="62" t="s">
        <v>824</v>
      </c>
      <c r="B888" s="62" t="s">
        <v>1505</v>
      </c>
      <c r="C888" s="62" t="s">
        <v>826</v>
      </c>
      <c r="D888" s="63">
        <v>14</v>
      </c>
      <c r="E888" s="63">
        <v>6</v>
      </c>
      <c r="F888" s="63">
        <v>7</v>
      </c>
      <c r="G888" s="64">
        <f t="shared" si="52"/>
        <v>0.42857142857142855</v>
      </c>
      <c r="H888" s="64">
        <f t="shared" si="53"/>
        <v>0.5</v>
      </c>
      <c r="I888" s="63">
        <v>2</v>
      </c>
      <c r="J888" s="65">
        <v>99.320899999999995</v>
      </c>
      <c r="K888" s="65">
        <v>89.28</v>
      </c>
      <c r="L888" s="62" t="s">
        <v>825</v>
      </c>
      <c r="M888" s="63">
        <v>1</v>
      </c>
      <c r="N888" s="66">
        <f t="shared" si="54"/>
        <v>0.93500000000000005</v>
      </c>
      <c r="O888" s="62" t="str">
        <f t="shared" si="55"/>
        <v>4: Engaged Early</v>
      </c>
    </row>
    <row r="889" spans="1:15" ht="15" customHeight="1" x14ac:dyDescent="0.4">
      <c r="A889" s="62" t="s">
        <v>824</v>
      </c>
      <c r="B889" s="62" t="s">
        <v>1506</v>
      </c>
      <c r="C889" s="62" t="s">
        <v>826</v>
      </c>
      <c r="D889" s="63">
        <v>4</v>
      </c>
      <c r="E889" s="63">
        <v>3</v>
      </c>
      <c r="F889" s="63">
        <v>0</v>
      </c>
      <c r="G889" s="64">
        <f t="shared" si="52"/>
        <v>0.75</v>
      </c>
      <c r="H889" s="64">
        <f t="shared" si="53"/>
        <v>0</v>
      </c>
      <c r="I889" s="63">
        <v>2</v>
      </c>
      <c r="J889" s="65">
        <v>87.374449999999996</v>
      </c>
      <c r="K889" s="65">
        <v>100</v>
      </c>
      <c r="L889" s="62" t="s">
        <v>825</v>
      </c>
      <c r="M889" s="63">
        <v>0</v>
      </c>
      <c r="N889" s="66">
        <f t="shared" si="54"/>
        <v>0.98099999999999998</v>
      </c>
      <c r="O889" s="62" t="str">
        <f t="shared" si="55"/>
        <v>4: Engaged Early</v>
      </c>
    </row>
    <row r="890" spans="1:15" ht="15" customHeight="1" x14ac:dyDescent="0.4">
      <c r="A890" s="62" t="s">
        <v>824</v>
      </c>
      <c r="B890" s="62" t="s">
        <v>242</v>
      </c>
      <c r="C890" s="62" t="s">
        <v>826</v>
      </c>
      <c r="D890" s="63">
        <v>20</v>
      </c>
      <c r="E890" s="63">
        <v>19</v>
      </c>
      <c r="F890" s="63">
        <v>3</v>
      </c>
      <c r="G890" s="64">
        <f t="shared" si="52"/>
        <v>0.95</v>
      </c>
      <c r="H890" s="64">
        <f t="shared" si="53"/>
        <v>0.15</v>
      </c>
      <c r="I890" s="63">
        <v>2</v>
      </c>
      <c r="J890" s="65">
        <v>24.337250000000001</v>
      </c>
      <c r="K890" s="65">
        <v>90.94</v>
      </c>
      <c r="L890" s="62" t="s">
        <v>825</v>
      </c>
      <c r="M890" s="63">
        <v>1</v>
      </c>
      <c r="N890" s="66">
        <f t="shared" si="54"/>
        <v>0.83199999999999996</v>
      </c>
      <c r="O890" s="62" t="str">
        <f t="shared" si="55"/>
        <v>4: Engaged Early</v>
      </c>
    </row>
    <row r="891" spans="1:15" ht="15" customHeight="1" x14ac:dyDescent="0.4">
      <c r="A891" s="62" t="s">
        <v>824</v>
      </c>
      <c r="B891" s="62" t="s">
        <v>1507</v>
      </c>
      <c r="C891" s="62" t="s">
        <v>826</v>
      </c>
      <c r="D891" s="63">
        <v>7</v>
      </c>
      <c r="E891" s="63">
        <v>6</v>
      </c>
      <c r="F891" s="63">
        <v>0</v>
      </c>
      <c r="G891" s="64">
        <f t="shared" si="52"/>
        <v>0.8571428571428571</v>
      </c>
      <c r="H891" s="64">
        <f t="shared" si="53"/>
        <v>0</v>
      </c>
      <c r="I891" s="63">
        <v>2</v>
      </c>
      <c r="J891" s="65">
        <v>96.205200000000005</v>
      </c>
      <c r="K891" s="65">
        <v>100</v>
      </c>
      <c r="L891" s="62" t="s">
        <v>825</v>
      </c>
      <c r="M891" s="63">
        <v>0</v>
      </c>
      <c r="N891" s="66">
        <f t="shared" si="54"/>
        <v>0.99399999999999999</v>
      </c>
      <c r="O891" s="62" t="str">
        <f t="shared" si="55"/>
        <v>4: Engaged Early</v>
      </c>
    </row>
    <row r="892" spans="1:15" ht="15" customHeight="1" x14ac:dyDescent="0.4">
      <c r="A892" s="62" t="s">
        <v>824</v>
      </c>
      <c r="B892" s="62" t="s">
        <v>1508</v>
      </c>
      <c r="C892" s="62" t="s">
        <v>826</v>
      </c>
      <c r="D892" s="63">
        <v>5</v>
      </c>
      <c r="E892" s="63">
        <v>5</v>
      </c>
      <c r="F892" s="63">
        <v>0</v>
      </c>
      <c r="G892" s="64">
        <f t="shared" si="52"/>
        <v>1</v>
      </c>
      <c r="H892" s="64">
        <f t="shared" si="53"/>
        <v>0</v>
      </c>
      <c r="I892" s="63">
        <v>2</v>
      </c>
      <c r="J892" s="65">
        <v>99.446299999999994</v>
      </c>
      <c r="K892" s="65">
        <v>100</v>
      </c>
      <c r="L892" s="62" t="s">
        <v>825</v>
      </c>
      <c r="M892" s="63">
        <v>1</v>
      </c>
      <c r="N892" s="66">
        <f t="shared" si="54"/>
        <v>0.999</v>
      </c>
      <c r="O892" s="62" t="str">
        <f t="shared" si="55"/>
        <v>4: Engaged Early</v>
      </c>
    </row>
    <row r="893" spans="1:15" ht="15" customHeight="1" x14ac:dyDescent="0.4">
      <c r="A893" s="62" t="s">
        <v>824</v>
      </c>
      <c r="B893" s="62" t="s">
        <v>1509</v>
      </c>
      <c r="C893" s="62" t="s">
        <v>826</v>
      </c>
      <c r="D893" s="63">
        <v>15</v>
      </c>
      <c r="E893" s="63">
        <v>14</v>
      </c>
      <c r="F893" s="63">
        <v>0</v>
      </c>
      <c r="G893" s="64">
        <f t="shared" si="52"/>
        <v>0.93333333333333335</v>
      </c>
      <c r="H893" s="64">
        <f t="shared" si="53"/>
        <v>0</v>
      </c>
      <c r="I893" s="63">
        <v>2</v>
      </c>
      <c r="J893" s="65">
        <v>64.302700000000002</v>
      </c>
      <c r="K893" s="65">
        <v>83.59</v>
      </c>
      <c r="L893" s="62" t="s">
        <v>826</v>
      </c>
      <c r="M893" s="63">
        <v>0</v>
      </c>
      <c r="N893" s="66">
        <f t="shared" si="54"/>
        <v>0.59799999999999998</v>
      </c>
      <c r="O893" s="62" t="str">
        <f t="shared" si="55"/>
        <v>2: High (No DBWT)</v>
      </c>
    </row>
    <row r="894" spans="1:15" ht="15" customHeight="1" x14ac:dyDescent="0.4">
      <c r="A894" s="62" t="s">
        <v>824</v>
      </c>
      <c r="B894" s="62" t="s">
        <v>1510</v>
      </c>
      <c r="C894" s="62" t="s">
        <v>826</v>
      </c>
      <c r="D894" s="63">
        <v>25</v>
      </c>
      <c r="E894" s="63">
        <v>16</v>
      </c>
      <c r="F894" s="63">
        <v>0</v>
      </c>
      <c r="G894" s="64">
        <f t="shared" si="52"/>
        <v>0.64</v>
      </c>
      <c r="H894" s="64">
        <f t="shared" si="53"/>
        <v>0</v>
      </c>
      <c r="I894" s="63">
        <v>2</v>
      </c>
      <c r="J894" s="65">
        <v>15.956025</v>
      </c>
      <c r="K894" s="65">
        <v>67.25</v>
      </c>
      <c r="L894" s="62" t="s">
        <v>826</v>
      </c>
      <c r="M894" s="63">
        <v>0</v>
      </c>
      <c r="N894" s="66">
        <f t="shared" si="54"/>
        <v>0.42699999999999999</v>
      </c>
      <c r="O894" s="62" t="str">
        <f t="shared" si="55"/>
        <v>2: High (No DBWT)</v>
      </c>
    </row>
    <row r="895" spans="1:15" ht="15" customHeight="1" x14ac:dyDescent="0.4">
      <c r="A895" s="62" t="s">
        <v>824</v>
      </c>
      <c r="B895" s="62" t="s">
        <v>1511</v>
      </c>
      <c r="C895" s="62" t="s">
        <v>826</v>
      </c>
      <c r="D895" s="63">
        <v>12</v>
      </c>
      <c r="E895" s="63">
        <v>4</v>
      </c>
      <c r="F895" s="63">
        <v>3</v>
      </c>
      <c r="G895" s="64">
        <f t="shared" si="52"/>
        <v>0.33333333333333331</v>
      </c>
      <c r="H895" s="64">
        <f t="shared" si="53"/>
        <v>0.25</v>
      </c>
      <c r="I895" s="63">
        <v>2</v>
      </c>
      <c r="J895" s="65">
        <v>88.272750000000002</v>
      </c>
      <c r="K895" s="65">
        <v>100</v>
      </c>
      <c r="L895" s="62" t="s">
        <v>825</v>
      </c>
      <c r="M895" s="63">
        <v>1</v>
      </c>
      <c r="N895" s="66">
        <f t="shared" si="54"/>
        <v>0.98199999999999998</v>
      </c>
      <c r="O895" s="62" t="str">
        <f t="shared" si="55"/>
        <v>4: Engaged Early</v>
      </c>
    </row>
    <row r="896" spans="1:15" ht="15" customHeight="1" x14ac:dyDescent="0.4">
      <c r="A896" s="62" t="s">
        <v>824</v>
      </c>
      <c r="B896" s="62" t="s">
        <v>1512</v>
      </c>
      <c r="C896" s="62" t="s">
        <v>826</v>
      </c>
      <c r="D896" s="63">
        <v>3</v>
      </c>
      <c r="E896" s="63">
        <v>2</v>
      </c>
      <c r="F896" s="63">
        <v>0</v>
      </c>
      <c r="G896" s="64">
        <f t="shared" si="52"/>
        <v>0.66666666666666663</v>
      </c>
      <c r="H896" s="64">
        <f t="shared" si="53"/>
        <v>0</v>
      </c>
      <c r="I896" s="63">
        <v>2</v>
      </c>
      <c r="J896" s="65">
        <v>16.955587000000001</v>
      </c>
      <c r="K896" s="65">
        <v>12.74</v>
      </c>
      <c r="L896" s="62" t="s">
        <v>825</v>
      </c>
      <c r="M896" s="63">
        <v>0</v>
      </c>
      <c r="N896" s="66">
        <f t="shared" si="54"/>
        <v>0.35199999999999998</v>
      </c>
      <c r="O896" s="62" t="str">
        <f t="shared" si="55"/>
        <v>4: Engaged Early</v>
      </c>
    </row>
    <row r="897" spans="1:15" ht="15" customHeight="1" x14ac:dyDescent="0.4">
      <c r="A897" s="62" t="s">
        <v>824</v>
      </c>
      <c r="B897" s="62" t="s">
        <v>788</v>
      </c>
      <c r="C897" s="62" t="s">
        <v>825</v>
      </c>
      <c r="D897" s="63">
        <v>26</v>
      </c>
      <c r="E897" s="63">
        <v>19</v>
      </c>
      <c r="F897" s="63">
        <v>0</v>
      </c>
      <c r="G897" s="64">
        <f t="shared" si="52"/>
        <v>0.73076923076923073</v>
      </c>
      <c r="H897" s="64">
        <f t="shared" si="53"/>
        <v>0</v>
      </c>
      <c r="I897" s="63">
        <v>2</v>
      </c>
      <c r="J897" s="65">
        <v>100</v>
      </c>
      <c r="K897" s="65">
        <v>93.2</v>
      </c>
      <c r="L897" s="62" t="s">
        <v>825</v>
      </c>
      <c r="M897" s="63">
        <v>0</v>
      </c>
      <c r="N897" s="66">
        <f t="shared" si="54"/>
        <v>0.95899999999999996</v>
      </c>
      <c r="O897" s="62" t="str">
        <f t="shared" si="55"/>
        <v>4: Engaged Early</v>
      </c>
    </row>
    <row r="898" spans="1:15" ht="15" customHeight="1" x14ac:dyDescent="0.4">
      <c r="A898" s="62" t="s">
        <v>824</v>
      </c>
      <c r="B898" s="62" t="s">
        <v>1513</v>
      </c>
      <c r="C898" s="62" t="s">
        <v>826</v>
      </c>
      <c r="D898" s="63">
        <v>13</v>
      </c>
      <c r="E898" s="63">
        <v>12</v>
      </c>
      <c r="F898" s="63">
        <v>1</v>
      </c>
      <c r="G898" s="64">
        <f t="shared" ref="G898:G961" si="56">IFERROR(E898/D898,0)</f>
        <v>0.92307692307692313</v>
      </c>
      <c r="H898" s="64">
        <f t="shared" ref="H898:H961" si="57">IFERROR(F898/D898,0)</f>
        <v>7.6923076923076927E-2</v>
      </c>
      <c r="I898" s="63">
        <v>1</v>
      </c>
      <c r="J898" s="65">
        <v>98.159899999999993</v>
      </c>
      <c r="K898" s="65">
        <v>100</v>
      </c>
      <c r="L898" s="62" t="s">
        <v>825</v>
      </c>
      <c r="M898" s="63">
        <v>0</v>
      </c>
      <c r="N898" s="66">
        <f t="shared" ref="N898:N961" si="58">ROUND(IFERROR(K898/100,0)*0.6 + IF(L898="Yes",1,IF(L898="No",0,0.3))*0.25 + IFERROR(J898/100,0)*0.15,3)</f>
        <v>0.997</v>
      </c>
      <c r="O898" s="62" t="str">
        <f t="shared" ref="O898:O961" si="59">IF(AND(L898="No",I898=0),"1: Critical (No DBWT + No Wk0)",IF(L898="No","2: High (No DBWT)",IF(I898=0,"3: Elevated (No Wk0)","4: Engaged Early")))</f>
        <v>4: Engaged Early</v>
      </c>
    </row>
    <row r="899" spans="1:15" ht="15" customHeight="1" x14ac:dyDescent="0.4">
      <c r="A899" s="62" t="s">
        <v>824</v>
      </c>
      <c r="B899" s="62" t="s">
        <v>1514</v>
      </c>
      <c r="C899" s="62" t="s">
        <v>826</v>
      </c>
      <c r="D899" s="63">
        <v>13</v>
      </c>
      <c r="E899" s="63">
        <v>3</v>
      </c>
      <c r="F899" s="63">
        <v>3</v>
      </c>
      <c r="G899" s="64">
        <f t="shared" si="56"/>
        <v>0.23076923076923078</v>
      </c>
      <c r="H899" s="64">
        <f t="shared" si="57"/>
        <v>0.23076923076923078</v>
      </c>
      <c r="I899" s="63">
        <v>2</v>
      </c>
      <c r="J899" s="65">
        <v>99.008349999999993</v>
      </c>
      <c r="K899" s="65">
        <v>88.71</v>
      </c>
      <c r="L899" s="62" t="s">
        <v>825</v>
      </c>
      <c r="M899" s="63">
        <v>0</v>
      </c>
      <c r="N899" s="66">
        <f t="shared" si="58"/>
        <v>0.93100000000000005</v>
      </c>
      <c r="O899" s="62" t="str">
        <f t="shared" si="59"/>
        <v>4: Engaged Early</v>
      </c>
    </row>
    <row r="900" spans="1:15" ht="15" customHeight="1" x14ac:dyDescent="0.4">
      <c r="A900" s="62" t="s">
        <v>824</v>
      </c>
      <c r="B900" s="62" t="s">
        <v>1515</v>
      </c>
      <c r="C900" s="62" t="s">
        <v>826</v>
      </c>
      <c r="D900" s="63">
        <v>10</v>
      </c>
      <c r="E900" s="63">
        <v>7</v>
      </c>
      <c r="F900" s="63">
        <v>5</v>
      </c>
      <c r="G900" s="64">
        <f t="shared" si="56"/>
        <v>0.7</v>
      </c>
      <c r="H900" s="64">
        <f t="shared" si="57"/>
        <v>0.5</v>
      </c>
      <c r="I900" s="63">
        <v>2</v>
      </c>
      <c r="J900" s="65">
        <v>93.388149999999996</v>
      </c>
      <c r="K900" s="65">
        <v>100</v>
      </c>
      <c r="L900" s="62" t="s">
        <v>825</v>
      </c>
      <c r="M900" s="63">
        <v>0</v>
      </c>
      <c r="N900" s="66">
        <f t="shared" si="58"/>
        <v>0.99</v>
      </c>
      <c r="O900" s="62" t="str">
        <f t="shared" si="59"/>
        <v>4: Engaged Early</v>
      </c>
    </row>
    <row r="901" spans="1:15" ht="15" customHeight="1" x14ac:dyDescent="0.4">
      <c r="A901" s="62" t="s">
        <v>824</v>
      </c>
      <c r="B901" s="62" t="s">
        <v>1516</v>
      </c>
      <c r="C901" s="62" t="s">
        <v>826</v>
      </c>
      <c r="D901" s="63">
        <v>21</v>
      </c>
      <c r="E901" s="63">
        <v>21</v>
      </c>
      <c r="F901" s="63">
        <v>7</v>
      </c>
      <c r="G901" s="64">
        <f t="shared" si="56"/>
        <v>1</v>
      </c>
      <c r="H901" s="64">
        <f t="shared" si="57"/>
        <v>0.33333333333333331</v>
      </c>
      <c r="I901" s="63">
        <v>2</v>
      </c>
      <c r="J901" s="65">
        <v>99.592950000000002</v>
      </c>
      <c r="K901" s="65">
        <v>100</v>
      </c>
      <c r="L901" s="62" t="s">
        <v>825</v>
      </c>
      <c r="M901" s="63">
        <v>0</v>
      </c>
      <c r="N901" s="66">
        <f t="shared" si="58"/>
        <v>0.999</v>
      </c>
      <c r="O901" s="62" t="str">
        <f t="shared" si="59"/>
        <v>4: Engaged Early</v>
      </c>
    </row>
    <row r="902" spans="1:15" ht="15" customHeight="1" x14ac:dyDescent="0.4">
      <c r="A902" s="62" t="s">
        <v>824</v>
      </c>
      <c r="B902" s="62" t="s">
        <v>1517</v>
      </c>
      <c r="C902" s="62" t="s">
        <v>826</v>
      </c>
      <c r="D902" s="63">
        <v>4</v>
      </c>
      <c r="E902" s="63">
        <v>2</v>
      </c>
      <c r="F902" s="63">
        <v>1</v>
      </c>
      <c r="G902" s="64">
        <f t="shared" si="56"/>
        <v>0.5</v>
      </c>
      <c r="H902" s="64">
        <f t="shared" si="57"/>
        <v>0.25</v>
      </c>
      <c r="I902" s="63">
        <v>2</v>
      </c>
      <c r="J902" s="65">
        <v>99.950850000000003</v>
      </c>
      <c r="K902" s="65">
        <v>92.11</v>
      </c>
      <c r="L902" s="62" t="s">
        <v>825</v>
      </c>
      <c r="M902" s="63">
        <v>0</v>
      </c>
      <c r="N902" s="66">
        <f t="shared" si="58"/>
        <v>0.95299999999999996</v>
      </c>
      <c r="O902" s="62" t="str">
        <f t="shared" si="59"/>
        <v>4: Engaged Early</v>
      </c>
    </row>
    <row r="903" spans="1:15" ht="15" customHeight="1" x14ac:dyDescent="0.4">
      <c r="A903" s="62" t="s">
        <v>824</v>
      </c>
      <c r="B903" s="62" t="s">
        <v>1518</v>
      </c>
      <c r="C903" s="62" t="s">
        <v>826</v>
      </c>
      <c r="D903" s="63">
        <v>8</v>
      </c>
      <c r="E903" s="63">
        <v>7</v>
      </c>
      <c r="F903" s="63">
        <v>1</v>
      </c>
      <c r="G903" s="64">
        <f t="shared" si="56"/>
        <v>0.875</v>
      </c>
      <c r="H903" s="64">
        <f t="shared" si="57"/>
        <v>0.125</v>
      </c>
      <c r="I903" s="63">
        <v>2</v>
      </c>
      <c r="J903" s="65">
        <v>98.629800000000003</v>
      </c>
      <c r="K903" s="65">
        <v>100</v>
      </c>
      <c r="L903" s="62" t="s">
        <v>825</v>
      </c>
      <c r="M903" s="63">
        <v>0</v>
      </c>
      <c r="N903" s="66">
        <f t="shared" si="58"/>
        <v>0.998</v>
      </c>
      <c r="O903" s="62" t="str">
        <f t="shared" si="59"/>
        <v>4: Engaged Early</v>
      </c>
    </row>
    <row r="904" spans="1:15" ht="15" customHeight="1" x14ac:dyDescent="0.4">
      <c r="A904" s="62" t="s">
        <v>824</v>
      </c>
      <c r="B904" s="62" t="s">
        <v>1519</v>
      </c>
      <c r="C904" s="62" t="s">
        <v>826</v>
      </c>
      <c r="D904" s="63">
        <v>13</v>
      </c>
      <c r="E904" s="63">
        <v>7</v>
      </c>
      <c r="F904" s="63">
        <v>2</v>
      </c>
      <c r="G904" s="64">
        <f t="shared" si="56"/>
        <v>0.53846153846153844</v>
      </c>
      <c r="H904" s="64">
        <f t="shared" si="57"/>
        <v>0.15384615384615385</v>
      </c>
      <c r="I904" s="63">
        <v>0</v>
      </c>
      <c r="J904" s="65"/>
      <c r="K904" s="65">
        <v>0</v>
      </c>
      <c r="L904" s="62" t="s">
        <v>826</v>
      </c>
      <c r="M904" s="63">
        <v>0</v>
      </c>
      <c r="N904" s="66">
        <f t="shared" si="58"/>
        <v>0</v>
      </c>
      <c r="O904" s="62" t="str">
        <f t="shared" si="59"/>
        <v>1: Critical (No DBWT + No Wk0)</v>
      </c>
    </row>
    <row r="905" spans="1:15" ht="15" customHeight="1" x14ac:dyDescent="0.4">
      <c r="A905" s="62" t="s">
        <v>824</v>
      </c>
      <c r="B905" s="62" t="s">
        <v>1520</v>
      </c>
      <c r="C905" s="62" t="s">
        <v>826</v>
      </c>
      <c r="D905" s="63">
        <v>14</v>
      </c>
      <c r="E905" s="63">
        <v>3</v>
      </c>
      <c r="F905" s="63">
        <v>0</v>
      </c>
      <c r="G905" s="64">
        <f t="shared" si="56"/>
        <v>0.21428571428571427</v>
      </c>
      <c r="H905" s="64">
        <f t="shared" si="57"/>
        <v>0</v>
      </c>
      <c r="I905" s="63">
        <v>2</v>
      </c>
      <c r="J905" s="65">
        <v>88.818600000000004</v>
      </c>
      <c r="K905" s="65">
        <v>100</v>
      </c>
      <c r="L905" s="62" t="s">
        <v>825</v>
      </c>
      <c r="M905" s="63">
        <v>0</v>
      </c>
      <c r="N905" s="66">
        <f t="shared" si="58"/>
        <v>0.98299999999999998</v>
      </c>
      <c r="O905" s="62" t="str">
        <f t="shared" si="59"/>
        <v>4: Engaged Early</v>
      </c>
    </row>
    <row r="906" spans="1:15" ht="15" customHeight="1" x14ac:dyDescent="0.4">
      <c r="A906" s="62" t="s">
        <v>824</v>
      </c>
      <c r="B906" s="62" t="s">
        <v>1521</v>
      </c>
      <c r="C906" s="62" t="s">
        <v>826</v>
      </c>
      <c r="D906" s="63">
        <v>0</v>
      </c>
      <c r="E906" s="63">
        <v>0</v>
      </c>
      <c r="F906" s="63">
        <v>0</v>
      </c>
      <c r="G906" s="64">
        <f t="shared" si="56"/>
        <v>0</v>
      </c>
      <c r="H906" s="64">
        <f t="shared" si="57"/>
        <v>0</v>
      </c>
      <c r="I906" s="63">
        <v>0</v>
      </c>
      <c r="J906" s="65"/>
      <c r="K906" s="65">
        <v>0.11</v>
      </c>
      <c r="L906" s="62" t="s">
        <v>840</v>
      </c>
      <c r="M906" s="63">
        <v>0</v>
      </c>
      <c r="N906" s="66">
        <f t="shared" si="58"/>
        <v>7.5999999999999998E-2</v>
      </c>
      <c r="O906" s="62" t="str">
        <f t="shared" si="59"/>
        <v>3: Elevated (No Wk0)</v>
      </c>
    </row>
    <row r="907" spans="1:15" ht="15" customHeight="1" x14ac:dyDescent="0.4">
      <c r="A907" s="62" t="s">
        <v>824</v>
      </c>
      <c r="B907" s="62" t="s">
        <v>1522</v>
      </c>
      <c r="C907" s="62" t="s">
        <v>826</v>
      </c>
      <c r="D907" s="63">
        <v>0</v>
      </c>
      <c r="E907" s="63">
        <v>0</v>
      </c>
      <c r="F907" s="63">
        <v>0</v>
      </c>
      <c r="G907" s="64">
        <f t="shared" si="56"/>
        <v>0</v>
      </c>
      <c r="H907" s="64">
        <f t="shared" si="57"/>
        <v>0</v>
      </c>
      <c r="I907" s="63">
        <v>1</v>
      </c>
      <c r="J907" s="65">
        <v>88.36</v>
      </c>
      <c r="K907" s="65">
        <v>16.670000000000002</v>
      </c>
      <c r="L907" s="62" t="s">
        <v>840</v>
      </c>
      <c r="M907" s="63">
        <v>0</v>
      </c>
      <c r="N907" s="66">
        <f t="shared" si="58"/>
        <v>0.308</v>
      </c>
      <c r="O907" s="62" t="str">
        <f t="shared" si="59"/>
        <v>4: Engaged Early</v>
      </c>
    </row>
    <row r="908" spans="1:15" ht="15" customHeight="1" x14ac:dyDescent="0.4">
      <c r="A908" s="62" t="s">
        <v>824</v>
      </c>
      <c r="B908" s="62" t="s">
        <v>573</v>
      </c>
      <c r="C908" s="62" t="s">
        <v>825</v>
      </c>
      <c r="D908" s="63">
        <v>14</v>
      </c>
      <c r="E908" s="63">
        <v>0</v>
      </c>
      <c r="F908" s="63">
        <v>0</v>
      </c>
      <c r="G908" s="64">
        <f t="shared" si="56"/>
        <v>0</v>
      </c>
      <c r="H908" s="64">
        <f t="shared" si="57"/>
        <v>0</v>
      </c>
      <c r="I908" s="63">
        <v>0</v>
      </c>
      <c r="J908" s="65"/>
      <c r="K908" s="65">
        <v>0</v>
      </c>
      <c r="L908" s="62" t="s">
        <v>825</v>
      </c>
      <c r="M908" s="63">
        <v>0</v>
      </c>
      <c r="N908" s="66">
        <f t="shared" si="58"/>
        <v>0.25</v>
      </c>
      <c r="O908" s="62" t="str">
        <f t="shared" si="59"/>
        <v>3: Elevated (No Wk0)</v>
      </c>
    </row>
    <row r="909" spans="1:15" ht="15" customHeight="1" x14ac:dyDescent="0.4">
      <c r="A909" s="62" t="s">
        <v>824</v>
      </c>
      <c r="B909" s="62" t="s">
        <v>1523</v>
      </c>
      <c r="C909" s="62" t="s">
        <v>826</v>
      </c>
      <c r="D909" s="63">
        <v>17</v>
      </c>
      <c r="E909" s="63">
        <v>13</v>
      </c>
      <c r="F909" s="63">
        <v>0</v>
      </c>
      <c r="G909" s="64">
        <f t="shared" si="56"/>
        <v>0.76470588235294112</v>
      </c>
      <c r="H909" s="64">
        <f t="shared" si="57"/>
        <v>0</v>
      </c>
      <c r="I909" s="63">
        <v>1</v>
      </c>
      <c r="J909" s="65">
        <v>87.18</v>
      </c>
      <c r="K909" s="65">
        <v>36.86</v>
      </c>
      <c r="L909" s="62" t="s">
        <v>825</v>
      </c>
      <c r="M909" s="63">
        <v>1</v>
      </c>
      <c r="N909" s="66">
        <f t="shared" si="58"/>
        <v>0.60199999999999998</v>
      </c>
      <c r="O909" s="62" t="str">
        <f t="shared" si="59"/>
        <v>4: Engaged Early</v>
      </c>
    </row>
    <row r="910" spans="1:15" ht="15" customHeight="1" x14ac:dyDescent="0.4">
      <c r="A910" s="62" t="s">
        <v>824</v>
      </c>
      <c r="B910" s="62" t="s">
        <v>1524</v>
      </c>
      <c r="C910" s="62" t="s">
        <v>826</v>
      </c>
      <c r="D910" s="63">
        <v>0</v>
      </c>
      <c r="E910" s="63">
        <v>0</v>
      </c>
      <c r="F910" s="63">
        <v>0</v>
      </c>
      <c r="G910" s="64">
        <f t="shared" si="56"/>
        <v>0</v>
      </c>
      <c r="H910" s="64">
        <f t="shared" si="57"/>
        <v>0</v>
      </c>
      <c r="I910" s="63">
        <v>0</v>
      </c>
      <c r="J910" s="65"/>
      <c r="K910" s="65">
        <v>77.760000000000005</v>
      </c>
      <c r="L910" s="62" t="s">
        <v>840</v>
      </c>
      <c r="M910" s="63">
        <v>0</v>
      </c>
      <c r="N910" s="66">
        <f t="shared" si="58"/>
        <v>0.54200000000000004</v>
      </c>
      <c r="O910" s="62" t="str">
        <f t="shared" si="59"/>
        <v>3: Elevated (No Wk0)</v>
      </c>
    </row>
    <row r="911" spans="1:15" ht="15" customHeight="1" x14ac:dyDescent="0.4">
      <c r="A911" s="62" t="s">
        <v>824</v>
      </c>
      <c r="B911" s="62" t="s">
        <v>1525</v>
      </c>
      <c r="C911" s="62" t="s">
        <v>826</v>
      </c>
      <c r="D911" s="63">
        <v>7</v>
      </c>
      <c r="E911" s="63">
        <v>0</v>
      </c>
      <c r="F911" s="63">
        <v>0</v>
      </c>
      <c r="G911" s="64">
        <f t="shared" si="56"/>
        <v>0</v>
      </c>
      <c r="H911" s="64">
        <f t="shared" si="57"/>
        <v>0</v>
      </c>
      <c r="I911" s="63">
        <v>1</v>
      </c>
      <c r="J911" s="65">
        <v>91.9</v>
      </c>
      <c r="K911" s="65">
        <v>59.73</v>
      </c>
      <c r="L911" s="62" t="s">
        <v>825</v>
      </c>
      <c r="M911" s="63">
        <v>0</v>
      </c>
      <c r="N911" s="66">
        <f t="shared" si="58"/>
        <v>0.746</v>
      </c>
      <c r="O911" s="62" t="str">
        <f t="shared" si="59"/>
        <v>4: Engaged Early</v>
      </c>
    </row>
    <row r="912" spans="1:15" ht="15" customHeight="1" x14ac:dyDescent="0.4">
      <c r="A912" s="62" t="s">
        <v>824</v>
      </c>
      <c r="B912" s="62" t="s">
        <v>1526</v>
      </c>
      <c r="C912" s="62" t="s">
        <v>826</v>
      </c>
      <c r="D912" s="63">
        <v>12</v>
      </c>
      <c r="E912" s="63">
        <v>9</v>
      </c>
      <c r="F912" s="63">
        <v>1</v>
      </c>
      <c r="G912" s="64">
        <f t="shared" si="56"/>
        <v>0.75</v>
      </c>
      <c r="H912" s="64">
        <f t="shared" si="57"/>
        <v>8.3333333333333329E-2</v>
      </c>
      <c r="I912" s="63">
        <v>2</v>
      </c>
      <c r="J912" s="65">
        <v>99.204999999999998</v>
      </c>
      <c r="K912" s="65">
        <v>100</v>
      </c>
      <c r="L912" s="62" t="s">
        <v>825</v>
      </c>
      <c r="M912" s="63">
        <v>1</v>
      </c>
      <c r="N912" s="66">
        <f t="shared" si="58"/>
        <v>0.999</v>
      </c>
      <c r="O912" s="62" t="str">
        <f t="shared" si="59"/>
        <v>4: Engaged Early</v>
      </c>
    </row>
    <row r="913" spans="1:15" ht="15" customHeight="1" x14ac:dyDescent="0.4">
      <c r="A913" s="62" t="s">
        <v>824</v>
      </c>
      <c r="B913" s="62" t="s">
        <v>1527</v>
      </c>
      <c r="C913" s="62" t="s">
        <v>826</v>
      </c>
      <c r="D913" s="63">
        <v>23</v>
      </c>
      <c r="E913" s="63">
        <v>11</v>
      </c>
      <c r="F913" s="63">
        <v>0</v>
      </c>
      <c r="G913" s="64">
        <f t="shared" si="56"/>
        <v>0.47826086956521741</v>
      </c>
      <c r="H913" s="64">
        <f t="shared" si="57"/>
        <v>0</v>
      </c>
      <c r="I913" s="63">
        <v>2</v>
      </c>
      <c r="J913" s="65">
        <v>86.394000000000005</v>
      </c>
      <c r="K913" s="65">
        <v>95.56</v>
      </c>
      <c r="L913" s="62" t="s">
        <v>825</v>
      </c>
      <c r="M913" s="63">
        <v>0</v>
      </c>
      <c r="N913" s="66">
        <f t="shared" si="58"/>
        <v>0.95299999999999996</v>
      </c>
      <c r="O913" s="62" t="str">
        <f t="shared" si="59"/>
        <v>4: Engaged Early</v>
      </c>
    </row>
    <row r="914" spans="1:15" ht="15" customHeight="1" x14ac:dyDescent="0.4">
      <c r="A914" s="62" t="s">
        <v>824</v>
      </c>
      <c r="B914" s="62" t="s">
        <v>1528</v>
      </c>
      <c r="C914" s="62" t="s">
        <v>826</v>
      </c>
      <c r="D914" s="63">
        <v>5</v>
      </c>
      <c r="E914" s="63">
        <v>1</v>
      </c>
      <c r="F914" s="63">
        <v>0</v>
      </c>
      <c r="G914" s="64">
        <f t="shared" si="56"/>
        <v>0.2</v>
      </c>
      <c r="H914" s="64">
        <f t="shared" si="57"/>
        <v>0</v>
      </c>
      <c r="I914" s="63">
        <v>2</v>
      </c>
      <c r="J914" s="65">
        <v>97.051199999999994</v>
      </c>
      <c r="K914" s="65">
        <v>100</v>
      </c>
      <c r="L914" s="62" t="s">
        <v>825</v>
      </c>
      <c r="M914" s="63">
        <v>0</v>
      </c>
      <c r="N914" s="66">
        <f t="shared" si="58"/>
        <v>0.996</v>
      </c>
      <c r="O914" s="62" t="str">
        <f t="shared" si="59"/>
        <v>4: Engaged Early</v>
      </c>
    </row>
    <row r="915" spans="1:15" ht="15" customHeight="1" x14ac:dyDescent="0.4">
      <c r="A915" s="62" t="s">
        <v>824</v>
      </c>
      <c r="B915" s="62" t="s">
        <v>1529</v>
      </c>
      <c r="C915" s="62" t="s">
        <v>826</v>
      </c>
      <c r="D915" s="63">
        <v>5</v>
      </c>
      <c r="E915" s="63">
        <v>0</v>
      </c>
      <c r="F915" s="63">
        <v>0</v>
      </c>
      <c r="G915" s="64">
        <f t="shared" si="56"/>
        <v>0</v>
      </c>
      <c r="H915" s="64">
        <f t="shared" si="57"/>
        <v>0</v>
      </c>
      <c r="I915" s="63">
        <v>2</v>
      </c>
      <c r="J915" s="65">
        <v>90.66095</v>
      </c>
      <c r="K915" s="65">
        <v>100</v>
      </c>
      <c r="L915" s="62" t="s">
        <v>826</v>
      </c>
      <c r="M915" s="63">
        <v>0</v>
      </c>
      <c r="N915" s="66">
        <f t="shared" si="58"/>
        <v>0.73599999999999999</v>
      </c>
      <c r="O915" s="62" t="str">
        <f t="shared" si="59"/>
        <v>2: High (No DBWT)</v>
      </c>
    </row>
    <row r="916" spans="1:15" ht="15" customHeight="1" x14ac:dyDescent="0.4">
      <c r="A916" s="62" t="s">
        <v>824</v>
      </c>
      <c r="B916" s="62" t="s">
        <v>1530</v>
      </c>
      <c r="C916" s="62" t="s">
        <v>826</v>
      </c>
      <c r="D916" s="63">
        <v>13</v>
      </c>
      <c r="E916" s="63">
        <v>4</v>
      </c>
      <c r="F916" s="63">
        <v>3</v>
      </c>
      <c r="G916" s="64">
        <f t="shared" si="56"/>
        <v>0.30769230769230771</v>
      </c>
      <c r="H916" s="64">
        <f t="shared" si="57"/>
        <v>0.23076923076923078</v>
      </c>
      <c r="I916" s="63">
        <v>2</v>
      </c>
      <c r="J916" s="65">
        <v>94.697149999999993</v>
      </c>
      <c r="K916" s="65">
        <v>100</v>
      </c>
      <c r="L916" s="62" t="s">
        <v>825</v>
      </c>
      <c r="M916" s="63">
        <v>0</v>
      </c>
      <c r="N916" s="66">
        <f t="shared" si="58"/>
        <v>0.99199999999999999</v>
      </c>
      <c r="O916" s="62" t="str">
        <f t="shared" si="59"/>
        <v>4: Engaged Early</v>
      </c>
    </row>
    <row r="917" spans="1:15" ht="15" customHeight="1" x14ac:dyDescent="0.4">
      <c r="A917" s="62" t="s">
        <v>824</v>
      </c>
      <c r="B917" s="62" t="s">
        <v>1531</v>
      </c>
      <c r="C917" s="62" t="s">
        <v>826</v>
      </c>
      <c r="D917" s="63">
        <v>13</v>
      </c>
      <c r="E917" s="63">
        <v>9</v>
      </c>
      <c r="F917" s="63">
        <v>6</v>
      </c>
      <c r="G917" s="64">
        <f t="shared" si="56"/>
        <v>0.69230769230769229</v>
      </c>
      <c r="H917" s="64">
        <f t="shared" si="57"/>
        <v>0.46153846153846156</v>
      </c>
      <c r="I917" s="63">
        <v>2</v>
      </c>
      <c r="J917" s="65">
        <v>93.703149999999994</v>
      </c>
      <c r="K917" s="65">
        <v>100</v>
      </c>
      <c r="L917" s="62" t="s">
        <v>825</v>
      </c>
      <c r="M917" s="63">
        <v>0</v>
      </c>
      <c r="N917" s="66">
        <f t="shared" si="58"/>
        <v>0.99099999999999999</v>
      </c>
      <c r="O917" s="62" t="str">
        <f t="shared" si="59"/>
        <v>4: Engaged Early</v>
      </c>
    </row>
    <row r="918" spans="1:15" ht="15" customHeight="1" x14ac:dyDescent="0.4">
      <c r="A918" s="62" t="s">
        <v>824</v>
      </c>
      <c r="B918" s="62" t="s">
        <v>1532</v>
      </c>
      <c r="C918" s="62" t="s">
        <v>826</v>
      </c>
      <c r="D918" s="63">
        <v>4</v>
      </c>
      <c r="E918" s="63">
        <v>4</v>
      </c>
      <c r="F918" s="63">
        <v>3</v>
      </c>
      <c r="G918" s="64">
        <f t="shared" si="56"/>
        <v>1</v>
      </c>
      <c r="H918" s="64">
        <f t="shared" si="57"/>
        <v>0.75</v>
      </c>
      <c r="I918" s="63">
        <v>2</v>
      </c>
      <c r="J918" s="65">
        <v>56.573799999999999</v>
      </c>
      <c r="K918" s="65">
        <v>63.98</v>
      </c>
      <c r="L918" s="62" t="s">
        <v>825</v>
      </c>
      <c r="M918" s="63">
        <v>0</v>
      </c>
      <c r="N918" s="66">
        <f t="shared" si="58"/>
        <v>0.71899999999999997</v>
      </c>
      <c r="O918" s="62" t="str">
        <f t="shared" si="59"/>
        <v>4: Engaged Early</v>
      </c>
    </row>
    <row r="919" spans="1:15" ht="15" customHeight="1" x14ac:dyDescent="0.4">
      <c r="A919" s="62" t="s">
        <v>824</v>
      </c>
      <c r="B919" s="62" t="s">
        <v>1533</v>
      </c>
      <c r="C919" s="62" t="s">
        <v>826</v>
      </c>
      <c r="D919" s="63">
        <v>17</v>
      </c>
      <c r="E919" s="63">
        <v>3</v>
      </c>
      <c r="F919" s="63">
        <v>2</v>
      </c>
      <c r="G919" s="64">
        <f t="shared" si="56"/>
        <v>0.17647058823529413</v>
      </c>
      <c r="H919" s="64">
        <f t="shared" si="57"/>
        <v>0.11764705882352941</v>
      </c>
      <c r="I919" s="63">
        <v>2</v>
      </c>
      <c r="J919" s="65">
        <v>94.026449999999997</v>
      </c>
      <c r="K919" s="65">
        <v>100</v>
      </c>
      <c r="L919" s="62" t="s">
        <v>825</v>
      </c>
      <c r="M919" s="63">
        <v>1</v>
      </c>
      <c r="N919" s="66">
        <f t="shared" si="58"/>
        <v>0.99099999999999999</v>
      </c>
      <c r="O919" s="62" t="str">
        <f t="shared" si="59"/>
        <v>4: Engaged Early</v>
      </c>
    </row>
    <row r="920" spans="1:15" ht="15" customHeight="1" x14ac:dyDescent="0.4">
      <c r="A920" s="62" t="s">
        <v>824</v>
      </c>
      <c r="B920" s="62" t="s">
        <v>445</v>
      </c>
      <c r="C920" s="62" t="s">
        <v>825</v>
      </c>
      <c r="D920" s="63">
        <v>20</v>
      </c>
      <c r="E920" s="63">
        <v>8</v>
      </c>
      <c r="F920" s="63">
        <v>1</v>
      </c>
      <c r="G920" s="64">
        <f t="shared" si="56"/>
        <v>0.4</v>
      </c>
      <c r="H920" s="64">
        <f t="shared" si="57"/>
        <v>0.05</v>
      </c>
      <c r="I920" s="63">
        <v>0</v>
      </c>
      <c r="J920" s="65"/>
      <c r="K920" s="65">
        <v>3.34</v>
      </c>
      <c r="L920" s="62" t="s">
        <v>825</v>
      </c>
      <c r="M920" s="63">
        <v>0</v>
      </c>
      <c r="N920" s="66">
        <f t="shared" si="58"/>
        <v>0.27</v>
      </c>
      <c r="O920" s="62" t="str">
        <f t="shared" si="59"/>
        <v>3: Elevated (No Wk0)</v>
      </c>
    </row>
    <row r="921" spans="1:15" ht="15" customHeight="1" x14ac:dyDescent="0.4">
      <c r="A921" s="62" t="s">
        <v>824</v>
      </c>
      <c r="B921" s="62" t="s">
        <v>1534</v>
      </c>
      <c r="C921" s="62" t="s">
        <v>826</v>
      </c>
      <c r="D921" s="63">
        <v>16</v>
      </c>
      <c r="E921" s="63">
        <v>15</v>
      </c>
      <c r="F921" s="63">
        <v>0</v>
      </c>
      <c r="G921" s="64">
        <f t="shared" si="56"/>
        <v>0.9375</v>
      </c>
      <c r="H921" s="64">
        <f t="shared" si="57"/>
        <v>0</v>
      </c>
      <c r="I921" s="63">
        <v>2</v>
      </c>
      <c r="J921" s="65">
        <v>86.383949999999999</v>
      </c>
      <c r="K921" s="65">
        <v>100</v>
      </c>
      <c r="L921" s="62" t="s">
        <v>825</v>
      </c>
      <c r="M921" s="63">
        <v>0</v>
      </c>
      <c r="N921" s="66">
        <f t="shared" si="58"/>
        <v>0.98</v>
      </c>
      <c r="O921" s="62" t="str">
        <f t="shared" si="59"/>
        <v>4: Engaged Early</v>
      </c>
    </row>
    <row r="922" spans="1:15" ht="15" customHeight="1" x14ac:dyDescent="0.4">
      <c r="A922" s="62" t="s">
        <v>824</v>
      </c>
      <c r="B922" s="62" t="s">
        <v>463</v>
      </c>
      <c r="C922" s="62" t="s">
        <v>825</v>
      </c>
      <c r="D922" s="63">
        <v>10</v>
      </c>
      <c r="E922" s="63">
        <v>8</v>
      </c>
      <c r="F922" s="63">
        <v>0</v>
      </c>
      <c r="G922" s="64">
        <f t="shared" si="56"/>
        <v>0.8</v>
      </c>
      <c r="H922" s="64">
        <f t="shared" si="57"/>
        <v>0</v>
      </c>
      <c r="I922" s="63">
        <v>1</v>
      </c>
      <c r="J922" s="65">
        <v>83.42</v>
      </c>
      <c r="K922" s="65">
        <v>25</v>
      </c>
      <c r="L922" s="62" t="s">
        <v>826</v>
      </c>
      <c r="M922" s="63">
        <v>0</v>
      </c>
      <c r="N922" s="66">
        <f t="shared" si="58"/>
        <v>0.27500000000000002</v>
      </c>
      <c r="O922" s="62" t="str">
        <f t="shared" si="59"/>
        <v>2: High (No DBWT)</v>
      </c>
    </row>
    <row r="923" spans="1:15" ht="15" customHeight="1" x14ac:dyDescent="0.4">
      <c r="A923" s="62" t="s">
        <v>824</v>
      </c>
      <c r="B923" s="62" t="s">
        <v>1535</v>
      </c>
      <c r="C923" s="62" t="s">
        <v>826</v>
      </c>
      <c r="D923" s="63">
        <v>3</v>
      </c>
      <c r="E923" s="63">
        <v>2</v>
      </c>
      <c r="F923" s="63">
        <v>0</v>
      </c>
      <c r="G923" s="64">
        <f t="shared" si="56"/>
        <v>0.66666666666666663</v>
      </c>
      <c r="H923" s="64">
        <f t="shared" si="57"/>
        <v>0</v>
      </c>
      <c r="I923" s="63">
        <v>2</v>
      </c>
      <c r="J923" s="65">
        <v>92.605000000000004</v>
      </c>
      <c r="K923" s="65">
        <v>98.9</v>
      </c>
      <c r="L923" s="62" t="s">
        <v>825</v>
      </c>
      <c r="M923" s="63">
        <v>0</v>
      </c>
      <c r="N923" s="66">
        <f t="shared" si="58"/>
        <v>0.98199999999999998</v>
      </c>
      <c r="O923" s="62" t="str">
        <f t="shared" si="59"/>
        <v>4: Engaged Early</v>
      </c>
    </row>
    <row r="924" spans="1:15" ht="15" customHeight="1" x14ac:dyDescent="0.4">
      <c r="A924" s="62" t="s">
        <v>824</v>
      </c>
      <c r="B924" s="62" t="s">
        <v>1536</v>
      </c>
      <c r="C924" s="62" t="s">
        <v>826</v>
      </c>
      <c r="D924" s="63">
        <v>22</v>
      </c>
      <c r="E924" s="63">
        <v>2</v>
      </c>
      <c r="F924" s="63">
        <v>0</v>
      </c>
      <c r="G924" s="64">
        <f t="shared" si="56"/>
        <v>9.0909090909090912E-2</v>
      </c>
      <c r="H924" s="64">
        <f t="shared" si="57"/>
        <v>0</v>
      </c>
      <c r="I924" s="63">
        <v>1</v>
      </c>
      <c r="J924" s="65">
        <v>64.739999999999995</v>
      </c>
      <c r="K924" s="65">
        <v>10.119999999999999</v>
      </c>
      <c r="L924" s="62" t="s">
        <v>825</v>
      </c>
      <c r="M924" s="63">
        <v>0</v>
      </c>
      <c r="N924" s="66">
        <f t="shared" si="58"/>
        <v>0.40799999999999997</v>
      </c>
      <c r="O924" s="62" t="str">
        <f t="shared" si="59"/>
        <v>4: Engaged Early</v>
      </c>
    </row>
    <row r="925" spans="1:15" ht="15" customHeight="1" x14ac:dyDescent="0.4">
      <c r="A925" s="62" t="s">
        <v>824</v>
      </c>
      <c r="B925" s="62" t="s">
        <v>1537</v>
      </c>
      <c r="C925" s="62" t="s">
        <v>826</v>
      </c>
      <c r="D925" s="63">
        <v>12</v>
      </c>
      <c r="E925" s="63">
        <v>8</v>
      </c>
      <c r="F925" s="63">
        <v>3</v>
      </c>
      <c r="G925" s="64">
        <f t="shared" si="56"/>
        <v>0.66666666666666663</v>
      </c>
      <c r="H925" s="64">
        <f t="shared" si="57"/>
        <v>0.25</v>
      </c>
      <c r="I925" s="63">
        <v>2</v>
      </c>
      <c r="J925" s="65">
        <v>96.216449999999995</v>
      </c>
      <c r="K925" s="65">
        <v>100</v>
      </c>
      <c r="L925" s="62" t="s">
        <v>825</v>
      </c>
      <c r="M925" s="63">
        <v>0</v>
      </c>
      <c r="N925" s="66">
        <f t="shared" si="58"/>
        <v>0.99399999999999999</v>
      </c>
      <c r="O925" s="62" t="str">
        <f t="shared" si="59"/>
        <v>4: Engaged Early</v>
      </c>
    </row>
    <row r="926" spans="1:15" ht="15" customHeight="1" x14ac:dyDescent="0.4">
      <c r="A926" s="62" t="s">
        <v>824</v>
      </c>
      <c r="B926" s="62" t="s">
        <v>1538</v>
      </c>
      <c r="C926" s="62" t="s">
        <v>826</v>
      </c>
      <c r="D926" s="63">
        <v>8</v>
      </c>
      <c r="E926" s="63">
        <v>8</v>
      </c>
      <c r="F926" s="63">
        <v>4</v>
      </c>
      <c r="G926" s="64">
        <f t="shared" si="56"/>
        <v>1</v>
      </c>
      <c r="H926" s="64">
        <f t="shared" si="57"/>
        <v>0.5</v>
      </c>
      <c r="I926" s="63">
        <v>2</v>
      </c>
      <c r="J926" s="65">
        <v>97.74785</v>
      </c>
      <c r="K926" s="65">
        <v>99.73</v>
      </c>
      <c r="L926" s="62" t="s">
        <v>825</v>
      </c>
      <c r="M926" s="63">
        <v>0</v>
      </c>
      <c r="N926" s="66">
        <f t="shared" si="58"/>
        <v>0.995</v>
      </c>
      <c r="O926" s="62" t="str">
        <f t="shared" si="59"/>
        <v>4: Engaged Early</v>
      </c>
    </row>
    <row r="927" spans="1:15" ht="15" customHeight="1" x14ac:dyDescent="0.4">
      <c r="A927" s="62" t="s">
        <v>824</v>
      </c>
      <c r="B927" s="62" t="s">
        <v>1539</v>
      </c>
      <c r="C927" s="62" t="s">
        <v>826</v>
      </c>
      <c r="D927" s="63">
        <v>6</v>
      </c>
      <c r="E927" s="63">
        <v>2</v>
      </c>
      <c r="F927" s="63">
        <v>0</v>
      </c>
      <c r="G927" s="64">
        <f t="shared" si="56"/>
        <v>0.33333333333333331</v>
      </c>
      <c r="H927" s="64">
        <f t="shared" si="57"/>
        <v>0</v>
      </c>
      <c r="I927" s="63">
        <v>2</v>
      </c>
      <c r="J927" s="65">
        <v>90.422749999999994</v>
      </c>
      <c r="K927" s="65">
        <v>98.9</v>
      </c>
      <c r="L927" s="62" t="s">
        <v>825</v>
      </c>
      <c r="M927" s="63">
        <v>0</v>
      </c>
      <c r="N927" s="66">
        <f t="shared" si="58"/>
        <v>0.97899999999999998</v>
      </c>
      <c r="O927" s="62" t="str">
        <f t="shared" si="59"/>
        <v>4: Engaged Early</v>
      </c>
    </row>
    <row r="928" spans="1:15" ht="15" customHeight="1" x14ac:dyDescent="0.4">
      <c r="A928" s="62" t="s">
        <v>824</v>
      </c>
      <c r="B928" s="62" t="s">
        <v>1540</v>
      </c>
      <c r="C928" s="62" t="s">
        <v>826</v>
      </c>
      <c r="D928" s="63">
        <v>6</v>
      </c>
      <c r="E928" s="63">
        <v>3</v>
      </c>
      <c r="F928" s="63">
        <v>0</v>
      </c>
      <c r="G928" s="64">
        <f t="shared" si="56"/>
        <v>0.5</v>
      </c>
      <c r="H928" s="64">
        <f t="shared" si="57"/>
        <v>0</v>
      </c>
      <c r="I928" s="63">
        <v>2</v>
      </c>
      <c r="J928" s="65">
        <v>98.683949999999996</v>
      </c>
      <c r="K928" s="65">
        <v>98.96</v>
      </c>
      <c r="L928" s="62" t="s">
        <v>826</v>
      </c>
      <c r="M928" s="63">
        <v>0</v>
      </c>
      <c r="N928" s="66">
        <f t="shared" si="58"/>
        <v>0.74199999999999999</v>
      </c>
      <c r="O928" s="62" t="str">
        <f t="shared" si="59"/>
        <v>2: High (No DBWT)</v>
      </c>
    </row>
    <row r="929" spans="1:15" ht="15" customHeight="1" x14ac:dyDescent="0.4">
      <c r="A929" s="62" t="s">
        <v>824</v>
      </c>
      <c r="B929" s="62" t="s">
        <v>1541</v>
      </c>
      <c r="C929" s="62" t="s">
        <v>826</v>
      </c>
      <c r="D929" s="63">
        <v>17</v>
      </c>
      <c r="E929" s="63">
        <v>2</v>
      </c>
      <c r="F929" s="63">
        <v>1</v>
      </c>
      <c r="G929" s="64">
        <f t="shared" si="56"/>
        <v>0.11764705882352941</v>
      </c>
      <c r="H929" s="64">
        <f t="shared" si="57"/>
        <v>5.8823529411764705E-2</v>
      </c>
      <c r="I929" s="63">
        <v>2</v>
      </c>
      <c r="J929" s="65">
        <v>98.963449999999995</v>
      </c>
      <c r="K929" s="65">
        <v>98.87</v>
      </c>
      <c r="L929" s="62" t="s">
        <v>825</v>
      </c>
      <c r="M929" s="63">
        <v>0</v>
      </c>
      <c r="N929" s="66">
        <f t="shared" si="58"/>
        <v>0.99199999999999999</v>
      </c>
      <c r="O929" s="62" t="str">
        <f t="shared" si="59"/>
        <v>4: Engaged Early</v>
      </c>
    </row>
    <row r="930" spans="1:15" ht="15" customHeight="1" x14ac:dyDescent="0.4">
      <c r="A930" s="62" t="s">
        <v>824</v>
      </c>
      <c r="B930" s="62" t="s">
        <v>643</v>
      </c>
      <c r="C930" s="62" t="s">
        <v>825</v>
      </c>
      <c r="D930" s="63">
        <v>17</v>
      </c>
      <c r="E930" s="63">
        <v>11</v>
      </c>
      <c r="F930" s="63">
        <v>2</v>
      </c>
      <c r="G930" s="64">
        <f t="shared" si="56"/>
        <v>0.6470588235294118</v>
      </c>
      <c r="H930" s="64">
        <f t="shared" si="57"/>
        <v>0.11764705882352941</v>
      </c>
      <c r="I930" s="63">
        <v>2</v>
      </c>
      <c r="J930" s="65">
        <v>93.71</v>
      </c>
      <c r="K930" s="65">
        <v>69.08</v>
      </c>
      <c r="L930" s="62" t="s">
        <v>825</v>
      </c>
      <c r="M930" s="63">
        <v>0</v>
      </c>
      <c r="N930" s="66">
        <f t="shared" si="58"/>
        <v>0.80500000000000005</v>
      </c>
      <c r="O930" s="62" t="str">
        <f t="shared" si="59"/>
        <v>4: Engaged Early</v>
      </c>
    </row>
    <row r="931" spans="1:15" ht="15" customHeight="1" x14ac:dyDescent="0.4">
      <c r="A931" s="62" t="s">
        <v>824</v>
      </c>
      <c r="B931" s="62" t="s">
        <v>1542</v>
      </c>
      <c r="C931" s="62" t="s">
        <v>826</v>
      </c>
      <c r="D931" s="63">
        <v>0</v>
      </c>
      <c r="E931" s="63">
        <v>0</v>
      </c>
      <c r="F931" s="63">
        <v>0</v>
      </c>
      <c r="G931" s="64">
        <f t="shared" si="56"/>
        <v>0</v>
      </c>
      <c r="H931" s="64">
        <f t="shared" si="57"/>
        <v>0</v>
      </c>
      <c r="I931" s="63">
        <v>1</v>
      </c>
      <c r="J931" s="65">
        <v>100</v>
      </c>
      <c r="K931" s="65">
        <v>72.66</v>
      </c>
      <c r="L931" s="62" t="s">
        <v>840</v>
      </c>
      <c r="M931" s="63">
        <v>0</v>
      </c>
      <c r="N931" s="66">
        <f t="shared" si="58"/>
        <v>0.66100000000000003</v>
      </c>
      <c r="O931" s="62" t="str">
        <f t="shared" si="59"/>
        <v>4: Engaged Early</v>
      </c>
    </row>
    <row r="932" spans="1:15" ht="15" customHeight="1" x14ac:dyDescent="0.4">
      <c r="A932" s="62" t="s">
        <v>824</v>
      </c>
      <c r="B932" s="62" t="s">
        <v>1543</v>
      </c>
      <c r="C932" s="62" t="s">
        <v>826</v>
      </c>
      <c r="D932" s="63">
        <v>25</v>
      </c>
      <c r="E932" s="63">
        <v>8</v>
      </c>
      <c r="F932" s="63">
        <v>0</v>
      </c>
      <c r="G932" s="64">
        <f t="shared" si="56"/>
        <v>0.32</v>
      </c>
      <c r="H932" s="64">
        <f t="shared" si="57"/>
        <v>0</v>
      </c>
      <c r="I932" s="63">
        <v>2</v>
      </c>
      <c r="J932" s="65">
        <v>44.559049999999999</v>
      </c>
      <c r="K932" s="65">
        <v>23.47</v>
      </c>
      <c r="L932" s="62" t="s">
        <v>825</v>
      </c>
      <c r="M932" s="63">
        <v>0</v>
      </c>
      <c r="N932" s="66">
        <f t="shared" si="58"/>
        <v>0.45800000000000002</v>
      </c>
      <c r="O932" s="62" t="str">
        <f t="shared" si="59"/>
        <v>4: Engaged Early</v>
      </c>
    </row>
    <row r="933" spans="1:15" ht="15" customHeight="1" x14ac:dyDescent="0.4">
      <c r="A933" s="62" t="s">
        <v>824</v>
      </c>
      <c r="B933" s="62" t="s">
        <v>714</v>
      </c>
      <c r="C933" s="62" t="s">
        <v>825</v>
      </c>
      <c r="D933" s="63">
        <v>15</v>
      </c>
      <c r="E933" s="63">
        <v>13</v>
      </c>
      <c r="F933" s="63">
        <v>0</v>
      </c>
      <c r="G933" s="64">
        <f t="shared" si="56"/>
        <v>0.8666666666666667</v>
      </c>
      <c r="H933" s="64">
        <f t="shared" si="57"/>
        <v>0</v>
      </c>
      <c r="I933" s="63">
        <v>2</v>
      </c>
      <c r="J933" s="65">
        <v>81.505250000000004</v>
      </c>
      <c r="K933" s="65">
        <v>53.63</v>
      </c>
      <c r="L933" s="62" t="s">
        <v>825</v>
      </c>
      <c r="M933" s="63">
        <v>0</v>
      </c>
      <c r="N933" s="66">
        <f t="shared" si="58"/>
        <v>0.69399999999999995</v>
      </c>
      <c r="O933" s="62" t="str">
        <f t="shared" si="59"/>
        <v>4: Engaged Early</v>
      </c>
    </row>
    <row r="934" spans="1:15" ht="15" customHeight="1" x14ac:dyDescent="0.4">
      <c r="A934" s="62" t="s">
        <v>824</v>
      </c>
      <c r="B934" s="62" t="s">
        <v>1544</v>
      </c>
      <c r="C934" s="62" t="s">
        <v>826</v>
      </c>
      <c r="D934" s="63">
        <v>14</v>
      </c>
      <c r="E934" s="63">
        <v>12</v>
      </c>
      <c r="F934" s="63">
        <v>1</v>
      </c>
      <c r="G934" s="64">
        <f t="shared" si="56"/>
        <v>0.8571428571428571</v>
      </c>
      <c r="H934" s="64">
        <f t="shared" si="57"/>
        <v>7.1428571428571425E-2</v>
      </c>
      <c r="I934" s="63">
        <v>2</v>
      </c>
      <c r="J934" s="65">
        <v>80.823650000000001</v>
      </c>
      <c r="K934" s="65">
        <v>100</v>
      </c>
      <c r="L934" s="62" t="s">
        <v>825</v>
      </c>
      <c r="M934" s="63">
        <v>0</v>
      </c>
      <c r="N934" s="66">
        <f t="shared" si="58"/>
        <v>0.97099999999999997</v>
      </c>
      <c r="O934" s="62" t="str">
        <f t="shared" si="59"/>
        <v>4: Engaged Early</v>
      </c>
    </row>
    <row r="935" spans="1:15" ht="15" customHeight="1" x14ac:dyDescent="0.4">
      <c r="A935" s="62" t="s">
        <v>824</v>
      </c>
      <c r="B935" s="62" t="s">
        <v>1545</v>
      </c>
      <c r="C935" s="62" t="s">
        <v>826</v>
      </c>
      <c r="D935" s="63">
        <v>13</v>
      </c>
      <c r="E935" s="63">
        <v>7</v>
      </c>
      <c r="F935" s="63">
        <v>2</v>
      </c>
      <c r="G935" s="64">
        <f t="shared" si="56"/>
        <v>0.53846153846153844</v>
      </c>
      <c r="H935" s="64">
        <f t="shared" si="57"/>
        <v>0.15384615384615385</v>
      </c>
      <c r="I935" s="63">
        <v>2</v>
      </c>
      <c r="J935" s="65">
        <v>95.7898</v>
      </c>
      <c r="K935" s="65">
        <v>75.010000000000005</v>
      </c>
      <c r="L935" s="62" t="s">
        <v>825</v>
      </c>
      <c r="M935" s="63">
        <v>0</v>
      </c>
      <c r="N935" s="66">
        <f t="shared" si="58"/>
        <v>0.84399999999999997</v>
      </c>
      <c r="O935" s="62" t="str">
        <f t="shared" si="59"/>
        <v>4: Engaged Early</v>
      </c>
    </row>
    <row r="936" spans="1:15" ht="15" customHeight="1" x14ac:dyDescent="0.4">
      <c r="A936" s="62" t="s">
        <v>824</v>
      </c>
      <c r="B936" s="62" t="s">
        <v>1546</v>
      </c>
      <c r="C936" s="62" t="s">
        <v>826</v>
      </c>
      <c r="D936" s="63">
        <v>13</v>
      </c>
      <c r="E936" s="63">
        <v>13</v>
      </c>
      <c r="F936" s="63">
        <v>1</v>
      </c>
      <c r="G936" s="64">
        <f t="shared" si="56"/>
        <v>1</v>
      </c>
      <c r="H936" s="64">
        <f t="shared" si="57"/>
        <v>7.6923076923076927E-2</v>
      </c>
      <c r="I936" s="63">
        <v>2</v>
      </c>
      <c r="J936" s="65">
        <v>78.185900000000004</v>
      </c>
      <c r="K936" s="65">
        <v>44.98</v>
      </c>
      <c r="L936" s="62" t="s">
        <v>825</v>
      </c>
      <c r="M936" s="63">
        <v>0</v>
      </c>
      <c r="N936" s="66">
        <f t="shared" si="58"/>
        <v>0.63700000000000001</v>
      </c>
      <c r="O936" s="62" t="str">
        <f t="shared" si="59"/>
        <v>4: Engaged Early</v>
      </c>
    </row>
    <row r="937" spans="1:15" ht="15" customHeight="1" x14ac:dyDescent="0.4">
      <c r="A937" s="62" t="s">
        <v>824</v>
      </c>
      <c r="B937" s="62" t="s">
        <v>1547</v>
      </c>
      <c r="C937" s="62" t="s">
        <v>826</v>
      </c>
      <c r="D937" s="63">
        <v>5</v>
      </c>
      <c r="E937" s="63">
        <v>5</v>
      </c>
      <c r="F937" s="63">
        <v>2</v>
      </c>
      <c r="G937" s="64">
        <f t="shared" si="56"/>
        <v>1</v>
      </c>
      <c r="H937" s="64">
        <f t="shared" si="57"/>
        <v>0.4</v>
      </c>
      <c r="I937" s="63">
        <v>2</v>
      </c>
      <c r="J937" s="65">
        <v>96.998350000000002</v>
      </c>
      <c r="K937" s="65">
        <v>100</v>
      </c>
      <c r="L937" s="62" t="s">
        <v>825</v>
      </c>
      <c r="M937" s="63">
        <v>0</v>
      </c>
      <c r="N937" s="66">
        <f t="shared" si="58"/>
        <v>0.995</v>
      </c>
      <c r="O937" s="62" t="str">
        <f t="shared" si="59"/>
        <v>4: Engaged Early</v>
      </c>
    </row>
    <row r="938" spans="1:15" ht="15" customHeight="1" x14ac:dyDescent="0.4">
      <c r="A938" s="62" t="s">
        <v>824</v>
      </c>
      <c r="B938" s="62" t="s">
        <v>1548</v>
      </c>
      <c r="C938" s="62" t="s">
        <v>826</v>
      </c>
      <c r="D938" s="63">
        <v>15</v>
      </c>
      <c r="E938" s="63">
        <v>14</v>
      </c>
      <c r="F938" s="63">
        <v>1</v>
      </c>
      <c r="G938" s="64">
        <f t="shared" si="56"/>
        <v>0.93333333333333335</v>
      </c>
      <c r="H938" s="64">
        <f t="shared" si="57"/>
        <v>6.6666666666666666E-2</v>
      </c>
      <c r="I938" s="63">
        <v>2</v>
      </c>
      <c r="J938" s="65">
        <v>93.012749999999997</v>
      </c>
      <c r="K938" s="65">
        <v>100</v>
      </c>
      <c r="L938" s="62" t="s">
        <v>826</v>
      </c>
      <c r="M938" s="63">
        <v>1</v>
      </c>
      <c r="N938" s="66">
        <f t="shared" si="58"/>
        <v>0.74</v>
      </c>
      <c r="O938" s="62" t="str">
        <f t="shared" si="59"/>
        <v>2: High (No DBWT)</v>
      </c>
    </row>
    <row r="939" spans="1:15" ht="15" customHeight="1" x14ac:dyDescent="0.4">
      <c r="A939" s="62" t="s">
        <v>824</v>
      </c>
      <c r="B939" s="62" t="s">
        <v>1549</v>
      </c>
      <c r="C939" s="62" t="s">
        <v>826</v>
      </c>
      <c r="D939" s="63">
        <v>0</v>
      </c>
      <c r="E939" s="63">
        <v>0</v>
      </c>
      <c r="F939" s="63">
        <v>0</v>
      </c>
      <c r="G939" s="64">
        <f t="shared" si="56"/>
        <v>0</v>
      </c>
      <c r="H939" s="64">
        <f t="shared" si="57"/>
        <v>0</v>
      </c>
      <c r="I939" s="63">
        <v>1</v>
      </c>
      <c r="J939" s="65">
        <v>33.590000000000003</v>
      </c>
      <c r="K939" s="65">
        <v>72.62</v>
      </c>
      <c r="L939" s="62" t="s">
        <v>840</v>
      </c>
      <c r="M939" s="63">
        <v>0</v>
      </c>
      <c r="N939" s="66">
        <f t="shared" si="58"/>
        <v>0.56100000000000005</v>
      </c>
      <c r="O939" s="62" t="str">
        <f t="shared" si="59"/>
        <v>4: Engaged Early</v>
      </c>
    </row>
    <row r="940" spans="1:15" ht="15" customHeight="1" x14ac:dyDescent="0.4">
      <c r="A940" s="62" t="s">
        <v>824</v>
      </c>
      <c r="B940" s="62" t="s">
        <v>1550</v>
      </c>
      <c r="C940" s="62" t="s">
        <v>826</v>
      </c>
      <c r="D940" s="63">
        <v>21</v>
      </c>
      <c r="E940" s="63">
        <v>9</v>
      </c>
      <c r="F940" s="63">
        <v>1</v>
      </c>
      <c r="G940" s="64">
        <f t="shared" si="56"/>
        <v>0.42857142857142855</v>
      </c>
      <c r="H940" s="64">
        <f t="shared" si="57"/>
        <v>4.7619047619047616E-2</v>
      </c>
      <c r="I940" s="63">
        <v>2</v>
      </c>
      <c r="J940" s="65">
        <v>36.859825000000001</v>
      </c>
      <c r="K940" s="65">
        <v>80.64</v>
      </c>
      <c r="L940" s="62" t="s">
        <v>825</v>
      </c>
      <c r="M940" s="63">
        <v>0</v>
      </c>
      <c r="N940" s="66">
        <f t="shared" si="58"/>
        <v>0.78900000000000003</v>
      </c>
      <c r="O940" s="62" t="str">
        <f t="shared" si="59"/>
        <v>4: Engaged Early</v>
      </c>
    </row>
    <row r="941" spans="1:15" ht="15" customHeight="1" x14ac:dyDescent="0.4">
      <c r="A941" s="62" t="s">
        <v>824</v>
      </c>
      <c r="B941" s="62" t="s">
        <v>1551</v>
      </c>
      <c r="C941" s="62" t="s">
        <v>826</v>
      </c>
      <c r="D941" s="63">
        <v>23</v>
      </c>
      <c r="E941" s="63">
        <v>6</v>
      </c>
      <c r="F941" s="63">
        <v>1</v>
      </c>
      <c r="G941" s="64">
        <f t="shared" si="56"/>
        <v>0.2608695652173913</v>
      </c>
      <c r="H941" s="64">
        <f t="shared" si="57"/>
        <v>4.3478260869565216E-2</v>
      </c>
      <c r="I941" s="63">
        <v>2</v>
      </c>
      <c r="J941" s="65">
        <v>85.752799999999993</v>
      </c>
      <c r="K941" s="65">
        <v>100</v>
      </c>
      <c r="L941" s="62" t="s">
        <v>825</v>
      </c>
      <c r="M941" s="63">
        <v>0</v>
      </c>
      <c r="N941" s="66">
        <f t="shared" si="58"/>
        <v>0.97899999999999998</v>
      </c>
      <c r="O941" s="62" t="str">
        <f t="shared" si="59"/>
        <v>4: Engaged Early</v>
      </c>
    </row>
    <row r="942" spans="1:15" ht="15" customHeight="1" x14ac:dyDescent="0.4">
      <c r="A942" s="62" t="s">
        <v>824</v>
      </c>
      <c r="B942" s="62" t="s">
        <v>1552</v>
      </c>
      <c r="C942" s="62" t="s">
        <v>826</v>
      </c>
      <c r="D942" s="63">
        <v>25</v>
      </c>
      <c r="E942" s="63">
        <v>5</v>
      </c>
      <c r="F942" s="63">
        <v>3</v>
      </c>
      <c r="G942" s="64">
        <f t="shared" si="56"/>
        <v>0.2</v>
      </c>
      <c r="H942" s="64">
        <f t="shared" si="57"/>
        <v>0.12</v>
      </c>
      <c r="I942" s="63">
        <v>2</v>
      </c>
      <c r="J942" s="65">
        <v>93.337549999999993</v>
      </c>
      <c r="K942" s="65">
        <v>100</v>
      </c>
      <c r="L942" s="62" t="s">
        <v>825</v>
      </c>
      <c r="M942" s="63">
        <v>0</v>
      </c>
      <c r="N942" s="66">
        <f t="shared" si="58"/>
        <v>0.99</v>
      </c>
      <c r="O942" s="62" t="str">
        <f t="shared" si="59"/>
        <v>4: Engaged Early</v>
      </c>
    </row>
    <row r="943" spans="1:15" ht="15" customHeight="1" x14ac:dyDescent="0.4">
      <c r="A943" s="62" t="s">
        <v>824</v>
      </c>
      <c r="B943" s="62" t="s">
        <v>790</v>
      </c>
      <c r="C943" s="62" t="s">
        <v>825</v>
      </c>
      <c r="D943" s="63">
        <v>13</v>
      </c>
      <c r="E943" s="63">
        <v>12</v>
      </c>
      <c r="F943" s="63">
        <v>2</v>
      </c>
      <c r="G943" s="64">
        <f t="shared" si="56"/>
        <v>0.92307692307692313</v>
      </c>
      <c r="H943" s="64">
        <f t="shared" si="57"/>
        <v>0.15384615384615385</v>
      </c>
      <c r="I943" s="63">
        <v>2</v>
      </c>
      <c r="J943" s="65">
        <v>43.897845500000003</v>
      </c>
      <c r="K943" s="65">
        <v>34.36</v>
      </c>
      <c r="L943" s="62" t="s">
        <v>826</v>
      </c>
      <c r="M943" s="63">
        <v>0</v>
      </c>
      <c r="N943" s="66">
        <f t="shared" si="58"/>
        <v>0.27200000000000002</v>
      </c>
      <c r="O943" s="62" t="str">
        <f t="shared" si="59"/>
        <v>2: High (No DBWT)</v>
      </c>
    </row>
    <row r="944" spans="1:15" ht="15" customHeight="1" x14ac:dyDescent="0.4">
      <c r="A944" s="62" t="s">
        <v>824</v>
      </c>
      <c r="B944" s="62" t="s">
        <v>1553</v>
      </c>
      <c r="C944" s="62" t="s">
        <v>826</v>
      </c>
      <c r="D944" s="63">
        <v>3</v>
      </c>
      <c r="E944" s="63">
        <v>2</v>
      </c>
      <c r="F944" s="63">
        <v>0</v>
      </c>
      <c r="G944" s="64">
        <f t="shared" si="56"/>
        <v>0.66666666666666663</v>
      </c>
      <c r="H944" s="64">
        <f t="shared" si="57"/>
        <v>0</v>
      </c>
      <c r="I944" s="63">
        <v>2</v>
      </c>
      <c r="J944" s="65">
        <v>52.022100000000002</v>
      </c>
      <c r="K944" s="65">
        <v>61.85</v>
      </c>
      <c r="L944" s="62" t="s">
        <v>825</v>
      </c>
      <c r="M944" s="63">
        <v>1</v>
      </c>
      <c r="N944" s="66">
        <f t="shared" si="58"/>
        <v>0.69899999999999995</v>
      </c>
      <c r="O944" s="62" t="str">
        <f t="shared" si="59"/>
        <v>4: Engaged Early</v>
      </c>
    </row>
    <row r="945" spans="1:15" ht="15" customHeight="1" x14ac:dyDescent="0.4">
      <c r="A945" s="62" t="s">
        <v>824</v>
      </c>
      <c r="B945" s="62" t="s">
        <v>1554</v>
      </c>
      <c r="C945" s="62" t="s">
        <v>826</v>
      </c>
      <c r="D945" s="63">
        <v>0</v>
      </c>
      <c r="E945" s="63">
        <v>0</v>
      </c>
      <c r="F945" s="63">
        <v>0</v>
      </c>
      <c r="G945" s="64">
        <f t="shared" si="56"/>
        <v>0</v>
      </c>
      <c r="H945" s="64">
        <f t="shared" si="57"/>
        <v>0</v>
      </c>
      <c r="I945" s="63">
        <v>2</v>
      </c>
      <c r="J945" s="65">
        <v>59.539900000000003</v>
      </c>
      <c r="K945" s="65">
        <v>93.61</v>
      </c>
      <c r="L945" s="62" t="s">
        <v>825</v>
      </c>
      <c r="M945" s="63">
        <v>1</v>
      </c>
      <c r="N945" s="66">
        <f t="shared" si="58"/>
        <v>0.90100000000000002</v>
      </c>
      <c r="O945" s="62" t="str">
        <f t="shared" si="59"/>
        <v>4: Engaged Early</v>
      </c>
    </row>
    <row r="946" spans="1:15" ht="15" customHeight="1" x14ac:dyDescent="0.4">
      <c r="A946" s="62" t="s">
        <v>824</v>
      </c>
      <c r="B946" s="62" t="s">
        <v>1555</v>
      </c>
      <c r="C946" s="62" t="s">
        <v>826</v>
      </c>
      <c r="D946" s="63">
        <v>5</v>
      </c>
      <c r="E946" s="63">
        <v>1</v>
      </c>
      <c r="F946" s="63">
        <v>0</v>
      </c>
      <c r="G946" s="64">
        <f t="shared" si="56"/>
        <v>0.2</v>
      </c>
      <c r="H946" s="64">
        <f t="shared" si="57"/>
        <v>0</v>
      </c>
      <c r="I946" s="63">
        <v>2</v>
      </c>
      <c r="J946" s="65">
        <v>99.314999999999998</v>
      </c>
      <c r="K946" s="65">
        <v>100</v>
      </c>
      <c r="L946" s="62" t="s">
        <v>826</v>
      </c>
      <c r="M946" s="63">
        <v>0</v>
      </c>
      <c r="N946" s="66">
        <f t="shared" si="58"/>
        <v>0.749</v>
      </c>
      <c r="O946" s="62" t="str">
        <f t="shared" si="59"/>
        <v>2: High (No DBWT)</v>
      </c>
    </row>
    <row r="947" spans="1:15" ht="15" customHeight="1" x14ac:dyDescent="0.4">
      <c r="A947" s="62" t="s">
        <v>824</v>
      </c>
      <c r="B947" s="62" t="s">
        <v>1556</v>
      </c>
      <c r="C947" s="62" t="s">
        <v>826</v>
      </c>
      <c r="D947" s="63">
        <v>0</v>
      </c>
      <c r="E947" s="63">
        <v>0</v>
      </c>
      <c r="F947" s="63">
        <v>0</v>
      </c>
      <c r="G947" s="64">
        <f t="shared" si="56"/>
        <v>0</v>
      </c>
      <c r="H947" s="64">
        <f t="shared" si="57"/>
        <v>0</v>
      </c>
      <c r="I947" s="63">
        <v>1</v>
      </c>
      <c r="J947" s="65">
        <v>100</v>
      </c>
      <c r="K947" s="65">
        <v>83.33</v>
      </c>
      <c r="L947" s="62" t="s">
        <v>840</v>
      </c>
      <c r="M947" s="63">
        <v>0</v>
      </c>
      <c r="N947" s="66">
        <f t="shared" si="58"/>
        <v>0.72499999999999998</v>
      </c>
      <c r="O947" s="62" t="str">
        <f t="shared" si="59"/>
        <v>4: Engaged Early</v>
      </c>
    </row>
    <row r="948" spans="1:15" ht="15" customHeight="1" x14ac:dyDescent="0.4">
      <c r="A948" s="62" t="s">
        <v>824</v>
      </c>
      <c r="B948" s="62" t="s">
        <v>1557</v>
      </c>
      <c r="C948" s="62" t="s">
        <v>826</v>
      </c>
      <c r="D948" s="63">
        <v>8</v>
      </c>
      <c r="E948" s="63">
        <v>8</v>
      </c>
      <c r="F948" s="63">
        <v>0</v>
      </c>
      <c r="G948" s="64">
        <f t="shared" si="56"/>
        <v>1</v>
      </c>
      <c r="H948" s="64">
        <f t="shared" si="57"/>
        <v>0</v>
      </c>
      <c r="I948" s="63">
        <v>2</v>
      </c>
      <c r="J948" s="65">
        <v>91.789299999999997</v>
      </c>
      <c r="K948" s="65">
        <v>100</v>
      </c>
      <c r="L948" s="62" t="s">
        <v>825</v>
      </c>
      <c r="M948" s="63">
        <v>0</v>
      </c>
      <c r="N948" s="66">
        <f t="shared" si="58"/>
        <v>0.98799999999999999</v>
      </c>
      <c r="O948" s="62" t="str">
        <f t="shared" si="59"/>
        <v>4: Engaged Early</v>
      </c>
    </row>
    <row r="949" spans="1:15" ht="15" customHeight="1" x14ac:dyDescent="0.4">
      <c r="A949" s="62" t="s">
        <v>824</v>
      </c>
      <c r="B949" s="62" t="s">
        <v>1558</v>
      </c>
      <c r="C949" s="62" t="s">
        <v>826</v>
      </c>
      <c r="D949" s="63">
        <v>22</v>
      </c>
      <c r="E949" s="63">
        <v>21</v>
      </c>
      <c r="F949" s="63">
        <v>0</v>
      </c>
      <c r="G949" s="64">
        <f t="shared" si="56"/>
        <v>0.95454545454545459</v>
      </c>
      <c r="H949" s="64">
        <f t="shared" si="57"/>
        <v>0</v>
      </c>
      <c r="I949" s="63">
        <v>2</v>
      </c>
      <c r="J949" s="65">
        <v>77.987549999999999</v>
      </c>
      <c r="K949" s="65">
        <v>96.36</v>
      </c>
      <c r="L949" s="62" t="s">
        <v>825</v>
      </c>
      <c r="M949" s="63">
        <v>0</v>
      </c>
      <c r="N949" s="66">
        <f t="shared" si="58"/>
        <v>0.94499999999999995</v>
      </c>
      <c r="O949" s="62" t="str">
        <f t="shared" si="59"/>
        <v>4: Engaged Early</v>
      </c>
    </row>
    <row r="950" spans="1:15" ht="15" customHeight="1" x14ac:dyDescent="0.4">
      <c r="A950" s="62" t="s">
        <v>824</v>
      </c>
      <c r="B950" s="62" t="s">
        <v>1559</v>
      </c>
      <c r="C950" s="62" t="s">
        <v>826</v>
      </c>
      <c r="D950" s="63">
        <v>17</v>
      </c>
      <c r="E950" s="63">
        <v>15</v>
      </c>
      <c r="F950" s="63">
        <v>2</v>
      </c>
      <c r="G950" s="64">
        <f t="shared" si="56"/>
        <v>0.88235294117647056</v>
      </c>
      <c r="H950" s="64">
        <f t="shared" si="57"/>
        <v>0.11764705882352941</v>
      </c>
      <c r="I950" s="63">
        <v>2</v>
      </c>
      <c r="J950" s="65">
        <v>91.181950000000001</v>
      </c>
      <c r="K950" s="65">
        <v>100</v>
      </c>
      <c r="L950" s="62" t="s">
        <v>825</v>
      </c>
      <c r="M950" s="63">
        <v>0</v>
      </c>
      <c r="N950" s="66">
        <f t="shared" si="58"/>
        <v>0.98699999999999999</v>
      </c>
      <c r="O950" s="62" t="str">
        <f t="shared" si="59"/>
        <v>4: Engaged Early</v>
      </c>
    </row>
    <row r="951" spans="1:15" ht="15" customHeight="1" x14ac:dyDescent="0.4">
      <c r="A951" s="62" t="s">
        <v>824</v>
      </c>
      <c r="B951" s="62" t="s">
        <v>1560</v>
      </c>
      <c r="C951" s="62" t="s">
        <v>826</v>
      </c>
      <c r="D951" s="63">
        <v>15</v>
      </c>
      <c r="E951" s="63">
        <v>13</v>
      </c>
      <c r="F951" s="63">
        <v>1</v>
      </c>
      <c r="G951" s="64">
        <f t="shared" si="56"/>
        <v>0.8666666666666667</v>
      </c>
      <c r="H951" s="64">
        <f t="shared" si="57"/>
        <v>6.6666666666666666E-2</v>
      </c>
      <c r="I951" s="63">
        <v>2</v>
      </c>
      <c r="J951" s="65">
        <v>84.713999999999999</v>
      </c>
      <c r="K951" s="65">
        <v>99.77</v>
      </c>
      <c r="L951" s="62" t="s">
        <v>825</v>
      </c>
      <c r="M951" s="63">
        <v>0</v>
      </c>
      <c r="N951" s="66">
        <f t="shared" si="58"/>
        <v>0.97599999999999998</v>
      </c>
      <c r="O951" s="62" t="str">
        <f t="shared" si="59"/>
        <v>4: Engaged Early</v>
      </c>
    </row>
    <row r="952" spans="1:15" ht="15" customHeight="1" x14ac:dyDescent="0.4">
      <c r="A952" s="62" t="s">
        <v>824</v>
      </c>
      <c r="B952" s="62" t="s">
        <v>1561</v>
      </c>
      <c r="C952" s="62" t="s">
        <v>826</v>
      </c>
      <c r="D952" s="63">
        <v>0</v>
      </c>
      <c r="E952" s="63">
        <v>0</v>
      </c>
      <c r="F952" s="63">
        <v>0</v>
      </c>
      <c r="G952" s="64">
        <f t="shared" si="56"/>
        <v>0</v>
      </c>
      <c r="H952" s="64">
        <f t="shared" si="57"/>
        <v>0</v>
      </c>
      <c r="I952" s="63">
        <v>1</v>
      </c>
      <c r="J952" s="65">
        <v>64.23</v>
      </c>
      <c r="K952" s="65">
        <v>33.229999999999997</v>
      </c>
      <c r="L952" s="62" t="s">
        <v>840</v>
      </c>
      <c r="M952" s="63">
        <v>0</v>
      </c>
      <c r="N952" s="66">
        <f t="shared" si="58"/>
        <v>0.371</v>
      </c>
      <c r="O952" s="62" t="str">
        <f t="shared" si="59"/>
        <v>4: Engaged Early</v>
      </c>
    </row>
    <row r="953" spans="1:15" ht="15" customHeight="1" x14ac:dyDescent="0.4">
      <c r="A953" s="62" t="s">
        <v>824</v>
      </c>
      <c r="B953" s="62" t="s">
        <v>1562</v>
      </c>
      <c r="C953" s="62" t="s">
        <v>826</v>
      </c>
      <c r="D953" s="63">
        <v>0</v>
      </c>
      <c r="E953" s="63">
        <v>0</v>
      </c>
      <c r="F953" s="63">
        <v>0</v>
      </c>
      <c r="G953" s="64">
        <f t="shared" si="56"/>
        <v>0</v>
      </c>
      <c r="H953" s="64">
        <f t="shared" si="57"/>
        <v>0</v>
      </c>
      <c r="I953" s="63">
        <v>1</v>
      </c>
      <c r="J953" s="65">
        <v>99.56</v>
      </c>
      <c r="K953" s="65">
        <v>81.83</v>
      </c>
      <c r="L953" s="62" t="s">
        <v>840</v>
      </c>
      <c r="M953" s="63">
        <v>0</v>
      </c>
      <c r="N953" s="66">
        <f t="shared" si="58"/>
        <v>0.71499999999999997</v>
      </c>
      <c r="O953" s="62" t="str">
        <f t="shared" si="59"/>
        <v>4: Engaged Early</v>
      </c>
    </row>
    <row r="954" spans="1:15" ht="15" customHeight="1" x14ac:dyDescent="0.4">
      <c r="A954" s="62" t="s">
        <v>824</v>
      </c>
      <c r="B954" s="62" t="s">
        <v>1563</v>
      </c>
      <c r="C954" s="62" t="s">
        <v>826</v>
      </c>
      <c r="D954" s="63">
        <v>0</v>
      </c>
      <c r="E954" s="63">
        <v>0</v>
      </c>
      <c r="F954" s="63">
        <v>0</v>
      </c>
      <c r="G954" s="64">
        <f t="shared" si="56"/>
        <v>0</v>
      </c>
      <c r="H954" s="64">
        <f t="shared" si="57"/>
        <v>0</v>
      </c>
      <c r="I954" s="63">
        <v>2</v>
      </c>
      <c r="J954" s="65">
        <v>60.521900000000002</v>
      </c>
      <c r="K954" s="65">
        <v>96.75</v>
      </c>
      <c r="L954" s="62" t="s">
        <v>825</v>
      </c>
      <c r="M954" s="63">
        <v>0</v>
      </c>
      <c r="N954" s="66">
        <f t="shared" si="58"/>
        <v>0.92100000000000004</v>
      </c>
      <c r="O954" s="62" t="str">
        <f t="shared" si="59"/>
        <v>4: Engaged Early</v>
      </c>
    </row>
    <row r="955" spans="1:15" ht="15" customHeight="1" x14ac:dyDescent="0.4">
      <c r="A955" s="62" t="s">
        <v>824</v>
      </c>
      <c r="B955" s="62" t="s">
        <v>1564</v>
      </c>
      <c r="C955" s="62" t="s">
        <v>826</v>
      </c>
      <c r="D955" s="63">
        <v>1</v>
      </c>
      <c r="E955" s="63">
        <v>1</v>
      </c>
      <c r="F955" s="63">
        <v>0</v>
      </c>
      <c r="G955" s="64">
        <f t="shared" si="56"/>
        <v>1</v>
      </c>
      <c r="H955" s="64">
        <f t="shared" si="57"/>
        <v>0</v>
      </c>
      <c r="I955" s="63">
        <v>2</v>
      </c>
      <c r="J955" s="65">
        <v>83.984700000000004</v>
      </c>
      <c r="K955" s="65">
        <v>99.39</v>
      </c>
      <c r="L955" s="62" t="s">
        <v>826</v>
      </c>
      <c r="M955" s="63">
        <v>0</v>
      </c>
      <c r="N955" s="66">
        <f t="shared" si="58"/>
        <v>0.72199999999999998</v>
      </c>
      <c r="O955" s="62" t="str">
        <f t="shared" si="59"/>
        <v>2: High (No DBWT)</v>
      </c>
    </row>
    <row r="956" spans="1:15" ht="15" customHeight="1" x14ac:dyDescent="0.4">
      <c r="A956" s="62" t="s">
        <v>824</v>
      </c>
      <c r="B956" s="62" t="s">
        <v>1565</v>
      </c>
      <c r="C956" s="62" t="s">
        <v>826</v>
      </c>
      <c r="D956" s="63">
        <v>12</v>
      </c>
      <c r="E956" s="63">
        <v>10</v>
      </c>
      <c r="F956" s="63">
        <v>2</v>
      </c>
      <c r="G956" s="64">
        <f t="shared" si="56"/>
        <v>0.83333333333333337</v>
      </c>
      <c r="H956" s="64">
        <f t="shared" si="57"/>
        <v>0.16666666666666666</v>
      </c>
      <c r="I956" s="63">
        <v>2</v>
      </c>
      <c r="J956" s="65">
        <v>92.946299999999994</v>
      </c>
      <c r="K956" s="65">
        <v>100</v>
      </c>
      <c r="L956" s="62" t="s">
        <v>825</v>
      </c>
      <c r="M956" s="63">
        <v>0</v>
      </c>
      <c r="N956" s="66">
        <f t="shared" si="58"/>
        <v>0.98899999999999999</v>
      </c>
      <c r="O956" s="62" t="str">
        <f t="shared" si="59"/>
        <v>4: Engaged Early</v>
      </c>
    </row>
    <row r="957" spans="1:15" ht="15" customHeight="1" x14ac:dyDescent="0.4">
      <c r="A957" s="62" t="s">
        <v>824</v>
      </c>
      <c r="B957" s="62" t="s">
        <v>1566</v>
      </c>
      <c r="C957" s="62" t="s">
        <v>826</v>
      </c>
      <c r="D957" s="63">
        <v>0</v>
      </c>
      <c r="E957" s="63">
        <v>0</v>
      </c>
      <c r="F957" s="63">
        <v>0</v>
      </c>
      <c r="G957" s="64">
        <f t="shared" si="56"/>
        <v>0</v>
      </c>
      <c r="H957" s="64">
        <f t="shared" si="57"/>
        <v>0</v>
      </c>
      <c r="I957" s="63">
        <v>1</v>
      </c>
      <c r="J957" s="65">
        <v>61.44</v>
      </c>
      <c r="K957" s="65">
        <v>94.11</v>
      </c>
      <c r="L957" s="62" t="s">
        <v>840</v>
      </c>
      <c r="M957" s="63">
        <v>0</v>
      </c>
      <c r="N957" s="66">
        <f t="shared" si="58"/>
        <v>0.73199999999999998</v>
      </c>
      <c r="O957" s="62" t="str">
        <f t="shared" si="59"/>
        <v>4: Engaged Early</v>
      </c>
    </row>
    <row r="958" spans="1:15" ht="15" customHeight="1" x14ac:dyDescent="0.4">
      <c r="A958" s="62" t="s">
        <v>824</v>
      </c>
      <c r="B958" s="62" t="s">
        <v>583</v>
      </c>
      <c r="C958" s="62" t="s">
        <v>825</v>
      </c>
      <c r="D958" s="63">
        <v>3</v>
      </c>
      <c r="E958" s="63">
        <v>1</v>
      </c>
      <c r="F958" s="63">
        <v>0</v>
      </c>
      <c r="G958" s="64">
        <f t="shared" si="56"/>
        <v>0.33333333333333331</v>
      </c>
      <c r="H958" s="64">
        <f t="shared" si="57"/>
        <v>0</v>
      </c>
      <c r="I958" s="63">
        <v>2</v>
      </c>
      <c r="J958" s="65">
        <v>33.927149999999997</v>
      </c>
      <c r="K958" s="65">
        <v>17.72</v>
      </c>
      <c r="L958" s="62" t="s">
        <v>826</v>
      </c>
      <c r="M958" s="63">
        <v>0</v>
      </c>
      <c r="N958" s="66">
        <f t="shared" si="58"/>
        <v>0.157</v>
      </c>
      <c r="O958" s="62" t="str">
        <f t="shared" si="59"/>
        <v>2: High (No DBWT)</v>
      </c>
    </row>
    <row r="959" spans="1:15" ht="15" customHeight="1" x14ac:dyDescent="0.4">
      <c r="A959" s="62" t="s">
        <v>824</v>
      </c>
      <c r="B959" s="62" t="s">
        <v>1567</v>
      </c>
      <c r="C959" s="62" t="s">
        <v>826</v>
      </c>
      <c r="D959" s="63">
        <v>0</v>
      </c>
      <c r="E959" s="63">
        <v>0</v>
      </c>
      <c r="F959" s="63">
        <v>0</v>
      </c>
      <c r="G959" s="64">
        <f t="shared" si="56"/>
        <v>0</v>
      </c>
      <c r="H959" s="64">
        <f t="shared" si="57"/>
        <v>0</v>
      </c>
      <c r="I959" s="63">
        <v>1</v>
      </c>
      <c r="J959" s="65">
        <v>98.59</v>
      </c>
      <c r="K959" s="65">
        <v>83.33</v>
      </c>
      <c r="L959" s="62" t="s">
        <v>840</v>
      </c>
      <c r="M959" s="63">
        <v>1</v>
      </c>
      <c r="N959" s="66">
        <f t="shared" si="58"/>
        <v>0.72299999999999998</v>
      </c>
      <c r="O959" s="62" t="str">
        <f t="shared" si="59"/>
        <v>4: Engaged Early</v>
      </c>
    </row>
    <row r="960" spans="1:15" ht="15" customHeight="1" x14ac:dyDescent="0.4">
      <c r="A960" s="62" t="s">
        <v>824</v>
      </c>
      <c r="B960" s="62" t="s">
        <v>720</v>
      </c>
      <c r="C960" s="62" t="s">
        <v>825</v>
      </c>
      <c r="D960" s="63">
        <v>22</v>
      </c>
      <c r="E960" s="63">
        <v>16</v>
      </c>
      <c r="F960" s="63">
        <v>5</v>
      </c>
      <c r="G960" s="64">
        <f t="shared" si="56"/>
        <v>0.72727272727272729</v>
      </c>
      <c r="H960" s="64">
        <f t="shared" si="57"/>
        <v>0.22727272727272727</v>
      </c>
      <c r="I960" s="63">
        <v>2</v>
      </c>
      <c r="J960" s="65">
        <v>92.415000000000006</v>
      </c>
      <c r="K960" s="65">
        <v>55.69</v>
      </c>
      <c r="L960" s="62" t="s">
        <v>825</v>
      </c>
      <c r="M960" s="63">
        <v>0</v>
      </c>
      <c r="N960" s="66">
        <f t="shared" si="58"/>
        <v>0.72299999999999998</v>
      </c>
      <c r="O960" s="62" t="str">
        <f t="shared" si="59"/>
        <v>4: Engaged Early</v>
      </c>
    </row>
    <row r="961" spans="1:15" ht="15" customHeight="1" x14ac:dyDescent="0.4">
      <c r="A961" s="62" t="s">
        <v>824</v>
      </c>
      <c r="B961" s="62" t="s">
        <v>1568</v>
      </c>
      <c r="C961" s="62" t="s">
        <v>826</v>
      </c>
      <c r="D961" s="63">
        <v>8</v>
      </c>
      <c r="E961" s="63">
        <v>3</v>
      </c>
      <c r="F961" s="63">
        <v>0</v>
      </c>
      <c r="G961" s="64">
        <f t="shared" si="56"/>
        <v>0.375</v>
      </c>
      <c r="H961" s="64">
        <f t="shared" si="57"/>
        <v>0</v>
      </c>
      <c r="I961" s="63">
        <v>2</v>
      </c>
      <c r="J961" s="65">
        <v>99.496750000000006</v>
      </c>
      <c r="K961" s="65">
        <v>99.79</v>
      </c>
      <c r="L961" s="62" t="s">
        <v>825</v>
      </c>
      <c r="M961" s="63">
        <v>0</v>
      </c>
      <c r="N961" s="66">
        <f t="shared" si="58"/>
        <v>0.998</v>
      </c>
      <c r="O961" s="62" t="str">
        <f t="shared" si="59"/>
        <v>4: Engaged Early</v>
      </c>
    </row>
    <row r="962" spans="1:15" ht="15" customHeight="1" x14ac:dyDescent="0.4">
      <c r="A962" s="62" t="s">
        <v>824</v>
      </c>
      <c r="B962" s="62" t="s">
        <v>1569</v>
      </c>
      <c r="C962" s="62" t="s">
        <v>826</v>
      </c>
      <c r="D962" s="63">
        <v>13</v>
      </c>
      <c r="E962" s="63">
        <v>8</v>
      </c>
      <c r="F962" s="63">
        <v>0</v>
      </c>
      <c r="G962" s="64">
        <f t="shared" ref="G962:G1025" si="60">IFERROR(E962/D962,0)</f>
        <v>0.61538461538461542</v>
      </c>
      <c r="H962" s="64">
        <f t="shared" ref="H962:H1025" si="61">IFERROR(F962/D962,0)</f>
        <v>0</v>
      </c>
      <c r="I962" s="63">
        <v>2</v>
      </c>
      <c r="J962" s="65">
        <v>39.991621500000001</v>
      </c>
      <c r="K962" s="65">
        <v>22.22</v>
      </c>
      <c r="L962" s="62" t="s">
        <v>825</v>
      </c>
      <c r="M962" s="63">
        <v>0</v>
      </c>
      <c r="N962" s="66">
        <f t="shared" ref="N962:N1025" si="62">ROUND(IFERROR(K962/100,0)*0.6 + IF(L962="Yes",1,IF(L962="No",0,0.3))*0.25 + IFERROR(J962/100,0)*0.15,3)</f>
        <v>0.443</v>
      </c>
      <c r="O962" s="62" t="str">
        <f t="shared" ref="O962:O1025" si="63">IF(AND(L962="No",I962=0),"1: Critical (No DBWT + No Wk0)",IF(L962="No","2: High (No DBWT)",IF(I962=0,"3: Elevated (No Wk0)","4: Engaged Early")))</f>
        <v>4: Engaged Early</v>
      </c>
    </row>
    <row r="963" spans="1:15" ht="15" customHeight="1" x14ac:dyDescent="0.4">
      <c r="A963" s="62" t="s">
        <v>824</v>
      </c>
      <c r="B963" s="62" t="s">
        <v>1570</v>
      </c>
      <c r="C963" s="62" t="s">
        <v>826</v>
      </c>
      <c r="D963" s="63">
        <v>17</v>
      </c>
      <c r="E963" s="63">
        <v>5</v>
      </c>
      <c r="F963" s="63">
        <v>4</v>
      </c>
      <c r="G963" s="64">
        <f t="shared" si="60"/>
        <v>0.29411764705882354</v>
      </c>
      <c r="H963" s="64">
        <f t="shared" si="61"/>
        <v>0.23529411764705882</v>
      </c>
      <c r="I963" s="63">
        <v>2</v>
      </c>
      <c r="J963" s="65">
        <v>99.120400000000004</v>
      </c>
      <c r="K963" s="65">
        <v>100</v>
      </c>
      <c r="L963" s="62" t="s">
        <v>825</v>
      </c>
      <c r="M963" s="63">
        <v>0</v>
      </c>
      <c r="N963" s="66">
        <f t="shared" si="62"/>
        <v>0.999</v>
      </c>
      <c r="O963" s="62" t="str">
        <f t="shared" si="63"/>
        <v>4: Engaged Early</v>
      </c>
    </row>
    <row r="964" spans="1:15" ht="15" customHeight="1" x14ac:dyDescent="0.4">
      <c r="A964" s="62" t="s">
        <v>824</v>
      </c>
      <c r="B964" s="62" t="s">
        <v>1571</v>
      </c>
      <c r="C964" s="62" t="s">
        <v>826</v>
      </c>
      <c r="D964" s="63">
        <v>25</v>
      </c>
      <c r="E964" s="63">
        <v>11</v>
      </c>
      <c r="F964" s="63">
        <v>1</v>
      </c>
      <c r="G964" s="64">
        <f t="shared" si="60"/>
        <v>0.44</v>
      </c>
      <c r="H964" s="64">
        <f t="shared" si="61"/>
        <v>0.04</v>
      </c>
      <c r="I964" s="63">
        <v>1</v>
      </c>
      <c r="J964" s="65">
        <v>80.36</v>
      </c>
      <c r="K964" s="65">
        <v>47.41</v>
      </c>
      <c r="L964" s="62" t="s">
        <v>825</v>
      </c>
      <c r="M964" s="63">
        <v>0</v>
      </c>
      <c r="N964" s="66">
        <f t="shared" si="62"/>
        <v>0.65500000000000003</v>
      </c>
      <c r="O964" s="62" t="str">
        <f t="shared" si="63"/>
        <v>4: Engaged Early</v>
      </c>
    </row>
    <row r="965" spans="1:15" ht="15" customHeight="1" x14ac:dyDescent="0.4">
      <c r="A965" s="62" t="s">
        <v>824</v>
      </c>
      <c r="B965" s="62" t="s">
        <v>1572</v>
      </c>
      <c r="C965" s="62" t="s">
        <v>826</v>
      </c>
      <c r="D965" s="63">
        <v>8</v>
      </c>
      <c r="E965" s="63">
        <v>7</v>
      </c>
      <c r="F965" s="63">
        <v>1</v>
      </c>
      <c r="G965" s="64">
        <f t="shared" si="60"/>
        <v>0.875</v>
      </c>
      <c r="H965" s="64">
        <f t="shared" si="61"/>
        <v>0.125</v>
      </c>
      <c r="I965" s="63">
        <v>2</v>
      </c>
      <c r="J965" s="65">
        <v>92.327950000000001</v>
      </c>
      <c r="K965" s="65">
        <v>100</v>
      </c>
      <c r="L965" s="62" t="s">
        <v>825</v>
      </c>
      <c r="M965" s="63">
        <v>0</v>
      </c>
      <c r="N965" s="66">
        <f t="shared" si="62"/>
        <v>0.98799999999999999</v>
      </c>
      <c r="O965" s="62" t="str">
        <f t="shared" si="63"/>
        <v>4: Engaged Early</v>
      </c>
    </row>
    <row r="966" spans="1:15" ht="15" customHeight="1" x14ac:dyDescent="0.4">
      <c r="A966" s="62" t="s">
        <v>824</v>
      </c>
      <c r="B966" s="62" t="s">
        <v>1573</v>
      </c>
      <c r="C966" s="62" t="s">
        <v>826</v>
      </c>
      <c r="D966" s="63">
        <v>20</v>
      </c>
      <c r="E966" s="63">
        <v>14</v>
      </c>
      <c r="F966" s="63">
        <v>4</v>
      </c>
      <c r="G966" s="64">
        <f t="shared" si="60"/>
        <v>0.7</v>
      </c>
      <c r="H966" s="64">
        <f t="shared" si="61"/>
        <v>0.2</v>
      </c>
      <c r="I966" s="63">
        <v>2</v>
      </c>
      <c r="J966" s="65">
        <v>78.718549999999993</v>
      </c>
      <c r="K966" s="65">
        <v>95.95</v>
      </c>
      <c r="L966" s="62" t="s">
        <v>825</v>
      </c>
      <c r="M966" s="63">
        <v>0</v>
      </c>
      <c r="N966" s="66">
        <f t="shared" si="62"/>
        <v>0.94399999999999995</v>
      </c>
      <c r="O966" s="62" t="str">
        <f t="shared" si="63"/>
        <v>4: Engaged Early</v>
      </c>
    </row>
    <row r="967" spans="1:15" ht="15" customHeight="1" x14ac:dyDescent="0.4">
      <c r="A967" s="62" t="s">
        <v>824</v>
      </c>
      <c r="B967" s="62" t="s">
        <v>1574</v>
      </c>
      <c r="C967" s="62" t="s">
        <v>826</v>
      </c>
      <c r="D967" s="63">
        <v>22</v>
      </c>
      <c r="E967" s="63">
        <v>13</v>
      </c>
      <c r="F967" s="63">
        <v>11</v>
      </c>
      <c r="G967" s="64">
        <f t="shared" si="60"/>
        <v>0.59090909090909094</v>
      </c>
      <c r="H967" s="64">
        <f t="shared" si="61"/>
        <v>0.5</v>
      </c>
      <c r="I967" s="63">
        <v>2</v>
      </c>
      <c r="J967" s="65">
        <v>94.216350000000006</v>
      </c>
      <c r="K967" s="65">
        <v>100</v>
      </c>
      <c r="L967" s="62" t="s">
        <v>825</v>
      </c>
      <c r="M967" s="63">
        <v>0</v>
      </c>
      <c r="N967" s="66">
        <f t="shared" si="62"/>
        <v>0.99099999999999999</v>
      </c>
      <c r="O967" s="62" t="str">
        <f t="shared" si="63"/>
        <v>4: Engaged Early</v>
      </c>
    </row>
    <row r="968" spans="1:15" ht="15" customHeight="1" x14ac:dyDescent="0.4">
      <c r="A968" s="62" t="s">
        <v>824</v>
      </c>
      <c r="B968" s="62" t="s">
        <v>1575</v>
      </c>
      <c r="C968" s="62" t="s">
        <v>826</v>
      </c>
      <c r="D968" s="63">
        <v>14</v>
      </c>
      <c r="E968" s="63">
        <v>5</v>
      </c>
      <c r="F968" s="63">
        <v>2</v>
      </c>
      <c r="G968" s="64">
        <f t="shared" si="60"/>
        <v>0.35714285714285715</v>
      </c>
      <c r="H968" s="64">
        <f t="shared" si="61"/>
        <v>0.14285714285714285</v>
      </c>
      <c r="I968" s="63">
        <v>2</v>
      </c>
      <c r="J968" s="65">
        <v>87.270949999999999</v>
      </c>
      <c r="K968" s="65">
        <v>98.8</v>
      </c>
      <c r="L968" s="62" t="s">
        <v>825</v>
      </c>
      <c r="M968" s="63">
        <v>0</v>
      </c>
      <c r="N968" s="66">
        <f t="shared" si="62"/>
        <v>0.97399999999999998</v>
      </c>
      <c r="O968" s="62" t="str">
        <f t="shared" si="63"/>
        <v>4: Engaged Early</v>
      </c>
    </row>
    <row r="969" spans="1:15" ht="15" customHeight="1" x14ac:dyDescent="0.4">
      <c r="A969" s="62" t="s">
        <v>824</v>
      </c>
      <c r="B969" s="62" t="s">
        <v>1576</v>
      </c>
      <c r="C969" s="62" t="s">
        <v>826</v>
      </c>
      <c r="D969" s="63">
        <v>4</v>
      </c>
      <c r="E969" s="63">
        <v>2</v>
      </c>
      <c r="F969" s="63">
        <v>0</v>
      </c>
      <c r="G969" s="64">
        <f t="shared" si="60"/>
        <v>0.5</v>
      </c>
      <c r="H969" s="64">
        <f t="shared" si="61"/>
        <v>0</v>
      </c>
      <c r="I969" s="63">
        <v>2</v>
      </c>
      <c r="J969" s="65">
        <v>98.570250000000001</v>
      </c>
      <c r="K969" s="65">
        <v>100</v>
      </c>
      <c r="L969" s="62" t="s">
        <v>826</v>
      </c>
      <c r="M969" s="63">
        <v>0</v>
      </c>
      <c r="N969" s="66">
        <f t="shared" si="62"/>
        <v>0.748</v>
      </c>
      <c r="O969" s="62" t="str">
        <f t="shared" si="63"/>
        <v>2: High (No DBWT)</v>
      </c>
    </row>
    <row r="970" spans="1:15" ht="15" customHeight="1" x14ac:dyDescent="0.4">
      <c r="A970" s="62" t="s">
        <v>824</v>
      </c>
      <c r="B970" s="62" t="s">
        <v>1577</v>
      </c>
      <c r="C970" s="62" t="s">
        <v>826</v>
      </c>
      <c r="D970" s="63">
        <v>8</v>
      </c>
      <c r="E970" s="63">
        <v>6</v>
      </c>
      <c r="F970" s="63">
        <v>3</v>
      </c>
      <c r="G970" s="64">
        <f t="shared" si="60"/>
        <v>0.75</v>
      </c>
      <c r="H970" s="64">
        <f t="shared" si="61"/>
        <v>0.375</v>
      </c>
      <c r="I970" s="63">
        <v>2</v>
      </c>
      <c r="J970" s="65">
        <v>29.122800000000002</v>
      </c>
      <c r="K970" s="65">
        <v>47.3</v>
      </c>
      <c r="L970" s="62" t="s">
        <v>825</v>
      </c>
      <c r="M970" s="63">
        <v>0</v>
      </c>
      <c r="N970" s="66">
        <f t="shared" si="62"/>
        <v>0.57699999999999996</v>
      </c>
      <c r="O970" s="62" t="str">
        <f t="shared" si="63"/>
        <v>4: Engaged Early</v>
      </c>
    </row>
    <row r="971" spans="1:15" ht="15" customHeight="1" x14ac:dyDescent="0.4">
      <c r="A971" s="62" t="s">
        <v>824</v>
      </c>
      <c r="B971" s="62" t="s">
        <v>1578</v>
      </c>
      <c r="C971" s="62" t="s">
        <v>826</v>
      </c>
      <c r="D971" s="63">
        <v>0</v>
      </c>
      <c r="E971" s="63">
        <v>0</v>
      </c>
      <c r="F971" s="63">
        <v>0</v>
      </c>
      <c r="G971" s="64">
        <f t="shared" si="60"/>
        <v>0</v>
      </c>
      <c r="H971" s="64">
        <f t="shared" si="61"/>
        <v>0</v>
      </c>
      <c r="I971" s="63">
        <v>2</v>
      </c>
      <c r="J971" s="65">
        <v>86.316999999999993</v>
      </c>
      <c r="K971" s="65">
        <v>87.5</v>
      </c>
      <c r="L971" s="62" t="s">
        <v>825</v>
      </c>
      <c r="M971" s="63">
        <v>0</v>
      </c>
      <c r="N971" s="66">
        <f t="shared" si="62"/>
        <v>0.90400000000000003</v>
      </c>
      <c r="O971" s="62" t="str">
        <f t="shared" si="63"/>
        <v>4: Engaged Early</v>
      </c>
    </row>
    <row r="972" spans="1:15" ht="15" customHeight="1" x14ac:dyDescent="0.4">
      <c r="A972" s="62" t="s">
        <v>824</v>
      </c>
      <c r="B972" s="62" t="s">
        <v>1579</v>
      </c>
      <c r="C972" s="62" t="s">
        <v>826</v>
      </c>
      <c r="D972" s="63">
        <v>7</v>
      </c>
      <c r="E972" s="63">
        <v>7</v>
      </c>
      <c r="F972" s="63">
        <v>2</v>
      </c>
      <c r="G972" s="64">
        <f t="shared" si="60"/>
        <v>1</v>
      </c>
      <c r="H972" s="64">
        <f t="shared" si="61"/>
        <v>0.2857142857142857</v>
      </c>
      <c r="I972" s="63">
        <v>2</v>
      </c>
      <c r="J972" s="65">
        <v>99.156800000000004</v>
      </c>
      <c r="K972" s="65">
        <v>100</v>
      </c>
      <c r="L972" s="62" t="s">
        <v>825</v>
      </c>
      <c r="M972" s="63">
        <v>1</v>
      </c>
      <c r="N972" s="66">
        <f t="shared" si="62"/>
        <v>0.999</v>
      </c>
      <c r="O972" s="62" t="str">
        <f t="shared" si="63"/>
        <v>4: Engaged Early</v>
      </c>
    </row>
    <row r="973" spans="1:15" ht="15" customHeight="1" x14ac:dyDescent="0.4">
      <c r="A973" s="62" t="s">
        <v>824</v>
      </c>
      <c r="B973" s="62" t="s">
        <v>1580</v>
      </c>
      <c r="C973" s="62" t="s">
        <v>826</v>
      </c>
      <c r="D973" s="63">
        <v>24</v>
      </c>
      <c r="E973" s="63">
        <v>18</v>
      </c>
      <c r="F973" s="63">
        <v>7</v>
      </c>
      <c r="G973" s="64">
        <f t="shared" si="60"/>
        <v>0.75</v>
      </c>
      <c r="H973" s="64">
        <f t="shared" si="61"/>
        <v>0.29166666666666669</v>
      </c>
      <c r="I973" s="63">
        <v>2</v>
      </c>
      <c r="J973" s="65">
        <v>99.480850000000004</v>
      </c>
      <c r="K973" s="65">
        <v>47.68</v>
      </c>
      <c r="L973" s="62" t="s">
        <v>825</v>
      </c>
      <c r="M973" s="63">
        <v>0</v>
      </c>
      <c r="N973" s="66">
        <f t="shared" si="62"/>
        <v>0.68500000000000005</v>
      </c>
      <c r="O973" s="62" t="str">
        <f t="shared" si="63"/>
        <v>4: Engaged Early</v>
      </c>
    </row>
    <row r="974" spans="1:15" ht="15" customHeight="1" x14ac:dyDescent="0.4">
      <c r="A974" s="62" t="s">
        <v>824</v>
      </c>
      <c r="B974" s="62" t="s">
        <v>1581</v>
      </c>
      <c r="C974" s="62" t="s">
        <v>826</v>
      </c>
      <c r="D974" s="63">
        <v>17</v>
      </c>
      <c r="E974" s="63">
        <v>12</v>
      </c>
      <c r="F974" s="63">
        <v>0</v>
      </c>
      <c r="G974" s="64">
        <f t="shared" si="60"/>
        <v>0.70588235294117652</v>
      </c>
      <c r="H974" s="64">
        <f t="shared" si="61"/>
        <v>0</v>
      </c>
      <c r="I974" s="63">
        <v>2</v>
      </c>
      <c r="J974" s="65">
        <v>86.750600000000006</v>
      </c>
      <c r="K974" s="65">
        <v>98.23</v>
      </c>
      <c r="L974" s="62" t="s">
        <v>825</v>
      </c>
      <c r="M974" s="63">
        <v>1</v>
      </c>
      <c r="N974" s="66">
        <f t="shared" si="62"/>
        <v>0.97</v>
      </c>
      <c r="O974" s="62" t="str">
        <f t="shared" si="63"/>
        <v>4: Engaged Early</v>
      </c>
    </row>
    <row r="975" spans="1:15" ht="15" customHeight="1" x14ac:dyDescent="0.4">
      <c r="A975" s="62" t="s">
        <v>824</v>
      </c>
      <c r="B975" s="62" t="s">
        <v>1582</v>
      </c>
      <c r="C975" s="62" t="s">
        <v>826</v>
      </c>
      <c r="D975" s="63">
        <v>17</v>
      </c>
      <c r="E975" s="63">
        <v>4</v>
      </c>
      <c r="F975" s="63">
        <v>7</v>
      </c>
      <c r="G975" s="64">
        <f t="shared" si="60"/>
        <v>0.23529411764705882</v>
      </c>
      <c r="H975" s="64">
        <f t="shared" si="61"/>
        <v>0.41176470588235292</v>
      </c>
      <c r="I975" s="63">
        <v>1</v>
      </c>
      <c r="J975" s="65">
        <v>99.96</v>
      </c>
      <c r="K975" s="65">
        <v>33.33</v>
      </c>
      <c r="L975" s="62" t="s">
        <v>825</v>
      </c>
      <c r="M975" s="63">
        <v>0</v>
      </c>
      <c r="N975" s="66">
        <f t="shared" si="62"/>
        <v>0.6</v>
      </c>
      <c r="O975" s="62" t="str">
        <f t="shared" si="63"/>
        <v>4: Engaged Early</v>
      </c>
    </row>
    <row r="976" spans="1:15" ht="15" customHeight="1" x14ac:dyDescent="0.4">
      <c r="A976" s="62" t="s">
        <v>824</v>
      </c>
      <c r="B976" s="62" t="s">
        <v>1583</v>
      </c>
      <c r="C976" s="62" t="s">
        <v>826</v>
      </c>
      <c r="D976" s="63">
        <v>3</v>
      </c>
      <c r="E976" s="63">
        <v>3</v>
      </c>
      <c r="F976" s="63">
        <v>1</v>
      </c>
      <c r="G976" s="64">
        <f t="shared" si="60"/>
        <v>1</v>
      </c>
      <c r="H976" s="64">
        <f t="shared" si="61"/>
        <v>0.33333333333333331</v>
      </c>
      <c r="I976" s="63">
        <v>1</v>
      </c>
      <c r="J976" s="65">
        <v>99.97</v>
      </c>
      <c r="K976" s="65">
        <v>83.53</v>
      </c>
      <c r="L976" s="62" t="s">
        <v>825</v>
      </c>
      <c r="M976" s="63">
        <v>0</v>
      </c>
      <c r="N976" s="66">
        <f t="shared" si="62"/>
        <v>0.90100000000000002</v>
      </c>
      <c r="O976" s="62" t="str">
        <f t="shared" si="63"/>
        <v>4: Engaged Early</v>
      </c>
    </row>
    <row r="977" spans="1:15" ht="15" customHeight="1" x14ac:dyDescent="0.4">
      <c r="A977" s="62" t="s">
        <v>824</v>
      </c>
      <c r="B977" s="62" t="s">
        <v>1584</v>
      </c>
      <c r="C977" s="62" t="s">
        <v>826</v>
      </c>
      <c r="D977" s="63">
        <v>10</v>
      </c>
      <c r="E977" s="63">
        <v>9</v>
      </c>
      <c r="F977" s="63">
        <v>3</v>
      </c>
      <c r="G977" s="64">
        <f t="shared" si="60"/>
        <v>0.9</v>
      </c>
      <c r="H977" s="64">
        <f t="shared" si="61"/>
        <v>0.3</v>
      </c>
      <c r="I977" s="63">
        <v>2</v>
      </c>
      <c r="J977" s="65">
        <v>54.855550000000001</v>
      </c>
      <c r="K977" s="65">
        <v>100</v>
      </c>
      <c r="L977" s="62" t="s">
        <v>825</v>
      </c>
      <c r="M977" s="63">
        <v>0</v>
      </c>
      <c r="N977" s="66">
        <f t="shared" si="62"/>
        <v>0.93200000000000005</v>
      </c>
      <c r="O977" s="62" t="str">
        <f t="shared" si="63"/>
        <v>4: Engaged Early</v>
      </c>
    </row>
    <row r="978" spans="1:15" ht="15" customHeight="1" x14ac:dyDescent="0.4">
      <c r="A978" s="62" t="s">
        <v>824</v>
      </c>
      <c r="B978" s="62" t="s">
        <v>1585</v>
      </c>
      <c r="C978" s="62" t="s">
        <v>826</v>
      </c>
      <c r="D978" s="63">
        <v>15</v>
      </c>
      <c r="E978" s="63">
        <v>13</v>
      </c>
      <c r="F978" s="63">
        <v>3</v>
      </c>
      <c r="G978" s="64">
        <f t="shared" si="60"/>
        <v>0.8666666666666667</v>
      </c>
      <c r="H978" s="64">
        <f t="shared" si="61"/>
        <v>0.2</v>
      </c>
      <c r="I978" s="63">
        <v>2</v>
      </c>
      <c r="J978" s="65">
        <v>85.441050000000004</v>
      </c>
      <c r="K978" s="65">
        <v>100</v>
      </c>
      <c r="L978" s="62" t="s">
        <v>825</v>
      </c>
      <c r="M978" s="63">
        <v>1</v>
      </c>
      <c r="N978" s="66">
        <f t="shared" si="62"/>
        <v>0.97799999999999998</v>
      </c>
      <c r="O978" s="62" t="str">
        <f t="shared" si="63"/>
        <v>4: Engaged Early</v>
      </c>
    </row>
    <row r="979" spans="1:15" ht="15" customHeight="1" x14ac:dyDescent="0.4">
      <c r="A979" s="62" t="s">
        <v>824</v>
      </c>
      <c r="B979" s="62" t="s">
        <v>1586</v>
      </c>
      <c r="C979" s="62" t="s">
        <v>826</v>
      </c>
      <c r="D979" s="63">
        <v>0</v>
      </c>
      <c r="E979" s="63">
        <v>0</v>
      </c>
      <c r="F979" s="63">
        <v>0</v>
      </c>
      <c r="G979" s="64">
        <f t="shared" si="60"/>
        <v>0</v>
      </c>
      <c r="H979" s="64">
        <f t="shared" si="61"/>
        <v>0</v>
      </c>
      <c r="I979" s="63">
        <v>2</v>
      </c>
      <c r="J979" s="65">
        <v>41.371744999999997</v>
      </c>
      <c r="K979" s="65">
        <v>72.709999999999994</v>
      </c>
      <c r="L979" s="62" t="s">
        <v>825</v>
      </c>
      <c r="M979" s="63">
        <v>0</v>
      </c>
      <c r="N979" s="66">
        <f t="shared" si="62"/>
        <v>0.748</v>
      </c>
      <c r="O979" s="62" t="str">
        <f t="shared" si="63"/>
        <v>4: Engaged Early</v>
      </c>
    </row>
    <row r="980" spans="1:15" ht="15" customHeight="1" x14ac:dyDescent="0.4">
      <c r="A980" s="62" t="s">
        <v>824</v>
      </c>
      <c r="B980" s="62" t="s">
        <v>1587</v>
      </c>
      <c r="C980" s="62" t="s">
        <v>826</v>
      </c>
      <c r="D980" s="63">
        <v>23</v>
      </c>
      <c r="E980" s="63">
        <v>5</v>
      </c>
      <c r="F980" s="63">
        <v>4</v>
      </c>
      <c r="G980" s="64">
        <f t="shared" si="60"/>
        <v>0.21739130434782608</v>
      </c>
      <c r="H980" s="64">
        <f t="shared" si="61"/>
        <v>0.17391304347826086</v>
      </c>
      <c r="I980" s="63">
        <v>2</v>
      </c>
      <c r="J980" s="65">
        <v>90.400850000000005</v>
      </c>
      <c r="K980" s="65">
        <v>100</v>
      </c>
      <c r="L980" s="62" t="s">
        <v>825</v>
      </c>
      <c r="M980" s="63">
        <v>1</v>
      </c>
      <c r="N980" s="66">
        <f t="shared" si="62"/>
        <v>0.98599999999999999</v>
      </c>
      <c r="O980" s="62" t="str">
        <f t="shared" si="63"/>
        <v>4: Engaged Early</v>
      </c>
    </row>
    <row r="981" spans="1:15" ht="15" customHeight="1" x14ac:dyDescent="0.4">
      <c r="A981" s="62" t="s">
        <v>824</v>
      </c>
      <c r="B981" s="62" t="s">
        <v>1588</v>
      </c>
      <c r="C981" s="62" t="s">
        <v>826</v>
      </c>
      <c r="D981" s="63">
        <v>10</v>
      </c>
      <c r="E981" s="63">
        <v>10</v>
      </c>
      <c r="F981" s="63">
        <v>3</v>
      </c>
      <c r="G981" s="64">
        <f t="shared" si="60"/>
        <v>1</v>
      </c>
      <c r="H981" s="64">
        <f t="shared" si="61"/>
        <v>0.3</v>
      </c>
      <c r="I981" s="63">
        <v>2</v>
      </c>
      <c r="J981" s="65">
        <v>97.2</v>
      </c>
      <c r="K981" s="65">
        <v>100</v>
      </c>
      <c r="L981" s="62" t="s">
        <v>825</v>
      </c>
      <c r="M981" s="63">
        <v>2</v>
      </c>
      <c r="N981" s="66">
        <f t="shared" si="62"/>
        <v>0.996</v>
      </c>
      <c r="O981" s="62" t="str">
        <f t="shared" si="63"/>
        <v>4: Engaged Early</v>
      </c>
    </row>
    <row r="982" spans="1:15" ht="15" customHeight="1" x14ac:dyDescent="0.4">
      <c r="A982" s="62" t="s">
        <v>824</v>
      </c>
      <c r="B982" s="62" t="s">
        <v>1589</v>
      </c>
      <c r="C982" s="62" t="s">
        <v>826</v>
      </c>
      <c r="D982" s="63">
        <v>22</v>
      </c>
      <c r="E982" s="63">
        <v>21</v>
      </c>
      <c r="F982" s="63">
        <v>2</v>
      </c>
      <c r="G982" s="64">
        <f t="shared" si="60"/>
        <v>0.95454545454545459</v>
      </c>
      <c r="H982" s="64">
        <f t="shared" si="61"/>
        <v>9.0909090909090912E-2</v>
      </c>
      <c r="I982" s="63">
        <v>2</v>
      </c>
      <c r="J982" s="65">
        <v>99.966700000000003</v>
      </c>
      <c r="K982" s="65">
        <v>100</v>
      </c>
      <c r="L982" s="62" t="s">
        <v>825</v>
      </c>
      <c r="M982" s="63">
        <v>0</v>
      </c>
      <c r="N982" s="66">
        <f t="shared" si="62"/>
        <v>1</v>
      </c>
      <c r="O982" s="62" t="str">
        <f t="shared" si="63"/>
        <v>4: Engaged Early</v>
      </c>
    </row>
    <row r="983" spans="1:15" ht="15" customHeight="1" x14ac:dyDescent="0.4">
      <c r="A983" s="62" t="s">
        <v>824</v>
      </c>
      <c r="B983" s="62" t="s">
        <v>1590</v>
      </c>
      <c r="C983" s="62" t="s">
        <v>826</v>
      </c>
      <c r="D983" s="63">
        <v>12</v>
      </c>
      <c r="E983" s="63">
        <v>4</v>
      </c>
      <c r="F983" s="63">
        <v>1</v>
      </c>
      <c r="G983" s="64">
        <f t="shared" si="60"/>
        <v>0.33333333333333331</v>
      </c>
      <c r="H983" s="64">
        <f t="shared" si="61"/>
        <v>8.3333333333333329E-2</v>
      </c>
      <c r="I983" s="63">
        <v>2</v>
      </c>
      <c r="J983" s="65">
        <v>91.976249999999993</v>
      </c>
      <c r="K983" s="65">
        <v>100</v>
      </c>
      <c r="L983" s="62" t="s">
        <v>825</v>
      </c>
      <c r="M983" s="63">
        <v>0</v>
      </c>
      <c r="N983" s="66">
        <f t="shared" si="62"/>
        <v>0.98799999999999999</v>
      </c>
      <c r="O983" s="62" t="str">
        <f t="shared" si="63"/>
        <v>4: Engaged Early</v>
      </c>
    </row>
    <row r="984" spans="1:15" ht="15" customHeight="1" x14ac:dyDescent="0.4">
      <c r="A984" s="62" t="s">
        <v>824</v>
      </c>
      <c r="B984" s="62" t="s">
        <v>1591</v>
      </c>
      <c r="C984" s="62" t="s">
        <v>826</v>
      </c>
      <c r="D984" s="63">
        <v>10</v>
      </c>
      <c r="E984" s="63">
        <v>10</v>
      </c>
      <c r="F984" s="63">
        <v>0</v>
      </c>
      <c r="G984" s="64">
        <f t="shared" si="60"/>
        <v>1</v>
      </c>
      <c r="H984" s="64">
        <f t="shared" si="61"/>
        <v>0</v>
      </c>
      <c r="I984" s="63">
        <v>2</v>
      </c>
      <c r="J984" s="65">
        <v>99.369649999999993</v>
      </c>
      <c r="K984" s="65">
        <v>100</v>
      </c>
      <c r="L984" s="62" t="s">
        <v>825</v>
      </c>
      <c r="M984" s="63">
        <v>0</v>
      </c>
      <c r="N984" s="66">
        <f t="shared" si="62"/>
        <v>0.999</v>
      </c>
      <c r="O984" s="62" t="str">
        <f t="shared" si="63"/>
        <v>4: Engaged Early</v>
      </c>
    </row>
    <row r="985" spans="1:15" ht="15" customHeight="1" x14ac:dyDescent="0.4">
      <c r="A985" s="62" t="s">
        <v>824</v>
      </c>
      <c r="B985" s="62" t="s">
        <v>1592</v>
      </c>
      <c r="C985" s="62" t="s">
        <v>826</v>
      </c>
      <c r="D985" s="63">
        <v>11</v>
      </c>
      <c r="E985" s="63">
        <v>3</v>
      </c>
      <c r="F985" s="63">
        <v>1</v>
      </c>
      <c r="G985" s="64">
        <f t="shared" si="60"/>
        <v>0.27272727272727271</v>
      </c>
      <c r="H985" s="64">
        <f t="shared" si="61"/>
        <v>9.0909090909090912E-2</v>
      </c>
      <c r="I985" s="63">
        <v>2</v>
      </c>
      <c r="J985" s="65">
        <v>99.4</v>
      </c>
      <c r="K985" s="65">
        <v>96.29</v>
      </c>
      <c r="L985" s="62" t="s">
        <v>825</v>
      </c>
      <c r="M985" s="63">
        <v>0</v>
      </c>
      <c r="N985" s="66">
        <f t="shared" si="62"/>
        <v>0.97699999999999998</v>
      </c>
      <c r="O985" s="62" t="str">
        <f t="shared" si="63"/>
        <v>4: Engaged Early</v>
      </c>
    </row>
    <row r="986" spans="1:15" ht="15" customHeight="1" x14ac:dyDescent="0.4">
      <c r="A986" s="62" t="s">
        <v>824</v>
      </c>
      <c r="B986" s="62" t="s">
        <v>740</v>
      </c>
      <c r="C986" s="62" t="s">
        <v>825</v>
      </c>
      <c r="D986" s="63">
        <v>16</v>
      </c>
      <c r="E986" s="63">
        <v>8</v>
      </c>
      <c r="F986" s="63">
        <v>1</v>
      </c>
      <c r="G986" s="64">
        <f t="shared" si="60"/>
        <v>0.5</v>
      </c>
      <c r="H986" s="64">
        <f t="shared" si="61"/>
        <v>6.25E-2</v>
      </c>
      <c r="I986" s="63">
        <v>2</v>
      </c>
      <c r="J986" s="65">
        <v>86.73245</v>
      </c>
      <c r="K986" s="65">
        <v>31.05</v>
      </c>
      <c r="L986" s="62" t="s">
        <v>826</v>
      </c>
      <c r="M986" s="63">
        <v>0</v>
      </c>
      <c r="N986" s="66">
        <f t="shared" si="62"/>
        <v>0.316</v>
      </c>
      <c r="O986" s="62" t="str">
        <f t="shared" si="63"/>
        <v>2: High (No DBWT)</v>
      </c>
    </row>
    <row r="987" spans="1:15" ht="15" customHeight="1" x14ac:dyDescent="0.4">
      <c r="A987" s="62" t="s">
        <v>824</v>
      </c>
      <c r="B987" s="62" t="s">
        <v>1593</v>
      </c>
      <c r="C987" s="62" t="s">
        <v>826</v>
      </c>
      <c r="D987" s="63">
        <v>22</v>
      </c>
      <c r="E987" s="63">
        <v>6</v>
      </c>
      <c r="F987" s="63">
        <v>0</v>
      </c>
      <c r="G987" s="64">
        <f t="shared" si="60"/>
        <v>0.27272727272727271</v>
      </c>
      <c r="H987" s="64">
        <f t="shared" si="61"/>
        <v>0</v>
      </c>
      <c r="I987" s="63">
        <v>2</v>
      </c>
      <c r="J987" s="65">
        <v>82.995699999999999</v>
      </c>
      <c r="K987" s="65">
        <v>100</v>
      </c>
      <c r="L987" s="62" t="s">
        <v>825</v>
      </c>
      <c r="M987" s="63">
        <v>0</v>
      </c>
      <c r="N987" s="66">
        <f t="shared" si="62"/>
        <v>0.97399999999999998</v>
      </c>
      <c r="O987" s="62" t="str">
        <f t="shared" si="63"/>
        <v>4: Engaged Early</v>
      </c>
    </row>
    <row r="988" spans="1:15" ht="15" customHeight="1" x14ac:dyDescent="0.4">
      <c r="A988" s="62" t="s">
        <v>824</v>
      </c>
      <c r="B988" s="62" t="s">
        <v>1594</v>
      </c>
      <c r="C988" s="62" t="s">
        <v>826</v>
      </c>
      <c r="D988" s="63">
        <v>20</v>
      </c>
      <c r="E988" s="63">
        <v>4</v>
      </c>
      <c r="F988" s="63">
        <v>11</v>
      </c>
      <c r="G988" s="64">
        <f t="shared" si="60"/>
        <v>0.2</v>
      </c>
      <c r="H988" s="64">
        <f t="shared" si="61"/>
        <v>0.55000000000000004</v>
      </c>
      <c r="I988" s="63">
        <v>2</v>
      </c>
      <c r="J988" s="65">
        <v>82.072149999999993</v>
      </c>
      <c r="K988" s="65">
        <v>36.39</v>
      </c>
      <c r="L988" s="62" t="s">
        <v>826</v>
      </c>
      <c r="M988" s="63">
        <v>0</v>
      </c>
      <c r="N988" s="66">
        <f t="shared" si="62"/>
        <v>0.34100000000000003</v>
      </c>
      <c r="O988" s="62" t="str">
        <f t="shared" si="63"/>
        <v>2: High (No DBWT)</v>
      </c>
    </row>
    <row r="989" spans="1:15" ht="15" customHeight="1" x14ac:dyDescent="0.4">
      <c r="A989" s="62" t="s">
        <v>824</v>
      </c>
      <c r="B989" s="62" t="s">
        <v>1595</v>
      </c>
      <c r="C989" s="62" t="s">
        <v>826</v>
      </c>
      <c r="D989" s="63">
        <v>4</v>
      </c>
      <c r="E989" s="63">
        <v>4</v>
      </c>
      <c r="F989" s="63">
        <v>2</v>
      </c>
      <c r="G989" s="64">
        <f t="shared" si="60"/>
        <v>1</v>
      </c>
      <c r="H989" s="64">
        <f t="shared" si="61"/>
        <v>0.5</v>
      </c>
      <c r="I989" s="63">
        <v>1</v>
      </c>
      <c r="J989" s="65">
        <v>7.3</v>
      </c>
      <c r="K989" s="65">
        <v>4.6900000000000004</v>
      </c>
      <c r="L989" s="62" t="s">
        <v>825</v>
      </c>
      <c r="M989" s="63">
        <v>0</v>
      </c>
      <c r="N989" s="66">
        <f t="shared" si="62"/>
        <v>0.28899999999999998</v>
      </c>
      <c r="O989" s="62" t="str">
        <f t="shared" si="63"/>
        <v>4: Engaged Early</v>
      </c>
    </row>
    <row r="990" spans="1:15" ht="15" customHeight="1" x14ac:dyDescent="0.4">
      <c r="A990" s="62" t="s">
        <v>824</v>
      </c>
      <c r="B990" s="62" t="s">
        <v>1596</v>
      </c>
      <c r="C990" s="62" t="s">
        <v>826</v>
      </c>
      <c r="D990" s="63">
        <v>22</v>
      </c>
      <c r="E990" s="63">
        <v>1</v>
      </c>
      <c r="F990" s="63">
        <v>0</v>
      </c>
      <c r="G990" s="64">
        <f t="shared" si="60"/>
        <v>4.5454545454545456E-2</v>
      </c>
      <c r="H990" s="64">
        <f t="shared" si="61"/>
        <v>0</v>
      </c>
      <c r="I990" s="63">
        <v>1</v>
      </c>
      <c r="J990" s="65">
        <v>74.63</v>
      </c>
      <c r="K990" s="65">
        <v>21.9</v>
      </c>
      <c r="L990" s="62" t="s">
        <v>825</v>
      </c>
      <c r="M990" s="63">
        <v>0</v>
      </c>
      <c r="N990" s="66">
        <f t="shared" si="62"/>
        <v>0.49299999999999999</v>
      </c>
      <c r="O990" s="62" t="str">
        <f t="shared" si="63"/>
        <v>4: Engaged Early</v>
      </c>
    </row>
    <row r="991" spans="1:15" ht="15" customHeight="1" x14ac:dyDescent="0.4">
      <c r="A991" s="62" t="s">
        <v>824</v>
      </c>
      <c r="B991" s="62" t="s">
        <v>760</v>
      </c>
      <c r="C991" s="62" t="s">
        <v>825</v>
      </c>
      <c r="D991" s="63">
        <v>10</v>
      </c>
      <c r="E991" s="63">
        <v>7</v>
      </c>
      <c r="F991" s="63">
        <v>0</v>
      </c>
      <c r="G991" s="64">
        <f t="shared" si="60"/>
        <v>0.7</v>
      </c>
      <c r="H991" s="64">
        <f t="shared" si="61"/>
        <v>0</v>
      </c>
      <c r="I991" s="63">
        <v>2</v>
      </c>
      <c r="J991" s="65">
        <v>19.543925000000002</v>
      </c>
      <c r="K991" s="65">
        <v>29.21</v>
      </c>
      <c r="L991" s="62" t="s">
        <v>825</v>
      </c>
      <c r="M991" s="63">
        <v>0</v>
      </c>
      <c r="N991" s="66">
        <f t="shared" si="62"/>
        <v>0.45500000000000002</v>
      </c>
      <c r="O991" s="62" t="str">
        <f t="shared" si="63"/>
        <v>4: Engaged Early</v>
      </c>
    </row>
    <row r="992" spans="1:15" ht="15" customHeight="1" x14ac:dyDescent="0.4">
      <c r="A992" s="62" t="s">
        <v>824</v>
      </c>
      <c r="B992" s="62" t="s">
        <v>1597</v>
      </c>
      <c r="C992" s="62" t="s">
        <v>826</v>
      </c>
      <c r="D992" s="63">
        <v>17</v>
      </c>
      <c r="E992" s="63">
        <v>4</v>
      </c>
      <c r="F992" s="63">
        <v>0</v>
      </c>
      <c r="G992" s="64">
        <f t="shared" si="60"/>
        <v>0.23529411764705882</v>
      </c>
      <c r="H992" s="64">
        <f t="shared" si="61"/>
        <v>0</v>
      </c>
      <c r="I992" s="63">
        <v>2</v>
      </c>
      <c r="J992" s="65">
        <v>56.796900000000001</v>
      </c>
      <c r="K992" s="65">
        <v>77.05</v>
      </c>
      <c r="L992" s="62" t="s">
        <v>825</v>
      </c>
      <c r="M992" s="63">
        <v>0</v>
      </c>
      <c r="N992" s="66">
        <f t="shared" si="62"/>
        <v>0.79700000000000004</v>
      </c>
      <c r="O992" s="62" t="str">
        <f t="shared" si="63"/>
        <v>4: Engaged Early</v>
      </c>
    </row>
    <row r="993" spans="1:15" ht="15" customHeight="1" x14ac:dyDescent="0.4">
      <c r="A993" s="62" t="s">
        <v>824</v>
      </c>
      <c r="B993" s="62" t="s">
        <v>1598</v>
      </c>
      <c r="C993" s="62" t="s">
        <v>826</v>
      </c>
      <c r="D993" s="63">
        <v>5</v>
      </c>
      <c r="E993" s="63">
        <v>4</v>
      </c>
      <c r="F993" s="63">
        <v>0</v>
      </c>
      <c r="G993" s="64">
        <f t="shared" si="60"/>
        <v>0.8</v>
      </c>
      <c r="H993" s="64">
        <f t="shared" si="61"/>
        <v>0</v>
      </c>
      <c r="I993" s="63">
        <v>1</v>
      </c>
      <c r="J993" s="65">
        <v>27.156099999999999</v>
      </c>
      <c r="K993" s="65">
        <v>18.079999999999998</v>
      </c>
      <c r="L993" s="62" t="s">
        <v>825</v>
      </c>
      <c r="M993" s="63">
        <v>2</v>
      </c>
      <c r="N993" s="66">
        <f t="shared" si="62"/>
        <v>0.39900000000000002</v>
      </c>
      <c r="O993" s="62" t="str">
        <f t="shared" si="63"/>
        <v>4: Engaged Early</v>
      </c>
    </row>
    <row r="994" spans="1:15" ht="15" customHeight="1" x14ac:dyDescent="0.4">
      <c r="A994" s="62" t="s">
        <v>824</v>
      </c>
      <c r="B994" s="62" t="s">
        <v>1599</v>
      </c>
      <c r="C994" s="62" t="s">
        <v>826</v>
      </c>
      <c r="D994" s="63">
        <v>3</v>
      </c>
      <c r="E994" s="63">
        <v>3</v>
      </c>
      <c r="F994" s="63">
        <v>1</v>
      </c>
      <c r="G994" s="64">
        <f t="shared" si="60"/>
        <v>1</v>
      </c>
      <c r="H994" s="64">
        <f t="shared" si="61"/>
        <v>0.33333333333333331</v>
      </c>
      <c r="I994" s="63">
        <v>2</v>
      </c>
      <c r="J994" s="65">
        <v>55.055300000000003</v>
      </c>
      <c r="K994" s="65">
        <v>67.23</v>
      </c>
      <c r="L994" s="62" t="s">
        <v>826</v>
      </c>
      <c r="M994" s="63">
        <v>1</v>
      </c>
      <c r="N994" s="66">
        <f t="shared" si="62"/>
        <v>0.48599999999999999</v>
      </c>
      <c r="O994" s="62" t="str">
        <f t="shared" si="63"/>
        <v>2: High (No DBWT)</v>
      </c>
    </row>
    <row r="995" spans="1:15" ht="15" customHeight="1" x14ac:dyDescent="0.4">
      <c r="A995" s="62" t="s">
        <v>824</v>
      </c>
      <c r="B995" s="62" t="s">
        <v>1600</v>
      </c>
      <c r="C995" s="62" t="s">
        <v>826</v>
      </c>
      <c r="D995" s="63">
        <v>10</v>
      </c>
      <c r="E995" s="63">
        <v>4</v>
      </c>
      <c r="F995" s="63">
        <v>1</v>
      </c>
      <c r="G995" s="64">
        <f t="shared" si="60"/>
        <v>0.4</v>
      </c>
      <c r="H995" s="64">
        <f t="shared" si="61"/>
        <v>0.1</v>
      </c>
      <c r="I995" s="63">
        <v>0</v>
      </c>
      <c r="J995" s="65"/>
      <c r="K995" s="65">
        <v>0</v>
      </c>
      <c r="L995" s="62" t="s">
        <v>825</v>
      </c>
      <c r="M995" s="63">
        <v>0</v>
      </c>
      <c r="N995" s="66">
        <f t="shared" si="62"/>
        <v>0.25</v>
      </c>
      <c r="O995" s="62" t="str">
        <f t="shared" si="63"/>
        <v>3: Elevated (No Wk0)</v>
      </c>
    </row>
    <row r="996" spans="1:15" ht="15" customHeight="1" x14ac:dyDescent="0.4">
      <c r="A996" s="62" t="s">
        <v>824</v>
      </c>
      <c r="B996" s="62" t="s">
        <v>1601</v>
      </c>
      <c r="C996" s="62" t="s">
        <v>826</v>
      </c>
      <c r="D996" s="63">
        <v>5</v>
      </c>
      <c r="E996" s="63">
        <v>0</v>
      </c>
      <c r="F996" s="63">
        <v>0</v>
      </c>
      <c r="G996" s="64">
        <f t="shared" si="60"/>
        <v>0</v>
      </c>
      <c r="H996" s="64">
        <f t="shared" si="61"/>
        <v>0</v>
      </c>
      <c r="I996" s="63">
        <v>1</v>
      </c>
      <c r="J996" s="65">
        <v>92.5</v>
      </c>
      <c r="K996" s="65">
        <v>85.98</v>
      </c>
      <c r="L996" s="62" t="s">
        <v>825</v>
      </c>
      <c r="M996" s="63">
        <v>0</v>
      </c>
      <c r="N996" s="66">
        <f t="shared" si="62"/>
        <v>0.90500000000000003</v>
      </c>
      <c r="O996" s="62" t="str">
        <f t="shared" si="63"/>
        <v>4: Engaged Early</v>
      </c>
    </row>
    <row r="997" spans="1:15" ht="15" customHeight="1" x14ac:dyDescent="0.4">
      <c r="A997" s="62" t="s">
        <v>824</v>
      </c>
      <c r="B997" s="62" t="s">
        <v>1602</v>
      </c>
      <c r="C997" s="62" t="s">
        <v>826</v>
      </c>
      <c r="D997" s="63">
        <v>22</v>
      </c>
      <c r="E997" s="63">
        <v>19</v>
      </c>
      <c r="F997" s="63">
        <v>0</v>
      </c>
      <c r="G997" s="64">
        <f t="shared" si="60"/>
        <v>0.86363636363636365</v>
      </c>
      <c r="H997" s="64">
        <f t="shared" si="61"/>
        <v>0</v>
      </c>
      <c r="I997" s="63">
        <v>2</v>
      </c>
      <c r="J997" s="65">
        <v>57.987650000000002</v>
      </c>
      <c r="K997" s="65">
        <v>90.24</v>
      </c>
      <c r="L997" s="62" t="s">
        <v>825</v>
      </c>
      <c r="M997" s="63">
        <v>0</v>
      </c>
      <c r="N997" s="66">
        <f t="shared" si="62"/>
        <v>0.878</v>
      </c>
      <c r="O997" s="62" t="str">
        <f t="shared" si="63"/>
        <v>4: Engaged Early</v>
      </c>
    </row>
    <row r="998" spans="1:15" ht="15" customHeight="1" x14ac:dyDescent="0.4">
      <c r="A998" s="62" t="s">
        <v>824</v>
      </c>
      <c r="B998" s="62" t="s">
        <v>1603</v>
      </c>
      <c r="C998" s="62" t="s">
        <v>826</v>
      </c>
      <c r="D998" s="63">
        <v>16</v>
      </c>
      <c r="E998" s="63">
        <v>15</v>
      </c>
      <c r="F998" s="63">
        <v>0</v>
      </c>
      <c r="G998" s="64">
        <f t="shared" si="60"/>
        <v>0.9375</v>
      </c>
      <c r="H998" s="64">
        <f t="shared" si="61"/>
        <v>0</v>
      </c>
      <c r="I998" s="63">
        <v>2</v>
      </c>
      <c r="J998" s="65">
        <v>99.814999999999998</v>
      </c>
      <c r="K998" s="65">
        <v>90.11</v>
      </c>
      <c r="L998" s="62" t="s">
        <v>825</v>
      </c>
      <c r="M998" s="63">
        <v>0</v>
      </c>
      <c r="N998" s="66">
        <f t="shared" si="62"/>
        <v>0.94</v>
      </c>
      <c r="O998" s="62" t="str">
        <f t="shared" si="63"/>
        <v>4: Engaged Early</v>
      </c>
    </row>
    <row r="999" spans="1:15" ht="15" customHeight="1" x14ac:dyDescent="0.4">
      <c r="A999" s="62" t="s">
        <v>824</v>
      </c>
      <c r="B999" s="62" t="s">
        <v>229</v>
      </c>
      <c r="C999" s="62" t="s">
        <v>826</v>
      </c>
      <c r="D999" s="63">
        <v>6</v>
      </c>
      <c r="E999" s="63">
        <v>5</v>
      </c>
      <c r="F999" s="63">
        <v>2</v>
      </c>
      <c r="G999" s="64">
        <f t="shared" si="60"/>
        <v>0.83333333333333337</v>
      </c>
      <c r="H999" s="64">
        <f t="shared" si="61"/>
        <v>0.33333333333333331</v>
      </c>
      <c r="I999" s="63">
        <v>2</v>
      </c>
      <c r="J999" s="65">
        <v>99.382949999999994</v>
      </c>
      <c r="K999" s="65">
        <v>95.1</v>
      </c>
      <c r="L999" s="62" t="s">
        <v>825</v>
      </c>
      <c r="M999" s="63">
        <v>0</v>
      </c>
      <c r="N999" s="66">
        <f t="shared" si="62"/>
        <v>0.97</v>
      </c>
      <c r="O999" s="62" t="str">
        <f t="shared" si="63"/>
        <v>4: Engaged Early</v>
      </c>
    </row>
    <row r="1000" spans="1:15" ht="15" customHeight="1" x14ac:dyDescent="0.4">
      <c r="A1000" s="62" t="s">
        <v>824</v>
      </c>
      <c r="B1000" s="62" t="s">
        <v>1604</v>
      </c>
      <c r="C1000" s="62" t="s">
        <v>826</v>
      </c>
      <c r="D1000" s="63">
        <v>3</v>
      </c>
      <c r="E1000" s="63">
        <v>1</v>
      </c>
      <c r="F1000" s="63">
        <v>0</v>
      </c>
      <c r="G1000" s="64">
        <f t="shared" si="60"/>
        <v>0.33333333333333331</v>
      </c>
      <c r="H1000" s="64">
        <f t="shared" si="61"/>
        <v>0</v>
      </c>
      <c r="I1000" s="63">
        <v>1</v>
      </c>
      <c r="J1000" s="65">
        <v>88.22</v>
      </c>
      <c r="K1000" s="65">
        <v>25</v>
      </c>
      <c r="L1000" s="62" t="s">
        <v>825</v>
      </c>
      <c r="M1000" s="63">
        <v>0</v>
      </c>
      <c r="N1000" s="66">
        <f t="shared" si="62"/>
        <v>0.53200000000000003</v>
      </c>
      <c r="O1000" s="62" t="str">
        <f t="shared" si="63"/>
        <v>4: Engaged Early</v>
      </c>
    </row>
    <row r="1001" spans="1:15" ht="15" customHeight="1" x14ac:dyDescent="0.4">
      <c r="A1001" s="62" t="s">
        <v>824</v>
      </c>
      <c r="B1001" s="62" t="s">
        <v>1605</v>
      </c>
      <c r="C1001" s="62" t="s">
        <v>826</v>
      </c>
      <c r="D1001" s="63">
        <v>17</v>
      </c>
      <c r="E1001" s="63">
        <v>15</v>
      </c>
      <c r="F1001" s="63">
        <v>1</v>
      </c>
      <c r="G1001" s="64">
        <f t="shared" si="60"/>
        <v>0.88235294117647056</v>
      </c>
      <c r="H1001" s="64">
        <f t="shared" si="61"/>
        <v>5.8823529411764705E-2</v>
      </c>
      <c r="I1001" s="63">
        <v>2</v>
      </c>
      <c r="J1001" s="65">
        <v>86.246099999999998</v>
      </c>
      <c r="K1001" s="65">
        <v>100</v>
      </c>
      <c r="L1001" s="62" t="s">
        <v>825</v>
      </c>
      <c r="M1001" s="63">
        <v>0</v>
      </c>
      <c r="N1001" s="66">
        <f t="shared" si="62"/>
        <v>0.97899999999999998</v>
      </c>
      <c r="O1001" s="62" t="str">
        <f t="shared" si="63"/>
        <v>4: Engaged Early</v>
      </c>
    </row>
    <row r="1002" spans="1:15" ht="15" customHeight="1" x14ac:dyDescent="0.4">
      <c r="A1002" s="62" t="s">
        <v>824</v>
      </c>
      <c r="B1002" s="62" t="s">
        <v>1606</v>
      </c>
      <c r="C1002" s="62" t="s">
        <v>826</v>
      </c>
      <c r="D1002" s="63">
        <v>0</v>
      </c>
      <c r="E1002" s="63">
        <v>0</v>
      </c>
      <c r="F1002" s="63">
        <v>0</v>
      </c>
      <c r="G1002" s="64">
        <f t="shared" si="60"/>
        <v>0</v>
      </c>
      <c r="H1002" s="64">
        <f t="shared" si="61"/>
        <v>0</v>
      </c>
      <c r="I1002" s="63">
        <v>0</v>
      </c>
      <c r="J1002" s="65"/>
      <c r="K1002" s="65">
        <v>73.58</v>
      </c>
      <c r="L1002" s="62" t="s">
        <v>840</v>
      </c>
      <c r="M1002" s="63">
        <v>0</v>
      </c>
      <c r="N1002" s="66">
        <f t="shared" si="62"/>
        <v>0.51600000000000001</v>
      </c>
      <c r="O1002" s="62" t="str">
        <f t="shared" si="63"/>
        <v>3: Elevated (No Wk0)</v>
      </c>
    </row>
    <row r="1003" spans="1:15" ht="15" customHeight="1" x14ac:dyDescent="0.4">
      <c r="A1003" s="62" t="s">
        <v>824</v>
      </c>
      <c r="B1003" s="62" t="s">
        <v>1607</v>
      </c>
      <c r="C1003" s="62" t="s">
        <v>826</v>
      </c>
      <c r="D1003" s="63">
        <v>4</v>
      </c>
      <c r="E1003" s="63">
        <v>3</v>
      </c>
      <c r="F1003" s="63">
        <v>1</v>
      </c>
      <c r="G1003" s="64">
        <f t="shared" si="60"/>
        <v>0.75</v>
      </c>
      <c r="H1003" s="64">
        <f t="shared" si="61"/>
        <v>0.25</v>
      </c>
      <c r="I1003" s="63">
        <v>1</v>
      </c>
      <c r="J1003" s="65">
        <v>91.79</v>
      </c>
      <c r="K1003" s="65">
        <v>25</v>
      </c>
      <c r="L1003" s="62" t="s">
        <v>825</v>
      </c>
      <c r="M1003" s="63">
        <v>0</v>
      </c>
      <c r="N1003" s="66">
        <f t="shared" si="62"/>
        <v>0.53800000000000003</v>
      </c>
      <c r="O1003" s="62" t="str">
        <f t="shared" si="63"/>
        <v>4: Engaged Early</v>
      </c>
    </row>
    <row r="1004" spans="1:15" ht="15" customHeight="1" x14ac:dyDescent="0.4">
      <c r="A1004" s="62" t="s">
        <v>824</v>
      </c>
      <c r="B1004" s="62" t="s">
        <v>1608</v>
      </c>
      <c r="C1004" s="62" t="s">
        <v>826</v>
      </c>
      <c r="D1004" s="63">
        <v>15</v>
      </c>
      <c r="E1004" s="63">
        <v>14</v>
      </c>
      <c r="F1004" s="63">
        <v>6</v>
      </c>
      <c r="G1004" s="64">
        <f t="shared" si="60"/>
        <v>0.93333333333333335</v>
      </c>
      <c r="H1004" s="64">
        <f t="shared" si="61"/>
        <v>0.4</v>
      </c>
      <c r="I1004" s="63">
        <v>2</v>
      </c>
      <c r="J1004" s="65">
        <v>93.777000000000001</v>
      </c>
      <c r="K1004" s="65">
        <v>90.31</v>
      </c>
      <c r="L1004" s="62" t="s">
        <v>825</v>
      </c>
      <c r="M1004" s="63">
        <v>0</v>
      </c>
      <c r="N1004" s="66">
        <f t="shared" si="62"/>
        <v>0.93300000000000005</v>
      </c>
      <c r="O1004" s="62" t="str">
        <f t="shared" si="63"/>
        <v>4: Engaged Early</v>
      </c>
    </row>
    <row r="1005" spans="1:15" ht="15" customHeight="1" x14ac:dyDescent="0.4">
      <c r="A1005" s="62" t="s">
        <v>824</v>
      </c>
      <c r="B1005" s="62" t="s">
        <v>1609</v>
      </c>
      <c r="C1005" s="62" t="s">
        <v>826</v>
      </c>
      <c r="D1005" s="63">
        <v>8</v>
      </c>
      <c r="E1005" s="63">
        <v>8</v>
      </c>
      <c r="F1005" s="63">
        <v>1</v>
      </c>
      <c r="G1005" s="64">
        <f t="shared" si="60"/>
        <v>1</v>
      </c>
      <c r="H1005" s="64">
        <f t="shared" si="61"/>
        <v>0.125</v>
      </c>
      <c r="I1005" s="63">
        <v>2</v>
      </c>
      <c r="J1005" s="65">
        <v>95.101249999999993</v>
      </c>
      <c r="K1005" s="65">
        <v>100</v>
      </c>
      <c r="L1005" s="62" t="s">
        <v>825</v>
      </c>
      <c r="M1005" s="63">
        <v>0</v>
      </c>
      <c r="N1005" s="66">
        <f t="shared" si="62"/>
        <v>0.99299999999999999</v>
      </c>
      <c r="O1005" s="62" t="str">
        <f t="shared" si="63"/>
        <v>4: Engaged Early</v>
      </c>
    </row>
    <row r="1006" spans="1:15" ht="15" customHeight="1" x14ac:dyDescent="0.4">
      <c r="A1006" s="62" t="s">
        <v>824</v>
      </c>
      <c r="B1006" s="62" t="s">
        <v>1610</v>
      </c>
      <c r="C1006" s="62" t="s">
        <v>826</v>
      </c>
      <c r="D1006" s="63">
        <v>21</v>
      </c>
      <c r="E1006" s="63">
        <v>21</v>
      </c>
      <c r="F1006" s="63">
        <v>2</v>
      </c>
      <c r="G1006" s="64">
        <f t="shared" si="60"/>
        <v>1</v>
      </c>
      <c r="H1006" s="64">
        <f t="shared" si="61"/>
        <v>9.5238095238095233E-2</v>
      </c>
      <c r="I1006" s="63">
        <v>2</v>
      </c>
      <c r="J1006" s="65">
        <v>98.992549999999994</v>
      </c>
      <c r="K1006" s="65">
        <v>98</v>
      </c>
      <c r="L1006" s="62" t="s">
        <v>825</v>
      </c>
      <c r="M1006" s="63">
        <v>0</v>
      </c>
      <c r="N1006" s="66">
        <f t="shared" si="62"/>
        <v>0.98599999999999999</v>
      </c>
      <c r="O1006" s="62" t="str">
        <f t="shared" si="63"/>
        <v>4: Engaged Early</v>
      </c>
    </row>
    <row r="1007" spans="1:15" ht="15" customHeight="1" x14ac:dyDescent="0.4">
      <c r="A1007" s="62" t="s">
        <v>824</v>
      </c>
      <c r="B1007" s="62" t="s">
        <v>1611</v>
      </c>
      <c r="C1007" s="62" t="s">
        <v>826</v>
      </c>
      <c r="D1007" s="63">
        <v>7</v>
      </c>
      <c r="E1007" s="63">
        <v>1</v>
      </c>
      <c r="F1007" s="63">
        <v>0</v>
      </c>
      <c r="G1007" s="64">
        <f t="shared" si="60"/>
        <v>0.14285714285714285</v>
      </c>
      <c r="H1007" s="64">
        <f t="shared" si="61"/>
        <v>0</v>
      </c>
      <c r="I1007" s="63">
        <v>2</v>
      </c>
      <c r="J1007" s="65">
        <v>89.287800000000004</v>
      </c>
      <c r="K1007" s="65">
        <v>87.5</v>
      </c>
      <c r="L1007" s="62" t="s">
        <v>825</v>
      </c>
      <c r="M1007" s="63">
        <v>0</v>
      </c>
      <c r="N1007" s="66">
        <f t="shared" si="62"/>
        <v>0.90900000000000003</v>
      </c>
      <c r="O1007" s="62" t="str">
        <f t="shared" si="63"/>
        <v>4: Engaged Early</v>
      </c>
    </row>
    <row r="1008" spans="1:15" ht="15" customHeight="1" x14ac:dyDescent="0.4">
      <c r="A1008" s="62" t="s">
        <v>824</v>
      </c>
      <c r="B1008" s="62" t="s">
        <v>1612</v>
      </c>
      <c r="C1008" s="62" t="s">
        <v>826</v>
      </c>
      <c r="D1008" s="63">
        <v>16</v>
      </c>
      <c r="E1008" s="63">
        <v>11</v>
      </c>
      <c r="F1008" s="63">
        <v>0</v>
      </c>
      <c r="G1008" s="64">
        <f t="shared" si="60"/>
        <v>0.6875</v>
      </c>
      <c r="H1008" s="64">
        <f t="shared" si="61"/>
        <v>0</v>
      </c>
      <c r="I1008" s="63">
        <v>2</v>
      </c>
      <c r="J1008" s="65">
        <v>53.853000000000002</v>
      </c>
      <c r="K1008" s="65">
        <v>91.06</v>
      </c>
      <c r="L1008" s="62" t="s">
        <v>825</v>
      </c>
      <c r="M1008" s="63">
        <v>0</v>
      </c>
      <c r="N1008" s="66">
        <f t="shared" si="62"/>
        <v>0.877</v>
      </c>
      <c r="O1008" s="62" t="str">
        <f t="shared" si="63"/>
        <v>4: Engaged Early</v>
      </c>
    </row>
    <row r="1009" spans="1:15" ht="15" customHeight="1" x14ac:dyDescent="0.4">
      <c r="A1009" s="62" t="s">
        <v>824</v>
      </c>
      <c r="B1009" s="62" t="s">
        <v>1613</v>
      </c>
      <c r="C1009" s="62" t="s">
        <v>826</v>
      </c>
      <c r="D1009" s="63">
        <v>0</v>
      </c>
      <c r="E1009" s="63">
        <v>0</v>
      </c>
      <c r="F1009" s="63">
        <v>0</v>
      </c>
      <c r="G1009" s="64">
        <f t="shared" si="60"/>
        <v>0</v>
      </c>
      <c r="H1009" s="64">
        <f t="shared" si="61"/>
        <v>0</v>
      </c>
      <c r="I1009" s="63">
        <v>2</v>
      </c>
      <c r="J1009" s="65">
        <v>78.058149999999998</v>
      </c>
      <c r="K1009" s="65">
        <v>97.15</v>
      </c>
      <c r="L1009" s="62" t="s">
        <v>825</v>
      </c>
      <c r="M1009" s="63">
        <v>0</v>
      </c>
      <c r="N1009" s="66">
        <f t="shared" si="62"/>
        <v>0.95</v>
      </c>
      <c r="O1009" s="62" t="str">
        <f t="shared" si="63"/>
        <v>4: Engaged Early</v>
      </c>
    </row>
    <row r="1010" spans="1:15" ht="15" customHeight="1" x14ac:dyDescent="0.4">
      <c r="A1010" s="62" t="s">
        <v>824</v>
      </c>
      <c r="B1010" s="62" t="s">
        <v>1614</v>
      </c>
      <c r="C1010" s="62" t="s">
        <v>826</v>
      </c>
      <c r="D1010" s="63">
        <v>14</v>
      </c>
      <c r="E1010" s="63">
        <v>11</v>
      </c>
      <c r="F1010" s="63">
        <v>3</v>
      </c>
      <c r="G1010" s="64">
        <f t="shared" si="60"/>
        <v>0.7857142857142857</v>
      </c>
      <c r="H1010" s="64">
        <f t="shared" si="61"/>
        <v>0.21428571428571427</v>
      </c>
      <c r="I1010" s="63">
        <v>2</v>
      </c>
      <c r="J1010" s="65">
        <v>14.599399999999999</v>
      </c>
      <c r="K1010" s="65">
        <v>85.48</v>
      </c>
      <c r="L1010" s="62" t="s">
        <v>825</v>
      </c>
      <c r="M1010" s="63">
        <v>0</v>
      </c>
      <c r="N1010" s="66">
        <f t="shared" si="62"/>
        <v>0.78500000000000003</v>
      </c>
      <c r="O1010" s="62" t="str">
        <f t="shared" si="63"/>
        <v>4: Engaged Early</v>
      </c>
    </row>
    <row r="1011" spans="1:15" ht="15" customHeight="1" x14ac:dyDescent="0.4">
      <c r="A1011" s="62" t="s">
        <v>824</v>
      </c>
      <c r="B1011" s="62" t="s">
        <v>1615</v>
      </c>
      <c r="C1011" s="62" t="s">
        <v>826</v>
      </c>
      <c r="D1011" s="63">
        <v>17</v>
      </c>
      <c r="E1011" s="63">
        <v>14</v>
      </c>
      <c r="F1011" s="63">
        <v>1</v>
      </c>
      <c r="G1011" s="64">
        <f t="shared" si="60"/>
        <v>0.82352941176470584</v>
      </c>
      <c r="H1011" s="64">
        <f t="shared" si="61"/>
        <v>5.8823529411764705E-2</v>
      </c>
      <c r="I1011" s="63">
        <v>2</v>
      </c>
      <c r="J1011" s="65">
        <v>89.410250000000005</v>
      </c>
      <c r="K1011" s="65">
        <v>85.41</v>
      </c>
      <c r="L1011" s="62" t="s">
        <v>825</v>
      </c>
      <c r="M1011" s="63">
        <v>0</v>
      </c>
      <c r="N1011" s="66">
        <f t="shared" si="62"/>
        <v>0.89700000000000002</v>
      </c>
      <c r="O1011" s="62" t="str">
        <f t="shared" si="63"/>
        <v>4: Engaged Early</v>
      </c>
    </row>
    <row r="1012" spans="1:15" ht="15" customHeight="1" x14ac:dyDescent="0.4">
      <c r="A1012" s="62" t="s">
        <v>824</v>
      </c>
      <c r="B1012" s="62" t="s">
        <v>1616</v>
      </c>
      <c r="C1012" s="62" t="s">
        <v>826</v>
      </c>
      <c r="D1012" s="63">
        <v>0</v>
      </c>
      <c r="E1012" s="63">
        <v>0</v>
      </c>
      <c r="F1012" s="63">
        <v>0</v>
      </c>
      <c r="G1012" s="64">
        <f t="shared" si="60"/>
        <v>0</v>
      </c>
      <c r="H1012" s="64">
        <f t="shared" si="61"/>
        <v>0</v>
      </c>
      <c r="I1012" s="63">
        <v>1</v>
      </c>
      <c r="J1012" s="65">
        <v>92.19</v>
      </c>
      <c r="K1012" s="65">
        <v>47.39</v>
      </c>
      <c r="L1012" s="62" t="s">
        <v>840</v>
      </c>
      <c r="M1012" s="63">
        <v>0</v>
      </c>
      <c r="N1012" s="66">
        <f t="shared" si="62"/>
        <v>0.498</v>
      </c>
      <c r="O1012" s="62" t="str">
        <f t="shared" si="63"/>
        <v>4: Engaged Early</v>
      </c>
    </row>
    <row r="1013" spans="1:15" ht="15" customHeight="1" x14ac:dyDescent="0.4">
      <c r="A1013" s="62" t="s">
        <v>824</v>
      </c>
      <c r="B1013" s="62" t="s">
        <v>1617</v>
      </c>
      <c r="C1013" s="62" t="s">
        <v>826</v>
      </c>
      <c r="D1013" s="63">
        <v>14</v>
      </c>
      <c r="E1013" s="63">
        <v>8</v>
      </c>
      <c r="F1013" s="63">
        <v>3</v>
      </c>
      <c r="G1013" s="64">
        <f t="shared" si="60"/>
        <v>0.5714285714285714</v>
      </c>
      <c r="H1013" s="64">
        <f t="shared" si="61"/>
        <v>0.21428571428571427</v>
      </c>
      <c r="I1013" s="63">
        <v>2</v>
      </c>
      <c r="J1013" s="65">
        <v>97.132300000000001</v>
      </c>
      <c r="K1013" s="65">
        <v>67.47</v>
      </c>
      <c r="L1013" s="62" t="s">
        <v>825</v>
      </c>
      <c r="M1013" s="63">
        <v>0</v>
      </c>
      <c r="N1013" s="66">
        <f t="shared" si="62"/>
        <v>0.80100000000000005</v>
      </c>
      <c r="O1013" s="62" t="str">
        <f t="shared" si="63"/>
        <v>4: Engaged Early</v>
      </c>
    </row>
    <row r="1014" spans="1:15" ht="15" customHeight="1" x14ac:dyDescent="0.4">
      <c r="A1014" s="62" t="s">
        <v>824</v>
      </c>
      <c r="B1014" s="62" t="s">
        <v>1618</v>
      </c>
      <c r="C1014" s="62" t="s">
        <v>826</v>
      </c>
      <c r="D1014" s="63">
        <v>23</v>
      </c>
      <c r="E1014" s="63">
        <v>18</v>
      </c>
      <c r="F1014" s="63">
        <v>4</v>
      </c>
      <c r="G1014" s="64">
        <f t="shared" si="60"/>
        <v>0.78260869565217395</v>
      </c>
      <c r="H1014" s="64">
        <f t="shared" si="61"/>
        <v>0.17391304347826086</v>
      </c>
      <c r="I1014" s="63">
        <v>2</v>
      </c>
      <c r="J1014" s="65">
        <v>95.243350000000007</v>
      </c>
      <c r="K1014" s="65">
        <v>70.349999999999994</v>
      </c>
      <c r="L1014" s="62" t="s">
        <v>825</v>
      </c>
      <c r="M1014" s="63">
        <v>1</v>
      </c>
      <c r="N1014" s="66">
        <f t="shared" si="62"/>
        <v>0.81499999999999995</v>
      </c>
      <c r="O1014" s="62" t="str">
        <f t="shared" si="63"/>
        <v>4: Engaged Early</v>
      </c>
    </row>
    <row r="1015" spans="1:15" ht="15" customHeight="1" x14ac:dyDescent="0.4">
      <c r="A1015" s="62" t="s">
        <v>824</v>
      </c>
      <c r="B1015" s="62" t="s">
        <v>1619</v>
      </c>
      <c r="C1015" s="62" t="s">
        <v>826</v>
      </c>
      <c r="D1015" s="63">
        <v>13</v>
      </c>
      <c r="E1015" s="63">
        <v>5</v>
      </c>
      <c r="F1015" s="63">
        <v>0</v>
      </c>
      <c r="G1015" s="64">
        <f t="shared" si="60"/>
        <v>0.38461538461538464</v>
      </c>
      <c r="H1015" s="64">
        <f t="shared" si="61"/>
        <v>0</v>
      </c>
      <c r="I1015" s="63">
        <v>2</v>
      </c>
      <c r="J1015" s="65">
        <v>98.067149999999998</v>
      </c>
      <c r="K1015" s="65">
        <v>100</v>
      </c>
      <c r="L1015" s="62" t="s">
        <v>825</v>
      </c>
      <c r="M1015" s="63">
        <v>0</v>
      </c>
      <c r="N1015" s="66">
        <f t="shared" si="62"/>
        <v>0.997</v>
      </c>
      <c r="O1015" s="62" t="str">
        <f t="shared" si="63"/>
        <v>4: Engaged Early</v>
      </c>
    </row>
    <row r="1016" spans="1:15" ht="15" customHeight="1" x14ac:dyDescent="0.4">
      <c r="A1016" s="62" t="s">
        <v>824</v>
      </c>
      <c r="B1016" s="62" t="s">
        <v>1620</v>
      </c>
      <c r="C1016" s="62" t="s">
        <v>826</v>
      </c>
      <c r="D1016" s="63">
        <v>0</v>
      </c>
      <c r="E1016" s="63">
        <v>0</v>
      </c>
      <c r="F1016" s="63">
        <v>0</v>
      </c>
      <c r="G1016" s="64">
        <f t="shared" si="60"/>
        <v>0</v>
      </c>
      <c r="H1016" s="64">
        <f t="shared" si="61"/>
        <v>0</v>
      </c>
      <c r="I1016" s="63">
        <v>0</v>
      </c>
      <c r="J1016" s="65"/>
      <c r="K1016" s="65">
        <v>58.16</v>
      </c>
      <c r="L1016" s="62" t="s">
        <v>840</v>
      </c>
      <c r="M1016" s="63">
        <v>0</v>
      </c>
      <c r="N1016" s="66">
        <f t="shared" si="62"/>
        <v>0.42399999999999999</v>
      </c>
      <c r="O1016" s="62" t="str">
        <f t="shared" si="63"/>
        <v>3: Elevated (No Wk0)</v>
      </c>
    </row>
    <row r="1017" spans="1:15" ht="15" customHeight="1" x14ac:dyDescent="0.4">
      <c r="A1017" s="62" t="s">
        <v>824</v>
      </c>
      <c r="B1017" s="62" t="s">
        <v>1621</v>
      </c>
      <c r="C1017" s="62" t="s">
        <v>826</v>
      </c>
      <c r="D1017" s="63">
        <v>1</v>
      </c>
      <c r="E1017" s="63">
        <v>1</v>
      </c>
      <c r="F1017" s="63">
        <v>0</v>
      </c>
      <c r="G1017" s="64">
        <f t="shared" si="60"/>
        <v>1</v>
      </c>
      <c r="H1017" s="64">
        <f t="shared" si="61"/>
        <v>0</v>
      </c>
      <c r="I1017" s="63">
        <v>0</v>
      </c>
      <c r="J1017" s="65"/>
      <c r="K1017" s="65">
        <v>12.5</v>
      </c>
      <c r="L1017" s="62" t="s">
        <v>825</v>
      </c>
      <c r="M1017" s="63">
        <v>0</v>
      </c>
      <c r="N1017" s="66">
        <f t="shared" si="62"/>
        <v>0.32500000000000001</v>
      </c>
      <c r="O1017" s="62" t="str">
        <f t="shared" si="63"/>
        <v>3: Elevated (No Wk0)</v>
      </c>
    </row>
    <row r="1018" spans="1:15" ht="15" customHeight="1" x14ac:dyDescent="0.4">
      <c r="A1018" s="62" t="s">
        <v>824</v>
      </c>
      <c r="B1018" s="62" t="s">
        <v>1622</v>
      </c>
      <c r="C1018" s="62" t="s">
        <v>826</v>
      </c>
      <c r="D1018" s="63">
        <v>15</v>
      </c>
      <c r="E1018" s="63">
        <v>11</v>
      </c>
      <c r="F1018" s="63">
        <v>0</v>
      </c>
      <c r="G1018" s="64">
        <f t="shared" si="60"/>
        <v>0.73333333333333328</v>
      </c>
      <c r="H1018" s="64">
        <f t="shared" si="61"/>
        <v>0</v>
      </c>
      <c r="I1018" s="63">
        <v>2</v>
      </c>
      <c r="J1018" s="65">
        <v>96.5</v>
      </c>
      <c r="K1018" s="65">
        <v>100</v>
      </c>
      <c r="L1018" s="62" t="s">
        <v>825</v>
      </c>
      <c r="M1018" s="63">
        <v>0</v>
      </c>
      <c r="N1018" s="66">
        <f t="shared" si="62"/>
        <v>0.995</v>
      </c>
      <c r="O1018" s="62" t="str">
        <f t="shared" si="63"/>
        <v>4: Engaged Early</v>
      </c>
    </row>
    <row r="1019" spans="1:15" ht="15" customHeight="1" x14ac:dyDescent="0.4">
      <c r="A1019" s="62" t="s">
        <v>824</v>
      </c>
      <c r="B1019" s="62" t="s">
        <v>778</v>
      </c>
      <c r="C1019" s="62" t="s">
        <v>825</v>
      </c>
      <c r="D1019" s="63">
        <v>4</v>
      </c>
      <c r="E1019" s="63">
        <v>2</v>
      </c>
      <c r="F1019" s="63">
        <v>0</v>
      </c>
      <c r="G1019" s="64">
        <f t="shared" si="60"/>
        <v>0.5</v>
      </c>
      <c r="H1019" s="64">
        <f t="shared" si="61"/>
        <v>0</v>
      </c>
      <c r="I1019" s="63">
        <v>2</v>
      </c>
      <c r="J1019" s="65">
        <v>92.185050000000004</v>
      </c>
      <c r="K1019" s="65">
        <v>52.62</v>
      </c>
      <c r="L1019" s="62" t="s">
        <v>826</v>
      </c>
      <c r="M1019" s="63">
        <v>0</v>
      </c>
      <c r="N1019" s="66">
        <f t="shared" si="62"/>
        <v>0.45400000000000001</v>
      </c>
      <c r="O1019" s="62" t="str">
        <f t="shared" si="63"/>
        <v>2: High (No DBWT)</v>
      </c>
    </row>
    <row r="1020" spans="1:15" ht="15" customHeight="1" x14ac:dyDescent="0.4">
      <c r="A1020" s="62" t="s">
        <v>824</v>
      </c>
      <c r="B1020" s="62" t="s">
        <v>1623</v>
      </c>
      <c r="C1020" s="62" t="s">
        <v>826</v>
      </c>
      <c r="D1020" s="63">
        <v>13</v>
      </c>
      <c r="E1020" s="63">
        <v>13</v>
      </c>
      <c r="F1020" s="63">
        <v>0</v>
      </c>
      <c r="G1020" s="64">
        <f t="shared" si="60"/>
        <v>1</v>
      </c>
      <c r="H1020" s="64">
        <f t="shared" si="61"/>
        <v>0</v>
      </c>
      <c r="I1020" s="63">
        <v>2</v>
      </c>
      <c r="J1020" s="65">
        <v>82.62885</v>
      </c>
      <c r="K1020" s="65">
        <v>87.5</v>
      </c>
      <c r="L1020" s="62" t="s">
        <v>825</v>
      </c>
      <c r="M1020" s="63">
        <v>0</v>
      </c>
      <c r="N1020" s="66">
        <f t="shared" si="62"/>
        <v>0.89900000000000002</v>
      </c>
      <c r="O1020" s="62" t="str">
        <f t="shared" si="63"/>
        <v>4: Engaged Early</v>
      </c>
    </row>
    <row r="1021" spans="1:15" ht="15" customHeight="1" x14ac:dyDescent="0.4">
      <c r="A1021" s="62" t="s">
        <v>824</v>
      </c>
      <c r="B1021" s="62" t="s">
        <v>1624</v>
      </c>
      <c r="C1021" s="62" t="s">
        <v>826</v>
      </c>
      <c r="D1021" s="63">
        <v>22</v>
      </c>
      <c r="E1021" s="63">
        <v>16</v>
      </c>
      <c r="F1021" s="63">
        <v>4</v>
      </c>
      <c r="G1021" s="64">
        <f t="shared" si="60"/>
        <v>0.72727272727272729</v>
      </c>
      <c r="H1021" s="64">
        <f t="shared" si="61"/>
        <v>0.18181818181818182</v>
      </c>
      <c r="I1021" s="63">
        <v>2</v>
      </c>
      <c r="J1021" s="65">
        <v>70.179050000000004</v>
      </c>
      <c r="K1021" s="65">
        <v>94.41</v>
      </c>
      <c r="L1021" s="62" t="s">
        <v>825</v>
      </c>
      <c r="M1021" s="63">
        <v>1</v>
      </c>
      <c r="N1021" s="66">
        <f t="shared" si="62"/>
        <v>0.92200000000000004</v>
      </c>
      <c r="O1021" s="62" t="str">
        <f t="shared" si="63"/>
        <v>4: Engaged Early</v>
      </c>
    </row>
    <row r="1022" spans="1:15" ht="15" customHeight="1" x14ac:dyDescent="0.4">
      <c r="A1022" s="62" t="s">
        <v>824</v>
      </c>
      <c r="B1022" s="62" t="s">
        <v>1625</v>
      </c>
      <c r="C1022" s="62" t="s">
        <v>826</v>
      </c>
      <c r="D1022" s="63">
        <v>26</v>
      </c>
      <c r="E1022" s="63">
        <v>20</v>
      </c>
      <c r="F1022" s="63">
        <v>2</v>
      </c>
      <c r="G1022" s="64">
        <f t="shared" si="60"/>
        <v>0.76923076923076927</v>
      </c>
      <c r="H1022" s="64">
        <f t="shared" si="61"/>
        <v>7.6923076923076927E-2</v>
      </c>
      <c r="I1022" s="63">
        <v>2</v>
      </c>
      <c r="J1022" s="65">
        <v>65.08605</v>
      </c>
      <c r="K1022" s="65">
        <v>82.27</v>
      </c>
      <c r="L1022" s="62" t="s">
        <v>825</v>
      </c>
      <c r="M1022" s="63">
        <v>0</v>
      </c>
      <c r="N1022" s="66">
        <f t="shared" si="62"/>
        <v>0.84099999999999997</v>
      </c>
      <c r="O1022" s="62" t="str">
        <f t="shared" si="63"/>
        <v>4: Engaged Early</v>
      </c>
    </row>
    <row r="1023" spans="1:15" ht="15" customHeight="1" x14ac:dyDescent="0.4">
      <c r="A1023" s="62" t="s">
        <v>824</v>
      </c>
      <c r="B1023" s="62" t="s">
        <v>758</v>
      </c>
      <c r="C1023" s="62" t="s">
        <v>825</v>
      </c>
      <c r="D1023" s="63">
        <v>5</v>
      </c>
      <c r="E1023" s="63">
        <v>4</v>
      </c>
      <c r="F1023" s="63">
        <v>1</v>
      </c>
      <c r="G1023" s="64">
        <f t="shared" si="60"/>
        <v>0.8</v>
      </c>
      <c r="H1023" s="64">
        <f t="shared" si="61"/>
        <v>0.2</v>
      </c>
      <c r="I1023" s="63">
        <v>2</v>
      </c>
      <c r="J1023" s="65">
        <v>94.211600000000004</v>
      </c>
      <c r="K1023" s="65">
        <v>97</v>
      </c>
      <c r="L1023" s="62" t="s">
        <v>826</v>
      </c>
      <c r="M1023" s="63">
        <v>0</v>
      </c>
      <c r="N1023" s="66">
        <f t="shared" si="62"/>
        <v>0.72299999999999998</v>
      </c>
      <c r="O1023" s="62" t="str">
        <f t="shared" si="63"/>
        <v>2: High (No DBWT)</v>
      </c>
    </row>
    <row r="1024" spans="1:15" ht="15" customHeight="1" x14ac:dyDescent="0.4">
      <c r="A1024" s="62" t="s">
        <v>824</v>
      </c>
      <c r="B1024" s="62" t="s">
        <v>1626</v>
      </c>
      <c r="C1024" s="62" t="s">
        <v>826</v>
      </c>
      <c r="D1024" s="63">
        <v>17</v>
      </c>
      <c r="E1024" s="63">
        <v>11</v>
      </c>
      <c r="F1024" s="63">
        <v>2</v>
      </c>
      <c r="G1024" s="64">
        <f t="shared" si="60"/>
        <v>0.6470588235294118</v>
      </c>
      <c r="H1024" s="64">
        <f t="shared" si="61"/>
        <v>0.11764705882352941</v>
      </c>
      <c r="I1024" s="63">
        <v>2</v>
      </c>
      <c r="J1024" s="65">
        <v>92.857500000000002</v>
      </c>
      <c r="K1024" s="65">
        <v>100</v>
      </c>
      <c r="L1024" s="62" t="s">
        <v>825</v>
      </c>
      <c r="M1024" s="63">
        <v>0</v>
      </c>
      <c r="N1024" s="66">
        <f t="shared" si="62"/>
        <v>0.98899999999999999</v>
      </c>
      <c r="O1024" s="62" t="str">
        <f t="shared" si="63"/>
        <v>4: Engaged Early</v>
      </c>
    </row>
    <row r="1025" spans="1:15" ht="15" customHeight="1" x14ac:dyDescent="0.4">
      <c r="A1025" s="62" t="s">
        <v>824</v>
      </c>
      <c r="B1025" s="62" t="s">
        <v>1627</v>
      </c>
      <c r="C1025" s="62" t="s">
        <v>826</v>
      </c>
      <c r="D1025" s="63">
        <v>5</v>
      </c>
      <c r="E1025" s="63">
        <v>2</v>
      </c>
      <c r="F1025" s="63">
        <v>0</v>
      </c>
      <c r="G1025" s="64">
        <f t="shared" si="60"/>
        <v>0.4</v>
      </c>
      <c r="H1025" s="64">
        <f t="shared" si="61"/>
        <v>0</v>
      </c>
      <c r="I1025" s="63">
        <v>2</v>
      </c>
      <c r="J1025" s="65">
        <v>96.594200000000001</v>
      </c>
      <c r="K1025" s="65">
        <v>100</v>
      </c>
      <c r="L1025" s="62" t="s">
        <v>825</v>
      </c>
      <c r="M1025" s="63">
        <v>0</v>
      </c>
      <c r="N1025" s="66">
        <f t="shared" si="62"/>
        <v>0.995</v>
      </c>
      <c r="O1025" s="62" t="str">
        <f t="shared" si="63"/>
        <v>4: Engaged Early</v>
      </c>
    </row>
    <row r="1026" spans="1:15" ht="15" customHeight="1" x14ac:dyDescent="0.4">
      <c r="A1026" s="62" t="s">
        <v>824</v>
      </c>
      <c r="B1026" s="62" t="s">
        <v>1628</v>
      </c>
      <c r="C1026" s="62" t="s">
        <v>826</v>
      </c>
      <c r="D1026" s="63">
        <v>20</v>
      </c>
      <c r="E1026" s="63">
        <v>19</v>
      </c>
      <c r="F1026" s="63">
        <v>8</v>
      </c>
      <c r="G1026" s="64">
        <f t="shared" ref="G1026:G1089" si="64">IFERROR(E1026/D1026,0)</f>
        <v>0.95</v>
      </c>
      <c r="H1026" s="64">
        <f t="shared" ref="H1026:H1089" si="65">IFERROR(F1026/D1026,0)</f>
        <v>0.4</v>
      </c>
      <c r="I1026" s="63">
        <v>2</v>
      </c>
      <c r="J1026" s="65">
        <v>92.62</v>
      </c>
      <c r="K1026" s="65">
        <v>100</v>
      </c>
      <c r="L1026" s="62" t="s">
        <v>825</v>
      </c>
      <c r="M1026" s="63">
        <v>0</v>
      </c>
      <c r="N1026" s="66">
        <f t="shared" ref="N1026:N1089" si="66">ROUND(IFERROR(K1026/100,0)*0.6 + IF(L1026="Yes",1,IF(L1026="No",0,0.3))*0.25 + IFERROR(J1026/100,0)*0.15,3)</f>
        <v>0.98899999999999999</v>
      </c>
      <c r="O1026" s="62" t="str">
        <f t="shared" ref="O1026:O1089" si="67">IF(AND(L1026="No",I1026=0),"1: Critical (No DBWT + No Wk0)",IF(L1026="No","2: High (No DBWT)",IF(I1026=0,"3: Elevated (No Wk0)","4: Engaged Early")))</f>
        <v>4: Engaged Early</v>
      </c>
    </row>
    <row r="1027" spans="1:15" ht="15" customHeight="1" x14ac:dyDescent="0.4">
      <c r="A1027" s="62" t="s">
        <v>824</v>
      </c>
      <c r="B1027" s="62" t="s">
        <v>228</v>
      </c>
      <c r="C1027" s="62" t="s">
        <v>826</v>
      </c>
      <c r="D1027" s="63">
        <v>24</v>
      </c>
      <c r="E1027" s="63">
        <v>23</v>
      </c>
      <c r="F1027" s="63">
        <v>1</v>
      </c>
      <c r="G1027" s="64">
        <f t="shared" si="64"/>
        <v>0.95833333333333337</v>
      </c>
      <c r="H1027" s="64">
        <f t="shared" si="65"/>
        <v>4.1666666666666664E-2</v>
      </c>
      <c r="I1027" s="63">
        <v>2</v>
      </c>
      <c r="J1027" s="65">
        <v>92.840249999999997</v>
      </c>
      <c r="K1027" s="65">
        <v>100</v>
      </c>
      <c r="L1027" s="62" t="s">
        <v>825</v>
      </c>
      <c r="M1027" s="63">
        <v>1</v>
      </c>
      <c r="N1027" s="66">
        <f t="shared" si="66"/>
        <v>0.98899999999999999</v>
      </c>
      <c r="O1027" s="62" t="str">
        <f t="shared" si="67"/>
        <v>4: Engaged Early</v>
      </c>
    </row>
    <row r="1028" spans="1:15" ht="15" customHeight="1" x14ac:dyDescent="0.4">
      <c r="A1028" s="62" t="s">
        <v>824</v>
      </c>
      <c r="B1028" s="62" t="s">
        <v>451</v>
      </c>
      <c r="C1028" s="62" t="s">
        <v>825</v>
      </c>
      <c r="D1028" s="63">
        <v>5</v>
      </c>
      <c r="E1028" s="63">
        <v>5</v>
      </c>
      <c r="F1028" s="63">
        <v>0</v>
      </c>
      <c r="G1028" s="64">
        <f t="shared" si="64"/>
        <v>1</v>
      </c>
      <c r="H1028" s="64">
        <f t="shared" si="65"/>
        <v>0</v>
      </c>
      <c r="I1028" s="63">
        <v>1</v>
      </c>
      <c r="J1028" s="65">
        <v>51.66</v>
      </c>
      <c r="K1028" s="65">
        <v>34.590000000000003</v>
      </c>
      <c r="L1028" s="62" t="s">
        <v>825</v>
      </c>
      <c r="M1028" s="63">
        <v>1</v>
      </c>
      <c r="N1028" s="66">
        <f t="shared" si="66"/>
        <v>0.53500000000000003</v>
      </c>
      <c r="O1028" s="62" t="str">
        <f t="shared" si="67"/>
        <v>4: Engaged Early</v>
      </c>
    </row>
    <row r="1029" spans="1:15" ht="15" customHeight="1" x14ac:dyDescent="0.4">
      <c r="A1029" s="62" t="s">
        <v>824</v>
      </c>
      <c r="B1029" s="62" t="s">
        <v>1629</v>
      </c>
      <c r="C1029" s="62" t="s">
        <v>826</v>
      </c>
      <c r="D1029" s="63">
        <v>17</v>
      </c>
      <c r="E1029" s="63">
        <v>13</v>
      </c>
      <c r="F1029" s="63">
        <v>3</v>
      </c>
      <c r="G1029" s="64">
        <f t="shared" si="64"/>
        <v>0.76470588235294112</v>
      </c>
      <c r="H1029" s="64">
        <f t="shared" si="65"/>
        <v>0.17647058823529413</v>
      </c>
      <c r="I1029" s="63">
        <v>2</v>
      </c>
      <c r="J1029" s="65">
        <v>89.037700000000001</v>
      </c>
      <c r="K1029" s="65">
        <v>100</v>
      </c>
      <c r="L1029" s="62" t="s">
        <v>825</v>
      </c>
      <c r="M1029" s="63">
        <v>0</v>
      </c>
      <c r="N1029" s="66">
        <f t="shared" si="66"/>
        <v>0.98399999999999999</v>
      </c>
      <c r="O1029" s="62" t="str">
        <f t="shared" si="67"/>
        <v>4: Engaged Early</v>
      </c>
    </row>
    <row r="1030" spans="1:15" ht="15" customHeight="1" x14ac:dyDescent="0.4">
      <c r="A1030" s="62" t="s">
        <v>824</v>
      </c>
      <c r="B1030" s="62" t="s">
        <v>633</v>
      </c>
      <c r="C1030" s="62" t="s">
        <v>825</v>
      </c>
      <c r="D1030" s="63">
        <v>13</v>
      </c>
      <c r="E1030" s="63">
        <v>10</v>
      </c>
      <c r="F1030" s="63">
        <v>1</v>
      </c>
      <c r="G1030" s="64">
        <f t="shared" si="64"/>
        <v>0.76923076923076927</v>
      </c>
      <c r="H1030" s="64">
        <f t="shared" si="65"/>
        <v>7.6923076923076927E-2</v>
      </c>
      <c r="I1030" s="63">
        <v>2</v>
      </c>
      <c r="J1030" s="65">
        <v>60.892400000000002</v>
      </c>
      <c r="K1030" s="65">
        <v>44.11</v>
      </c>
      <c r="L1030" s="62" t="s">
        <v>825</v>
      </c>
      <c r="M1030" s="63">
        <v>1</v>
      </c>
      <c r="N1030" s="66">
        <f t="shared" si="66"/>
        <v>0.60599999999999998</v>
      </c>
      <c r="O1030" s="62" t="str">
        <f t="shared" si="67"/>
        <v>4: Engaged Early</v>
      </c>
    </row>
    <row r="1031" spans="1:15" ht="15" customHeight="1" x14ac:dyDescent="0.4">
      <c r="A1031" s="62" t="s">
        <v>824</v>
      </c>
      <c r="B1031" s="62" t="s">
        <v>1630</v>
      </c>
      <c r="C1031" s="62" t="s">
        <v>826</v>
      </c>
      <c r="D1031" s="63">
        <v>22</v>
      </c>
      <c r="E1031" s="63">
        <v>5</v>
      </c>
      <c r="F1031" s="63">
        <v>3</v>
      </c>
      <c r="G1031" s="64">
        <f t="shared" si="64"/>
        <v>0.22727272727272727</v>
      </c>
      <c r="H1031" s="64">
        <f t="shared" si="65"/>
        <v>0.13636363636363635</v>
      </c>
      <c r="I1031" s="63">
        <v>0</v>
      </c>
      <c r="J1031" s="65"/>
      <c r="K1031" s="65">
        <v>75</v>
      </c>
      <c r="L1031" s="62" t="s">
        <v>826</v>
      </c>
      <c r="M1031" s="63">
        <v>0</v>
      </c>
      <c r="N1031" s="66">
        <f t="shared" si="66"/>
        <v>0.45</v>
      </c>
      <c r="O1031" s="62" t="str">
        <f t="shared" si="67"/>
        <v>1: Critical (No DBWT + No Wk0)</v>
      </c>
    </row>
    <row r="1032" spans="1:15" ht="15" customHeight="1" x14ac:dyDescent="0.4">
      <c r="A1032" s="62" t="s">
        <v>824</v>
      </c>
      <c r="B1032" s="62" t="s">
        <v>776</v>
      </c>
      <c r="C1032" s="62" t="s">
        <v>825</v>
      </c>
      <c r="D1032" s="63">
        <v>4</v>
      </c>
      <c r="E1032" s="63">
        <v>2</v>
      </c>
      <c r="F1032" s="63">
        <v>0</v>
      </c>
      <c r="G1032" s="64">
        <f t="shared" si="64"/>
        <v>0.5</v>
      </c>
      <c r="H1032" s="64">
        <f t="shared" si="65"/>
        <v>0</v>
      </c>
      <c r="I1032" s="63">
        <v>2</v>
      </c>
      <c r="J1032" s="65">
        <v>26.525805999999999</v>
      </c>
      <c r="K1032" s="65">
        <v>27.93</v>
      </c>
      <c r="L1032" s="62" t="s">
        <v>825</v>
      </c>
      <c r="M1032" s="63">
        <v>0</v>
      </c>
      <c r="N1032" s="66">
        <f t="shared" si="66"/>
        <v>0.45700000000000002</v>
      </c>
      <c r="O1032" s="62" t="str">
        <f t="shared" si="67"/>
        <v>4: Engaged Early</v>
      </c>
    </row>
    <row r="1033" spans="1:15" ht="15" customHeight="1" x14ac:dyDescent="0.4">
      <c r="A1033" s="62" t="s">
        <v>824</v>
      </c>
      <c r="B1033" s="62" t="s">
        <v>1631</v>
      </c>
      <c r="C1033" s="62" t="s">
        <v>826</v>
      </c>
      <c r="D1033" s="63">
        <v>6</v>
      </c>
      <c r="E1033" s="63">
        <v>2</v>
      </c>
      <c r="F1033" s="63">
        <v>0</v>
      </c>
      <c r="G1033" s="64">
        <f t="shared" si="64"/>
        <v>0.33333333333333331</v>
      </c>
      <c r="H1033" s="64">
        <f t="shared" si="65"/>
        <v>0</v>
      </c>
      <c r="I1033" s="63">
        <v>2</v>
      </c>
      <c r="J1033" s="65">
        <v>92.380600000000001</v>
      </c>
      <c r="K1033" s="65">
        <v>100</v>
      </c>
      <c r="L1033" s="62" t="s">
        <v>825</v>
      </c>
      <c r="M1033" s="63">
        <v>0</v>
      </c>
      <c r="N1033" s="66">
        <f t="shared" si="66"/>
        <v>0.98899999999999999</v>
      </c>
      <c r="O1033" s="62" t="str">
        <f t="shared" si="67"/>
        <v>4: Engaged Early</v>
      </c>
    </row>
    <row r="1034" spans="1:15" ht="15" customHeight="1" x14ac:dyDescent="0.4">
      <c r="A1034" s="62" t="s">
        <v>824</v>
      </c>
      <c r="B1034" s="62" t="s">
        <v>1632</v>
      </c>
      <c r="C1034" s="62" t="s">
        <v>826</v>
      </c>
      <c r="D1034" s="63">
        <v>13</v>
      </c>
      <c r="E1034" s="63">
        <v>6</v>
      </c>
      <c r="F1034" s="63">
        <v>1</v>
      </c>
      <c r="G1034" s="64">
        <f t="shared" si="64"/>
        <v>0.46153846153846156</v>
      </c>
      <c r="H1034" s="64">
        <f t="shared" si="65"/>
        <v>7.6923076923076927E-2</v>
      </c>
      <c r="I1034" s="63">
        <v>2</v>
      </c>
      <c r="J1034" s="65">
        <v>49.744950000000003</v>
      </c>
      <c r="K1034" s="65">
        <v>45.14</v>
      </c>
      <c r="L1034" s="62" t="s">
        <v>825</v>
      </c>
      <c r="M1034" s="63">
        <v>0</v>
      </c>
      <c r="N1034" s="66">
        <f t="shared" si="66"/>
        <v>0.59499999999999997</v>
      </c>
      <c r="O1034" s="62" t="str">
        <f t="shared" si="67"/>
        <v>4: Engaged Early</v>
      </c>
    </row>
    <row r="1035" spans="1:15" ht="15" customHeight="1" x14ac:dyDescent="0.4">
      <c r="A1035" s="62" t="s">
        <v>824</v>
      </c>
      <c r="B1035" s="62" t="s">
        <v>1633</v>
      </c>
      <c r="C1035" s="62" t="s">
        <v>826</v>
      </c>
      <c r="D1035" s="63">
        <v>15</v>
      </c>
      <c r="E1035" s="63">
        <v>6</v>
      </c>
      <c r="F1035" s="63">
        <v>0</v>
      </c>
      <c r="G1035" s="64">
        <f t="shared" si="64"/>
        <v>0.4</v>
      </c>
      <c r="H1035" s="64">
        <f t="shared" si="65"/>
        <v>0</v>
      </c>
      <c r="I1035" s="63">
        <v>2</v>
      </c>
      <c r="J1035" s="65">
        <v>10.695349999999999</v>
      </c>
      <c r="K1035" s="65">
        <v>65.84</v>
      </c>
      <c r="L1035" s="62" t="s">
        <v>825</v>
      </c>
      <c r="M1035" s="63">
        <v>0</v>
      </c>
      <c r="N1035" s="66">
        <f t="shared" si="66"/>
        <v>0.66100000000000003</v>
      </c>
      <c r="O1035" s="62" t="str">
        <f t="shared" si="67"/>
        <v>4: Engaged Early</v>
      </c>
    </row>
    <row r="1036" spans="1:15" ht="15" customHeight="1" x14ac:dyDescent="0.4">
      <c r="A1036" s="62" t="s">
        <v>824</v>
      </c>
      <c r="B1036" s="62" t="s">
        <v>1634</v>
      </c>
      <c r="C1036" s="62" t="s">
        <v>826</v>
      </c>
      <c r="D1036" s="63">
        <v>8</v>
      </c>
      <c r="E1036" s="63">
        <v>1</v>
      </c>
      <c r="F1036" s="63">
        <v>0</v>
      </c>
      <c r="G1036" s="64">
        <f t="shared" si="64"/>
        <v>0.125</v>
      </c>
      <c r="H1036" s="64">
        <f t="shared" si="65"/>
        <v>0</v>
      </c>
      <c r="I1036" s="63">
        <v>2</v>
      </c>
      <c r="J1036" s="65">
        <v>61.186250000000001</v>
      </c>
      <c r="K1036" s="65">
        <v>53.74</v>
      </c>
      <c r="L1036" s="62" t="s">
        <v>825</v>
      </c>
      <c r="M1036" s="63">
        <v>0</v>
      </c>
      <c r="N1036" s="66">
        <f t="shared" si="66"/>
        <v>0.66400000000000003</v>
      </c>
      <c r="O1036" s="62" t="str">
        <f t="shared" si="67"/>
        <v>4: Engaged Early</v>
      </c>
    </row>
    <row r="1037" spans="1:15" ht="15" customHeight="1" x14ac:dyDescent="0.4">
      <c r="A1037" s="62" t="s">
        <v>824</v>
      </c>
      <c r="B1037" s="62" t="s">
        <v>1635</v>
      </c>
      <c r="C1037" s="62" t="s">
        <v>826</v>
      </c>
      <c r="D1037" s="63">
        <v>20</v>
      </c>
      <c r="E1037" s="63">
        <v>6</v>
      </c>
      <c r="F1037" s="63">
        <v>3</v>
      </c>
      <c r="G1037" s="64">
        <f t="shared" si="64"/>
        <v>0.3</v>
      </c>
      <c r="H1037" s="64">
        <f t="shared" si="65"/>
        <v>0.15</v>
      </c>
      <c r="I1037" s="63">
        <v>2</v>
      </c>
      <c r="J1037" s="65">
        <v>98.983900000000006</v>
      </c>
      <c r="K1037" s="65">
        <v>99.73</v>
      </c>
      <c r="L1037" s="62" t="s">
        <v>825</v>
      </c>
      <c r="M1037" s="63">
        <v>1</v>
      </c>
      <c r="N1037" s="66">
        <f t="shared" si="66"/>
        <v>0.997</v>
      </c>
      <c r="O1037" s="62" t="str">
        <f t="shared" si="67"/>
        <v>4: Engaged Early</v>
      </c>
    </row>
    <row r="1038" spans="1:15" ht="15" customHeight="1" x14ac:dyDescent="0.4">
      <c r="A1038" s="62" t="s">
        <v>824</v>
      </c>
      <c r="B1038" s="62" t="s">
        <v>1636</v>
      </c>
      <c r="C1038" s="62" t="s">
        <v>826</v>
      </c>
      <c r="D1038" s="63">
        <v>0</v>
      </c>
      <c r="E1038" s="63">
        <v>0</v>
      </c>
      <c r="F1038" s="63">
        <v>0</v>
      </c>
      <c r="G1038" s="64">
        <f t="shared" si="64"/>
        <v>0</v>
      </c>
      <c r="H1038" s="64">
        <f t="shared" si="65"/>
        <v>0</v>
      </c>
      <c r="I1038" s="63">
        <v>2</v>
      </c>
      <c r="J1038" s="65">
        <v>61.575850000000003</v>
      </c>
      <c r="K1038" s="65">
        <v>80.39</v>
      </c>
      <c r="L1038" s="62" t="s">
        <v>825</v>
      </c>
      <c r="M1038" s="63">
        <v>0</v>
      </c>
      <c r="N1038" s="66">
        <f t="shared" si="66"/>
        <v>0.82499999999999996</v>
      </c>
      <c r="O1038" s="62" t="str">
        <f t="shared" si="67"/>
        <v>4: Engaged Early</v>
      </c>
    </row>
    <row r="1039" spans="1:15" ht="15" customHeight="1" x14ac:dyDescent="0.4">
      <c r="A1039" s="62" t="s">
        <v>824</v>
      </c>
      <c r="B1039" s="62" t="s">
        <v>1637</v>
      </c>
      <c r="C1039" s="62" t="s">
        <v>826</v>
      </c>
      <c r="D1039" s="63">
        <v>6</v>
      </c>
      <c r="E1039" s="63">
        <v>0</v>
      </c>
      <c r="F1039" s="63">
        <v>0</v>
      </c>
      <c r="G1039" s="64">
        <f t="shared" si="64"/>
        <v>0</v>
      </c>
      <c r="H1039" s="64">
        <f t="shared" si="65"/>
        <v>0</v>
      </c>
      <c r="I1039" s="63">
        <v>2</v>
      </c>
      <c r="J1039" s="65">
        <v>99.580399999999997</v>
      </c>
      <c r="K1039" s="65">
        <v>100</v>
      </c>
      <c r="L1039" s="62" t="s">
        <v>825</v>
      </c>
      <c r="M1039" s="63">
        <v>0</v>
      </c>
      <c r="N1039" s="66">
        <f t="shared" si="66"/>
        <v>0.999</v>
      </c>
      <c r="O1039" s="62" t="str">
        <f t="shared" si="67"/>
        <v>4: Engaged Early</v>
      </c>
    </row>
    <row r="1040" spans="1:15" ht="15" customHeight="1" x14ac:dyDescent="0.4">
      <c r="A1040" s="62" t="s">
        <v>824</v>
      </c>
      <c r="B1040" s="62" t="s">
        <v>1638</v>
      </c>
      <c r="C1040" s="62" t="s">
        <v>826</v>
      </c>
      <c r="D1040" s="63">
        <v>0</v>
      </c>
      <c r="E1040" s="63">
        <v>0</v>
      </c>
      <c r="F1040" s="63">
        <v>0</v>
      </c>
      <c r="G1040" s="64">
        <f t="shared" si="64"/>
        <v>0</v>
      </c>
      <c r="H1040" s="64">
        <f t="shared" si="65"/>
        <v>0</v>
      </c>
      <c r="I1040" s="63">
        <v>0</v>
      </c>
      <c r="J1040" s="65"/>
      <c r="K1040" s="65">
        <v>8.33</v>
      </c>
      <c r="L1040" s="62" t="s">
        <v>840</v>
      </c>
      <c r="M1040" s="63">
        <v>0</v>
      </c>
      <c r="N1040" s="66">
        <f t="shared" si="66"/>
        <v>0.125</v>
      </c>
      <c r="O1040" s="62" t="str">
        <f t="shared" si="67"/>
        <v>3: Elevated (No Wk0)</v>
      </c>
    </row>
    <row r="1041" spans="1:15" ht="15" customHeight="1" x14ac:dyDescent="0.4">
      <c r="A1041" s="62" t="s">
        <v>824</v>
      </c>
      <c r="B1041" s="62" t="s">
        <v>1639</v>
      </c>
      <c r="C1041" s="62" t="s">
        <v>826</v>
      </c>
      <c r="D1041" s="63">
        <v>9</v>
      </c>
      <c r="E1041" s="63">
        <v>7</v>
      </c>
      <c r="F1041" s="63">
        <v>2</v>
      </c>
      <c r="G1041" s="64">
        <f t="shared" si="64"/>
        <v>0.77777777777777779</v>
      </c>
      <c r="H1041" s="64">
        <f t="shared" si="65"/>
        <v>0.22222222222222221</v>
      </c>
      <c r="I1041" s="63">
        <v>2</v>
      </c>
      <c r="J1041" s="65">
        <v>96.286000000000001</v>
      </c>
      <c r="K1041" s="65">
        <v>100</v>
      </c>
      <c r="L1041" s="62" t="s">
        <v>825</v>
      </c>
      <c r="M1041" s="63">
        <v>0</v>
      </c>
      <c r="N1041" s="66">
        <f t="shared" si="66"/>
        <v>0.99399999999999999</v>
      </c>
      <c r="O1041" s="62" t="str">
        <f t="shared" si="67"/>
        <v>4: Engaged Early</v>
      </c>
    </row>
    <row r="1042" spans="1:15" ht="15" customHeight="1" x14ac:dyDescent="0.4">
      <c r="A1042" s="62" t="s">
        <v>824</v>
      </c>
      <c r="B1042" s="62" t="s">
        <v>1640</v>
      </c>
      <c r="C1042" s="62" t="s">
        <v>826</v>
      </c>
      <c r="D1042" s="63">
        <v>10</v>
      </c>
      <c r="E1042" s="63">
        <v>10</v>
      </c>
      <c r="F1042" s="63">
        <v>0</v>
      </c>
      <c r="G1042" s="64">
        <f t="shared" si="64"/>
        <v>1</v>
      </c>
      <c r="H1042" s="64">
        <f t="shared" si="65"/>
        <v>0</v>
      </c>
      <c r="I1042" s="63">
        <v>2</v>
      </c>
      <c r="J1042" s="65">
        <v>89.495350000000002</v>
      </c>
      <c r="K1042" s="65">
        <v>100</v>
      </c>
      <c r="L1042" s="62" t="s">
        <v>825</v>
      </c>
      <c r="M1042" s="63">
        <v>0</v>
      </c>
      <c r="N1042" s="66">
        <f t="shared" si="66"/>
        <v>0.98399999999999999</v>
      </c>
      <c r="O1042" s="62" t="str">
        <f t="shared" si="67"/>
        <v>4: Engaged Early</v>
      </c>
    </row>
    <row r="1043" spans="1:15" ht="15" customHeight="1" x14ac:dyDescent="0.4">
      <c r="A1043" s="62" t="s">
        <v>824</v>
      </c>
      <c r="B1043" s="62" t="s">
        <v>1641</v>
      </c>
      <c r="C1043" s="62" t="s">
        <v>826</v>
      </c>
      <c r="D1043" s="63">
        <v>17</v>
      </c>
      <c r="E1043" s="63">
        <v>17</v>
      </c>
      <c r="F1043" s="63">
        <v>6</v>
      </c>
      <c r="G1043" s="64">
        <f t="shared" si="64"/>
        <v>1</v>
      </c>
      <c r="H1043" s="64">
        <f t="shared" si="65"/>
        <v>0.35294117647058826</v>
      </c>
      <c r="I1043" s="63">
        <v>2</v>
      </c>
      <c r="J1043" s="65">
        <v>83.923299999999998</v>
      </c>
      <c r="K1043" s="65">
        <v>100</v>
      </c>
      <c r="L1043" s="62" t="s">
        <v>825</v>
      </c>
      <c r="M1043" s="63">
        <v>0</v>
      </c>
      <c r="N1043" s="66">
        <f t="shared" si="66"/>
        <v>0.97599999999999998</v>
      </c>
      <c r="O1043" s="62" t="str">
        <f t="shared" si="67"/>
        <v>4: Engaged Early</v>
      </c>
    </row>
    <row r="1044" spans="1:15" ht="15" customHeight="1" x14ac:dyDescent="0.4">
      <c r="A1044" s="62" t="s">
        <v>824</v>
      </c>
      <c r="B1044" s="62" t="s">
        <v>1642</v>
      </c>
      <c r="C1044" s="62" t="s">
        <v>826</v>
      </c>
      <c r="D1044" s="63">
        <v>17</v>
      </c>
      <c r="E1044" s="63">
        <v>14</v>
      </c>
      <c r="F1044" s="63">
        <v>2</v>
      </c>
      <c r="G1044" s="64">
        <f t="shared" si="64"/>
        <v>0.82352941176470584</v>
      </c>
      <c r="H1044" s="64">
        <f t="shared" si="65"/>
        <v>0.11764705882352941</v>
      </c>
      <c r="I1044" s="63">
        <v>2</v>
      </c>
      <c r="J1044" s="65">
        <v>99.612949999999998</v>
      </c>
      <c r="K1044" s="65">
        <v>100</v>
      </c>
      <c r="L1044" s="62" t="s">
        <v>825</v>
      </c>
      <c r="M1044" s="63">
        <v>0</v>
      </c>
      <c r="N1044" s="66">
        <f t="shared" si="66"/>
        <v>0.999</v>
      </c>
      <c r="O1044" s="62" t="str">
        <f t="shared" si="67"/>
        <v>4: Engaged Early</v>
      </c>
    </row>
    <row r="1045" spans="1:15" ht="15" customHeight="1" x14ac:dyDescent="0.4">
      <c r="A1045" s="62" t="s">
        <v>824</v>
      </c>
      <c r="B1045" s="62" t="s">
        <v>243</v>
      </c>
      <c r="C1045" s="62" t="s">
        <v>826</v>
      </c>
      <c r="D1045" s="63">
        <v>10</v>
      </c>
      <c r="E1045" s="63">
        <v>7</v>
      </c>
      <c r="F1045" s="63">
        <v>0</v>
      </c>
      <c r="G1045" s="64">
        <f t="shared" si="64"/>
        <v>0.7</v>
      </c>
      <c r="H1045" s="64">
        <f t="shared" si="65"/>
        <v>0</v>
      </c>
      <c r="I1045" s="63">
        <v>2</v>
      </c>
      <c r="J1045" s="65">
        <v>86.274299999999997</v>
      </c>
      <c r="K1045" s="65">
        <v>100</v>
      </c>
      <c r="L1045" s="62" t="s">
        <v>825</v>
      </c>
      <c r="M1045" s="63">
        <v>0</v>
      </c>
      <c r="N1045" s="66">
        <f t="shared" si="66"/>
        <v>0.97899999999999998</v>
      </c>
      <c r="O1045" s="62" t="str">
        <f t="shared" si="67"/>
        <v>4: Engaged Early</v>
      </c>
    </row>
    <row r="1046" spans="1:15" ht="15" customHeight="1" x14ac:dyDescent="0.4">
      <c r="A1046" s="62" t="s">
        <v>824</v>
      </c>
      <c r="B1046" s="62" t="s">
        <v>1643</v>
      </c>
      <c r="C1046" s="62" t="s">
        <v>826</v>
      </c>
      <c r="D1046" s="63">
        <v>6</v>
      </c>
      <c r="E1046" s="63">
        <v>4</v>
      </c>
      <c r="F1046" s="63">
        <v>0</v>
      </c>
      <c r="G1046" s="64">
        <f t="shared" si="64"/>
        <v>0.66666666666666663</v>
      </c>
      <c r="H1046" s="64">
        <f t="shared" si="65"/>
        <v>0</v>
      </c>
      <c r="I1046" s="63">
        <v>2</v>
      </c>
      <c r="J1046" s="65">
        <v>79.947500000000005</v>
      </c>
      <c r="K1046" s="65">
        <v>98.62</v>
      </c>
      <c r="L1046" s="62" t="s">
        <v>825</v>
      </c>
      <c r="M1046" s="63">
        <v>1</v>
      </c>
      <c r="N1046" s="66">
        <f t="shared" si="66"/>
        <v>0.96199999999999997</v>
      </c>
      <c r="O1046" s="62" t="str">
        <f t="shared" si="67"/>
        <v>4: Engaged Early</v>
      </c>
    </row>
    <row r="1047" spans="1:15" ht="15" customHeight="1" x14ac:dyDescent="0.4">
      <c r="A1047" s="62" t="s">
        <v>824</v>
      </c>
      <c r="B1047" s="62" t="s">
        <v>1644</v>
      </c>
      <c r="C1047" s="62" t="s">
        <v>826</v>
      </c>
      <c r="D1047" s="63">
        <v>10</v>
      </c>
      <c r="E1047" s="63">
        <v>3</v>
      </c>
      <c r="F1047" s="63">
        <v>0</v>
      </c>
      <c r="G1047" s="64">
        <f t="shared" si="64"/>
        <v>0.3</v>
      </c>
      <c r="H1047" s="64">
        <f t="shared" si="65"/>
        <v>0</v>
      </c>
      <c r="I1047" s="63">
        <v>2</v>
      </c>
      <c r="J1047" s="65">
        <v>95.265450000000001</v>
      </c>
      <c r="K1047" s="65">
        <v>100</v>
      </c>
      <c r="L1047" s="62" t="s">
        <v>826</v>
      </c>
      <c r="M1047" s="63">
        <v>0</v>
      </c>
      <c r="N1047" s="66">
        <f t="shared" si="66"/>
        <v>0.74299999999999999</v>
      </c>
      <c r="O1047" s="62" t="str">
        <f t="shared" si="67"/>
        <v>2: High (No DBWT)</v>
      </c>
    </row>
    <row r="1048" spans="1:15" ht="15" customHeight="1" x14ac:dyDescent="0.4">
      <c r="A1048" s="62" t="s">
        <v>824</v>
      </c>
      <c r="B1048" s="62" t="s">
        <v>1645</v>
      </c>
      <c r="C1048" s="62" t="s">
        <v>826</v>
      </c>
      <c r="D1048" s="63">
        <v>13</v>
      </c>
      <c r="E1048" s="63">
        <v>13</v>
      </c>
      <c r="F1048" s="63">
        <v>4</v>
      </c>
      <c r="G1048" s="64">
        <f t="shared" si="64"/>
        <v>1</v>
      </c>
      <c r="H1048" s="64">
        <f t="shared" si="65"/>
        <v>0.30769230769230771</v>
      </c>
      <c r="I1048" s="63">
        <v>2</v>
      </c>
      <c r="J1048" s="65">
        <v>87.996399999999994</v>
      </c>
      <c r="K1048" s="65">
        <v>100</v>
      </c>
      <c r="L1048" s="62" t="s">
        <v>825</v>
      </c>
      <c r="M1048" s="63">
        <v>0</v>
      </c>
      <c r="N1048" s="66">
        <f t="shared" si="66"/>
        <v>0.98199999999999998</v>
      </c>
      <c r="O1048" s="62" t="str">
        <f t="shared" si="67"/>
        <v>4: Engaged Early</v>
      </c>
    </row>
    <row r="1049" spans="1:15" ht="15" customHeight="1" x14ac:dyDescent="0.4">
      <c r="A1049" s="62" t="s">
        <v>824</v>
      </c>
      <c r="B1049" s="62" t="s">
        <v>1646</v>
      </c>
      <c r="C1049" s="62" t="s">
        <v>826</v>
      </c>
      <c r="D1049" s="63">
        <v>10</v>
      </c>
      <c r="E1049" s="63">
        <v>8</v>
      </c>
      <c r="F1049" s="63">
        <v>0</v>
      </c>
      <c r="G1049" s="64">
        <f t="shared" si="64"/>
        <v>0.8</v>
      </c>
      <c r="H1049" s="64">
        <f t="shared" si="65"/>
        <v>0</v>
      </c>
      <c r="I1049" s="63">
        <v>2</v>
      </c>
      <c r="J1049" s="65">
        <v>74.584850000000003</v>
      </c>
      <c r="K1049" s="65">
        <v>76.12</v>
      </c>
      <c r="L1049" s="62" t="s">
        <v>826</v>
      </c>
      <c r="M1049" s="63">
        <v>0</v>
      </c>
      <c r="N1049" s="66">
        <f t="shared" si="66"/>
        <v>0.56899999999999995</v>
      </c>
      <c r="O1049" s="62" t="str">
        <f t="shared" si="67"/>
        <v>2: High (No DBWT)</v>
      </c>
    </row>
    <row r="1050" spans="1:15" ht="15" customHeight="1" x14ac:dyDescent="0.4">
      <c r="A1050" s="62" t="s">
        <v>824</v>
      </c>
      <c r="B1050" s="62" t="s">
        <v>1647</v>
      </c>
      <c r="C1050" s="62" t="s">
        <v>826</v>
      </c>
      <c r="D1050" s="63">
        <v>13</v>
      </c>
      <c r="E1050" s="63">
        <v>0</v>
      </c>
      <c r="F1050" s="63">
        <v>1</v>
      </c>
      <c r="G1050" s="64">
        <f t="shared" si="64"/>
        <v>0</v>
      </c>
      <c r="H1050" s="64">
        <f t="shared" si="65"/>
        <v>7.6923076923076927E-2</v>
      </c>
      <c r="I1050" s="63">
        <v>2</v>
      </c>
      <c r="J1050" s="65">
        <v>87.590450000000004</v>
      </c>
      <c r="K1050" s="65">
        <v>100</v>
      </c>
      <c r="L1050" s="62" t="s">
        <v>826</v>
      </c>
      <c r="M1050" s="63">
        <v>0</v>
      </c>
      <c r="N1050" s="66">
        <f t="shared" si="66"/>
        <v>0.73099999999999998</v>
      </c>
      <c r="O1050" s="62" t="str">
        <f t="shared" si="67"/>
        <v>2: High (No DBWT)</v>
      </c>
    </row>
    <row r="1051" spans="1:15" ht="15" customHeight="1" x14ac:dyDescent="0.4">
      <c r="A1051" s="62" t="s">
        <v>824</v>
      </c>
      <c r="B1051" s="62" t="s">
        <v>1648</v>
      </c>
      <c r="C1051" s="62" t="s">
        <v>826</v>
      </c>
      <c r="D1051" s="63">
        <v>4</v>
      </c>
      <c r="E1051" s="63">
        <v>4</v>
      </c>
      <c r="F1051" s="63">
        <v>3</v>
      </c>
      <c r="G1051" s="64">
        <f t="shared" si="64"/>
        <v>1</v>
      </c>
      <c r="H1051" s="64">
        <f t="shared" si="65"/>
        <v>0.75</v>
      </c>
      <c r="I1051" s="63">
        <v>2</v>
      </c>
      <c r="J1051" s="65">
        <v>91.443950000000001</v>
      </c>
      <c r="K1051" s="65">
        <v>100</v>
      </c>
      <c r="L1051" s="62" t="s">
        <v>825</v>
      </c>
      <c r="M1051" s="63">
        <v>0</v>
      </c>
      <c r="N1051" s="66">
        <f t="shared" si="66"/>
        <v>0.98699999999999999</v>
      </c>
      <c r="O1051" s="62" t="str">
        <f t="shared" si="67"/>
        <v>4: Engaged Early</v>
      </c>
    </row>
    <row r="1052" spans="1:15" ht="15" customHeight="1" x14ac:dyDescent="0.4">
      <c r="A1052" s="62" t="s">
        <v>824</v>
      </c>
      <c r="B1052" s="62" t="s">
        <v>1649</v>
      </c>
      <c r="C1052" s="62" t="s">
        <v>826</v>
      </c>
      <c r="D1052" s="63">
        <v>4</v>
      </c>
      <c r="E1052" s="63">
        <v>3</v>
      </c>
      <c r="F1052" s="63">
        <v>0</v>
      </c>
      <c r="G1052" s="64">
        <f t="shared" si="64"/>
        <v>0.75</v>
      </c>
      <c r="H1052" s="64">
        <f t="shared" si="65"/>
        <v>0</v>
      </c>
      <c r="I1052" s="63">
        <v>2</v>
      </c>
      <c r="J1052" s="65">
        <v>79.120800000000003</v>
      </c>
      <c r="K1052" s="65">
        <v>73.7</v>
      </c>
      <c r="L1052" s="62" t="s">
        <v>825</v>
      </c>
      <c r="M1052" s="63">
        <v>0</v>
      </c>
      <c r="N1052" s="66">
        <f t="shared" si="66"/>
        <v>0.81100000000000005</v>
      </c>
      <c r="O1052" s="62" t="str">
        <f t="shared" si="67"/>
        <v>4: Engaged Early</v>
      </c>
    </row>
    <row r="1053" spans="1:15" ht="15" customHeight="1" x14ac:dyDescent="0.4">
      <c r="A1053" s="62" t="s">
        <v>824</v>
      </c>
      <c r="B1053" s="62" t="s">
        <v>1650</v>
      </c>
      <c r="C1053" s="62" t="s">
        <v>826</v>
      </c>
      <c r="D1053" s="63">
        <v>3</v>
      </c>
      <c r="E1053" s="63">
        <v>2</v>
      </c>
      <c r="F1053" s="63">
        <v>0</v>
      </c>
      <c r="G1053" s="64">
        <f t="shared" si="64"/>
        <v>0.66666666666666663</v>
      </c>
      <c r="H1053" s="64">
        <f t="shared" si="65"/>
        <v>0</v>
      </c>
      <c r="I1053" s="63">
        <v>2</v>
      </c>
      <c r="J1053" s="65">
        <v>86.261150000000001</v>
      </c>
      <c r="K1053" s="65">
        <v>99.21</v>
      </c>
      <c r="L1053" s="62" t="s">
        <v>826</v>
      </c>
      <c r="M1053" s="63">
        <v>0</v>
      </c>
      <c r="N1053" s="66">
        <f t="shared" si="66"/>
        <v>0.72499999999999998</v>
      </c>
      <c r="O1053" s="62" t="str">
        <f t="shared" si="67"/>
        <v>2: High (No DBWT)</v>
      </c>
    </row>
    <row r="1054" spans="1:15" ht="15" customHeight="1" x14ac:dyDescent="0.4">
      <c r="A1054" s="62" t="s">
        <v>824</v>
      </c>
      <c r="B1054" s="62" t="s">
        <v>1651</v>
      </c>
      <c r="C1054" s="62" t="s">
        <v>826</v>
      </c>
      <c r="D1054" s="63">
        <v>10</v>
      </c>
      <c r="E1054" s="63">
        <v>1</v>
      </c>
      <c r="F1054" s="63">
        <v>1</v>
      </c>
      <c r="G1054" s="64">
        <f t="shared" si="64"/>
        <v>0.1</v>
      </c>
      <c r="H1054" s="64">
        <f t="shared" si="65"/>
        <v>0.1</v>
      </c>
      <c r="I1054" s="63">
        <v>2</v>
      </c>
      <c r="J1054" s="65">
        <v>97.737650000000002</v>
      </c>
      <c r="K1054" s="65">
        <v>100</v>
      </c>
      <c r="L1054" s="62" t="s">
        <v>825</v>
      </c>
      <c r="M1054" s="63">
        <v>1</v>
      </c>
      <c r="N1054" s="66">
        <f t="shared" si="66"/>
        <v>0.997</v>
      </c>
      <c r="O1054" s="62" t="str">
        <f t="shared" si="67"/>
        <v>4: Engaged Early</v>
      </c>
    </row>
    <row r="1055" spans="1:15" ht="15" customHeight="1" x14ac:dyDescent="0.4">
      <c r="A1055" s="62" t="s">
        <v>824</v>
      </c>
      <c r="B1055" s="62" t="s">
        <v>762</v>
      </c>
      <c r="C1055" s="62" t="s">
        <v>825</v>
      </c>
      <c r="D1055" s="63">
        <v>17</v>
      </c>
      <c r="E1055" s="63">
        <v>12</v>
      </c>
      <c r="F1055" s="63">
        <v>1</v>
      </c>
      <c r="G1055" s="64">
        <f t="shared" si="64"/>
        <v>0.70588235294117652</v>
      </c>
      <c r="H1055" s="64">
        <f t="shared" si="65"/>
        <v>5.8823529411764705E-2</v>
      </c>
      <c r="I1055" s="63">
        <v>2</v>
      </c>
      <c r="J1055" s="65">
        <v>49.7866</v>
      </c>
      <c r="K1055" s="65">
        <v>79.709999999999994</v>
      </c>
      <c r="L1055" s="62" t="s">
        <v>825</v>
      </c>
      <c r="M1055" s="63">
        <v>0</v>
      </c>
      <c r="N1055" s="66">
        <f t="shared" si="66"/>
        <v>0.80300000000000005</v>
      </c>
      <c r="O1055" s="62" t="str">
        <f t="shared" si="67"/>
        <v>4: Engaged Early</v>
      </c>
    </row>
    <row r="1056" spans="1:15" ht="15" customHeight="1" x14ac:dyDescent="0.4">
      <c r="A1056" s="62" t="s">
        <v>824</v>
      </c>
      <c r="B1056" s="62" t="s">
        <v>1652</v>
      </c>
      <c r="C1056" s="62" t="s">
        <v>826</v>
      </c>
      <c r="D1056" s="63">
        <v>22</v>
      </c>
      <c r="E1056" s="63">
        <v>19</v>
      </c>
      <c r="F1056" s="63">
        <v>5</v>
      </c>
      <c r="G1056" s="64">
        <f t="shared" si="64"/>
        <v>0.86363636363636365</v>
      </c>
      <c r="H1056" s="64">
        <f t="shared" si="65"/>
        <v>0.22727272727272727</v>
      </c>
      <c r="I1056" s="63">
        <v>2</v>
      </c>
      <c r="J1056" s="65">
        <v>99.633799999999994</v>
      </c>
      <c r="K1056" s="65">
        <v>100</v>
      </c>
      <c r="L1056" s="62" t="s">
        <v>825</v>
      </c>
      <c r="M1056" s="63">
        <v>0</v>
      </c>
      <c r="N1056" s="66">
        <f t="shared" si="66"/>
        <v>0.999</v>
      </c>
      <c r="O1056" s="62" t="str">
        <f t="shared" si="67"/>
        <v>4: Engaged Early</v>
      </c>
    </row>
    <row r="1057" spans="1:15" ht="15" customHeight="1" x14ac:dyDescent="0.4">
      <c r="A1057" s="62" t="s">
        <v>824</v>
      </c>
      <c r="B1057" s="62" t="s">
        <v>1653</v>
      </c>
      <c r="C1057" s="62" t="s">
        <v>826</v>
      </c>
      <c r="D1057" s="63">
        <v>12</v>
      </c>
      <c r="E1057" s="63">
        <v>11</v>
      </c>
      <c r="F1057" s="63">
        <v>0</v>
      </c>
      <c r="G1057" s="64">
        <f t="shared" si="64"/>
        <v>0.91666666666666663</v>
      </c>
      <c r="H1057" s="64">
        <f t="shared" si="65"/>
        <v>0</v>
      </c>
      <c r="I1057" s="63">
        <v>2</v>
      </c>
      <c r="J1057" s="65">
        <v>79.470799999999997</v>
      </c>
      <c r="K1057" s="65">
        <v>87.5</v>
      </c>
      <c r="L1057" s="62" t="s">
        <v>825</v>
      </c>
      <c r="M1057" s="63">
        <v>0</v>
      </c>
      <c r="N1057" s="66">
        <f t="shared" si="66"/>
        <v>0.89400000000000002</v>
      </c>
      <c r="O1057" s="62" t="str">
        <f t="shared" si="67"/>
        <v>4: Engaged Early</v>
      </c>
    </row>
    <row r="1058" spans="1:15" ht="15" customHeight="1" x14ac:dyDescent="0.4">
      <c r="A1058" s="62" t="s">
        <v>824</v>
      </c>
      <c r="B1058" s="62" t="s">
        <v>1654</v>
      </c>
      <c r="C1058" s="62" t="s">
        <v>826</v>
      </c>
      <c r="D1058" s="63">
        <v>10</v>
      </c>
      <c r="E1058" s="63">
        <v>9</v>
      </c>
      <c r="F1058" s="63">
        <v>4</v>
      </c>
      <c r="G1058" s="64">
        <f t="shared" si="64"/>
        <v>0.9</v>
      </c>
      <c r="H1058" s="64">
        <f t="shared" si="65"/>
        <v>0.4</v>
      </c>
      <c r="I1058" s="63">
        <v>2</v>
      </c>
      <c r="J1058" s="65">
        <v>94.880849999999995</v>
      </c>
      <c r="K1058" s="65">
        <v>100</v>
      </c>
      <c r="L1058" s="62" t="s">
        <v>826</v>
      </c>
      <c r="M1058" s="63">
        <v>1</v>
      </c>
      <c r="N1058" s="66">
        <f t="shared" si="66"/>
        <v>0.74199999999999999</v>
      </c>
      <c r="O1058" s="62" t="str">
        <f t="shared" si="67"/>
        <v>2: High (No DBWT)</v>
      </c>
    </row>
    <row r="1059" spans="1:15" ht="15" customHeight="1" x14ac:dyDescent="0.4">
      <c r="A1059" s="62" t="s">
        <v>824</v>
      </c>
      <c r="B1059" s="62" t="s">
        <v>1655</v>
      </c>
      <c r="C1059" s="62" t="s">
        <v>826</v>
      </c>
      <c r="D1059" s="63">
        <v>23</v>
      </c>
      <c r="E1059" s="63">
        <v>20</v>
      </c>
      <c r="F1059" s="63">
        <v>1</v>
      </c>
      <c r="G1059" s="64">
        <f t="shared" si="64"/>
        <v>0.86956521739130432</v>
      </c>
      <c r="H1059" s="64">
        <f t="shared" si="65"/>
        <v>4.3478260869565216E-2</v>
      </c>
      <c r="I1059" s="63">
        <v>2</v>
      </c>
      <c r="J1059" s="65">
        <v>98.763350000000003</v>
      </c>
      <c r="K1059" s="65">
        <v>100</v>
      </c>
      <c r="L1059" s="62" t="s">
        <v>825</v>
      </c>
      <c r="M1059" s="63">
        <v>0</v>
      </c>
      <c r="N1059" s="66">
        <f t="shared" si="66"/>
        <v>0.998</v>
      </c>
      <c r="O1059" s="62" t="str">
        <f t="shared" si="67"/>
        <v>4: Engaged Early</v>
      </c>
    </row>
    <row r="1060" spans="1:15" ht="15" customHeight="1" x14ac:dyDescent="0.4">
      <c r="A1060" s="62" t="s">
        <v>824</v>
      </c>
      <c r="B1060" s="62" t="s">
        <v>1656</v>
      </c>
      <c r="C1060" s="62" t="s">
        <v>826</v>
      </c>
      <c r="D1060" s="63">
        <v>4</v>
      </c>
      <c r="E1060" s="63">
        <v>3</v>
      </c>
      <c r="F1060" s="63">
        <v>0</v>
      </c>
      <c r="G1060" s="64">
        <f t="shared" si="64"/>
        <v>0.75</v>
      </c>
      <c r="H1060" s="64">
        <f t="shared" si="65"/>
        <v>0</v>
      </c>
      <c r="I1060" s="63">
        <v>2</v>
      </c>
      <c r="J1060" s="65">
        <v>99.652950000000004</v>
      </c>
      <c r="K1060" s="65">
        <v>100</v>
      </c>
      <c r="L1060" s="62" t="s">
        <v>825</v>
      </c>
      <c r="M1060" s="63">
        <v>0</v>
      </c>
      <c r="N1060" s="66">
        <f t="shared" si="66"/>
        <v>0.999</v>
      </c>
      <c r="O1060" s="62" t="str">
        <f t="shared" si="67"/>
        <v>4: Engaged Early</v>
      </c>
    </row>
    <row r="1061" spans="1:15" ht="15" customHeight="1" x14ac:dyDescent="0.4">
      <c r="A1061" s="62" t="s">
        <v>824</v>
      </c>
      <c r="B1061" s="62" t="s">
        <v>635</v>
      </c>
      <c r="C1061" s="62" t="s">
        <v>825</v>
      </c>
      <c r="D1061" s="63">
        <v>13</v>
      </c>
      <c r="E1061" s="63">
        <v>10</v>
      </c>
      <c r="F1061" s="63">
        <v>6</v>
      </c>
      <c r="G1061" s="64">
        <f t="shared" si="64"/>
        <v>0.76923076923076927</v>
      </c>
      <c r="H1061" s="64">
        <f t="shared" si="65"/>
        <v>0.46153846153846156</v>
      </c>
      <c r="I1061" s="63">
        <v>2</v>
      </c>
      <c r="J1061" s="65">
        <v>97.165999999999997</v>
      </c>
      <c r="K1061" s="65">
        <v>50</v>
      </c>
      <c r="L1061" s="62" t="s">
        <v>825</v>
      </c>
      <c r="M1061" s="63">
        <v>0</v>
      </c>
      <c r="N1061" s="66">
        <f t="shared" si="66"/>
        <v>0.69599999999999995</v>
      </c>
      <c r="O1061" s="62" t="str">
        <f t="shared" si="67"/>
        <v>4: Engaged Early</v>
      </c>
    </row>
    <row r="1062" spans="1:15" ht="15" customHeight="1" x14ac:dyDescent="0.4">
      <c r="A1062" s="62" t="s">
        <v>824</v>
      </c>
      <c r="B1062" s="62" t="s">
        <v>704</v>
      </c>
      <c r="C1062" s="62" t="s">
        <v>825</v>
      </c>
      <c r="D1062" s="63">
        <v>13</v>
      </c>
      <c r="E1062" s="63">
        <v>12</v>
      </c>
      <c r="F1062" s="63">
        <v>1</v>
      </c>
      <c r="G1062" s="64">
        <f t="shared" si="64"/>
        <v>0.92307692307692313</v>
      </c>
      <c r="H1062" s="64">
        <f t="shared" si="65"/>
        <v>7.6923076923076927E-2</v>
      </c>
      <c r="I1062" s="63">
        <v>2</v>
      </c>
      <c r="J1062" s="65">
        <v>71.138649999999998</v>
      </c>
      <c r="K1062" s="65">
        <v>46.14</v>
      </c>
      <c r="L1062" s="62" t="s">
        <v>825</v>
      </c>
      <c r="M1062" s="63">
        <v>0</v>
      </c>
      <c r="N1062" s="66">
        <f t="shared" si="66"/>
        <v>0.63400000000000001</v>
      </c>
      <c r="O1062" s="62" t="str">
        <f t="shared" si="67"/>
        <v>4: Engaged Early</v>
      </c>
    </row>
    <row r="1063" spans="1:15" ht="15" customHeight="1" x14ac:dyDescent="0.4">
      <c r="A1063" s="62" t="s">
        <v>824</v>
      </c>
      <c r="B1063" s="62" t="s">
        <v>1657</v>
      </c>
      <c r="C1063" s="62" t="s">
        <v>826</v>
      </c>
      <c r="D1063" s="63">
        <v>4</v>
      </c>
      <c r="E1063" s="63">
        <v>4</v>
      </c>
      <c r="F1063" s="63">
        <v>0</v>
      </c>
      <c r="G1063" s="64">
        <f t="shared" si="64"/>
        <v>1</v>
      </c>
      <c r="H1063" s="64">
        <f t="shared" si="65"/>
        <v>0</v>
      </c>
      <c r="I1063" s="63">
        <v>2</v>
      </c>
      <c r="J1063" s="65">
        <v>62.6021</v>
      </c>
      <c r="K1063" s="65">
        <v>92.45</v>
      </c>
      <c r="L1063" s="62" t="s">
        <v>825</v>
      </c>
      <c r="M1063" s="63">
        <v>0</v>
      </c>
      <c r="N1063" s="66">
        <f t="shared" si="66"/>
        <v>0.89900000000000002</v>
      </c>
      <c r="O1063" s="62" t="str">
        <f t="shared" si="67"/>
        <v>4: Engaged Early</v>
      </c>
    </row>
    <row r="1064" spans="1:15" ht="15" customHeight="1" x14ac:dyDescent="0.4">
      <c r="A1064" s="62" t="s">
        <v>824</v>
      </c>
      <c r="B1064" s="62" t="s">
        <v>1658</v>
      </c>
      <c r="C1064" s="62" t="s">
        <v>826</v>
      </c>
      <c r="D1064" s="63">
        <v>7</v>
      </c>
      <c r="E1064" s="63">
        <v>4</v>
      </c>
      <c r="F1064" s="63">
        <v>0</v>
      </c>
      <c r="G1064" s="64">
        <f t="shared" si="64"/>
        <v>0.5714285714285714</v>
      </c>
      <c r="H1064" s="64">
        <f t="shared" si="65"/>
        <v>0</v>
      </c>
      <c r="I1064" s="63">
        <v>2</v>
      </c>
      <c r="J1064" s="65">
        <v>87.112750000000005</v>
      </c>
      <c r="K1064" s="65">
        <v>77.540000000000006</v>
      </c>
      <c r="L1064" s="62" t="s">
        <v>825</v>
      </c>
      <c r="M1064" s="63">
        <v>0</v>
      </c>
      <c r="N1064" s="66">
        <f t="shared" si="66"/>
        <v>0.84599999999999997</v>
      </c>
      <c r="O1064" s="62" t="str">
        <f t="shared" si="67"/>
        <v>4: Engaged Early</v>
      </c>
    </row>
    <row r="1065" spans="1:15" ht="15" customHeight="1" x14ac:dyDescent="0.4">
      <c r="A1065" s="62" t="s">
        <v>824</v>
      </c>
      <c r="B1065" s="62" t="s">
        <v>1659</v>
      </c>
      <c r="C1065" s="62" t="s">
        <v>826</v>
      </c>
      <c r="D1065" s="63">
        <v>12</v>
      </c>
      <c r="E1065" s="63">
        <v>4</v>
      </c>
      <c r="F1065" s="63">
        <v>0</v>
      </c>
      <c r="G1065" s="64">
        <f t="shared" si="64"/>
        <v>0.33333333333333331</v>
      </c>
      <c r="H1065" s="64">
        <f t="shared" si="65"/>
        <v>0</v>
      </c>
      <c r="I1065" s="63">
        <v>2</v>
      </c>
      <c r="J1065" s="65">
        <v>81.3673</v>
      </c>
      <c r="K1065" s="65">
        <v>88.89</v>
      </c>
      <c r="L1065" s="62" t="s">
        <v>825</v>
      </c>
      <c r="M1065" s="63">
        <v>0</v>
      </c>
      <c r="N1065" s="66">
        <f t="shared" si="66"/>
        <v>0.90500000000000003</v>
      </c>
      <c r="O1065" s="62" t="str">
        <f t="shared" si="67"/>
        <v>4: Engaged Early</v>
      </c>
    </row>
    <row r="1066" spans="1:15" ht="15" customHeight="1" x14ac:dyDescent="0.4">
      <c r="A1066" s="62" t="s">
        <v>824</v>
      </c>
      <c r="B1066" s="62" t="s">
        <v>241</v>
      </c>
      <c r="C1066" s="62" t="s">
        <v>826</v>
      </c>
      <c r="D1066" s="63">
        <v>4</v>
      </c>
      <c r="E1066" s="63">
        <v>2</v>
      </c>
      <c r="F1066" s="63">
        <v>0</v>
      </c>
      <c r="G1066" s="64">
        <f t="shared" si="64"/>
        <v>0.5</v>
      </c>
      <c r="H1066" s="64">
        <f t="shared" si="65"/>
        <v>0</v>
      </c>
      <c r="I1066" s="63">
        <v>2</v>
      </c>
      <c r="J1066" s="65">
        <v>68.570899999999995</v>
      </c>
      <c r="K1066" s="65">
        <v>94.05</v>
      </c>
      <c r="L1066" s="62" t="s">
        <v>825</v>
      </c>
      <c r="M1066" s="63">
        <v>0</v>
      </c>
      <c r="N1066" s="66">
        <f t="shared" si="66"/>
        <v>0.91700000000000004</v>
      </c>
      <c r="O1066" s="62" t="str">
        <f t="shared" si="67"/>
        <v>4: Engaged Early</v>
      </c>
    </row>
    <row r="1067" spans="1:15" ht="15" customHeight="1" x14ac:dyDescent="0.4">
      <c r="A1067" s="62" t="s">
        <v>824</v>
      </c>
      <c r="B1067" s="62" t="s">
        <v>1660</v>
      </c>
      <c r="C1067" s="62" t="s">
        <v>826</v>
      </c>
      <c r="D1067" s="63">
        <v>15</v>
      </c>
      <c r="E1067" s="63">
        <v>14</v>
      </c>
      <c r="F1067" s="63">
        <v>6</v>
      </c>
      <c r="G1067" s="64">
        <f t="shared" si="64"/>
        <v>0.93333333333333335</v>
      </c>
      <c r="H1067" s="64">
        <f t="shared" si="65"/>
        <v>0.4</v>
      </c>
      <c r="I1067" s="63">
        <v>2</v>
      </c>
      <c r="J1067" s="65">
        <v>98.515900000000002</v>
      </c>
      <c r="K1067" s="65">
        <v>100</v>
      </c>
      <c r="L1067" s="62" t="s">
        <v>825</v>
      </c>
      <c r="M1067" s="63">
        <v>0</v>
      </c>
      <c r="N1067" s="66">
        <f t="shared" si="66"/>
        <v>0.998</v>
      </c>
      <c r="O1067" s="62" t="str">
        <f t="shared" si="67"/>
        <v>4: Engaged Early</v>
      </c>
    </row>
    <row r="1068" spans="1:15" ht="15" customHeight="1" x14ac:dyDescent="0.4">
      <c r="A1068" s="62" t="s">
        <v>824</v>
      </c>
      <c r="B1068" s="62" t="s">
        <v>1661</v>
      </c>
      <c r="C1068" s="62" t="s">
        <v>826</v>
      </c>
      <c r="D1068" s="63">
        <v>16</v>
      </c>
      <c r="E1068" s="63">
        <v>14</v>
      </c>
      <c r="F1068" s="63">
        <v>0</v>
      </c>
      <c r="G1068" s="64">
        <f t="shared" si="64"/>
        <v>0.875</v>
      </c>
      <c r="H1068" s="64">
        <f t="shared" si="65"/>
        <v>0</v>
      </c>
      <c r="I1068" s="63">
        <v>1</v>
      </c>
      <c r="J1068" s="65">
        <v>96.78</v>
      </c>
      <c r="K1068" s="65">
        <v>88.89</v>
      </c>
      <c r="L1068" s="62" t="s">
        <v>825</v>
      </c>
      <c r="M1068" s="63">
        <v>0</v>
      </c>
      <c r="N1068" s="66">
        <f t="shared" si="66"/>
        <v>0.92900000000000005</v>
      </c>
      <c r="O1068" s="62" t="str">
        <f t="shared" si="67"/>
        <v>4: Engaged Early</v>
      </c>
    </row>
    <row r="1069" spans="1:15" ht="15" customHeight="1" x14ac:dyDescent="0.4">
      <c r="A1069" s="62" t="s">
        <v>824</v>
      </c>
      <c r="B1069" s="62" t="s">
        <v>1662</v>
      </c>
      <c r="C1069" s="62" t="s">
        <v>826</v>
      </c>
      <c r="D1069" s="63">
        <v>3</v>
      </c>
      <c r="E1069" s="63">
        <v>2</v>
      </c>
      <c r="F1069" s="63">
        <v>0</v>
      </c>
      <c r="G1069" s="64">
        <f t="shared" si="64"/>
        <v>0.66666666666666663</v>
      </c>
      <c r="H1069" s="64">
        <f t="shared" si="65"/>
        <v>0</v>
      </c>
      <c r="I1069" s="63">
        <v>2</v>
      </c>
      <c r="J1069" s="65">
        <v>82.025049999999993</v>
      </c>
      <c r="K1069" s="65">
        <v>99.95</v>
      </c>
      <c r="L1069" s="62" t="s">
        <v>825</v>
      </c>
      <c r="M1069" s="63">
        <v>0</v>
      </c>
      <c r="N1069" s="66">
        <f t="shared" si="66"/>
        <v>0.97299999999999998</v>
      </c>
      <c r="O1069" s="62" t="str">
        <f t="shared" si="67"/>
        <v>4: Engaged Early</v>
      </c>
    </row>
    <row r="1070" spans="1:15" ht="15" customHeight="1" x14ac:dyDescent="0.4">
      <c r="A1070" s="62" t="s">
        <v>824</v>
      </c>
      <c r="B1070" s="62" t="s">
        <v>1663</v>
      </c>
      <c r="C1070" s="62" t="s">
        <v>826</v>
      </c>
      <c r="D1070" s="63">
        <v>12</v>
      </c>
      <c r="E1070" s="63">
        <v>11</v>
      </c>
      <c r="F1070" s="63">
        <v>2</v>
      </c>
      <c r="G1070" s="64">
        <f t="shared" si="64"/>
        <v>0.91666666666666663</v>
      </c>
      <c r="H1070" s="64">
        <f t="shared" si="65"/>
        <v>0.16666666666666666</v>
      </c>
      <c r="I1070" s="63">
        <v>2</v>
      </c>
      <c r="J1070" s="65">
        <v>86.549350000000004</v>
      </c>
      <c r="K1070" s="65">
        <v>100</v>
      </c>
      <c r="L1070" s="62" t="s">
        <v>825</v>
      </c>
      <c r="M1070" s="63">
        <v>0</v>
      </c>
      <c r="N1070" s="66">
        <f t="shared" si="66"/>
        <v>0.98</v>
      </c>
      <c r="O1070" s="62" t="str">
        <f t="shared" si="67"/>
        <v>4: Engaged Early</v>
      </c>
    </row>
    <row r="1071" spans="1:15" ht="15" customHeight="1" x14ac:dyDescent="0.4">
      <c r="A1071" s="62" t="s">
        <v>824</v>
      </c>
      <c r="B1071" s="62" t="s">
        <v>1664</v>
      </c>
      <c r="C1071" s="62" t="s">
        <v>826</v>
      </c>
      <c r="D1071" s="63">
        <v>20</v>
      </c>
      <c r="E1071" s="63">
        <v>10</v>
      </c>
      <c r="F1071" s="63">
        <v>3</v>
      </c>
      <c r="G1071" s="64">
        <f t="shared" si="64"/>
        <v>0.5</v>
      </c>
      <c r="H1071" s="64">
        <f t="shared" si="65"/>
        <v>0.15</v>
      </c>
      <c r="I1071" s="63">
        <v>2</v>
      </c>
      <c r="J1071" s="65">
        <v>98.999200000000002</v>
      </c>
      <c r="K1071" s="65">
        <v>100</v>
      </c>
      <c r="L1071" s="62" t="s">
        <v>825</v>
      </c>
      <c r="M1071" s="63">
        <v>0</v>
      </c>
      <c r="N1071" s="66">
        <f t="shared" si="66"/>
        <v>0.998</v>
      </c>
      <c r="O1071" s="62" t="str">
        <f t="shared" si="67"/>
        <v>4: Engaged Early</v>
      </c>
    </row>
    <row r="1072" spans="1:15" ht="15" customHeight="1" x14ac:dyDescent="0.4">
      <c r="A1072" s="62" t="s">
        <v>824</v>
      </c>
      <c r="B1072" s="62" t="s">
        <v>1665</v>
      </c>
      <c r="C1072" s="62" t="s">
        <v>826</v>
      </c>
      <c r="D1072" s="63">
        <v>26</v>
      </c>
      <c r="E1072" s="63">
        <v>24</v>
      </c>
      <c r="F1072" s="63">
        <v>1</v>
      </c>
      <c r="G1072" s="64">
        <f t="shared" si="64"/>
        <v>0.92307692307692313</v>
      </c>
      <c r="H1072" s="64">
        <f t="shared" si="65"/>
        <v>3.8461538461538464E-2</v>
      </c>
      <c r="I1072" s="63">
        <v>2</v>
      </c>
      <c r="J1072" s="65">
        <v>93.455200000000005</v>
      </c>
      <c r="K1072" s="65">
        <v>100</v>
      </c>
      <c r="L1072" s="62" t="s">
        <v>825</v>
      </c>
      <c r="M1072" s="63">
        <v>0</v>
      </c>
      <c r="N1072" s="66">
        <f t="shared" si="66"/>
        <v>0.99</v>
      </c>
      <c r="O1072" s="62" t="str">
        <f t="shared" si="67"/>
        <v>4: Engaged Early</v>
      </c>
    </row>
    <row r="1073" spans="1:15" ht="15" customHeight="1" x14ac:dyDescent="0.4">
      <c r="A1073" s="62" t="s">
        <v>824</v>
      </c>
      <c r="B1073" s="62" t="s">
        <v>1666</v>
      </c>
      <c r="C1073" s="62" t="s">
        <v>826</v>
      </c>
      <c r="D1073" s="63">
        <v>17</v>
      </c>
      <c r="E1073" s="63">
        <v>15</v>
      </c>
      <c r="F1073" s="63">
        <v>0</v>
      </c>
      <c r="G1073" s="64">
        <f t="shared" si="64"/>
        <v>0.88235294117647056</v>
      </c>
      <c r="H1073" s="64">
        <f t="shared" si="65"/>
        <v>0</v>
      </c>
      <c r="I1073" s="63">
        <v>2</v>
      </c>
      <c r="J1073" s="65">
        <v>95.645349999999993</v>
      </c>
      <c r="K1073" s="65">
        <v>100</v>
      </c>
      <c r="L1073" s="62" t="s">
        <v>825</v>
      </c>
      <c r="M1073" s="63">
        <v>0</v>
      </c>
      <c r="N1073" s="66">
        <f t="shared" si="66"/>
        <v>0.99299999999999999</v>
      </c>
      <c r="O1073" s="62" t="str">
        <f t="shared" si="67"/>
        <v>4: Engaged Early</v>
      </c>
    </row>
    <row r="1074" spans="1:15" ht="15" customHeight="1" x14ac:dyDescent="0.4">
      <c r="A1074" s="62" t="s">
        <v>824</v>
      </c>
      <c r="B1074" s="62" t="s">
        <v>1667</v>
      </c>
      <c r="C1074" s="62" t="s">
        <v>826</v>
      </c>
      <c r="D1074" s="63">
        <v>13</v>
      </c>
      <c r="E1074" s="63">
        <v>11</v>
      </c>
      <c r="F1074" s="63">
        <v>3</v>
      </c>
      <c r="G1074" s="64">
        <f t="shared" si="64"/>
        <v>0.84615384615384615</v>
      </c>
      <c r="H1074" s="64">
        <f t="shared" si="65"/>
        <v>0.23076923076923078</v>
      </c>
      <c r="I1074" s="63">
        <v>2</v>
      </c>
      <c r="J1074" s="65">
        <v>33.63935</v>
      </c>
      <c r="K1074" s="65">
        <v>56.59</v>
      </c>
      <c r="L1074" s="62" t="s">
        <v>825</v>
      </c>
      <c r="M1074" s="63">
        <v>0</v>
      </c>
      <c r="N1074" s="66">
        <f t="shared" si="66"/>
        <v>0.64</v>
      </c>
      <c r="O1074" s="62" t="str">
        <f t="shared" si="67"/>
        <v>4: Engaged Early</v>
      </c>
    </row>
    <row r="1075" spans="1:15" ht="15" customHeight="1" x14ac:dyDescent="0.4">
      <c r="A1075" s="62" t="s">
        <v>824</v>
      </c>
      <c r="B1075" s="62" t="s">
        <v>239</v>
      </c>
      <c r="C1075" s="62" t="s">
        <v>826</v>
      </c>
      <c r="D1075" s="63">
        <v>10</v>
      </c>
      <c r="E1075" s="63">
        <v>9</v>
      </c>
      <c r="F1075" s="63">
        <v>2</v>
      </c>
      <c r="G1075" s="64">
        <f t="shared" si="64"/>
        <v>0.9</v>
      </c>
      <c r="H1075" s="64">
        <f t="shared" si="65"/>
        <v>0.2</v>
      </c>
      <c r="I1075" s="63">
        <v>2</v>
      </c>
      <c r="J1075" s="65">
        <v>75.873199999999997</v>
      </c>
      <c r="K1075" s="65">
        <v>86.87</v>
      </c>
      <c r="L1075" s="62" t="s">
        <v>826</v>
      </c>
      <c r="M1075" s="63">
        <v>0</v>
      </c>
      <c r="N1075" s="66">
        <f t="shared" si="66"/>
        <v>0.63500000000000001</v>
      </c>
      <c r="O1075" s="62" t="str">
        <f t="shared" si="67"/>
        <v>2: High (No DBWT)</v>
      </c>
    </row>
    <row r="1076" spans="1:15" ht="15" customHeight="1" x14ac:dyDescent="0.4">
      <c r="A1076" s="62" t="s">
        <v>824</v>
      </c>
      <c r="B1076" s="62" t="s">
        <v>1668</v>
      </c>
      <c r="C1076" s="62" t="s">
        <v>826</v>
      </c>
      <c r="D1076" s="63">
        <v>17</v>
      </c>
      <c r="E1076" s="63">
        <v>4</v>
      </c>
      <c r="F1076" s="63">
        <v>1</v>
      </c>
      <c r="G1076" s="64">
        <f t="shared" si="64"/>
        <v>0.23529411764705882</v>
      </c>
      <c r="H1076" s="64">
        <f t="shared" si="65"/>
        <v>5.8823529411764705E-2</v>
      </c>
      <c r="I1076" s="63">
        <v>2</v>
      </c>
      <c r="J1076" s="65">
        <v>86.737099999999998</v>
      </c>
      <c r="K1076" s="65">
        <v>100</v>
      </c>
      <c r="L1076" s="62" t="s">
        <v>825</v>
      </c>
      <c r="M1076" s="63">
        <v>1</v>
      </c>
      <c r="N1076" s="66">
        <f t="shared" si="66"/>
        <v>0.98</v>
      </c>
      <c r="O1076" s="62" t="str">
        <f t="shared" si="67"/>
        <v>4: Engaged Early</v>
      </c>
    </row>
    <row r="1077" spans="1:15" ht="15" customHeight="1" x14ac:dyDescent="0.4">
      <c r="A1077" s="62" t="s">
        <v>824</v>
      </c>
      <c r="B1077" s="62" t="s">
        <v>1669</v>
      </c>
      <c r="C1077" s="62" t="s">
        <v>826</v>
      </c>
      <c r="D1077" s="63">
        <v>7</v>
      </c>
      <c r="E1077" s="63">
        <v>3</v>
      </c>
      <c r="F1077" s="63">
        <v>0</v>
      </c>
      <c r="G1077" s="64">
        <f t="shared" si="64"/>
        <v>0.42857142857142855</v>
      </c>
      <c r="H1077" s="64">
        <f t="shared" si="65"/>
        <v>0</v>
      </c>
      <c r="I1077" s="63">
        <v>2</v>
      </c>
      <c r="J1077" s="65">
        <v>98.682100000000005</v>
      </c>
      <c r="K1077" s="65">
        <v>100</v>
      </c>
      <c r="L1077" s="62" t="s">
        <v>825</v>
      </c>
      <c r="M1077" s="63">
        <v>0</v>
      </c>
      <c r="N1077" s="66">
        <f t="shared" si="66"/>
        <v>0.998</v>
      </c>
      <c r="O1077" s="62" t="str">
        <f t="shared" si="67"/>
        <v>4: Engaged Early</v>
      </c>
    </row>
    <row r="1078" spans="1:15" ht="15" customHeight="1" x14ac:dyDescent="0.4">
      <c r="A1078" s="62" t="s">
        <v>824</v>
      </c>
      <c r="B1078" s="62" t="s">
        <v>1670</v>
      </c>
      <c r="C1078" s="62" t="s">
        <v>826</v>
      </c>
      <c r="D1078" s="63">
        <v>13</v>
      </c>
      <c r="E1078" s="63">
        <v>12</v>
      </c>
      <c r="F1078" s="63">
        <v>1</v>
      </c>
      <c r="G1078" s="64">
        <f t="shared" si="64"/>
        <v>0.92307692307692313</v>
      </c>
      <c r="H1078" s="64">
        <f t="shared" si="65"/>
        <v>7.6923076923076927E-2</v>
      </c>
      <c r="I1078" s="63">
        <v>2</v>
      </c>
      <c r="J1078" s="65">
        <v>83.018299999999996</v>
      </c>
      <c r="K1078" s="65">
        <v>100</v>
      </c>
      <c r="L1078" s="62" t="s">
        <v>825</v>
      </c>
      <c r="M1078" s="63">
        <v>0</v>
      </c>
      <c r="N1078" s="66">
        <f t="shared" si="66"/>
        <v>0.97499999999999998</v>
      </c>
      <c r="O1078" s="62" t="str">
        <f t="shared" si="67"/>
        <v>4: Engaged Early</v>
      </c>
    </row>
    <row r="1079" spans="1:15" ht="15" customHeight="1" x14ac:dyDescent="0.4">
      <c r="A1079" s="62" t="s">
        <v>824</v>
      </c>
      <c r="B1079" s="62" t="s">
        <v>1671</v>
      </c>
      <c r="C1079" s="62" t="s">
        <v>826</v>
      </c>
      <c r="D1079" s="63">
        <v>0</v>
      </c>
      <c r="E1079" s="63">
        <v>0</v>
      </c>
      <c r="F1079" s="63">
        <v>0</v>
      </c>
      <c r="G1079" s="64">
        <f t="shared" si="64"/>
        <v>0</v>
      </c>
      <c r="H1079" s="64">
        <f t="shared" si="65"/>
        <v>0</v>
      </c>
      <c r="I1079" s="63">
        <v>1</v>
      </c>
      <c r="J1079" s="65">
        <v>75.709999999999994</v>
      </c>
      <c r="K1079" s="65">
        <v>24.17</v>
      </c>
      <c r="L1079" s="62" t="s">
        <v>840</v>
      </c>
      <c r="M1079" s="63">
        <v>0</v>
      </c>
      <c r="N1079" s="66">
        <f t="shared" si="66"/>
        <v>0.33400000000000002</v>
      </c>
      <c r="O1079" s="62" t="str">
        <f t="shared" si="67"/>
        <v>4: Engaged Early</v>
      </c>
    </row>
    <row r="1080" spans="1:15" ht="15" customHeight="1" x14ac:dyDescent="0.4">
      <c r="A1080" s="62" t="s">
        <v>824</v>
      </c>
      <c r="B1080" s="62" t="s">
        <v>1672</v>
      </c>
      <c r="C1080" s="62" t="s">
        <v>826</v>
      </c>
      <c r="D1080" s="63">
        <v>25</v>
      </c>
      <c r="E1080" s="63">
        <v>20</v>
      </c>
      <c r="F1080" s="63">
        <v>7</v>
      </c>
      <c r="G1080" s="64">
        <f t="shared" si="64"/>
        <v>0.8</v>
      </c>
      <c r="H1080" s="64">
        <f t="shared" si="65"/>
        <v>0.28000000000000003</v>
      </c>
      <c r="I1080" s="63">
        <v>2</v>
      </c>
      <c r="J1080" s="65">
        <v>78.682599999999994</v>
      </c>
      <c r="K1080" s="65">
        <v>94.59</v>
      </c>
      <c r="L1080" s="62" t="s">
        <v>825</v>
      </c>
      <c r="M1080" s="63">
        <v>0</v>
      </c>
      <c r="N1080" s="66">
        <f t="shared" si="66"/>
        <v>0.93600000000000005</v>
      </c>
      <c r="O1080" s="62" t="str">
        <f t="shared" si="67"/>
        <v>4: Engaged Early</v>
      </c>
    </row>
    <row r="1081" spans="1:15" ht="15" customHeight="1" x14ac:dyDescent="0.4">
      <c r="A1081" s="62" t="s">
        <v>824</v>
      </c>
      <c r="B1081" s="62" t="s">
        <v>688</v>
      </c>
      <c r="C1081" s="62" t="s">
        <v>825</v>
      </c>
      <c r="D1081" s="63">
        <v>21</v>
      </c>
      <c r="E1081" s="63">
        <v>21</v>
      </c>
      <c r="F1081" s="63">
        <v>6</v>
      </c>
      <c r="G1081" s="64">
        <f t="shared" si="64"/>
        <v>1</v>
      </c>
      <c r="H1081" s="64">
        <f t="shared" si="65"/>
        <v>0.2857142857142857</v>
      </c>
      <c r="I1081" s="63">
        <v>2</v>
      </c>
      <c r="J1081" s="65">
        <v>90.398300000000006</v>
      </c>
      <c r="K1081" s="65">
        <v>44.44</v>
      </c>
      <c r="L1081" s="62" t="s">
        <v>825</v>
      </c>
      <c r="M1081" s="63">
        <v>0</v>
      </c>
      <c r="N1081" s="66">
        <f t="shared" si="66"/>
        <v>0.65200000000000002</v>
      </c>
      <c r="O1081" s="62" t="str">
        <f t="shared" si="67"/>
        <v>4: Engaged Early</v>
      </c>
    </row>
    <row r="1082" spans="1:15" ht="15" customHeight="1" x14ac:dyDescent="0.4">
      <c r="A1082" s="62" t="s">
        <v>824</v>
      </c>
      <c r="B1082" s="62" t="s">
        <v>1673</v>
      </c>
      <c r="C1082" s="62" t="s">
        <v>826</v>
      </c>
      <c r="D1082" s="63">
        <v>0</v>
      </c>
      <c r="E1082" s="63">
        <v>0</v>
      </c>
      <c r="F1082" s="63">
        <v>0</v>
      </c>
      <c r="G1082" s="64">
        <f t="shared" si="64"/>
        <v>0</v>
      </c>
      <c r="H1082" s="64">
        <f t="shared" si="65"/>
        <v>0</v>
      </c>
      <c r="I1082" s="63">
        <v>1</v>
      </c>
      <c r="J1082" s="65">
        <v>75</v>
      </c>
      <c r="K1082" s="65">
        <v>61.09</v>
      </c>
      <c r="L1082" s="62" t="s">
        <v>840</v>
      </c>
      <c r="M1082" s="63">
        <v>0</v>
      </c>
      <c r="N1082" s="66">
        <f t="shared" si="66"/>
        <v>0.55400000000000005</v>
      </c>
      <c r="O1082" s="62" t="str">
        <f t="shared" si="67"/>
        <v>4: Engaged Early</v>
      </c>
    </row>
    <row r="1083" spans="1:15" ht="15" customHeight="1" x14ac:dyDescent="0.4">
      <c r="A1083" s="62" t="s">
        <v>824</v>
      </c>
      <c r="B1083" s="62" t="s">
        <v>1674</v>
      </c>
      <c r="C1083" s="62" t="s">
        <v>826</v>
      </c>
      <c r="D1083" s="63">
        <v>7</v>
      </c>
      <c r="E1083" s="63">
        <v>5</v>
      </c>
      <c r="F1083" s="63">
        <v>2</v>
      </c>
      <c r="G1083" s="64">
        <f t="shared" si="64"/>
        <v>0.7142857142857143</v>
      </c>
      <c r="H1083" s="64">
        <f t="shared" si="65"/>
        <v>0.2857142857142857</v>
      </c>
      <c r="I1083" s="63">
        <v>2</v>
      </c>
      <c r="J1083" s="65">
        <v>82.8459</v>
      </c>
      <c r="K1083" s="65">
        <v>87.49</v>
      </c>
      <c r="L1083" s="62" t="s">
        <v>825</v>
      </c>
      <c r="M1083" s="63">
        <v>0</v>
      </c>
      <c r="N1083" s="66">
        <f t="shared" si="66"/>
        <v>0.89900000000000002</v>
      </c>
      <c r="O1083" s="62" t="str">
        <f t="shared" si="67"/>
        <v>4: Engaged Early</v>
      </c>
    </row>
    <row r="1084" spans="1:15" ht="15" customHeight="1" x14ac:dyDescent="0.4">
      <c r="A1084" s="62" t="s">
        <v>824</v>
      </c>
      <c r="B1084" s="62" t="s">
        <v>1675</v>
      </c>
      <c r="C1084" s="62" t="s">
        <v>826</v>
      </c>
      <c r="D1084" s="63">
        <v>26</v>
      </c>
      <c r="E1084" s="63">
        <v>8</v>
      </c>
      <c r="F1084" s="63">
        <v>3</v>
      </c>
      <c r="G1084" s="64">
        <f t="shared" si="64"/>
        <v>0.30769230769230771</v>
      </c>
      <c r="H1084" s="64">
        <f t="shared" si="65"/>
        <v>0.11538461538461539</v>
      </c>
      <c r="I1084" s="63">
        <v>2</v>
      </c>
      <c r="J1084" s="65">
        <v>48.937399999999997</v>
      </c>
      <c r="K1084" s="65">
        <v>97.21</v>
      </c>
      <c r="L1084" s="62" t="s">
        <v>825</v>
      </c>
      <c r="M1084" s="63">
        <v>0</v>
      </c>
      <c r="N1084" s="66">
        <f t="shared" si="66"/>
        <v>0.90700000000000003</v>
      </c>
      <c r="O1084" s="62" t="str">
        <f t="shared" si="67"/>
        <v>4: Engaged Early</v>
      </c>
    </row>
    <row r="1085" spans="1:15" ht="15" customHeight="1" x14ac:dyDescent="0.4">
      <c r="A1085" s="62" t="s">
        <v>824</v>
      </c>
      <c r="B1085" s="62" t="s">
        <v>1676</v>
      </c>
      <c r="C1085" s="62" t="s">
        <v>826</v>
      </c>
      <c r="D1085" s="63">
        <v>10</v>
      </c>
      <c r="E1085" s="63">
        <v>9</v>
      </c>
      <c r="F1085" s="63">
        <v>2</v>
      </c>
      <c r="G1085" s="64">
        <f t="shared" si="64"/>
        <v>0.9</v>
      </c>
      <c r="H1085" s="64">
        <f t="shared" si="65"/>
        <v>0.2</v>
      </c>
      <c r="I1085" s="63">
        <v>2</v>
      </c>
      <c r="J1085" s="65">
        <v>97.81</v>
      </c>
      <c r="K1085" s="65">
        <v>100</v>
      </c>
      <c r="L1085" s="62" t="s">
        <v>826</v>
      </c>
      <c r="M1085" s="63">
        <v>0</v>
      </c>
      <c r="N1085" s="66">
        <f t="shared" si="66"/>
        <v>0.747</v>
      </c>
      <c r="O1085" s="62" t="str">
        <f t="shared" si="67"/>
        <v>2: High (No DBWT)</v>
      </c>
    </row>
    <row r="1086" spans="1:15" ht="15" customHeight="1" x14ac:dyDescent="0.4">
      <c r="A1086" s="62" t="s">
        <v>824</v>
      </c>
      <c r="B1086" s="62" t="s">
        <v>1677</v>
      </c>
      <c r="C1086" s="62" t="s">
        <v>826</v>
      </c>
      <c r="D1086" s="63">
        <v>23</v>
      </c>
      <c r="E1086" s="63">
        <v>17</v>
      </c>
      <c r="F1086" s="63">
        <v>1</v>
      </c>
      <c r="G1086" s="64">
        <f t="shared" si="64"/>
        <v>0.73913043478260865</v>
      </c>
      <c r="H1086" s="64">
        <f t="shared" si="65"/>
        <v>4.3478260869565216E-2</v>
      </c>
      <c r="I1086" s="63">
        <v>2</v>
      </c>
      <c r="J1086" s="65">
        <v>90.208600000000004</v>
      </c>
      <c r="K1086" s="65">
        <v>98.28</v>
      </c>
      <c r="L1086" s="62" t="s">
        <v>825</v>
      </c>
      <c r="M1086" s="63">
        <v>0</v>
      </c>
      <c r="N1086" s="66">
        <f t="shared" si="66"/>
        <v>0.97499999999999998</v>
      </c>
      <c r="O1086" s="62" t="str">
        <f t="shared" si="67"/>
        <v>4: Engaged Early</v>
      </c>
    </row>
    <row r="1087" spans="1:15" ht="15" customHeight="1" x14ac:dyDescent="0.4">
      <c r="A1087" s="62" t="s">
        <v>824</v>
      </c>
      <c r="B1087" s="62" t="s">
        <v>1678</v>
      </c>
      <c r="C1087" s="62" t="s">
        <v>826</v>
      </c>
      <c r="D1087" s="63">
        <v>22</v>
      </c>
      <c r="E1087" s="63">
        <v>22</v>
      </c>
      <c r="F1087" s="63">
        <v>2</v>
      </c>
      <c r="G1087" s="64">
        <f t="shared" si="64"/>
        <v>1</v>
      </c>
      <c r="H1087" s="64">
        <f t="shared" si="65"/>
        <v>9.0909090909090912E-2</v>
      </c>
      <c r="I1087" s="63">
        <v>2</v>
      </c>
      <c r="J1087" s="65">
        <v>88.203550000000007</v>
      </c>
      <c r="K1087" s="65">
        <v>98.53</v>
      </c>
      <c r="L1087" s="62" t="s">
        <v>826</v>
      </c>
      <c r="M1087" s="63">
        <v>1</v>
      </c>
      <c r="N1087" s="66">
        <f t="shared" si="66"/>
        <v>0.72299999999999998</v>
      </c>
      <c r="O1087" s="62" t="str">
        <f t="shared" si="67"/>
        <v>2: High (No DBWT)</v>
      </c>
    </row>
    <row r="1088" spans="1:15" ht="15" customHeight="1" x14ac:dyDescent="0.4">
      <c r="A1088" s="62" t="s">
        <v>824</v>
      </c>
      <c r="B1088" s="62" t="s">
        <v>1679</v>
      </c>
      <c r="C1088" s="62" t="s">
        <v>826</v>
      </c>
      <c r="D1088" s="63">
        <v>20</v>
      </c>
      <c r="E1088" s="63">
        <v>10</v>
      </c>
      <c r="F1088" s="63">
        <v>2</v>
      </c>
      <c r="G1088" s="64">
        <f t="shared" si="64"/>
        <v>0.5</v>
      </c>
      <c r="H1088" s="64">
        <f t="shared" si="65"/>
        <v>0.1</v>
      </c>
      <c r="I1088" s="63">
        <v>1</v>
      </c>
      <c r="J1088" s="65">
        <v>21.29</v>
      </c>
      <c r="K1088" s="65">
        <v>53.4</v>
      </c>
      <c r="L1088" s="62" t="s">
        <v>825</v>
      </c>
      <c r="M1088" s="63">
        <v>0</v>
      </c>
      <c r="N1088" s="66">
        <f t="shared" si="66"/>
        <v>0.60199999999999998</v>
      </c>
      <c r="O1088" s="62" t="str">
        <f t="shared" si="67"/>
        <v>4: Engaged Early</v>
      </c>
    </row>
    <row r="1089" spans="1:15" ht="15" customHeight="1" x14ac:dyDescent="0.4">
      <c r="A1089" s="62" t="s">
        <v>824</v>
      </c>
      <c r="B1089" s="62" t="s">
        <v>1680</v>
      </c>
      <c r="C1089" s="62" t="s">
        <v>826</v>
      </c>
      <c r="D1089" s="63">
        <v>13</v>
      </c>
      <c r="E1089" s="63">
        <v>12</v>
      </c>
      <c r="F1089" s="63">
        <v>5</v>
      </c>
      <c r="G1089" s="64">
        <f t="shared" si="64"/>
        <v>0.92307692307692313</v>
      </c>
      <c r="H1089" s="64">
        <f t="shared" si="65"/>
        <v>0.38461538461538464</v>
      </c>
      <c r="I1089" s="63">
        <v>2</v>
      </c>
      <c r="J1089" s="65">
        <v>99.267099999999999</v>
      </c>
      <c r="K1089" s="65">
        <v>77.510000000000005</v>
      </c>
      <c r="L1089" s="62" t="s">
        <v>825</v>
      </c>
      <c r="M1089" s="63">
        <v>0</v>
      </c>
      <c r="N1089" s="66">
        <f t="shared" si="66"/>
        <v>0.86399999999999999</v>
      </c>
      <c r="O1089" s="62" t="str">
        <f t="shared" si="67"/>
        <v>4: Engaged Early</v>
      </c>
    </row>
    <row r="1090" spans="1:15" ht="15" customHeight="1" x14ac:dyDescent="0.4">
      <c r="A1090" s="62" t="s">
        <v>824</v>
      </c>
      <c r="B1090" s="62" t="s">
        <v>1681</v>
      </c>
      <c r="C1090" s="62" t="s">
        <v>826</v>
      </c>
      <c r="D1090" s="63">
        <v>13</v>
      </c>
      <c r="E1090" s="63">
        <v>13</v>
      </c>
      <c r="F1090" s="63">
        <v>2</v>
      </c>
      <c r="G1090" s="64">
        <f t="shared" ref="G1090:G1153" si="68">IFERROR(E1090/D1090,0)</f>
        <v>1</v>
      </c>
      <c r="H1090" s="64">
        <f t="shared" ref="H1090:H1153" si="69">IFERROR(F1090/D1090,0)</f>
        <v>0.15384615384615385</v>
      </c>
      <c r="I1090" s="63">
        <v>2</v>
      </c>
      <c r="J1090" s="65">
        <v>80.144300000000001</v>
      </c>
      <c r="K1090" s="65">
        <v>87.17</v>
      </c>
      <c r="L1090" s="62" t="s">
        <v>825</v>
      </c>
      <c r="M1090" s="63">
        <v>0</v>
      </c>
      <c r="N1090" s="66">
        <f t="shared" ref="N1090:N1153" si="70">ROUND(IFERROR(K1090/100,0)*0.6 + IF(L1090="Yes",1,IF(L1090="No",0,0.3))*0.25 + IFERROR(J1090/100,0)*0.15,3)</f>
        <v>0.89300000000000002</v>
      </c>
      <c r="O1090" s="62" t="str">
        <f t="shared" ref="O1090:O1153" si="71">IF(AND(L1090="No",I1090=0),"1: Critical (No DBWT + No Wk0)",IF(L1090="No","2: High (No DBWT)",IF(I1090=0,"3: Elevated (No Wk0)","4: Engaged Early")))</f>
        <v>4: Engaged Early</v>
      </c>
    </row>
    <row r="1091" spans="1:15" ht="15" customHeight="1" x14ac:dyDescent="0.4">
      <c r="A1091" s="62" t="s">
        <v>824</v>
      </c>
      <c r="B1091" s="62" t="s">
        <v>1682</v>
      </c>
      <c r="C1091" s="62" t="s">
        <v>826</v>
      </c>
      <c r="D1091" s="63">
        <v>20</v>
      </c>
      <c r="E1091" s="63">
        <v>10</v>
      </c>
      <c r="F1091" s="63">
        <v>1</v>
      </c>
      <c r="G1091" s="64">
        <f t="shared" si="68"/>
        <v>0.5</v>
      </c>
      <c r="H1091" s="64">
        <f t="shared" si="69"/>
        <v>0.05</v>
      </c>
      <c r="I1091" s="63">
        <v>2</v>
      </c>
      <c r="J1091" s="65">
        <v>93.34</v>
      </c>
      <c r="K1091" s="65">
        <v>100</v>
      </c>
      <c r="L1091" s="62" t="s">
        <v>825</v>
      </c>
      <c r="M1091" s="63">
        <v>1</v>
      </c>
      <c r="N1091" s="66">
        <f t="shared" si="70"/>
        <v>0.99</v>
      </c>
      <c r="O1091" s="62" t="str">
        <f t="shared" si="71"/>
        <v>4: Engaged Early</v>
      </c>
    </row>
    <row r="1092" spans="1:15" ht="15" customHeight="1" x14ac:dyDescent="0.4">
      <c r="A1092" s="62" t="s">
        <v>824</v>
      </c>
      <c r="B1092" s="62" t="s">
        <v>1683</v>
      </c>
      <c r="C1092" s="62" t="s">
        <v>826</v>
      </c>
      <c r="D1092" s="63">
        <v>15</v>
      </c>
      <c r="E1092" s="63">
        <v>10</v>
      </c>
      <c r="F1092" s="63">
        <v>2</v>
      </c>
      <c r="G1092" s="64">
        <f t="shared" si="68"/>
        <v>0.66666666666666663</v>
      </c>
      <c r="H1092" s="64">
        <f t="shared" si="69"/>
        <v>0.13333333333333333</v>
      </c>
      <c r="I1092" s="63">
        <v>2</v>
      </c>
      <c r="J1092" s="65">
        <v>94.213700000000003</v>
      </c>
      <c r="K1092" s="65">
        <v>90.13</v>
      </c>
      <c r="L1092" s="62" t="s">
        <v>825</v>
      </c>
      <c r="M1092" s="63">
        <v>0</v>
      </c>
      <c r="N1092" s="66">
        <f t="shared" si="70"/>
        <v>0.93200000000000005</v>
      </c>
      <c r="O1092" s="62" t="str">
        <f t="shared" si="71"/>
        <v>4: Engaged Early</v>
      </c>
    </row>
    <row r="1093" spans="1:15" ht="15" customHeight="1" x14ac:dyDescent="0.4">
      <c r="A1093" s="62" t="s">
        <v>824</v>
      </c>
      <c r="B1093" s="62" t="s">
        <v>1684</v>
      </c>
      <c r="C1093" s="62" t="s">
        <v>826</v>
      </c>
      <c r="D1093" s="63">
        <v>10</v>
      </c>
      <c r="E1093" s="63">
        <v>7</v>
      </c>
      <c r="F1093" s="63">
        <v>0</v>
      </c>
      <c r="G1093" s="64">
        <f t="shared" si="68"/>
        <v>0.7</v>
      </c>
      <c r="H1093" s="64">
        <f t="shared" si="69"/>
        <v>0</v>
      </c>
      <c r="I1093" s="63">
        <v>2</v>
      </c>
      <c r="J1093" s="65">
        <v>95.564099999999996</v>
      </c>
      <c r="K1093" s="65">
        <v>89.11</v>
      </c>
      <c r="L1093" s="62" t="s">
        <v>825</v>
      </c>
      <c r="M1093" s="63">
        <v>0</v>
      </c>
      <c r="N1093" s="66">
        <f t="shared" si="70"/>
        <v>0.92800000000000005</v>
      </c>
      <c r="O1093" s="62" t="str">
        <f t="shared" si="71"/>
        <v>4: Engaged Early</v>
      </c>
    </row>
    <row r="1094" spans="1:15" ht="15" customHeight="1" x14ac:dyDescent="0.4">
      <c r="A1094" s="62" t="s">
        <v>824</v>
      </c>
      <c r="B1094" s="62" t="s">
        <v>1685</v>
      </c>
      <c r="C1094" s="62" t="s">
        <v>826</v>
      </c>
      <c r="D1094" s="63">
        <v>5</v>
      </c>
      <c r="E1094" s="63">
        <v>5</v>
      </c>
      <c r="F1094" s="63">
        <v>1</v>
      </c>
      <c r="G1094" s="64">
        <f t="shared" si="68"/>
        <v>1</v>
      </c>
      <c r="H1094" s="64">
        <f t="shared" si="69"/>
        <v>0.2</v>
      </c>
      <c r="I1094" s="63">
        <v>2</v>
      </c>
      <c r="J1094" s="65">
        <v>62.868400000000001</v>
      </c>
      <c r="K1094" s="65">
        <v>100</v>
      </c>
      <c r="L1094" s="62" t="s">
        <v>825</v>
      </c>
      <c r="M1094" s="63">
        <v>0</v>
      </c>
      <c r="N1094" s="66">
        <f t="shared" si="70"/>
        <v>0.94399999999999995</v>
      </c>
      <c r="O1094" s="62" t="str">
        <f t="shared" si="71"/>
        <v>4: Engaged Early</v>
      </c>
    </row>
    <row r="1095" spans="1:15" ht="15" customHeight="1" x14ac:dyDescent="0.4">
      <c r="A1095" s="62" t="s">
        <v>824</v>
      </c>
      <c r="B1095" s="62" t="s">
        <v>1686</v>
      </c>
      <c r="C1095" s="62" t="s">
        <v>826</v>
      </c>
      <c r="D1095" s="63">
        <v>7</v>
      </c>
      <c r="E1095" s="63">
        <v>5</v>
      </c>
      <c r="F1095" s="63">
        <v>0</v>
      </c>
      <c r="G1095" s="64">
        <f t="shared" si="68"/>
        <v>0.7142857142857143</v>
      </c>
      <c r="H1095" s="64">
        <f t="shared" si="69"/>
        <v>0</v>
      </c>
      <c r="I1095" s="63">
        <v>2</v>
      </c>
      <c r="J1095" s="65">
        <v>35.506549999999997</v>
      </c>
      <c r="K1095" s="65">
        <v>69.03</v>
      </c>
      <c r="L1095" s="62" t="s">
        <v>825</v>
      </c>
      <c r="M1095" s="63">
        <v>0</v>
      </c>
      <c r="N1095" s="66">
        <f t="shared" si="70"/>
        <v>0.71699999999999997</v>
      </c>
      <c r="O1095" s="62" t="str">
        <f t="shared" si="71"/>
        <v>4: Engaged Early</v>
      </c>
    </row>
    <row r="1096" spans="1:15" ht="15" customHeight="1" x14ac:dyDescent="0.4">
      <c r="A1096" s="62" t="s">
        <v>824</v>
      </c>
      <c r="B1096" s="62" t="s">
        <v>1687</v>
      </c>
      <c r="C1096" s="62" t="s">
        <v>826</v>
      </c>
      <c r="D1096" s="63">
        <v>13</v>
      </c>
      <c r="E1096" s="63">
        <v>12</v>
      </c>
      <c r="F1096" s="63">
        <v>4</v>
      </c>
      <c r="G1096" s="64">
        <f t="shared" si="68"/>
        <v>0.92307692307692313</v>
      </c>
      <c r="H1096" s="64">
        <f t="shared" si="69"/>
        <v>0.30769230769230771</v>
      </c>
      <c r="I1096" s="63">
        <v>2</v>
      </c>
      <c r="J1096" s="65">
        <v>82.997500000000002</v>
      </c>
      <c r="K1096" s="65">
        <v>100</v>
      </c>
      <c r="L1096" s="62" t="s">
        <v>825</v>
      </c>
      <c r="M1096" s="63">
        <v>0</v>
      </c>
      <c r="N1096" s="66">
        <f t="shared" si="70"/>
        <v>0.97399999999999998</v>
      </c>
      <c r="O1096" s="62" t="str">
        <f t="shared" si="71"/>
        <v>4: Engaged Early</v>
      </c>
    </row>
    <row r="1097" spans="1:15" ht="15" customHeight="1" x14ac:dyDescent="0.4">
      <c r="A1097" s="62" t="s">
        <v>824</v>
      </c>
      <c r="B1097" s="62" t="s">
        <v>515</v>
      </c>
      <c r="C1097" s="62" t="s">
        <v>825</v>
      </c>
      <c r="D1097" s="63">
        <v>15</v>
      </c>
      <c r="E1097" s="63">
        <v>12</v>
      </c>
      <c r="F1097" s="63">
        <v>1</v>
      </c>
      <c r="G1097" s="64">
        <f t="shared" si="68"/>
        <v>0.8</v>
      </c>
      <c r="H1097" s="64">
        <f t="shared" si="69"/>
        <v>6.6666666666666666E-2</v>
      </c>
      <c r="I1097" s="63">
        <v>1</v>
      </c>
      <c r="J1097" s="65">
        <v>84.41</v>
      </c>
      <c r="K1097" s="65">
        <v>21.51</v>
      </c>
      <c r="L1097" s="62" t="s">
        <v>825</v>
      </c>
      <c r="M1097" s="63">
        <v>0</v>
      </c>
      <c r="N1097" s="66">
        <f t="shared" si="70"/>
        <v>0.50600000000000001</v>
      </c>
      <c r="O1097" s="62" t="str">
        <f t="shared" si="71"/>
        <v>4: Engaged Early</v>
      </c>
    </row>
    <row r="1098" spans="1:15" ht="15" customHeight="1" x14ac:dyDescent="0.4">
      <c r="A1098" s="62" t="s">
        <v>824</v>
      </c>
      <c r="B1098" s="62" t="s">
        <v>1688</v>
      </c>
      <c r="C1098" s="62" t="s">
        <v>826</v>
      </c>
      <c r="D1098" s="63">
        <v>13</v>
      </c>
      <c r="E1098" s="63">
        <v>4</v>
      </c>
      <c r="F1098" s="63">
        <v>0</v>
      </c>
      <c r="G1098" s="64">
        <f t="shared" si="68"/>
        <v>0.30769230769230771</v>
      </c>
      <c r="H1098" s="64">
        <f t="shared" si="69"/>
        <v>0</v>
      </c>
      <c r="I1098" s="63">
        <v>0</v>
      </c>
      <c r="J1098" s="65"/>
      <c r="K1098" s="65">
        <v>78.27</v>
      </c>
      <c r="L1098" s="62" t="s">
        <v>825</v>
      </c>
      <c r="M1098" s="63">
        <v>0</v>
      </c>
      <c r="N1098" s="66">
        <f t="shared" si="70"/>
        <v>0.72</v>
      </c>
      <c r="O1098" s="62" t="str">
        <f t="shared" si="71"/>
        <v>3: Elevated (No Wk0)</v>
      </c>
    </row>
    <row r="1099" spans="1:15" ht="15" customHeight="1" x14ac:dyDescent="0.4">
      <c r="A1099" s="62" t="s">
        <v>824</v>
      </c>
      <c r="B1099" s="62" t="s">
        <v>1689</v>
      </c>
      <c r="C1099" s="62" t="s">
        <v>826</v>
      </c>
      <c r="D1099" s="63">
        <v>0</v>
      </c>
      <c r="E1099" s="63">
        <v>0</v>
      </c>
      <c r="F1099" s="63">
        <v>0</v>
      </c>
      <c r="G1099" s="64">
        <f t="shared" si="68"/>
        <v>0</v>
      </c>
      <c r="H1099" s="64">
        <f t="shared" si="69"/>
        <v>0</v>
      </c>
      <c r="I1099" s="63">
        <v>2</v>
      </c>
      <c r="J1099" s="65">
        <v>27.387149999999998</v>
      </c>
      <c r="K1099" s="65">
        <v>73.98</v>
      </c>
      <c r="L1099" s="62" t="s">
        <v>825</v>
      </c>
      <c r="M1099" s="63">
        <v>0</v>
      </c>
      <c r="N1099" s="66">
        <f t="shared" si="70"/>
        <v>0.73499999999999999</v>
      </c>
      <c r="O1099" s="62" t="str">
        <f t="shared" si="71"/>
        <v>4: Engaged Early</v>
      </c>
    </row>
    <row r="1100" spans="1:15" ht="15" customHeight="1" x14ac:dyDescent="0.4">
      <c r="A1100" s="62" t="s">
        <v>824</v>
      </c>
      <c r="B1100" s="62" t="s">
        <v>1690</v>
      </c>
      <c r="C1100" s="62" t="s">
        <v>826</v>
      </c>
      <c r="D1100" s="63">
        <v>0</v>
      </c>
      <c r="E1100" s="63">
        <v>0</v>
      </c>
      <c r="F1100" s="63">
        <v>0</v>
      </c>
      <c r="G1100" s="64">
        <f t="shared" si="68"/>
        <v>0</v>
      </c>
      <c r="H1100" s="64">
        <f t="shared" si="69"/>
        <v>0</v>
      </c>
      <c r="I1100" s="63">
        <v>0</v>
      </c>
      <c r="J1100" s="65"/>
      <c r="K1100" s="65">
        <v>1.1599999999999999</v>
      </c>
      <c r="L1100" s="62" t="s">
        <v>840</v>
      </c>
      <c r="M1100" s="63">
        <v>0</v>
      </c>
      <c r="N1100" s="66">
        <f t="shared" si="70"/>
        <v>8.2000000000000003E-2</v>
      </c>
      <c r="O1100" s="62" t="str">
        <f t="shared" si="71"/>
        <v>3: Elevated (No Wk0)</v>
      </c>
    </row>
    <row r="1101" spans="1:15" ht="15" customHeight="1" x14ac:dyDescent="0.4">
      <c r="A1101" s="62" t="s">
        <v>824</v>
      </c>
      <c r="B1101" s="62" t="s">
        <v>1691</v>
      </c>
      <c r="C1101" s="62" t="s">
        <v>826</v>
      </c>
      <c r="D1101" s="63">
        <v>4</v>
      </c>
      <c r="E1101" s="63">
        <v>3</v>
      </c>
      <c r="F1101" s="63">
        <v>0</v>
      </c>
      <c r="G1101" s="64">
        <f t="shared" si="68"/>
        <v>0.75</v>
      </c>
      <c r="H1101" s="64">
        <f t="shared" si="69"/>
        <v>0</v>
      </c>
      <c r="I1101" s="63">
        <v>2</v>
      </c>
      <c r="J1101" s="65">
        <v>84.523949999999999</v>
      </c>
      <c r="K1101" s="65">
        <v>95.6</v>
      </c>
      <c r="L1101" s="62" t="s">
        <v>825</v>
      </c>
      <c r="M1101" s="63">
        <v>0</v>
      </c>
      <c r="N1101" s="66">
        <f t="shared" si="70"/>
        <v>0.95</v>
      </c>
      <c r="O1101" s="62" t="str">
        <f t="shared" si="71"/>
        <v>4: Engaged Early</v>
      </c>
    </row>
    <row r="1102" spans="1:15" ht="15" customHeight="1" x14ac:dyDescent="0.4">
      <c r="A1102" s="62" t="s">
        <v>824</v>
      </c>
      <c r="B1102" s="62" t="s">
        <v>581</v>
      </c>
      <c r="C1102" s="62" t="s">
        <v>825</v>
      </c>
      <c r="D1102" s="63">
        <v>22</v>
      </c>
      <c r="E1102" s="63">
        <v>13</v>
      </c>
      <c r="F1102" s="63">
        <v>3</v>
      </c>
      <c r="G1102" s="64">
        <f t="shared" si="68"/>
        <v>0.59090909090909094</v>
      </c>
      <c r="H1102" s="64">
        <f t="shared" si="69"/>
        <v>0.13636363636363635</v>
      </c>
      <c r="I1102" s="63">
        <v>2</v>
      </c>
      <c r="J1102" s="65">
        <v>52.001150000000003</v>
      </c>
      <c r="K1102" s="65">
        <v>19.71</v>
      </c>
      <c r="L1102" s="62" t="s">
        <v>826</v>
      </c>
      <c r="M1102" s="63">
        <v>0</v>
      </c>
      <c r="N1102" s="66">
        <f t="shared" si="70"/>
        <v>0.19600000000000001</v>
      </c>
      <c r="O1102" s="62" t="str">
        <f t="shared" si="71"/>
        <v>2: High (No DBWT)</v>
      </c>
    </row>
    <row r="1103" spans="1:15" ht="15" customHeight="1" x14ac:dyDescent="0.4">
      <c r="A1103" s="62" t="s">
        <v>824</v>
      </c>
      <c r="B1103" s="62" t="s">
        <v>1692</v>
      </c>
      <c r="C1103" s="62" t="s">
        <v>826</v>
      </c>
      <c r="D1103" s="63">
        <v>7</v>
      </c>
      <c r="E1103" s="63">
        <v>5</v>
      </c>
      <c r="F1103" s="63">
        <v>4</v>
      </c>
      <c r="G1103" s="64">
        <f t="shared" si="68"/>
        <v>0.7142857142857143</v>
      </c>
      <c r="H1103" s="64">
        <f t="shared" si="69"/>
        <v>0.5714285714285714</v>
      </c>
      <c r="I1103" s="63">
        <v>2</v>
      </c>
      <c r="J1103" s="65">
        <v>89.791499999999999</v>
      </c>
      <c r="K1103" s="65">
        <v>97.28</v>
      </c>
      <c r="L1103" s="62" t="s">
        <v>825</v>
      </c>
      <c r="M1103" s="63">
        <v>0</v>
      </c>
      <c r="N1103" s="66">
        <f t="shared" si="70"/>
        <v>0.96799999999999997</v>
      </c>
      <c r="O1103" s="62" t="str">
        <f t="shared" si="71"/>
        <v>4: Engaged Early</v>
      </c>
    </row>
    <row r="1104" spans="1:15" ht="15" customHeight="1" x14ac:dyDescent="0.4">
      <c r="A1104" s="62" t="s">
        <v>824</v>
      </c>
      <c r="B1104" s="62" t="s">
        <v>1693</v>
      </c>
      <c r="C1104" s="62" t="s">
        <v>826</v>
      </c>
      <c r="D1104" s="63">
        <v>15</v>
      </c>
      <c r="E1104" s="63">
        <v>11</v>
      </c>
      <c r="F1104" s="63">
        <v>0</v>
      </c>
      <c r="G1104" s="64">
        <f t="shared" si="68"/>
        <v>0.73333333333333328</v>
      </c>
      <c r="H1104" s="64">
        <f t="shared" si="69"/>
        <v>0</v>
      </c>
      <c r="I1104" s="63">
        <v>1</v>
      </c>
      <c r="J1104" s="65">
        <v>99.129300000000001</v>
      </c>
      <c r="K1104" s="65">
        <v>91.9</v>
      </c>
      <c r="L1104" s="62" t="s">
        <v>825</v>
      </c>
      <c r="M1104" s="63">
        <v>0</v>
      </c>
      <c r="N1104" s="66">
        <f t="shared" si="70"/>
        <v>0.95</v>
      </c>
      <c r="O1104" s="62" t="str">
        <f t="shared" si="71"/>
        <v>4: Engaged Early</v>
      </c>
    </row>
    <row r="1105" spans="1:15" ht="15" customHeight="1" x14ac:dyDescent="0.4">
      <c r="A1105" s="62" t="s">
        <v>824</v>
      </c>
      <c r="B1105" s="62" t="s">
        <v>240</v>
      </c>
      <c r="C1105" s="62" t="s">
        <v>826</v>
      </c>
      <c r="D1105" s="63">
        <v>8</v>
      </c>
      <c r="E1105" s="63">
        <v>7</v>
      </c>
      <c r="F1105" s="63">
        <v>3</v>
      </c>
      <c r="G1105" s="64">
        <f t="shared" si="68"/>
        <v>0.875</v>
      </c>
      <c r="H1105" s="64">
        <f t="shared" si="69"/>
        <v>0.375</v>
      </c>
      <c r="I1105" s="63">
        <v>2</v>
      </c>
      <c r="J1105" s="65">
        <v>62.84695</v>
      </c>
      <c r="K1105" s="65">
        <v>99.81</v>
      </c>
      <c r="L1105" s="62" t="s">
        <v>825</v>
      </c>
      <c r="M1105" s="63">
        <v>0</v>
      </c>
      <c r="N1105" s="66">
        <f t="shared" si="70"/>
        <v>0.94299999999999995</v>
      </c>
      <c r="O1105" s="62" t="str">
        <f t="shared" si="71"/>
        <v>4: Engaged Early</v>
      </c>
    </row>
    <row r="1106" spans="1:15" ht="15" customHeight="1" x14ac:dyDescent="0.4">
      <c r="A1106" s="62" t="s">
        <v>824</v>
      </c>
      <c r="B1106" s="62" t="s">
        <v>1694</v>
      </c>
      <c r="C1106" s="62" t="s">
        <v>826</v>
      </c>
      <c r="D1106" s="63">
        <v>20</v>
      </c>
      <c r="E1106" s="63">
        <v>16</v>
      </c>
      <c r="F1106" s="63">
        <v>2</v>
      </c>
      <c r="G1106" s="64">
        <f t="shared" si="68"/>
        <v>0.8</v>
      </c>
      <c r="H1106" s="64">
        <f t="shared" si="69"/>
        <v>0.1</v>
      </c>
      <c r="I1106" s="63">
        <v>2</v>
      </c>
      <c r="J1106" s="65">
        <v>59.437849999999997</v>
      </c>
      <c r="K1106" s="65">
        <v>94.4</v>
      </c>
      <c r="L1106" s="62" t="s">
        <v>825</v>
      </c>
      <c r="M1106" s="63">
        <v>0</v>
      </c>
      <c r="N1106" s="66">
        <f t="shared" si="70"/>
        <v>0.90600000000000003</v>
      </c>
      <c r="O1106" s="62" t="str">
        <f t="shared" si="71"/>
        <v>4: Engaged Early</v>
      </c>
    </row>
    <row r="1107" spans="1:15" ht="15" customHeight="1" x14ac:dyDescent="0.4">
      <c r="A1107" s="62" t="s">
        <v>824</v>
      </c>
      <c r="B1107" s="62" t="s">
        <v>1695</v>
      </c>
      <c r="C1107" s="62" t="s">
        <v>826</v>
      </c>
      <c r="D1107" s="63">
        <v>4</v>
      </c>
      <c r="E1107" s="63">
        <v>3</v>
      </c>
      <c r="F1107" s="63">
        <v>0</v>
      </c>
      <c r="G1107" s="64">
        <f t="shared" si="68"/>
        <v>0.75</v>
      </c>
      <c r="H1107" s="64">
        <f t="shared" si="69"/>
        <v>0</v>
      </c>
      <c r="I1107" s="63">
        <v>2</v>
      </c>
      <c r="J1107" s="65">
        <v>89.5672</v>
      </c>
      <c r="K1107" s="65">
        <v>100</v>
      </c>
      <c r="L1107" s="62" t="s">
        <v>825</v>
      </c>
      <c r="M1107" s="63">
        <v>0</v>
      </c>
      <c r="N1107" s="66">
        <f t="shared" si="70"/>
        <v>0.98399999999999999</v>
      </c>
      <c r="O1107" s="62" t="str">
        <f t="shared" si="71"/>
        <v>4: Engaged Early</v>
      </c>
    </row>
    <row r="1108" spans="1:15" ht="15" customHeight="1" x14ac:dyDescent="0.4">
      <c r="A1108" s="62" t="s">
        <v>824</v>
      </c>
      <c r="B1108" s="62" t="s">
        <v>1696</v>
      </c>
      <c r="C1108" s="62" t="s">
        <v>826</v>
      </c>
      <c r="D1108" s="63">
        <v>10</v>
      </c>
      <c r="E1108" s="63">
        <v>9</v>
      </c>
      <c r="F1108" s="63">
        <v>2</v>
      </c>
      <c r="G1108" s="64">
        <f t="shared" si="68"/>
        <v>0.9</v>
      </c>
      <c r="H1108" s="64">
        <f t="shared" si="69"/>
        <v>0.2</v>
      </c>
      <c r="I1108" s="63">
        <v>2</v>
      </c>
      <c r="J1108" s="65">
        <v>83.3673</v>
      </c>
      <c r="K1108" s="65">
        <v>100</v>
      </c>
      <c r="L1108" s="62" t="s">
        <v>825</v>
      </c>
      <c r="M1108" s="63">
        <v>0</v>
      </c>
      <c r="N1108" s="66">
        <f t="shared" si="70"/>
        <v>0.97499999999999998</v>
      </c>
      <c r="O1108" s="62" t="str">
        <f t="shared" si="71"/>
        <v>4: Engaged Early</v>
      </c>
    </row>
    <row r="1109" spans="1:15" ht="15" customHeight="1" x14ac:dyDescent="0.4">
      <c r="A1109" s="62" t="s">
        <v>824</v>
      </c>
      <c r="B1109" s="62" t="s">
        <v>1697</v>
      </c>
      <c r="C1109" s="62" t="s">
        <v>826</v>
      </c>
      <c r="D1109" s="63">
        <v>15</v>
      </c>
      <c r="E1109" s="63">
        <v>14</v>
      </c>
      <c r="F1109" s="63">
        <v>5</v>
      </c>
      <c r="G1109" s="64">
        <f t="shared" si="68"/>
        <v>0.93333333333333335</v>
      </c>
      <c r="H1109" s="64">
        <f t="shared" si="69"/>
        <v>0.33333333333333331</v>
      </c>
      <c r="I1109" s="63">
        <v>2</v>
      </c>
      <c r="J1109" s="65">
        <v>91.99</v>
      </c>
      <c r="K1109" s="65">
        <v>100</v>
      </c>
      <c r="L1109" s="62" t="s">
        <v>825</v>
      </c>
      <c r="M1109" s="63">
        <v>0</v>
      </c>
      <c r="N1109" s="66">
        <f t="shared" si="70"/>
        <v>0.98799999999999999</v>
      </c>
      <c r="O1109" s="62" t="str">
        <f t="shared" si="71"/>
        <v>4: Engaged Early</v>
      </c>
    </row>
    <row r="1110" spans="1:15" ht="15" customHeight="1" x14ac:dyDescent="0.4">
      <c r="A1110" s="62" t="s">
        <v>824</v>
      </c>
      <c r="B1110" s="62" t="s">
        <v>1698</v>
      </c>
      <c r="C1110" s="62" t="s">
        <v>826</v>
      </c>
      <c r="D1110" s="63">
        <v>21</v>
      </c>
      <c r="E1110" s="63">
        <v>17</v>
      </c>
      <c r="F1110" s="63">
        <v>4</v>
      </c>
      <c r="G1110" s="64">
        <f t="shared" si="68"/>
        <v>0.80952380952380953</v>
      </c>
      <c r="H1110" s="64">
        <f t="shared" si="69"/>
        <v>0.19047619047619047</v>
      </c>
      <c r="I1110" s="63">
        <v>2</v>
      </c>
      <c r="J1110" s="65">
        <v>99.405450000000002</v>
      </c>
      <c r="K1110" s="65">
        <v>100</v>
      </c>
      <c r="L1110" s="62" t="s">
        <v>825</v>
      </c>
      <c r="M1110" s="63">
        <v>0</v>
      </c>
      <c r="N1110" s="66">
        <f t="shared" si="70"/>
        <v>0.999</v>
      </c>
      <c r="O1110" s="62" t="str">
        <f t="shared" si="71"/>
        <v>4: Engaged Early</v>
      </c>
    </row>
    <row r="1111" spans="1:15" ht="15" customHeight="1" x14ac:dyDescent="0.4">
      <c r="A1111" s="62" t="s">
        <v>824</v>
      </c>
      <c r="B1111" s="62" t="s">
        <v>1699</v>
      </c>
      <c r="C1111" s="62" t="s">
        <v>826</v>
      </c>
      <c r="D1111" s="63">
        <v>13</v>
      </c>
      <c r="E1111" s="63">
        <v>11</v>
      </c>
      <c r="F1111" s="63">
        <v>4</v>
      </c>
      <c r="G1111" s="64">
        <f t="shared" si="68"/>
        <v>0.84615384615384615</v>
      </c>
      <c r="H1111" s="64">
        <f t="shared" si="69"/>
        <v>0.30769230769230771</v>
      </c>
      <c r="I1111" s="63">
        <v>2</v>
      </c>
      <c r="J1111" s="65">
        <v>36.677349999999997</v>
      </c>
      <c r="K1111" s="65">
        <v>87.9</v>
      </c>
      <c r="L1111" s="62" t="s">
        <v>826</v>
      </c>
      <c r="M1111" s="63">
        <v>0</v>
      </c>
      <c r="N1111" s="66">
        <f t="shared" si="70"/>
        <v>0.58199999999999996</v>
      </c>
      <c r="O1111" s="62" t="str">
        <f t="shared" si="71"/>
        <v>2: High (No DBWT)</v>
      </c>
    </row>
    <row r="1112" spans="1:15" ht="15" customHeight="1" x14ac:dyDescent="0.4">
      <c r="A1112" s="62" t="s">
        <v>824</v>
      </c>
      <c r="B1112" s="62" t="s">
        <v>1700</v>
      </c>
      <c r="C1112" s="62" t="s">
        <v>826</v>
      </c>
      <c r="D1112" s="63">
        <v>11</v>
      </c>
      <c r="E1112" s="63">
        <v>5</v>
      </c>
      <c r="F1112" s="63">
        <v>2</v>
      </c>
      <c r="G1112" s="64">
        <f t="shared" si="68"/>
        <v>0.45454545454545453</v>
      </c>
      <c r="H1112" s="64">
        <f t="shared" si="69"/>
        <v>0.18181818181818182</v>
      </c>
      <c r="I1112" s="63">
        <v>2</v>
      </c>
      <c r="J1112" s="65">
        <v>83.706000000000003</v>
      </c>
      <c r="K1112" s="65">
        <v>98.55</v>
      </c>
      <c r="L1112" s="62" t="s">
        <v>825</v>
      </c>
      <c r="M1112" s="63">
        <v>0</v>
      </c>
      <c r="N1112" s="66">
        <f t="shared" si="70"/>
        <v>0.96699999999999997</v>
      </c>
      <c r="O1112" s="62" t="str">
        <f t="shared" si="71"/>
        <v>4: Engaged Early</v>
      </c>
    </row>
    <row r="1113" spans="1:15" ht="15" customHeight="1" x14ac:dyDescent="0.4">
      <c r="A1113" s="62" t="s">
        <v>824</v>
      </c>
      <c r="B1113" s="62" t="s">
        <v>1701</v>
      </c>
      <c r="C1113" s="62" t="s">
        <v>826</v>
      </c>
      <c r="D1113" s="63">
        <v>0</v>
      </c>
      <c r="E1113" s="63">
        <v>0</v>
      </c>
      <c r="F1113" s="63">
        <v>0</v>
      </c>
      <c r="G1113" s="64">
        <f t="shared" si="68"/>
        <v>0</v>
      </c>
      <c r="H1113" s="64">
        <f t="shared" si="69"/>
        <v>0</v>
      </c>
      <c r="I1113" s="63">
        <v>1</v>
      </c>
      <c r="J1113" s="65">
        <v>81.739999999999995</v>
      </c>
      <c r="K1113" s="65">
        <v>98.24</v>
      </c>
      <c r="L1113" s="62" t="s">
        <v>840</v>
      </c>
      <c r="M1113" s="63">
        <v>0</v>
      </c>
      <c r="N1113" s="66">
        <f t="shared" si="70"/>
        <v>0.78700000000000003</v>
      </c>
      <c r="O1113" s="62" t="str">
        <f t="shared" si="71"/>
        <v>4: Engaged Early</v>
      </c>
    </row>
    <row r="1114" spans="1:15" ht="15" customHeight="1" x14ac:dyDescent="0.4">
      <c r="A1114" s="62" t="s">
        <v>824</v>
      </c>
      <c r="B1114" s="62" t="s">
        <v>716</v>
      </c>
      <c r="C1114" s="62" t="s">
        <v>825</v>
      </c>
      <c r="D1114" s="63">
        <v>4</v>
      </c>
      <c r="E1114" s="63">
        <v>0</v>
      </c>
      <c r="F1114" s="63">
        <v>0</v>
      </c>
      <c r="G1114" s="64">
        <f t="shared" si="68"/>
        <v>0</v>
      </c>
      <c r="H1114" s="64">
        <f t="shared" si="69"/>
        <v>0</v>
      </c>
      <c r="I1114" s="63">
        <v>2</v>
      </c>
      <c r="J1114" s="65">
        <v>99.703400000000002</v>
      </c>
      <c r="K1114" s="65">
        <v>63.08</v>
      </c>
      <c r="L1114" s="62" t="s">
        <v>825</v>
      </c>
      <c r="M1114" s="63">
        <v>0</v>
      </c>
      <c r="N1114" s="66">
        <f t="shared" si="70"/>
        <v>0.77800000000000002</v>
      </c>
      <c r="O1114" s="62" t="str">
        <f t="shared" si="71"/>
        <v>4: Engaged Early</v>
      </c>
    </row>
    <row r="1115" spans="1:15" ht="15" customHeight="1" x14ac:dyDescent="0.4">
      <c r="A1115" s="62" t="s">
        <v>824</v>
      </c>
      <c r="B1115" s="62" t="s">
        <v>1702</v>
      </c>
      <c r="C1115" s="62" t="s">
        <v>826</v>
      </c>
      <c r="D1115" s="63">
        <v>9</v>
      </c>
      <c r="E1115" s="63">
        <v>7</v>
      </c>
      <c r="F1115" s="63">
        <v>2</v>
      </c>
      <c r="G1115" s="64">
        <f t="shared" si="68"/>
        <v>0.77777777777777779</v>
      </c>
      <c r="H1115" s="64">
        <f t="shared" si="69"/>
        <v>0.22222222222222221</v>
      </c>
      <c r="I1115" s="63">
        <v>2</v>
      </c>
      <c r="J1115" s="65">
        <v>99.855000000000004</v>
      </c>
      <c r="K1115" s="65">
        <v>100</v>
      </c>
      <c r="L1115" s="62" t="s">
        <v>825</v>
      </c>
      <c r="M1115" s="63">
        <v>0</v>
      </c>
      <c r="N1115" s="66">
        <f t="shared" si="70"/>
        <v>1</v>
      </c>
      <c r="O1115" s="62" t="str">
        <f t="shared" si="71"/>
        <v>4: Engaged Early</v>
      </c>
    </row>
    <row r="1116" spans="1:15" ht="15" customHeight="1" x14ac:dyDescent="0.4">
      <c r="A1116" s="62" t="s">
        <v>824</v>
      </c>
      <c r="B1116" s="62" t="s">
        <v>1703</v>
      </c>
      <c r="C1116" s="62" t="s">
        <v>826</v>
      </c>
      <c r="D1116" s="63">
        <v>10</v>
      </c>
      <c r="E1116" s="63">
        <v>8</v>
      </c>
      <c r="F1116" s="63">
        <v>0</v>
      </c>
      <c r="G1116" s="64">
        <f t="shared" si="68"/>
        <v>0.8</v>
      </c>
      <c r="H1116" s="64">
        <f t="shared" si="69"/>
        <v>0</v>
      </c>
      <c r="I1116" s="63">
        <v>2</v>
      </c>
      <c r="J1116" s="65">
        <v>91.574299999999994</v>
      </c>
      <c r="K1116" s="65">
        <v>100</v>
      </c>
      <c r="L1116" s="62" t="s">
        <v>825</v>
      </c>
      <c r="M1116" s="63">
        <v>0</v>
      </c>
      <c r="N1116" s="66">
        <f t="shared" si="70"/>
        <v>0.98699999999999999</v>
      </c>
      <c r="O1116" s="62" t="str">
        <f t="shared" si="71"/>
        <v>4: Engaged Early</v>
      </c>
    </row>
    <row r="1117" spans="1:15" ht="15" customHeight="1" x14ac:dyDescent="0.4">
      <c r="A1117" s="62" t="s">
        <v>824</v>
      </c>
      <c r="B1117" s="62" t="s">
        <v>1704</v>
      </c>
      <c r="C1117" s="62" t="s">
        <v>826</v>
      </c>
      <c r="D1117" s="63">
        <v>17</v>
      </c>
      <c r="E1117" s="63">
        <v>0</v>
      </c>
      <c r="F1117" s="63">
        <v>3</v>
      </c>
      <c r="G1117" s="64">
        <f t="shared" si="68"/>
        <v>0</v>
      </c>
      <c r="H1117" s="64">
        <f t="shared" si="69"/>
        <v>0.17647058823529413</v>
      </c>
      <c r="I1117" s="63">
        <v>2</v>
      </c>
      <c r="J1117" s="65">
        <v>86.937600000000003</v>
      </c>
      <c r="K1117" s="65">
        <v>88.89</v>
      </c>
      <c r="L1117" s="62" t="s">
        <v>825</v>
      </c>
      <c r="M1117" s="63">
        <v>0</v>
      </c>
      <c r="N1117" s="66">
        <f t="shared" si="70"/>
        <v>0.91400000000000003</v>
      </c>
      <c r="O1117" s="62" t="str">
        <f t="shared" si="71"/>
        <v>4: Engaged Early</v>
      </c>
    </row>
    <row r="1118" spans="1:15" ht="15" customHeight="1" x14ac:dyDescent="0.4">
      <c r="A1118" s="62" t="s">
        <v>824</v>
      </c>
      <c r="B1118" s="62" t="s">
        <v>754</v>
      </c>
      <c r="C1118" s="62" t="s">
        <v>825</v>
      </c>
      <c r="D1118" s="63">
        <v>23</v>
      </c>
      <c r="E1118" s="63">
        <v>16</v>
      </c>
      <c r="F1118" s="63">
        <v>0</v>
      </c>
      <c r="G1118" s="64">
        <f t="shared" si="68"/>
        <v>0.69565217391304346</v>
      </c>
      <c r="H1118" s="64">
        <f t="shared" si="69"/>
        <v>0</v>
      </c>
      <c r="I1118" s="63">
        <v>1</v>
      </c>
      <c r="J1118" s="65">
        <v>20.457999999999998</v>
      </c>
      <c r="K1118" s="65">
        <v>3.91</v>
      </c>
      <c r="L1118" s="62" t="s">
        <v>825</v>
      </c>
      <c r="M1118" s="63">
        <v>0</v>
      </c>
      <c r="N1118" s="66">
        <f t="shared" si="70"/>
        <v>0.30399999999999999</v>
      </c>
      <c r="O1118" s="62" t="str">
        <f t="shared" si="71"/>
        <v>4: Engaged Early</v>
      </c>
    </row>
    <row r="1119" spans="1:15" ht="15" customHeight="1" x14ac:dyDescent="0.4">
      <c r="A1119" s="62" t="s">
        <v>824</v>
      </c>
      <c r="B1119" s="62" t="s">
        <v>1705</v>
      </c>
      <c r="C1119" s="62" t="s">
        <v>826</v>
      </c>
      <c r="D1119" s="63">
        <v>4</v>
      </c>
      <c r="E1119" s="63">
        <v>2</v>
      </c>
      <c r="F1119" s="63">
        <v>0</v>
      </c>
      <c r="G1119" s="64">
        <f t="shared" si="68"/>
        <v>0.5</v>
      </c>
      <c r="H1119" s="64">
        <f t="shared" si="69"/>
        <v>0</v>
      </c>
      <c r="I1119" s="63">
        <v>0</v>
      </c>
      <c r="J1119" s="65"/>
      <c r="K1119" s="65">
        <v>18.89</v>
      </c>
      <c r="L1119" s="62" t="s">
        <v>825</v>
      </c>
      <c r="M1119" s="63">
        <v>0</v>
      </c>
      <c r="N1119" s="66">
        <f t="shared" si="70"/>
        <v>0.36299999999999999</v>
      </c>
      <c r="O1119" s="62" t="str">
        <f t="shared" si="71"/>
        <v>3: Elevated (No Wk0)</v>
      </c>
    </row>
    <row r="1120" spans="1:15" ht="15" customHeight="1" x14ac:dyDescent="0.4">
      <c r="A1120" s="62" t="s">
        <v>824</v>
      </c>
      <c r="B1120" s="62" t="s">
        <v>1706</v>
      </c>
      <c r="C1120" s="62" t="s">
        <v>826</v>
      </c>
      <c r="D1120" s="63">
        <v>5</v>
      </c>
      <c r="E1120" s="63">
        <v>2</v>
      </c>
      <c r="F1120" s="63">
        <v>0</v>
      </c>
      <c r="G1120" s="64">
        <f t="shared" si="68"/>
        <v>0.4</v>
      </c>
      <c r="H1120" s="64">
        <f t="shared" si="69"/>
        <v>0</v>
      </c>
      <c r="I1120" s="63">
        <v>2</v>
      </c>
      <c r="J1120" s="65">
        <v>87.976650000000006</v>
      </c>
      <c r="K1120" s="65">
        <v>98.03</v>
      </c>
      <c r="L1120" s="62" t="s">
        <v>825</v>
      </c>
      <c r="M1120" s="63">
        <v>0</v>
      </c>
      <c r="N1120" s="66">
        <f t="shared" si="70"/>
        <v>0.97</v>
      </c>
      <c r="O1120" s="62" t="str">
        <f t="shared" si="71"/>
        <v>4: Engaged Early</v>
      </c>
    </row>
    <row r="1121" spans="1:15" ht="15" customHeight="1" x14ac:dyDescent="0.4">
      <c r="A1121" s="62" t="s">
        <v>824</v>
      </c>
      <c r="B1121" s="62" t="s">
        <v>1707</v>
      </c>
      <c r="C1121" s="62" t="s">
        <v>826</v>
      </c>
      <c r="D1121" s="63">
        <v>12</v>
      </c>
      <c r="E1121" s="63">
        <v>10</v>
      </c>
      <c r="F1121" s="63">
        <v>1</v>
      </c>
      <c r="G1121" s="64">
        <f t="shared" si="68"/>
        <v>0.83333333333333337</v>
      </c>
      <c r="H1121" s="64">
        <f t="shared" si="69"/>
        <v>8.3333333333333329E-2</v>
      </c>
      <c r="I1121" s="63">
        <v>1</v>
      </c>
      <c r="J1121" s="65">
        <v>94.78</v>
      </c>
      <c r="K1121" s="65">
        <v>88.89</v>
      </c>
      <c r="L1121" s="62" t="s">
        <v>825</v>
      </c>
      <c r="M1121" s="63">
        <v>0</v>
      </c>
      <c r="N1121" s="66">
        <f t="shared" si="70"/>
        <v>0.92600000000000005</v>
      </c>
      <c r="O1121" s="62" t="str">
        <f t="shared" si="71"/>
        <v>4: Engaged Early</v>
      </c>
    </row>
    <row r="1122" spans="1:15" ht="15" customHeight="1" x14ac:dyDescent="0.4">
      <c r="A1122" s="62" t="s">
        <v>824</v>
      </c>
      <c r="B1122" s="62" t="s">
        <v>1708</v>
      </c>
      <c r="C1122" s="62" t="s">
        <v>826</v>
      </c>
      <c r="D1122" s="63">
        <v>12</v>
      </c>
      <c r="E1122" s="63">
        <v>7</v>
      </c>
      <c r="F1122" s="63">
        <v>0</v>
      </c>
      <c r="G1122" s="64">
        <f t="shared" si="68"/>
        <v>0.58333333333333337</v>
      </c>
      <c r="H1122" s="64">
        <f t="shared" si="69"/>
        <v>0</v>
      </c>
      <c r="I1122" s="63">
        <v>2</v>
      </c>
      <c r="J1122" s="65">
        <v>94.088149999999999</v>
      </c>
      <c r="K1122" s="65">
        <v>100</v>
      </c>
      <c r="L1122" s="62" t="s">
        <v>825</v>
      </c>
      <c r="M1122" s="63">
        <v>0</v>
      </c>
      <c r="N1122" s="66">
        <f t="shared" si="70"/>
        <v>0.99099999999999999</v>
      </c>
      <c r="O1122" s="62" t="str">
        <f t="shared" si="71"/>
        <v>4: Engaged Early</v>
      </c>
    </row>
    <row r="1123" spans="1:15" ht="15" customHeight="1" x14ac:dyDescent="0.4">
      <c r="A1123" s="62" t="s">
        <v>824</v>
      </c>
      <c r="B1123" s="62" t="s">
        <v>1709</v>
      </c>
      <c r="C1123" s="62" t="s">
        <v>826</v>
      </c>
      <c r="D1123" s="63">
        <v>12</v>
      </c>
      <c r="E1123" s="63">
        <v>9</v>
      </c>
      <c r="F1123" s="63">
        <v>1</v>
      </c>
      <c r="G1123" s="64">
        <f t="shared" si="68"/>
        <v>0.75</v>
      </c>
      <c r="H1123" s="64">
        <f t="shared" si="69"/>
        <v>8.3333333333333329E-2</v>
      </c>
      <c r="I1123" s="63">
        <v>2</v>
      </c>
      <c r="J1123" s="65">
        <v>67.099500000000006</v>
      </c>
      <c r="K1123" s="65">
        <v>94.41</v>
      </c>
      <c r="L1123" s="62" t="s">
        <v>825</v>
      </c>
      <c r="M1123" s="63">
        <v>0</v>
      </c>
      <c r="N1123" s="66">
        <f t="shared" si="70"/>
        <v>0.91700000000000004</v>
      </c>
      <c r="O1123" s="62" t="str">
        <f t="shared" si="71"/>
        <v>4: Engaged Early</v>
      </c>
    </row>
    <row r="1124" spans="1:15" ht="15" customHeight="1" x14ac:dyDescent="0.4">
      <c r="A1124" s="62" t="s">
        <v>824</v>
      </c>
      <c r="B1124" s="62" t="s">
        <v>1710</v>
      </c>
      <c r="C1124" s="62" t="s">
        <v>826</v>
      </c>
      <c r="D1124" s="63">
        <v>13</v>
      </c>
      <c r="E1124" s="63">
        <v>11</v>
      </c>
      <c r="F1124" s="63">
        <v>3</v>
      </c>
      <c r="G1124" s="64">
        <f t="shared" si="68"/>
        <v>0.84615384615384615</v>
      </c>
      <c r="H1124" s="64">
        <f t="shared" si="69"/>
        <v>0.23076923076923078</v>
      </c>
      <c r="I1124" s="63">
        <v>2</v>
      </c>
      <c r="J1124" s="65">
        <v>95.597700000000003</v>
      </c>
      <c r="K1124" s="65">
        <v>100</v>
      </c>
      <c r="L1124" s="62" t="s">
        <v>826</v>
      </c>
      <c r="M1124" s="63">
        <v>0</v>
      </c>
      <c r="N1124" s="66">
        <f t="shared" si="70"/>
        <v>0.74299999999999999</v>
      </c>
      <c r="O1124" s="62" t="str">
        <f t="shared" si="71"/>
        <v>2: High (No DBWT)</v>
      </c>
    </row>
    <row r="1125" spans="1:15" ht="15" customHeight="1" x14ac:dyDescent="0.4">
      <c r="A1125" s="62" t="s">
        <v>824</v>
      </c>
      <c r="B1125" s="62" t="s">
        <v>1711</v>
      </c>
      <c r="C1125" s="62" t="s">
        <v>826</v>
      </c>
      <c r="D1125" s="63">
        <v>10</v>
      </c>
      <c r="E1125" s="63">
        <v>9</v>
      </c>
      <c r="F1125" s="63">
        <v>1</v>
      </c>
      <c r="G1125" s="64">
        <f t="shared" si="68"/>
        <v>0.9</v>
      </c>
      <c r="H1125" s="64">
        <f t="shared" si="69"/>
        <v>0.1</v>
      </c>
      <c r="I1125" s="63">
        <v>2</v>
      </c>
      <c r="J1125" s="65">
        <v>93.101650000000006</v>
      </c>
      <c r="K1125" s="65">
        <v>100</v>
      </c>
      <c r="L1125" s="62" t="s">
        <v>825</v>
      </c>
      <c r="M1125" s="63">
        <v>0</v>
      </c>
      <c r="N1125" s="66">
        <f t="shared" si="70"/>
        <v>0.99</v>
      </c>
      <c r="O1125" s="62" t="str">
        <f t="shared" si="71"/>
        <v>4: Engaged Early</v>
      </c>
    </row>
    <row r="1126" spans="1:15" ht="15" customHeight="1" x14ac:dyDescent="0.4">
      <c r="A1126" s="62" t="s">
        <v>824</v>
      </c>
      <c r="B1126" s="62" t="s">
        <v>1712</v>
      </c>
      <c r="C1126" s="62" t="s">
        <v>826</v>
      </c>
      <c r="D1126" s="63">
        <v>4</v>
      </c>
      <c r="E1126" s="63">
        <v>4</v>
      </c>
      <c r="F1126" s="63">
        <v>0</v>
      </c>
      <c r="G1126" s="64">
        <f t="shared" si="68"/>
        <v>1</v>
      </c>
      <c r="H1126" s="64">
        <f t="shared" si="69"/>
        <v>0</v>
      </c>
      <c r="I1126" s="63">
        <v>2</v>
      </c>
      <c r="J1126" s="65">
        <v>90.659949999999995</v>
      </c>
      <c r="K1126" s="65">
        <v>99.56</v>
      </c>
      <c r="L1126" s="62" t="s">
        <v>825</v>
      </c>
      <c r="M1126" s="63">
        <v>0</v>
      </c>
      <c r="N1126" s="66">
        <f t="shared" si="70"/>
        <v>0.98299999999999998</v>
      </c>
      <c r="O1126" s="62" t="str">
        <f t="shared" si="71"/>
        <v>4: Engaged Early</v>
      </c>
    </row>
    <row r="1127" spans="1:15" ht="15" customHeight="1" x14ac:dyDescent="0.4">
      <c r="A1127" s="62" t="s">
        <v>824</v>
      </c>
      <c r="B1127" s="62" t="s">
        <v>1713</v>
      </c>
      <c r="C1127" s="62" t="s">
        <v>826</v>
      </c>
      <c r="D1127" s="63">
        <v>15</v>
      </c>
      <c r="E1127" s="63">
        <v>15</v>
      </c>
      <c r="F1127" s="63">
        <v>3</v>
      </c>
      <c r="G1127" s="64">
        <f t="shared" si="68"/>
        <v>1</v>
      </c>
      <c r="H1127" s="64">
        <f t="shared" si="69"/>
        <v>0.2</v>
      </c>
      <c r="I1127" s="63">
        <v>2</v>
      </c>
      <c r="J1127" s="65">
        <v>99.79</v>
      </c>
      <c r="K1127" s="65">
        <v>100</v>
      </c>
      <c r="L1127" s="62" t="s">
        <v>825</v>
      </c>
      <c r="M1127" s="63">
        <v>0</v>
      </c>
      <c r="N1127" s="66">
        <f t="shared" si="70"/>
        <v>1</v>
      </c>
      <c r="O1127" s="62" t="str">
        <f t="shared" si="71"/>
        <v>4: Engaged Early</v>
      </c>
    </row>
    <row r="1128" spans="1:15" ht="15" customHeight="1" x14ac:dyDescent="0.4">
      <c r="A1128" s="62" t="s">
        <v>824</v>
      </c>
      <c r="B1128" s="62" t="s">
        <v>1714</v>
      </c>
      <c r="C1128" s="62" t="s">
        <v>826</v>
      </c>
      <c r="D1128" s="63">
        <v>18</v>
      </c>
      <c r="E1128" s="63">
        <v>11</v>
      </c>
      <c r="F1128" s="63">
        <v>2</v>
      </c>
      <c r="G1128" s="64">
        <f t="shared" si="68"/>
        <v>0.61111111111111116</v>
      </c>
      <c r="H1128" s="64">
        <f t="shared" si="69"/>
        <v>0.1111111111111111</v>
      </c>
      <c r="I1128" s="63">
        <v>2</v>
      </c>
      <c r="J1128" s="65">
        <v>99.924999999999997</v>
      </c>
      <c r="K1128" s="65">
        <v>100</v>
      </c>
      <c r="L1128" s="62" t="s">
        <v>825</v>
      </c>
      <c r="M1128" s="63">
        <v>0</v>
      </c>
      <c r="N1128" s="66">
        <f t="shared" si="70"/>
        <v>1</v>
      </c>
      <c r="O1128" s="62" t="str">
        <f t="shared" si="71"/>
        <v>4: Engaged Early</v>
      </c>
    </row>
    <row r="1129" spans="1:15" ht="15" customHeight="1" x14ac:dyDescent="0.4">
      <c r="A1129" s="62" t="s">
        <v>824</v>
      </c>
      <c r="B1129" s="62" t="s">
        <v>1715</v>
      </c>
      <c r="C1129" s="62" t="s">
        <v>826</v>
      </c>
      <c r="D1129" s="63">
        <v>18</v>
      </c>
      <c r="E1129" s="63">
        <v>12</v>
      </c>
      <c r="F1129" s="63">
        <v>3</v>
      </c>
      <c r="G1129" s="64">
        <f t="shared" si="68"/>
        <v>0.66666666666666663</v>
      </c>
      <c r="H1129" s="64">
        <f t="shared" si="69"/>
        <v>0.16666666666666666</v>
      </c>
      <c r="I1129" s="63">
        <v>2</v>
      </c>
      <c r="J1129" s="65">
        <v>94.066050000000004</v>
      </c>
      <c r="K1129" s="65">
        <v>96.55</v>
      </c>
      <c r="L1129" s="62" t="s">
        <v>825</v>
      </c>
      <c r="M1129" s="63">
        <v>0</v>
      </c>
      <c r="N1129" s="66">
        <f t="shared" si="70"/>
        <v>0.97</v>
      </c>
      <c r="O1129" s="62" t="str">
        <f t="shared" si="71"/>
        <v>4: Engaged Early</v>
      </c>
    </row>
    <row r="1130" spans="1:15" ht="15" customHeight="1" x14ac:dyDescent="0.4">
      <c r="A1130" s="62" t="s">
        <v>824</v>
      </c>
      <c r="B1130" s="62" t="s">
        <v>1716</v>
      </c>
      <c r="C1130" s="62" t="s">
        <v>826</v>
      </c>
      <c r="D1130" s="63">
        <v>8</v>
      </c>
      <c r="E1130" s="63">
        <v>6</v>
      </c>
      <c r="F1130" s="63">
        <v>2</v>
      </c>
      <c r="G1130" s="64">
        <f t="shared" si="68"/>
        <v>0.75</v>
      </c>
      <c r="H1130" s="64">
        <f t="shared" si="69"/>
        <v>0.25</v>
      </c>
      <c r="I1130" s="63">
        <v>2</v>
      </c>
      <c r="J1130" s="65">
        <v>51.009225000000001</v>
      </c>
      <c r="K1130" s="65">
        <v>89.46</v>
      </c>
      <c r="L1130" s="62" t="s">
        <v>825</v>
      </c>
      <c r="M1130" s="63">
        <v>0</v>
      </c>
      <c r="N1130" s="66">
        <f t="shared" si="70"/>
        <v>0.86299999999999999</v>
      </c>
      <c r="O1130" s="62" t="str">
        <f t="shared" si="71"/>
        <v>4: Engaged Early</v>
      </c>
    </row>
    <row r="1131" spans="1:15" ht="15" customHeight="1" x14ac:dyDescent="0.4">
      <c r="A1131" s="62" t="s">
        <v>824</v>
      </c>
      <c r="B1131" s="62" t="s">
        <v>1717</v>
      </c>
      <c r="C1131" s="62" t="s">
        <v>826</v>
      </c>
      <c r="D1131" s="63">
        <v>15</v>
      </c>
      <c r="E1131" s="63">
        <v>6</v>
      </c>
      <c r="F1131" s="63">
        <v>2</v>
      </c>
      <c r="G1131" s="64">
        <f t="shared" si="68"/>
        <v>0.4</v>
      </c>
      <c r="H1131" s="64">
        <f t="shared" si="69"/>
        <v>0.13333333333333333</v>
      </c>
      <c r="I1131" s="63">
        <v>1</v>
      </c>
      <c r="J1131" s="65">
        <v>59.78</v>
      </c>
      <c r="K1131" s="65">
        <v>83.68</v>
      </c>
      <c r="L1131" s="62" t="s">
        <v>825</v>
      </c>
      <c r="M1131" s="63">
        <v>0</v>
      </c>
      <c r="N1131" s="66">
        <f t="shared" si="70"/>
        <v>0.84199999999999997</v>
      </c>
      <c r="O1131" s="62" t="str">
        <f t="shared" si="71"/>
        <v>4: Engaged Early</v>
      </c>
    </row>
    <row r="1132" spans="1:15" ht="15" customHeight="1" x14ac:dyDescent="0.4">
      <c r="A1132" s="62" t="s">
        <v>824</v>
      </c>
      <c r="B1132" s="62" t="s">
        <v>587</v>
      </c>
      <c r="C1132" s="62" t="s">
        <v>825</v>
      </c>
      <c r="D1132" s="63">
        <v>13</v>
      </c>
      <c r="E1132" s="63">
        <v>7</v>
      </c>
      <c r="F1132" s="63">
        <v>2</v>
      </c>
      <c r="G1132" s="64">
        <f t="shared" si="68"/>
        <v>0.53846153846153844</v>
      </c>
      <c r="H1132" s="64">
        <f t="shared" si="69"/>
        <v>0.15384615384615385</v>
      </c>
      <c r="I1132" s="63">
        <v>1</v>
      </c>
      <c r="J1132" s="65">
        <v>89.22</v>
      </c>
      <c r="K1132" s="65">
        <v>16.45</v>
      </c>
      <c r="L1132" s="62" t="s">
        <v>825</v>
      </c>
      <c r="M1132" s="63">
        <v>0</v>
      </c>
      <c r="N1132" s="66">
        <f t="shared" si="70"/>
        <v>0.48299999999999998</v>
      </c>
      <c r="O1132" s="62" t="str">
        <f t="shared" si="71"/>
        <v>4: Engaged Early</v>
      </c>
    </row>
    <row r="1133" spans="1:15" ht="15" customHeight="1" x14ac:dyDescent="0.4">
      <c r="A1133" s="62" t="s">
        <v>824</v>
      </c>
      <c r="B1133" s="62" t="s">
        <v>1718</v>
      </c>
      <c r="C1133" s="62" t="s">
        <v>826</v>
      </c>
      <c r="D1133" s="63">
        <v>17</v>
      </c>
      <c r="E1133" s="63">
        <v>12</v>
      </c>
      <c r="F1133" s="63">
        <v>3</v>
      </c>
      <c r="G1133" s="64">
        <f t="shared" si="68"/>
        <v>0.70588235294117652</v>
      </c>
      <c r="H1133" s="64">
        <f t="shared" si="69"/>
        <v>0.17647058823529413</v>
      </c>
      <c r="I1133" s="63">
        <v>2</v>
      </c>
      <c r="J1133" s="65">
        <v>82.801349999999999</v>
      </c>
      <c r="K1133" s="65">
        <v>83.7</v>
      </c>
      <c r="L1133" s="62" t="s">
        <v>825</v>
      </c>
      <c r="M1133" s="63">
        <v>1</v>
      </c>
      <c r="N1133" s="66">
        <f t="shared" si="70"/>
        <v>0.876</v>
      </c>
      <c r="O1133" s="62" t="str">
        <f t="shared" si="71"/>
        <v>4: Engaged Early</v>
      </c>
    </row>
    <row r="1134" spans="1:15" ht="15" customHeight="1" x14ac:dyDescent="0.4">
      <c r="A1134" s="62" t="s">
        <v>824</v>
      </c>
      <c r="B1134" s="62" t="s">
        <v>1719</v>
      </c>
      <c r="C1134" s="62" t="s">
        <v>826</v>
      </c>
      <c r="D1134" s="63">
        <v>0</v>
      </c>
      <c r="E1134" s="63">
        <v>0</v>
      </c>
      <c r="F1134" s="63">
        <v>0</v>
      </c>
      <c r="G1134" s="64">
        <f t="shared" si="68"/>
        <v>0</v>
      </c>
      <c r="H1134" s="64">
        <f t="shared" si="69"/>
        <v>0</v>
      </c>
      <c r="I1134" s="63">
        <v>1</v>
      </c>
      <c r="J1134" s="65">
        <v>97.84</v>
      </c>
      <c r="K1134" s="65">
        <v>14.29</v>
      </c>
      <c r="L1134" s="62" t="s">
        <v>840</v>
      </c>
      <c r="M1134" s="63">
        <v>0</v>
      </c>
      <c r="N1134" s="66">
        <f t="shared" si="70"/>
        <v>0.308</v>
      </c>
      <c r="O1134" s="62" t="str">
        <f t="shared" si="71"/>
        <v>4: Engaged Early</v>
      </c>
    </row>
    <row r="1135" spans="1:15" ht="15" customHeight="1" x14ac:dyDescent="0.4">
      <c r="A1135" s="62" t="s">
        <v>824</v>
      </c>
      <c r="B1135" s="62" t="s">
        <v>1720</v>
      </c>
      <c r="C1135" s="62" t="s">
        <v>826</v>
      </c>
      <c r="D1135" s="63">
        <v>5</v>
      </c>
      <c r="E1135" s="63">
        <v>5</v>
      </c>
      <c r="F1135" s="63">
        <v>4</v>
      </c>
      <c r="G1135" s="64">
        <f t="shared" si="68"/>
        <v>1</v>
      </c>
      <c r="H1135" s="64">
        <f t="shared" si="69"/>
        <v>0.8</v>
      </c>
      <c r="I1135" s="63">
        <v>2</v>
      </c>
      <c r="J1135" s="65">
        <v>84.675299999999993</v>
      </c>
      <c r="K1135" s="65">
        <v>100</v>
      </c>
      <c r="L1135" s="62" t="s">
        <v>825</v>
      </c>
      <c r="M1135" s="63">
        <v>0</v>
      </c>
      <c r="N1135" s="66">
        <f t="shared" si="70"/>
        <v>0.97699999999999998</v>
      </c>
      <c r="O1135" s="62" t="str">
        <f t="shared" si="71"/>
        <v>4: Engaged Early</v>
      </c>
    </row>
    <row r="1136" spans="1:15" ht="15" customHeight="1" x14ac:dyDescent="0.4">
      <c r="A1136" s="62" t="s">
        <v>824</v>
      </c>
      <c r="B1136" s="62" t="s">
        <v>1721</v>
      </c>
      <c r="C1136" s="62" t="s">
        <v>826</v>
      </c>
      <c r="D1136" s="63">
        <v>22</v>
      </c>
      <c r="E1136" s="63">
        <v>16</v>
      </c>
      <c r="F1136" s="63">
        <v>5</v>
      </c>
      <c r="G1136" s="64">
        <f t="shared" si="68"/>
        <v>0.72727272727272729</v>
      </c>
      <c r="H1136" s="64">
        <f t="shared" si="69"/>
        <v>0.22727272727272727</v>
      </c>
      <c r="I1136" s="63">
        <v>1</v>
      </c>
      <c r="J1136" s="65">
        <v>86.23</v>
      </c>
      <c r="K1136" s="65">
        <v>58.23</v>
      </c>
      <c r="L1136" s="62" t="s">
        <v>825</v>
      </c>
      <c r="M1136" s="63">
        <v>0</v>
      </c>
      <c r="N1136" s="66">
        <f t="shared" si="70"/>
        <v>0.72899999999999998</v>
      </c>
      <c r="O1136" s="62" t="str">
        <f t="shared" si="71"/>
        <v>4: Engaged Early</v>
      </c>
    </row>
    <row r="1137" spans="1:15" ht="15" customHeight="1" x14ac:dyDescent="0.4">
      <c r="A1137" s="62" t="s">
        <v>824</v>
      </c>
      <c r="B1137" s="62" t="s">
        <v>1722</v>
      </c>
      <c r="C1137" s="62" t="s">
        <v>826</v>
      </c>
      <c r="D1137" s="63">
        <v>10</v>
      </c>
      <c r="E1137" s="63">
        <v>9</v>
      </c>
      <c r="F1137" s="63">
        <v>0</v>
      </c>
      <c r="G1137" s="64">
        <f t="shared" si="68"/>
        <v>0.9</v>
      </c>
      <c r="H1137" s="64">
        <f t="shared" si="69"/>
        <v>0</v>
      </c>
      <c r="I1137" s="63">
        <v>2</v>
      </c>
      <c r="J1137" s="65">
        <v>81.098050000000001</v>
      </c>
      <c r="K1137" s="65">
        <v>90.38</v>
      </c>
      <c r="L1137" s="62" t="s">
        <v>825</v>
      </c>
      <c r="M1137" s="63">
        <v>0</v>
      </c>
      <c r="N1137" s="66">
        <f t="shared" si="70"/>
        <v>0.91400000000000003</v>
      </c>
      <c r="O1137" s="62" t="str">
        <f t="shared" si="71"/>
        <v>4: Engaged Early</v>
      </c>
    </row>
    <row r="1138" spans="1:15" ht="15" customHeight="1" x14ac:dyDescent="0.4">
      <c r="A1138" s="62" t="s">
        <v>824</v>
      </c>
      <c r="B1138" s="62" t="s">
        <v>461</v>
      </c>
      <c r="C1138" s="62" t="s">
        <v>825</v>
      </c>
      <c r="D1138" s="63">
        <v>9</v>
      </c>
      <c r="E1138" s="63">
        <v>9</v>
      </c>
      <c r="F1138" s="63">
        <v>0</v>
      </c>
      <c r="G1138" s="64">
        <f t="shared" si="68"/>
        <v>1</v>
      </c>
      <c r="H1138" s="64">
        <f t="shared" si="69"/>
        <v>0</v>
      </c>
      <c r="I1138" s="63">
        <v>1</v>
      </c>
      <c r="J1138" s="65">
        <v>88.24</v>
      </c>
      <c r="K1138" s="65">
        <v>20</v>
      </c>
      <c r="L1138" s="62" t="s">
        <v>825</v>
      </c>
      <c r="M1138" s="63">
        <v>0</v>
      </c>
      <c r="N1138" s="66">
        <f t="shared" si="70"/>
        <v>0.502</v>
      </c>
      <c r="O1138" s="62" t="str">
        <f t="shared" si="71"/>
        <v>4: Engaged Early</v>
      </c>
    </row>
    <row r="1139" spans="1:15" ht="15" customHeight="1" x14ac:dyDescent="0.4">
      <c r="A1139" s="62" t="s">
        <v>824</v>
      </c>
      <c r="B1139" s="62" t="s">
        <v>1723</v>
      </c>
      <c r="C1139" s="62" t="s">
        <v>826</v>
      </c>
      <c r="D1139" s="63">
        <v>30</v>
      </c>
      <c r="E1139" s="63">
        <v>26</v>
      </c>
      <c r="F1139" s="63">
        <v>11</v>
      </c>
      <c r="G1139" s="64">
        <f t="shared" si="68"/>
        <v>0.8666666666666667</v>
      </c>
      <c r="H1139" s="64">
        <f t="shared" si="69"/>
        <v>0.36666666666666664</v>
      </c>
      <c r="I1139" s="63">
        <v>2</v>
      </c>
      <c r="J1139" s="65">
        <v>80.739050000000006</v>
      </c>
      <c r="K1139" s="65">
        <v>99.67</v>
      </c>
      <c r="L1139" s="62" t="s">
        <v>825</v>
      </c>
      <c r="M1139" s="63">
        <v>0</v>
      </c>
      <c r="N1139" s="66">
        <f t="shared" si="70"/>
        <v>0.96899999999999997</v>
      </c>
      <c r="O1139" s="62" t="str">
        <f t="shared" si="71"/>
        <v>4: Engaged Early</v>
      </c>
    </row>
    <row r="1140" spans="1:15" ht="15" customHeight="1" x14ac:dyDescent="0.4">
      <c r="A1140" s="62" t="s">
        <v>824</v>
      </c>
      <c r="B1140" s="62" t="s">
        <v>1724</v>
      </c>
      <c r="C1140" s="62" t="s">
        <v>826</v>
      </c>
      <c r="D1140" s="63">
        <v>13</v>
      </c>
      <c r="E1140" s="63">
        <v>6</v>
      </c>
      <c r="F1140" s="63">
        <v>0</v>
      </c>
      <c r="G1140" s="64">
        <f t="shared" si="68"/>
        <v>0.46153846153846156</v>
      </c>
      <c r="H1140" s="64">
        <f t="shared" si="69"/>
        <v>0</v>
      </c>
      <c r="I1140" s="63">
        <v>2</v>
      </c>
      <c r="J1140" s="65">
        <v>96.66</v>
      </c>
      <c r="K1140" s="65">
        <v>100</v>
      </c>
      <c r="L1140" s="62" t="s">
        <v>825</v>
      </c>
      <c r="M1140" s="63">
        <v>0</v>
      </c>
      <c r="N1140" s="66">
        <f t="shared" si="70"/>
        <v>0.995</v>
      </c>
      <c r="O1140" s="62" t="str">
        <f t="shared" si="71"/>
        <v>4: Engaged Early</v>
      </c>
    </row>
    <row r="1141" spans="1:15" ht="15" customHeight="1" x14ac:dyDescent="0.4">
      <c r="A1141" s="62" t="s">
        <v>824</v>
      </c>
      <c r="B1141" s="62" t="s">
        <v>417</v>
      </c>
      <c r="C1141" s="62" t="s">
        <v>825</v>
      </c>
      <c r="D1141" s="63">
        <v>23</v>
      </c>
      <c r="E1141" s="63">
        <v>19</v>
      </c>
      <c r="F1141" s="63">
        <v>9</v>
      </c>
      <c r="G1141" s="64">
        <f t="shared" si="68"/>
        <v>0.82608695652173914</v>
      </c>
      <c r="H1141" s="64">
        <f t="shared" si="69"/>
        <v>0.39130434782608697</v>
      </c>
      <c r="I1141" s="63">
        <v>2</v>
      </c>
      <c r="J1141" s="65">
        <v>41.788350000000001</v>
      </c>
      <c r="K1141" s="65">
        <v>14.66</v>
      </c>
      <c r="L1141" s="62" t="s">
        <v>825</v>
      </c>
      <c r="M1141" s="63">
        <v>0</v>
      </c>
      <c r="N1141" s="66">
        <f t="shared" si="70"/>
        <v>0.40100000000000002</v>
      </c>
      <c r="O1141" s="62" t="str">
        <f t="shared" si="71"/>
        <v>4: Engaged Early</v>
      </c>
    </row>
    <row r="1142" spans="1:15" ht="15" customHeight="1" x14ac:dyDescent="0.4">
      <c r="A1142" s="62" t="s">
        <v>824</v>
      </c>
      <c r="B1142" s="62" t="s">
        <v>1725</v>
      </c>
      <c r="C1142" s="62" t="s">
        <v>826</v>
      </c>
      <c r="D1142" s="63">
        <v>4</v>
      </c>
      <c r="E1142" s="63">
        <v>4</v>
      </c>
      <c r="F1142" s="63">
        <v>1</v>
      </c>
      <c r="G1142" s="64">
        <f t="shared" si="68"/>
        <v>1</v>
      </c>
      <c r="H1142" s="64">
        <f t="shared" si="69"/>
        <v>0.25</v>
      </c>
      <c r="I1142" s="63">
        <v>2</v>
      </c>
      <c r="J1142" s="65">
        <v>96.681399999999996</v>
      </c>
      <c r="K1142" s="65">
        <v>95.36</v>
      </c>
      <c r="L1142" s="62" t="s">
        <v>825</v>
      </c>
      <c r="M1142" s="63">
        <v>0</v>
      </c>
      <c r="N1142" s="66">
        <f t="shared" si="70"/>
        <v>0.96699999999999997</v>
      </c>
      <c r="O1142" s="62" t="str">
        <f t="shared" si="71"/>
        <v>4: Engaged Early</v>
      </c>
    </row>
    <row r="1143" spans="1:15" ht="15" customHeight="1" x14ac:dyDescent="0.4">
      <c r="A1143" s="62" t="s">
        <v>824</v>
      </c>
      <c r="B1143" s="62" t="s">
        <v>1726</v>
      </c>
      <c r="C1143" s="62" t="s">
        <v>826</v>
      </c>
      <c r="D1143" s="63">
        <v>0</v>
      </c>
      <c r="E1143" s="63">
        <v>0</v>
      </c>
      <c r="F1143" s="63">
        <v>0</v>
      </c>
      <c r="G1143" s="64">
        <f t="shared" si="68"/>
        <v>0</v>
      </c>
      <c r="H1143" s="64">
        <f t="shared" si="69"/>
        <v>0</v>
      </c>
      <c r="I1143" s="63">
        <v>1</v>
      </c>
      <c r="J1143" s="65">
        <v>72.42</v>
      </c>
      <c r="K1143" s="65">
        <v>17.43</v>
      </c>
      <c r="L1143" s="62" t="s">
        <v>840</v>
      </c>
      <c r="M1143" s="63">
        <v>0</v>
      </c>
      <c r="N1143" s="66">
        <f t="shared" si="70"/>
        <v>0.28799999999999998</v>
      </c>
      <c r="O1143" s="62" t="str">
        <f t="shared" si="71"/>
        <v>4: Engaged Early</v>
      </c>
    </row>
    <row r="1144" spans="1:15" ht="15" customHeight="1" x14ac:dyDescent="0.4">
      <c r="A1144" s="62" t="s">
        <v>824</v>
      </c>
      <c r="B1144" s="62" t="s">
        <v>1727</v>
      </c>
      <c r="C1144" s="62" t="s">
        <v>826</v>
      </c>
      <c r="D1144" s="63">
        <v>21</v>
      </c>
      <c r="E1144" s="63">
        <v>15</v>
      </c>
      <c r="F1144" s="63">
        <v>4</v>
      </c>
      <c r="G1144" s="64">
        <f t="shared" si="68"/>
        <v>0.7142857142857143</v>
      </c>
      <c r="H1144" s="64">
        <f t="shared" si="69"/>
        <v>0.19047619047619047</v>
      </c>
      <c r="I1144" s="63">
        <v>2</v>
      </c>
      <c r="J1144" s="65">
        <v>86.196449999999999</v>
      </c>
      <c r="K1144" s="65">
        <v>98</v>
      </c>
      <c r="L1144" s="62" t="s">
        <v>825</v>
      </c>
      <c r="M1144" s="63">
        <v>0</v>
      </c>
      <c r="N1144" s="66">
        <f t="shared" si="70"/>
        <v>0.96699999999999997</v>
      </c>
      <c r="O1144" s="62" t="str">
        <f t="shared" si="71"/>
        <v>4: Engaged Early</v>
      </c>
    </row>
    <row r="1145" spans="1:15" ht="15" customHeight="1" x14ac:dyDescent="0.4">
      <c r="A1145" s="62" t="s">
        <v>824</v>
      </c>
      <c r="B1145" s="62" t="s">
        <v>1728</v>
      </c>
      <c r="C1145" s="62" t="s">
        <v>826</v>
      </c>
      <c r="D1145" s="63">
        <v>0</v>
      </c>
      <c r="E1145" s="63">
        <v>0</v>
      </c>
      <c r="F1145" s="63">
        <v>0</v>
      </c>
      <c r="G1145" s="64">
        <f t="shared" si="68"/>
        <v>0</v>
      </c>
      <c r="H1145" s="64">
        <f t="shared" si="69"/>
        <v>0</v>
      </c>
      <c r="I1145" s="63">
        <v>0</v>
      </c>
      <c r="J1145" s="65"/>
      <c r="K1145" s="65">
        <v>9.67</v>
      </c>
      <c r="L1145" s="62" t="s">
        <v>840</v>
      </c>
      <c r="M1145" s="63">
        <v>0</v>
      </c>
      <c r="N1145" s="66">
        <f t="shared" si="70"/>
        <v>0.13300000000000001</v>
      </c>
      <c r="O1145" s="62" t="str">
        <f t="shared" si="71"/>
        <v>3: Elevated (No Wk0)</v>
      </c>
    </row>
    <row r="1146" spans="1:15" ht="15" customHeight="1" x14ac:dyDescent="0.4">
      <c r="A1146" s="62" t="s">
        <v>824</v>
      </c>
      <c r="B1146" s="62" t="s">
        <v>385</v>
      </c>
      <c r="C1146" s="62" t="s">
        <v>825</v>
      </c>
      <c r="D1146" s="63">
        <v>13</v>
      </c>
      <c r="E1146" s="63">
        <v>13</v>
      </c>
      <c r="F1146" s="63">
        <v>1</v>
      </c>
      <c r="G1146" s="64">
        <f t="shared" si="68"/>
        <v>1</v>
      </c>
      <c r="H1146" s="64">
        <f t="shared" si="69"/>
        <v>7.6923076923076927E-2</v>
      </c>
      <c r="I1146" s="63">
        <v>1</v>
      </c>
      <c r="J1146" s="65">
        <v>99.36</v>
      </c>
      <c r="K1146" s="65">
        <v>12.99</v>
      </c>
      <c r="L1146" s="62" t="s">
        <v>825</v>
      </c>
      <c r="M1146" s="63">
        <v>0</v>
      </c>
      <c r="N1146" s="66">
        <f t="shared" si="70"/>
        <v>0.47699999999999998</v>
      </c>
      <c r="O1146" s="62" t="str">
        <f t="shared" si="71"/>
        <v>4: Engaged Early</v>
      </c>
    </row>
    <row r="1147" spans="1:15" ht="15" customHeight="1" x14ac:dyDescent="0.4">
      <c r="A1147" s="62" t="s">
        <v>824</v>
      </c>
      <c r="B1147" s="62" t="s">
        <v>1729</v>
      </c>
      <c r="C1147" s="62" t="s">
        <v>826</v>
      </c>
      <c r="D1147" s="63">
        <v>23</v>
      </c>
      <c r="E1147" s="63">
        <v>19</v>
      </c>
      <c r="F1147" s="63">
        <v>0</v>
      </c>
      <c r="G1147" s="64">
        <f t="shared" si="68"/>
        <v>0.82608695652173914</v>
      </c>
      <c r="H1147" s="64">
        <f t="shared" si="69"/>
        <v>0</v>
      </c>
      <c r="I1147" s="63">
        <v>1</v>
      </c>
      <c r="J1147" s="65">
        <v>100</v>
      </c>
      <c r="K1147" s="65">
        <v>88.92</v>
      </c>
      <c r="L1147" s="62" t="s">
        <v>825</v>
      </c>
      <c r="M1147" s="63">
        <v>0</v>
      </c>
      <c r="N1147" s="66">
        <f t="shared" si="70"/>
        <v>0.93400000000000005</v>
      </c>
      <c r="O1147" s="62" t="str">
        <f t="shared" si="71"/>
        <v>4: Engaged Early</v>
      </c>
    </row>
    <row r="1148" spans="1:15" ht="15" customHeight="1" x14ac:dyDescent="0.4">
      <c r="A1148" s="62" t="s">
        <v>824</v>
      </c>
      <c r="B1148" s="62" t="s">
        <v>1730</v>
      </c>
      <c r="C1148" s="62" t="s">
        <v>826</v>
      </c>
      <c r="D1148" s="63">
        <v>12</v>
      </c>
      <c r="E1148" s="63">
        <v>6</v>
      </c>
      <c r="F1148" s="63">
        <v>0</v>
      </c>
      <c r="G1148" s="64">
        <f t="shared" si="68"/>
        <v>0.5</v>
      </c>
      <c r="H1148" s="64">
        <f t="shared" si="69"/>
        <v>0</v>
      </c>
      <c r="I1148" s="63">
        <v>1</v>
      </c>
      <c r="J1148" s="65">
        <v>0.18</v>
      </c>
      <c r="K1148" s="65">
        <v>8.52</v>
      </c>
      <c r="L1148" s="62" t="s">
        <v>825</v>
      </c>
      <c r="M1148" s="63">
        <v>0</v>
      </c>
      <c r="N1148" s="66">
        <f t="shared" si="70"/>
        <v>0.30099999999999999</v>
      </c>
      <c r="O1148" s="62" t="str">
        <f t="shared" si="71"/>
        <v>4: Engaged Early</v>
      </c>
    </row>
    <row r="1149" spans="1:15" ht="15" customHeight="1" x14ac:dyDescent="0.4">
      <c r="A1149" s="62" t="s">
        <v>824</v>
      </c>
      <c r="B1149" s="62" t="s">
        <v>1731</v>
      </c>
      <c r="C1149" s="62" t="s">
        <v>826</v>
      </c>
      <c r="D1149" s="63">
        <v>10</v>
      </c>
      <c r="E1149" s="63">
        <v>10</v>
      </c>
      <c r="F1149" s="63">
        <v>4</v>
      </c>
      <c r="G1149" s="64">
        <f t="shared" si="68"/>
        <v>1</v>
      </c>
      <c r="H1149" s="64">
        <f t="shared" si="69"/>
        <v>0.4</v>
      </c>
      <c r="I1149" s="63">
        <v>2</v>
      </c>
      <c r="J1149" s="65">
        <v>74.421949999999995</v>
      </c>
      <c r="K1149" s="65">
        <v>95.73</v>
      </c>
      <c r="L1149" s="62" t="s">
        <v>826</v>
      </c>
      <c r="M1149" s="63">
        <v>0</v>
      </c>
      <c r="N1149" s="66">
        <f t="shared" si="70"/>
        <v>0.68600000000000005</v>
      </c>
      <c r="O1149" s="62" t="str">
        <f t="shared" si="71"/>
        <v>2: High (No DBWT)</v>
      </c>
    </row>
    <row r="1150" spans="1:15" ht="15" customHeight="1" x14ac:dyDescent="0.4">
      <c r="A1150" s="62" t="s">
        <v>824</v>
      </c>
      <c r="B1150" s="62" t="s">
        <v>807</v>
      </c>
      <c r="C1150" s="62" t="s">
        <v>825</v>
      </c>
      <c r="D1150" s="63">
        <v>5</v>
      </c>
      <c r="E1150" s="63">
        <v>4</v>
      </c>
      <c r="F1150" s="63">
        <v>1</v>
      </c>
      <c r="G1150" s="64">
        <f t="shared" si="68"/>
        <v>0.8</v>
      </c>
      <c r="H1150" s="64">
        <f t="shared" si="69"/>
        <v>0.2</v>
      </c>
      <c r="I1150" s="63">
        <v>2</v>
      </c>
      <c r="J1150" s="65">
        <v>49.256999999999998</v>
      </c>
      <c r="K1150" s="65">
        <v>39.729999999999997</v>
      </c>
      <c r="L1150" s="62" t="s">
        <v>825</v>
      </c>
      <c r="M1150" s="63">
        <v>0</v>
      </c>
      <c r="N1150" s="66">
        <f t="shared" si="70"/>
        <v>0.56200000000000006</v>
      </c>
      <c r="O1150" s="62" t="str">
        <f t="shared" si="71"/>
        <v>4: Engaged Early</v>
      </c>
    </row>
    <row r="1151" spans="1:15" ht="15" customHeight="1" x14ac:dyDescent="0.4">
      <c r="A1151" s="62" t="s">
        <v>824</v>
      </c>
      <c r="B1151" s="62" t="s">
        <v>1732</v>
      </c>
      <c r="C1151" s="62" t="s">
        <v>826</v>
      </c>
      <c r="D1151" s="63">
        <v>0</v>
      </c>
      <c r="E1151" s="63">
        <v>0</v>
      </c>
      <c r="F1151" s="63">
        <v>0</v>
      </c>
      <c r="G1151" s="64">
        <f t="shared" si="68"/>
        <v>0</v>
      </c>
      <c r="H1151" s="64">
        <f t="shared" si="69"/>
        <v>0</v>
      </c>
      <c r="I1151" s="63">
        <v>2</v>
      </c>
      <c r="J1151" s="65">
        <v>37.6083</v>
      </c>
      <c r="K1151" s="65">
        <v>16.5</v>
      </c>
      <c r="L1151" s="62" t="s">
        <v>840</v>
      </c>
      <c r="M1151" s="63">
        <v>0</v>
      </c>
      <c r="N1151" s="66">
        <f t="shared" si="70"/>
        <v>0.23</v>
      </c>
      <c r="O1151" s="62" t="str">
        <f t="shared" si="71"/>
        <v>4: Engaged Early</v>
      </c>
    </row>
    <row r="1152" spans="1:15" ht="15" customHeight="1" x14ac:dyDescent="0.4">
      <c r="A1152" s="62" t="s">
        <v>824</v>
      </c>
      <c r="B1152" s="62" t="s">
        <v>1733</v>
      </c>
      <c r="C1152" s="62" t="s">
        <v>826</v>
      </c>
      <c r="D1152" s="63">
        <v>23</v>
      </c>
      <c r="E1152" s="63">
        <v>8</v>
      </c>
      <c r="F1152" s="63">
        <v>4</v>
      </c>
      <c r="G1152" s="64">
        <f t="shared" si="68"/>
        <v>0.34782608695652173</v>
      </c>
      <c r="H1152" s="64">
        <f t="shared" si="69"/>
        <v>0.17391304347826086</v>
      </c>
      <c r="I1152" s="63">
        <v>2</v>
      </c>
      <c r="J1152" s="65">
        <v>98.216049999999996</v>
      </c>
      <c r="K1152" s="65">
        <v>99.37</v>
      </c>
      <c r="L1152" s="62" t="s">
        <v>825</v>
      </c>
      <c r="M1152" s="63">
        <v>0</v>
      </c>
      <c r="N1152" s="66">
        <f t="shared" si="70"/>
        <v>0.99399999999999999</v>
      </c>
      <c r="O1152" s="62" t="str">
        <f t="shared" si="71"/>
        <v>4: Engaged Early</v>
      </c>
    </row>
    <row r="1153" spans="1:15" ht="15" customHeight="1" x14ac:dyDescent="0.4">
      <c r="A1153" s="62" t="s">
        <v>824</v>
      </c>
      <c r="B1153" s="62" t="s">
        <v>1734</v>
      </c>
      <c r="C1153" s="62" t="s">
        <v>826</v>
      </c>
      <c r="D1153" s="63">
        <v>10</v>
      </c>
      <c r="E1153" s="63">
        <v>10</v>
      </c>
      <c r="F1153" s="63">
        <v>3</v>
      </c>
      <c r="G1153" s="64">
        <f t="shared" si="68"/>
        <v>1</v>
      </c>
      <c r="H1153" s="64">
        <f t="shared" si="69"/>
        <v>0.3</v>
      </c>
      <c r="I1153" s="63">
        <v>2</v>
      </c>
      <c r="J1153" s="65">
        <v>99.484999999999999</v>
      </c>
      <c r="K1153" s="65">
        <v>100</v>
      </c>
      <c r="L1153" s="62" t="s">
        <v>825</v>
      </c>
      <c r="M1153" s="63">
        <v>0</v>
      </c>
      <c r="N1153" s="66">
        <f t="shared" si="70"/>
        <v>0.999</v>
      </c>
      <c r="O1153" s="62" t="str">
        <f t="shared" si="71"/>
        <v>4: Engaged Early</v>
      </c>
    </row>
    <row r="1154" spans="1:15" ht="15" customHeight="1" x14ac:dyDescent="0.4">
      <c r="A1154" s="62" t="s">
        <v>824</v>
      </c>
      <c r="B1154" s="62" t="s">
        <v>1735</v>
      </c>
      <c r="C1154" s="62" t="s">
        <v>826</v>
      </c>
      <c r="D1154" s="63">
        <v>24</v>
      </c>
      <c r="E1154" s="63">
        <v>16</v>
      </c>
      <c r="F1154" s="63">
        <v>1</v>
      </c>
      <c r="G1154" s="64">
        <f t="shared" ref="G1154:G1217" si="72">IFERROR(E1154/D1154,0)</f>
        <v>0.66666666666666663</v>
      </c>
      <c r="H1154" s="64">
        <f t="shared" ref="H1154:H1217" si="73">IFERROR(F1154/D1154,0)</f>
        <v>4.1666666666666664E-2</v>
      </c>
      <c r="I1154" s="63">
        <v>2</v>
      </c>
      <c r="J1154" s="65">
        <v>88.188699999999997</v>
      </c>
      <c r="K1154" s="65">
        <v>100</v>
      </c>
      <c r="L1154" s="62" t="s">
        <v>825</v>
      </c>
      <c r="M1154" s="63">
        <v>0</v>
      </c>
      <c r="N1154" s="66">
        <f t="shared" ref="N1154:N1217" si="74">ROUND(IFERROR(K1154/100,0)*0.6 + IF(L1154="Yes",1,IF(L1154="No",0,0.3))*0.25 + IFERROR(J1154/100,0)*0.15,3)</f>
        <v>0.98199999999999998</v>
      </c>
      <c r="O1154" s="62" t="str">
        <f t="shared" ref="O1154:O1217" si="75">IF(AND(L1154="No",I1154=0),"1: Critical (No DBWT + No Wk0)",IF(L1154="No","2: High (No DBWT)",IF(I1154=0,"3: Elevated (No Wk0)","4: Engaged Early")))</f>
        <v>4: Engaged Early</v>
      </c>
    </row>
    <row r="1155" spans="1:15" ht="15" customHeight="1" x14ac:dyDescent="0.4">
      <c r="A1155" s="62" t="s">
        <v>824</v>
      </c>
      <c r="B1155" s="62" t="s">
        <v>1736</v>
      </c>
      <c r="C1155" s="62" t="s">
        <v>826</v>
      </c>
      <c r="D1155" s="63">
        <v>21</v>
      </c>
      <c r="E1155" s="63">
        <v>15</v>
      </c>
      <c r="F1155" s="63">
        <v>1</v>
      </c>
      <c r="G1155" s="64">
        <f t="shared" si="72"/>
        <v>0.7142857142857143</v>
      </c>
      <c r="H1155" s="64">
        <f t="shared" si="73"/>
        <v>4.7619047619047616E-2</v>
      </c>
      <c r="I1155" s="63">
        <v>0</v>
      </c>
      <c r="J1155" s="65"/>
      <c r="K1155" s="65">
        <v>0.69</v>
      </c>
      <c r="L1155" s="62" t="s">
        <v>826</v>
      </c>
      <c r="M1155" s="63">
        <v>0</v>
      </c>
      <c r="N1155" s="66">
        <f t="shared" si="74"/>
        <v>4.0000000000000001E-3</v>
      </c>
      <c r="O1155" s="62" t="str">
        <f t="shared" si="75"/>
        <v>1: Critical (No DBWT + No Wk0)</v>
      </c>
    </row>
    <row r="1156" spans="1:15" ht="15" customHeight="1" x14ac:dyDescent="0.4">
      <c r="A1156" s="62" t="s">
        <v>824</v>
      </c>
      <c r="B1156" s="62" t="s">
        <v>1737</v>
      </c>
      <c r="C1156" s="62" t="s">
        <v>826</v>
      </c>
      <c r="D1156" s="63">
        <v>3</v>
      </c>
      <c r="E1156" s="63">
        <v>2</v>
      </c>
      <c r="F1156" s="63">
        <v>1</v>
      </c>
      <c r="G1156" s="64">
        <f t="shared" si="72"/>
        <v>0.66666666666666663</v>
      </c>
      <c r="H1156" s="64">
        <f t="shared" si="73"/>
        <v>0.33333333333333331</v>
      </c>
      <c r="I1156" s="63">
        <v>2</v>
      </c>
      <c r="J1156" s="65">
        <v>65.720299999999995</v>
      </c>
      <c r="K1156" s="65">
        <v>94.19</v>
      </c>
      <c r="L1156" s="62" t="s">
        <v>825</v>
      </c>
      <c r="M1156" s="63">
        <v>0</v>
      </c>
      <c r="N1156" s="66">
        <f t="shared" si="74"/>
        <v>0.91400000000000003</v>
      </c>
      <c r="O1156" s="62" t="str">
        <f t="shared" si="75"/>
        <v>4: Engaged Early</v>
      </c>
    </row>
    <row r="1157" spans="1:15" ht="15" customHeight="1" x14ac:dyDescent="0.4">
      <c r="A1157" s="62" t="s">
        <v>824</v>
      </c>
      <c r="B1157" s="62" t="s">
        <v>1738</v>
      </c>
      <c r="C1157" s="62" t="s">
        <v>826</v>
      </c>
      <c r="D1157" s="63">
        <v>23</v>
      </c>
      <c r="E1157" s="63">
        <v>21</v>
      </c>
      <c r="F1157" s="63">
        <v>3</v>
      </c>
      <c r="G1157" s="64">
        <f t="shared" si="72"/>
        <v>0.91304347826086951</v>
      </c>
      <c r="H1157" s="64">
        <f t="shared" si="73"/>
        <v>0.13043478260869565</v>
      </c>
      <c r="I1157" s="63">
        <v>2</v>
      </c>
      <c r="J1157" s="65">
        <v>56.740850000000002</v>
      </c>
      <c r="K1157" s="65">
        <v>25.86</v>
      </c>
      <c r="L1157" s="62" t="s">
        <v>825</v>
      </c>
      <c r="M1157" s="63">
        <v>0</v>
      </c>
      <c r="N1157" s="66">
        <f t="shared" si="74"/>
        <v>0.49</v>
      </c>
      <c r="O1157" s="62" t="str">
        <f t="shared" si="75"/>
        <v>4: Engaged Early</v>
      </c>
    </row>
    <row r="1158" spans="1:15" ht="15" customHeight="1" x14ac:dyDescent="0.4">
      <c r="A1158" s="62" t="s">
        <v>824</v>
      </c>
      <c r="B1158" s="62" t="s">
        <v>1739</v>
      </c>
      <c r="C1158" s="62" t="s">
        <v>826</v>
      </c>
      <c r="D1158" s="63">
        <v>17</v>
      </c>
      <c r="E1158" s="63">
        <v>15</v>
      </c>
      <c r="F1158" s="63">
        <v>5</v>
      </c>
      <c r="G1158" s="64">
        <f t="shared" si="72"/>
        <v>0.88235294117647056</v>
      </c>
      <c r="H1158" s="64">
        <f t="shared" si="73"/>
        <v>0.29411764705882354</v>
      </c>
      <c r="I1158" s="63">
        <v>2</v>
      </c>
      <c r="J1158" s="65">
        <v>94.176150000000007</v>
      </c>
      <c r="K1158" s="65">
        <v>100</v>
      </c>
      <c r="L1158" s="62" t="s">
        <v>825</v>
      </c>
      <c r="M1158" s="63">
        <v>0</v>
      </c>
      <c r="N1158" s="66">
        <f t="shared" si="74"/>
        <v>0.99099999999999999</v>
      </c>
      <c r="O1158" s="62" t="str">
        <f t="shared" si="75"/>
        <v>4: Engaged Early</v>
      </c>
    </row>
    <row r="1159" spans="1:15" ht="15" customHeight="1" x14ac:dyDescent="0.4">
      <c r="A1159" s="62" t="s">
        <v>824</v>
      </c>
      <c r="B1159" s="62" t="s">
        <v>619</v>
      </c>
      <c r="C1159" s="62" t="s">
        <v>825</v>
      </c>
      <c r="D1159" s="63">
        <v>16</v>
      </c>
      <c r="E1159" s="63">
        <v>5</v>
      </c>
      <c r="F1159" s="63">
        <v>5</v>
      </c>
      <c r="G1159" s="64">
        <f t="shared" si="72"/>
        <v>0.3125</v>
      </c>
      <c r="H1159" s="64">
        <f t="shared" si="73"/>
        <v>0.3125</v>
      </c>
      <c r="I1159" s="63">
        <v>2</v>
      </c>
      <c r="J1159" s="65">
        <v>46.011099999999999</v>
      </c>
      <c r="K1159" s="65">
        <v>36.53</v>
      </c>
      <c r="L1159" s="62" t="s">
        <v>825</v>
      </c>
      <c r="M1159" s="63">
        <v>0</v>
      </c>
      <c r="N1159" s="66">
        <f t="shared" si="74"/>
        <v>0.53800000000000003</v>
      </c>
      <c r="O1159" s="62" t="str">
        <f t="shared" si="75"/>
        <v>4: Engaged Early</v>
      </c>
    </row>
    <row r="1160" spans="1:15" ht="15" customHeight="1" x14ac:dyDescent="0.4">
      <c r="A1160" s="62" t="s">
        <v>824</v>
      </c>
      <c r="B1160" s="62" t="s">
        <v>1740</v>
      </c>
      <c r="C1160" s="62" t="s">
        <v>826</v>
      </c>
      <c r="D1160" s="63">
        <v>22</v>
      </c>
      <c r="E1160" s="63">
        <v>18</v>
      </c>
      <c r="F1160" s="63">
        <v>4</v>
      </c>
      <c r="G1160" s="64">
        <f t="shared" si="72"/>
        <v>0.81818181818181823</v>
      </c>
      <c r="H1160" s="64">
        <f t="shared" si="73"/>
        <v>0.18181818181818182</v>
      </c>
      <c r="I1160" s="63">
        <v>2</v>
      </c>
      <c r="J1160" s="65">
        <v>92.712100000000007</v>
      </c>
      <c r="K1160" s="65">
        <v>100</v>
      </c>
      <c r="L1160" s="62" t="s">
        <v>825</v>
      </c>
      <c r="M1160" s="63">
        <v>0</v>
      </c>
      <c r="N1160" s="66">
        <f t="shared" si="74"/>
        <v>0.98899999999999999</v>
      </c>
      <c r="O1160" s="62" t="str">
        <f t="shared" si="75"/>
        <v>4: Engaged Early</v>
      </c>
    </row>
    <row r="1161" spans="1:15" ht="15" customHeight="1" x14ac:dyDescent="0.4">
      <c r="A1161" s="62" t="s">
        <v>824</v>
      </c>
      <c r="B1161" s="62" t="s">
        <v>1741</v>
      </c>
      <c r="C1161" s="62" t="s">
        <v>826</v>
      </c>
      <c r="D1161" s="63">
        <v>7</v>
      </c>
      <c r="E1161" s="63">
        <v>6</v>
      </c>
      <c r="F1161" s="63">
        <v>1</v>
      </c>
      <c r="G1161" s="64">
        <f t="shared" si="72"/>
        <v>0.8571428571428571</v>
      </c>
      <c r="H1161" s="64">
        <f t="shared" si="73"/>
        <v>0.14285714285714285</v>
      </c>
      <c r="I1161" s="63">
        <v>0</v>
      </c>
      <c r="J1161" s="65"/>
      <c r="K1161" s="65">
        <v>64.7</v>
      </c>
      <c r="L1161" s="62" t="s">
        <v>825</v>
      </c>
      <c r="M1161" s="63">
        <v>0</v>
      </c>
      <c r="N1161" s="66">
        <f t="shared" si="74"/>
        <v>0.63800000000000001</v>
      </c>
      <c r="O1161" s="62" t="str">
        <f t="shared" si="75"/>
        <v>3: Elevated (No Wk0)</v>
      </c>
    </row>
    <row r="1162" spans="1:15" ht="15" customHeight="1" x14ac:dyDescent="0.4">
      <c r="A1162" s="62" t="s">
        <v>824</v>
      </c>
      <c r="B1162" s="62" t="s">
        <v>1742</v>
      </c>
      <c r="C1162" s="62" t="s">
        <v>826</v>
      </c>
      <c r="D1162" s="63">
        <v>22</v>
      </c>
      <c r="E1162" s="63">
        <v>16</v>
      </c>
      <c r="F1162" s="63">
        <v>4</v>
      </c>
      <c r="G1162" s="64">
        <f t="shared" si="72"/>
        <v>0.72727272727272729</v>
      </c>
      <c r="H1162" s="64">
        <f t="shared" si="73"/>
        <v>0.18181818181818182</v>
      </c>
      <c r="I1162" s="63">
        <v>2</v>
      </c>
      <c r="J1162" s="65">
        <v>81.858400000000003</v>
      </c>
      <c r="K1162" s="65">
        <v>77.78</v>
      </c>
      <c r="L1162" s="62" t="s">
        <v>825</v>
      </c>
      <c r="M1162" s="63">
        <v>0</v>
      </c>
      <c r="N1162" s="66">
        <f t="shared" si="74"/>
        <v>0.83899999999999997</v>
      </c>
      <c r="O1162" s="62" t="str">
        <f t="shared" si="75"/>
        <v>4: Engaged Early</v>
      </c>
    </row>
    <row r="1163" spans="1:15" ht="15" customHeight="1" x14ac:dyDescent="0.4">
      <c r="A1163" s="62" t="s">
        <v>824</v>
      </c>
      <c r="B1163" s="62" t="s">
        <v>1743</v>
      </c>
      <c r="C1163" s="62" t="s">
        <v>826</v>
      </c>
      <c r="D1163" s="63">
        <v>13</v>
      </c>
      <c r="E1163" s="63">
        <v>13</v>
      </c>
      <c r="F1163" s="63">
        <v>3</v>
      </c>
      <c r="G1163" s="64">
        <f t="shared" si="72"/>
        <v>1</v>
      </c>
      <c r="H1163" s="64">
        <f t="shared" si="73"/>
        <v>0.23076923076923078</v>
      </c>
      <c r="I1163" s="63">
        <v>2</v>
      </c>
      <c r="J1163" s="65">
        <v>84.08175</v>
      </c>
      <c r="K1163" s="65">
        <v>100</v>
      </c>
      <c r="L1163" s="62" t="s">
        <v>825</v>
      </c>
      <c r="M1163" s="63">
        <v>0</v>
      </c>
      <c r="N1163" s="66">
        <f t="shared" si="74"/>
        <v>0.97599999999999998</v>
      </c>
      <c r="O1163" s="62" t="str">
        <f t="shared" si="75"/>
        <v>4: Engaged Early</v>
      </c>
    </row>
    <row r="1164" spans="1:15" ht="15" customHeight="1" x14ac:dyDescent="0.4">
      <c r="A1164" s="62" t="s">
        <v>824</v>
      </c>
      <c r="B1164" s="62" t="s">
        <v>1744</v>
      </c>
      <c r="C1164" s="62" t="s">
        <v>826</v>
      </c>
      <c r="D1164" s="63">
        <v>0</v>
      </c>
      <c r="E1164" s="63">
        <v>0</v>
      </c>
      <c r="F1164" s="63">
        <v>0</v>
      </c>
      <c r="G1164" s="64">
        <f t="shared" si="72"/>
        <v>0</v>
      </c>
      <c r="H1164" s="64">
        <f t="shared" si="73"/>
        <v>0</v>
      </c>
      <c r="I1164" s="63">
        <v>1</v>
      </c>
      <c r="J1164" s="65">
        <v>43.89</v>
      </c>
      <c r="K1164" s="65">
        <v>16.04</v>
      </c>
      <c r="L1164" s="62" t="s">
        <v>840</v>
      </c>
      <c r="M1164" s="63">
        <v>0</v>
      </c>
      <c r="N1164" s="66">
        <f t="shared" si="74"/>
        <v>0.23699999999999999</v>
      </c>
      <c r="O1164" s="62" t="str">
        <f t="shared" si="75"/>
        <v>4: Engaged Early</v>
      </c>
    </row>
    <row r="1165" spans="1:15" ht="15" customHeight="1" x14ac:dyDescent="0.4">
      <c r="A1165" s="62" t="s">
        <v>824</v>
      </c>
      <c r="B1165" s="62" t="s">
        <v>1745</v>
      </c>
      <c r="C1165" s="62" t="s">
        <v>826</v>
      </c>
      <c r="D1165" s="63">
        <v>3</v>
      </c>
      <c r="E1165" s="63">
        <v>3</v>
      </c>
      <c r="F1165" s="63">
        <v>0</v>
      </c>
      <c r="G1165" s="64">
        <f t="shared" si="72"/>
        <v>1</v>
      </c>
      <c r="H1165" s="64">
        <f t="shared" si="73"/>
        <v>0</v>
      </c>
      <c r="I1165" s="63">
        <v>0</v>
      </c>
      <c r="J1165" s="65"/>
      <c r="K1165" s="65">
        <v>77.78</v>
      </c>
      <c r="L1165" s="62" t="s">
        <v>826</v>
      </c>
      <c r="M1165" s="63">
        <v>0</v>
      </c>
      <c r="N1165" s="66">
        <f t="shared" si="74"/>
        <v>0.46700000000000003</v>
      </c>
      <c r="O1165" s="62" t="str">
        <f t="shared" si="75"/>
        <v>1: Critical (No DBWT + No Wk0)</v>
      </c>
    </row>
    <row r="1166" spans="1:15" ht="15" customHeight="1" x14ac:dyDescent="0.4">
      <c r="A1166" s="62" t="s">
        <v>824</v>
      </c>
      <c r="B1166" s="62" t="s">
        <v>1746</v>
      </c>
      <c r="C1166" s="62" t="s">
        <v>826</v>
      </c>
      <c r="D1166" s="63">
        <v>4</v>
      </c>
      <c r="E1166" s="63">
        <v>2</v>
      </c>
      <c r="F1166" s="63">
        <v>0</v>
      </c>
      <c r="G1166" s="64">
        <f t="shared" si="72"/>
        <v>0.5</v>
      </c>
      <c r="H1166" s="64">
        <f t="shared" si="73"/>
        <v>0</v>
      </c>
      <c r="I1166" s="63">
        <v>2</v>
      </c>
      <c r="J1166" s="65">
        <v>57.781649999999999</v>
      </c>
      <c r="K1166" s="65">
        <v>19.82</v>
      </c>
      <c r="L1166" s="62" t="s">
        <v>825</v>
      </c>
      <c r="M1166" s="63">
        <v>0</v>
      </c>
      <c r="N1166" s="66">
        <f t="shared" si="74"/>
        <v>0.45600000000000002</v>
      </c>
      <c r="O1166" s="62" t="str">
        <f t="shared" si="75"/>
        <v>4: Engaged Early</v>
      </c>
    </row>
    <row r="1167" spans="1:15" ht="15" customHeight="1" x14ac:dyDescent="0.4">
      <c r="A1167" s="62" t="s">
        <v>824</v>
      </c>
      <c r="B1167" s="62" t="s">
        <v>1747</v>
      </c>
      <c r="C1167" s="62" t="s">
        <v>826</v>
      </c>
      <c r="D1167" s="63">
        <v>15</v>
      </c>
      <c r="E1167" s="63">
        <v>14</v>
      </c>
      <c r="F1167" s="63">
        <v>1</v>
      </c>
      <c r="G1167" s="64">
        <f t="shared" si="72"/>
        <v>0.93333333333333335</v>
      </c>
      <c r="H1167" s="64">
        <f t="shared" si="73"/>
        <v>6.6666666666666666E-2</v>
      </c>
      <c r="I1167" s="63">
        <v>2</v>
      </c>
      <c r="J1167" s="65">
        <v>90.605000000000004</v>
      </c>
      <c r="K1167" s="65">
        <v>100</v>
      </c>
      <c r="L1167" s="62" t="s">
        <v>826</v>
      </c>
      <c r="M1167" s="63">
        <v>0</v>
      </c>
      <c r="N1167" s="66">
        <f t="shared" si="74"/>
        <v>0.73599999999999999</v>
      </c>
      <c r="O1167" s="62" t="str">
        <f t="shared" si="75"/>
        <v>2: High (No DBWT)</v>
      </c>
    </row>
    <row r="1168" spans="1:15" ht="15" customHeight="1" x14ac:dyDescent="0.4">
      <c r="A1168" s="62" t="s">
        <v>824</v>
      </c>
      <c r="B1168" s="62" t="s">
        <v>1748</v>
      </c>
      <c r="C1168" s="62" t="s">
        <v>826</v>
      </c>
      <c r="D1168" s="63">
        <v>26</v>
      </c>
      <c r="E1168" s="63">
        <v>9</v>
      </c>
      <c r="F1168" s="63">
        <v>1</v>
      </c>
      <c r="G1168" s="64">
        <f t="shared" si="72"/>
        <v>0.34615384615384615</v>
      </c>
      <c r="H1168" s="64">
        <f t="shared" si="73"/>
        <v>3.8461538461538464E-2</v>
      </c>
      <c r="I1168" s="63">
        <v>2</v>
      </c>
      <c r="J1168" s="65">
        <v>99.995000000000005</v>
      </c>
      <c r="K1168" s="65">
        <v>100</v>
      </c>
      <c r="L1168" s="62" t="s">
        <v>826</v>
      </c>
      <c r="M1168" s="63">
        <v>0</v>
      </c>
      <c r="N1168" s="66">
        <f t="shared" si="74"/>
        <v>0.75</v>
      </c>
      <c r="O1168" s="62" t="str">
        <f t="shared" si="75"/>
        <v>2: High (No DBWT)</v>
      </c>
    </row>
    <row r="1169" spans="1:15" ht="15" customHeight="1" x14ac:dyDescent="0.4">
      <c r="A1169" s="62" t="s">
        <v>824</v>
      </c>
      <c r="B1169" s="62" t="s">
        <v>1749</v>
      </c>
      <c r="C1169" s="62" t="s">
        <v>826</v>
      </c>
      <c r="D1169" s="63">
        <v>3</v>
      </c>
      <c r="E1169" s="63">
        <v>2</v>
      </c>
      <c r="F1169" s="63">
        <v>0</v>
      </c>
      <c r="G1169" s="64">
        <f t="shared" si="72"/>
        <v>0.66666666666666663</v>
      </c>
      <c r="H1169" s="64">
        <f t="shared" si="73"/>
        <v>0</v>
      </c>
      <c r="I1169" s="63">
        <v>2</v>
      </c>
      <c r="J1169" s="65">
        <v>89.403499999999994</v>
      </c>
      <c r="K1169" s="65">
        <v>88.89</v>
      </c>
      <c r="L1169" s="62" t="s">
        <v>826</v>
      </c>
      <c r="M1169" s="63">
        <v>0</v>
      </c>
      <c r="N1169" s="66">
        <f t="shared" si="74"/>
        <v>0.66700000000000004</v>
      </c>
      <c r="O1169" s="62" t="str">
        <f t="shared" si="75"/>
        <v>2: High (No DBWT)</v>
      </c>
    </row>
    <row r="1170" spans="1:15" ht="15" customHeight="1" x14ac:dyDescent="0.4">
      <c r="A1170" s="62" t="s">
        <v>824</v>
      </c>
      <c r="B1170" s="62" t="s">
        <v>1750</v>
      </c>
      <c r="C1170" s="62" t="s">
        <v>826</v>
      </c>
      <c r="D1170" s="63">
        <v>10</v>
      </c>
      <c r="E1170" s="63">
        <v>9</v>
      </c>
      <c r="F1170" s="63">
        <v>1</v>
      </c>
      <c r="G1170" s="64">
        <f t="shared" si="72"/>
        <v>0.9</v>
      </c>
      <c r="H1170" s="64">
        <f t="shared" si="73"/>
        <v>0.1</v>
      </c>
      <c r="I1170" s="63">
        <v>2</v>
      </c>
      <c r="J1170" s="65">
        <v>88.960999999999999</v>
      </c>
      <c r="K1170" s="65">
        <v>86.6</v>
      </c>
      <c r="L1170" s="62" t="s">
        <v>825</v>
      </c>
      <c r="M1170" s="63">
        <v>0</v>
      </c>
      <c r="N1170" s="66">
        <f t="shared" si="74"/>
        <v>0.90300000000000002</v>
      </c>
      <c r="O1170" s="62" t="str">
        <f t="shared" si="75"/>
        <v>4: Engaged Early</v>
      </c>
    </row>
    <row r="1171" spans="1:15" ht="15" customHeight="1" x14ac:dyDescent="0.4">
      <c r="A1171" s="62" t="s">
        <v>824</v>
      </c>
      <c r="B1171" s="62" t="s">
        <v>230</v>
      </c>
      <c r="C1171" s="62" t="s">
        <v>826</v>
      </c>
      <c r="D1171" s="63">
        <v>5</v>
      </c>
      <c r="E1171" s="63">
        <v>1</v>
      </c>
      <c r="F1171" s="63">
        <v>0</v>
      </c>
      <c r="G1171" s="64">
        <f t="shared" si="72"/>
        <v>0.2</v>
      </c>
      <c r="H1171" s="64">
        <f t="shared" si="73"/>
        <v>0</v>
      </c>
      <c r="I1171" s="63">
        <v>3</v>
      </c>
      <c r="J1171" s="65">
        <v>61.975133333333297</v>
      </c>
      <c r="K1171" s="65">
        <v>81.2</v>
      </c>
      <c r="L1171" s="62" t="s">
        <v>826</v>
      </c>
      <c r="M1171" s="63">
        <v>0</v>
      </c>
      <c r="N1171" s="66">
        <f t="shared" si="74"/>
        <v>0.57999999999999996</v>
      </c>
      <c r="O1171" s="62" t="str">
        <f t="shared" si="75"/>
        <v>2: High (No DBWT)</v>
      </c>
    </row>
    <row r="1172" spans="1:15" ht="15" customHeight="1" x14ac:dyDescent="0.4">
      <c r="A1172" s="62" t="s">
        <v>824</v>
      </c>
      <c r="B1172" s="62" t="s">
        <v>1751</v>
      </c>
      <c r="C1172" s="62" t="s">
        <v>826</v>
      </c>
      <c r="D1172" s="63">
        <v>10</v>
      </c>
      <c r="E1172" s="63">
        <v>2</v>
      </c>
      <c r="F1172" s="63">
        <v>1</v>
      </c>
      <c r="G1172" s="64">
        <f t="shared" si="72"/>
        <v>0.2</v>
      </c>
      <c r="H1172" s="64">
        <f t="shared" si="73"/>
        <v>0.1</v>
      </c>
      <c r="I1172" s="63">
        <v>2</v>
      </c>
      <c r="J1172" s="65">
        <v>85.358000000000004</v>
      </c>
      <c r="K1172" s="65">
        <v>100</v>
      </c>
      <c r="L1172" s="62" t="s">
        <v>825</v>
      </c>
      <c r="M1172" s="63">
        <v>0</v>
      </c>
      <c r="N1172" s="66">
        <f t="shared" si="74"/>
        <v>0.97799999999999998</v>
      </c>
      <c r="O1172" s="62" t="str">
        <f t="shared" si="75"/>
        <v>4: Engaged Early</v>
      </c>
    </row>
    <row r="1173" spans="1:15" ht="15" customHeight="1" x14ac:dyDescent="0.4">
      <c r="A1173" s="62" t="s">
        <v>824</v>
      </c>
      <c r="B1173" s="62" t="s">
        <v>1752</v>
      </c>
      <c r="C1173" s="62" t="s">
        <v>826</v>
      </c>
      <c r="D1173" s="63">
        <v>6</v>
      </c>
      <c r="E1173" s="63">
        <v>5</v>
      </c>
      <c r="F1173" s="63">
        <v>0</v>
      </c>
      <c r="G1173" s="64">
        <f t="shared" si="72"/>
        <v>0.83333333333333337</v>
      </c>
      <c r="H1173" s="64">
        <f t="shared" si="73"/>
        <v>0</v>
      </c>
      <c r="I1173" s="63">
        <v>2</v>
      </c>
      <c r="J1173" s="65">
        <v>97.625</v>
      </c>
      <c r="K1173" s="65">
        <v>100</v>
      </c>
      <c r="L1173" s="62" t="s">
        <v>825</v>
      </c>
      <c r="M1173" s="63">
        <v>0</v>
      </c>
      <c r="N1173" s="66">
        <f t="shared" si="74"/>
        <v>0.996</v>
      </c>
      <c r="O1173" s="62" t="str">
        <f t="shared" si="75"/>
        <v>4: Engaged Early</v>
      </c>
    </row>
    <row r="1174" spans="1:15" ht="15" customHeight="1" x14ac:dyDescent="0.4">
      <c r="A1174" s="62" t="s">
        <v>824</v>
      </c>
      <c r="B1174" s="62" t="s">
        <v>1753</v>
      </c>
      <c r="C1174" s="62" t="s">
        <v>826</v>
      </c>
      <c r="D1174" s="63">
        <v>23</v>
      </c>
      <c r="E1174" s="63">
        <v>14</v>
      </c>
      <c r="F1174" s="63">
        <v>0</v>
      </c>
      <c r="G1174" s="64">
        <f t="shared" si="72"/>
        <v>0.60869565217391308</v>
      </c>
      <c r="H1174" s="64">
        <f t="shared" si="73"/>
        <v>0</v>
      </c>
      <c r="I1174" s="63">
        <v>2</v>
      </c>
      <c r="J1174" s="65">
        <v>43.928800000000003</v>
      </c>
      <c r="K1174" s="65">
        <v>56.79</v>
      </c>
      <c r="L1174" s="62" t="s">
        <v>826</v>
      </c>
      <c r="M1174" s="63">
        <v>1</v>
      </c>
      <c r="N1174" s="66">
        <f t="shared" si="74"/>
        <v>0.40699999999999997</v>
      </c>
      <c r="O1174" s="62" t="str">
        <f t="shared" si="75"/>
        <v>2: High (No DBWT)</v>
      </c>
    </row>
    <row r="1175" spans="1:15" ht="15" customHeight="1" x14ac:dyDescent="0.4">
      <c r="A1175" s="62" t="s">
        <v>824</v>
      </c>
      <c r="B1175" s="62" t="s">
        <v>413</v>
      </c>
      <c r="C1175" s="62" t="s">
        <v>825</v>
      </c>
      <c r="D1175" s="63">
        <v>2</v>
      </c>
      <c r="E1175" s="63">
        <v>2</v>
      </c>
      <c r="F1175" s="63">
        <v>0</v>
      </c>
      <c r="G1175" s="64">
        <f t="shared" si="72"/>
        <v>1</v>
      </c>
      <c r="H1175" s="64">
        <f t="shared" si="73"/>
        <v>0</v>
      </c>
      <c r="I1175" s="63">
        <v>2</v>
      </c>
      <c r="J1175" s="65">
        <v>46.206490000000002</v>
      </c>
      <c r="K1175" s="65">
        <v>15.5</v>
      </c>
      <c r="L1175" s="62" t="s">
        <v>826</v>
      </c>
      <c r="M1175" s="63">
        <v>0</v>
      </c>
      <c r="N1175" s="66">
        <f t="shared" si="74"/>
        <v>0.16200000000000001</v>
      </c>
      <c r="O1175" s="62" t="str">
        <f t="shared" si="75"/>
        <v>2: High (No DBWT)</v>
      </c>
    </row>
    <row r="1176" spans="1:15" ht="15" customHeight="1" x14ac:dyDescent="0.4">
      <c r="A1176" s="62" t="s">
        <v>824</v>
      </c>
      <c r="B1176" s="62" t="s">
        <v>1754</v>
      </c>
      <c r="C1176" s="62" t="s">
        <v>826</v>
      </c>
      <c r="D1176" s="63">
        <v>7</v>
      </c>
      <c r="E1176" s="63">
        <v>7</v>
      </c>
      <c r="F1176" s="63">
        <v>4</v>
      </c>
      <c r="G1176" s="64">
        <f t="shared" si="72"/>
        <v>1</v>
      </c>
      <c r="H1176" s="64">
        <f t="shared" si="73"/>
        <v>0.5714285714285714</v>
      </c>
      <c r="I1176" s="63">
        <v>2</v>
      </c>
      <c r="J1176" s="65">
        <v>95.372950000000003</v>
      </c>
      <c r="K1176" s="65">
        <v>100</v>
      </c>
      <c r="L1176" s="62" t="s">
        <v>825</v>
      </c>
      <c r="M1176" s="63">
        <v>0</v>
      </c>
      <c r="N1176" s="66">
        <f t="shared" si="74"/>
        <v>0.99299999999999999</v>
      </c>
      <c r="O1176" s="62" t="str">
        <f t="shared" si="75"/>
        <v>4: Engaged Early</v>
      </c>
    </row>
    <row r="1177" spans="1:15" ht="15" customHeight="1" x14ac:dyDescent="0.4">
      <c r="A1177" s="62" t="s">
        <v>824</v>
      </c>
      <c r="B1177" s="62" t="s">
        <v>1755</v>
      </c>
      <c r="C1177" s="62" t="s">
        <v>826</v>
      </c>
      <c r="D1177" s="63">
        <v>0</v>
      </c>
      <c r="E1177" s="63">
        <v>0</v>
      </c>
      <c r="F1177" s="63">
        <v>0</v>
      </c>
      <c r="G1177" s="64">
        <f t="shared" si="72"/>
        <v>0</v>
      </c>
      <c r="H1177" s="64">
        <f t="shared" si="73"/>
        <v>0</v>
      </c>
      <c r="I1177" s="63">
        <v>1</v>
      </c>
      <c r="J1177" s="65">
        <v>87.95</v>
      </c>
      <c r="K1177" s="65">
        <v>66.56</v>
      </c>
      <c r="L1177" s="62" t="s">
        <v>840</v>
      </c>
      <c r="M1177" s="63">
        <v>0</v>
      </c>
      <c r="N1177" s="66">
        <f t="shared" si="74"/>
        <v>0.60599999999999998</v>
      </c>
      <c r="O1177" s="62" t="str">
        <f t="shared" si="75"/>
        <v>4: Engaged Early</v>
      </c>
    </row>
    <row r="1178" spans="1:15" ht="15" customHeight="1" x14ac:dyDescent="0.4">
      <c r="A1178" s="62" t="s">
        <v>824</v>
      </c>
      <c r="B1178" s="62" t="s">
        <v>1756</v>
      </c>
      <c r="C1178" s="62" t="s">
        <v>826</v>
      </c>
      <c r="D1178" s="63">
        <v>22</v>
      </c>
      <c r="E1178" s="63">
        <v>19</v>
      </c>
      <c r="F1178" s="63">
        <v>3</v>
      </c>
      <c r="G1178" s="64">
        <f t="shared" si="72"/>
        <v>0.86363636363636365</v>
      </c>
      <c r="H1178" s="64">
        <f t="shared" si="73"/>
        <v>0.13636363636363635</v>
      </c>
      <c r="I1178" s="63">
        <v>2</v>
      </c>
      <c r="J1178" s="65">
        <v>96.32</v>
      </c>
      <c r="K1178" s="65">
        <v>100</v>
      </c>
      <c r="L1178" s="62" t="s">
        <v>825</v>
      </c>
      <c r="M1178" s="63">
        <v>0</v>
      </c>
      <c r="N1178" s="66">
        <f t="shared" si="74"/>
        <v>0.99399999999999999</v>
      </c>
      <c r="O1178" s="62" t="str">
        <f t="shared" si="75"/>
        <v>4: Engaged Early</v>
      </c>
    </row>
    <row r="1179" spans="1:15" ht="15" customHeight="1" x14ac:dyDescent="0.4">
      <c r="A1179" s="62" t="s">
        <v>824</v>
      </c>
      <c r="B1179" s="62" t="s">
        <v>527</v>
      </c>
      <c r="C1179" s="62" t="s">
        <v>825</v>
      </c>
      <c r="D1179" s="63">
        <v>10</v>
      </c>
      <c r="E1179" s="63">
        <v>9</v>
      </c>
      <c r="F1179" s="63">
        <v>1</v>
      </c>
      <c r="G1179" s="64">
        <f t="shared" si="72"/>
        <v>0.9</v>
      </c>
      <c r="H1179" s="64">
        <f t="shared" si="73"/>
        <v>0.1</v>
      </c>
      <c r="I1179" s="63">
        <v>2</v>
      </c>
      <c r="J1179" s="65">
        <v>84.711449999999999</v>
      </c>
      <c r="K1179" s="65">
        <v>22.22</v>
      </c>
      <c r="L1179" s="62" t="s">
        <v>825</v>
      </c>
      <c r="M1179" s="63">
        <v>0</v>
      </c>
      <c r="N1179" s="66">
        <f t="shared" si="74"/>
        <v>0.51</v>
      </c>
      <c r="O1179" s="62" t="str">
        <f t="shared" si="75"/>
        <v>4: Engaged Early</v>
      </c>
    </row>
    <row r="1180" spans="1:15" ht="15" customHeight="1" x14ac:dyDescent="0.4">
      <c r="A1180" s="62" t="s">
        <v>824</v>
      </c>
      <c r="B1180" s="62" t="s">
        <v>1757</v>
      </c>
      <c r="C1180" s="62" t="s">
        <v>826</v>
      </c>
      <c r="D1180" s="63">
        <v>10</v>
      </c>
      <c r="E1180" s="63">
        <v>8</v>
      </c>
      <c r="F1180" s="63">
        <v>0</v>
      </c>
      <c r="G1180" s="64">
        <f t="shared" si="72"/>
        <v>0.8</v>
      </c>
      <c r="H1180" s="64">
        <f t="shared" si="73"/>
        <v>0</v>
      </c>
      <c r="I1180" s="63">
        <v>2</v>
      </c>
      <c r="J1180" s="65">
        <v>38.591650000000001</v>
      </c>
      <c r="K1180" s="65">
        <v>89.08</v>
      </c>
      <c r="L1180" s="62" t="s">
        <v>826</v>
      </c>
      <c r="M1180" s="63">
        <v>0</v>
      </c>
      <c r="N1180" s="66">
        <f t="shared" si="74"/>
        <v>0.59199999999999997</v>
      </c>
      <c r="O1180" s="62" t="str">
        <f t="shared" si="75"/>
        <v>2: High (No DBWT)</v>
      </c>
    </row>
    <row r="1181" spans="1:15" ht="15" customHeight="1" x14ac:dyDescent="0.4">
      <c r="A1181" s="62" t="s">
        <v>824</v>
      </c>
      <c r="B1181" s="62" t="s">
        <v>1758</v>
      </c>
      <c r="C1181" s="62" t="s">
        <v>826</v>
      </c>
      <c r="D1181" s="63">
        <v>1</v>
      </c>
      <c r="E1181" s="63">
        <v>1</v>
      </c>
      <c r="F1181" s="63">
        <v>1</v>
      </c>
      <c r="G1181" s="64">
        <f t="shared" si="72"/>
        <v>1</v>
      </c>
      <c r="H1181" s="64">
        <f t="shared" si="73"/>
        <v>1</v>
      </c>
      <c r="I1181" s="63">
        <v>2</v>
      </c>
      <c r="J1181" s="65">
        <v>82.054400000000001</v>
      </c>
      <c r="K1181" s="65">
        <v>98.74</v>
      </c>
      <c r="L1181" s="62" t="s">
        <v>825</v>
      </c>
      <c r="M1181" s="63">
        <v>1</v>
      </c>
      <c r="N1181" s="66">
        <f t="shared" si="74"/>
        <v>0.96599999999999997</v>
      </c>
      <c r="O1181" s="62" t="str">
        <f t="shared" si="75"/>
        <v>4: Engaged Early</v>
      </c>
    </row>
    <row r="1182" spans="1:15" ht="15" customHeight="1" x14ac:dyDescent="0.4">
      <c r="A1182" s="62" t="s">
        <v>824</v>
      </c>
      <c r="B1182" s="62" t="s">
        <v>617</v>
      </c>
      <c r="C1182" s="62" t="s">
        <v>825</v>
      </c>
      <c r="D1182" s="63">
        <v>10</v>
      </c>
      <c r="E1182" s="63">
        <v>8</v>
      </c>
      <c r="F1182" s="63">
        <v>2</v>
      </c>
      <c r="G1182" s="64">
        <f t="shared" si="72"/>
        <v>0.8</v>
      </c>
      <c r="H1182" s="64">
        <f t="shared" si="73"/>
        <v>0.2</v>
      </c>
      <c r="I1182" s="63">
        <v>2</v>
      </c>
      <c r="J1182" s="65">
        <v>94.135999999999996</v>
      </c>
      <c r="K1182" s="65">
        <v>55.35</v>
      </c>
      <c r="L1182" s="62" t="s">
        <v>825</v>
      </c>
      <c r="M1182" s="63">
        <v>0</v>
      </c>
      <c r="N1182" s="66">
        <f t="shared" si="74"/>
        <v>0.72299999999999998</v>
      </c>
      <c r="O1182" s="62" t="str">
        <f t="shared" si="75"/>
        <v>4: Engaged Early</v>
      </c>
    </row>
    <row r="1183" spans="1:15" ht="15" customHeight="1" x14ac:dyDescent="0.4">
      <c r="A1183" s="62" t="s">
        <v>824</v>
      </c>
      <c r="B1183" s="62" t="s">
        <v>1759</v>
      </c>
      <c r="C1183" s="62" t="s">
        <v>826</v>
      </c>
      <c r="D1183" s="63">
        <v>13</v>
      </c>
      <c r="E1183" s="63">
        <v>13</v>
      </c>
      <c r="F1183" s="63">
        <v>2</v>
      </c>
      <c r="G1183" s="64">
        <f t="shared" si="72"/>
        <v>1</v>
      </c>
      <c r="H1183" s="64">
        <f t="shared" si="73"/>
        <v>0.15384615384615385</v>
      </c>
      <c r="I1183" s="63">
        <v>2</v>
      </c>
      <c r="J1183" s="65">
        <v>97.974000000000004</v>
      </c>
      <c r="K1183" s="65">
        <v>100</v>
      </c>
      <c r="L1183" s="62" t="s">
        <v>826</v>
      </c>
      <c r="M1183" s="63">
        <v>0</v>
      </c>
      <c r="N1183" s="66">
        <f t="shared" si="74"/>
        <v>0.747</v>
      </c>
      <c r="O1183" s="62" t="str">
        <f t="shared" si="75"/>
        <v>2: High (No DBWT)</v>
      </c>
    </row>
    <row r="1184" spans="1:15" ht="15" customHeight="1" x14ac:dyDescent="0.4">
      <c r="A1184" s="62" t="s">
        <v>824</v>
      </c>
      <c r="B1184" s="62" t="s">
        <v>1760</v>
      </c>
      <c r="C1184" s="62" t="s">
        <v>826</v>
      </c>
      <c r="D1184" s="63">
        <v>3</v>
      </c>
      <c r="E1184" s="63">
        <v>2</v>
      </c>
      <c r="F1184" s="63">
        <v>1</v>
      </c>
      <c r="G1184" s="64">
        <f t="shared" si="72"/>
        <v>0.66666666666666663</v>
      </c>
      <c r="H1184" s="64">
        <f t="shared" si="73"/>
        <v>0.33333333333333331</v>
      </c>
      <c r="I1184" s="63">
        <v>1</v>
      </c>
      <c r="J1184" s="65">
        <v>80.239999999999995</v>
      </c>
      <c r="K1184" s="65">
        <v>11.11</v>
      </c>
      <c r="L1184" s="62" t="s">
        <v>825</v>
      </c>
      <c r="M1184" s="63">
        <v>0</v>
      </c>
      <c r="N1184" s="66">
        <f t="shared" si="74"/>
        <v>0.437</v>
      </c>
      <c r="O1184" s="62" t="str">
        <f t="shared" si="75"/>
        <v>4: Engaged Early</v>
      </c>
    </row>
    <row r="1185" spans="1:15" ht="15" customHeight="1" x14ac:dyDescent="0.4">
      <c r="A1185" s="62" t="s">
        <v>824</v>
      </c>
      <c r="B1185" s="62" t="s">
        <v>1761</v>
      </c>
      <c r="C1185" s="62" t="s">
        <v>826</v>
      </c>
      <c r="D1185" s="63">
        <v>7</v>
      </c>
      <c r="E1185" s="63">
        <v>7</v>
      </c>
      <c r="F1185" s="63">
        <v>3</v>
      </c>
      <c r="G1185" s="64">
        <f t="shared" si="72"/>
        <v>1</v>
      </c>
      <c r="H1185" s="64">
        <f t="shared" si="73"/>
        <v>0.42857142857142855</v>
      </c>
      <c r="I1185" s="63">
        <v>2</v>
      </c>
      <c r="J1185" s="65">
        <v>96.897999999999996</v>
      </c>
      <c r="K1185" s="65">
        <v>97.51</v>
      </c>
      <c r="L1185" s="62" t="s">
        <v>825</v>
      </c>
      <c r="M1185" s="63">
        <v>0</v>
      </c>
      <c r="N1185" s="66">
        <f t="shared" si="74"/>
        <v>0.98</v>
      </c>
      <c r="O1185" s="62" t="str">
        <f t="shared" si="75"/>
        <v>4: Engaged Early</v>
      </c>
    </row>
    <row r="1186" spans="1:15" ht="15" customHeight="1" x14ac:dyDescent="0.4">
      <c r="A1186" s="62" t="s">
        <v>824</v>
      </c>
      <c r="B1186" s="62" t="s">
        <v>1762</v>
      </c>
      <c r="C1186" s="62" t="s">
        <v>826</v>
      </c>
      <c r="D1186" s="63">
        <v>5</v>
      </c>
      <c r="E1186" s="63">
        <v>5</v>
      </c>
      <c r="F1186" s="63">
        <v>0</v>
      </c>
      <c r="G1186" s="64">
        <f t="shared" si="72"/>
        <v>1</v>
      </c>
      <c r="H1186" s="64">
        <f t="shared" si="73"/>
        <v>0</v>
      </c>
      <c r="I1186" s="63">
        <v>2</v>
      </c>
      <c r="J1186" s="65">
        <v>93.527550000000005</v>
      </c>
      <c r="K1186" s="65">
        <v>100</v>
      </c>
      <c r="L1186" s="62" t="s">
        <v>825</v>
      </c>
      <c r="M1186" s="63">
        <v>0</v>
      </c>
      <c r="N1186" s="66">
        <f t="shared" si="74"/>
        <v>0.99</v>
      </c>
      <c r="O1186" s="62" t="str">
        <f t="shared" si="75"/>
        <v>4: Engaged Early</v>
      </c>
    </row>
    <row r="1187" spans="1:15" ht="15" customHeight="1" x14ac:dyDescent="0.4">
      <c r="A1187" s="62" t="s">
        <v>824</v>
      </c>
      <c r="B1187" s="62" t="s">
        <v>1763</v>
      </c>
      <c r="C1187" s="62" t="s">
        <v>826</v>
      </c>
      <c r="D1187" s="63">
        <v>8</v>
      </c>
      <c r="E1187" s="63">
        <v>7</v>
      </c>
      <c r="F1187" s="63">
        <v>3</v>
      </c>
      <c r="G1187" s="64">
        <f t="shared" si="72"/>
        <v>0.875</v>
      </c>
      <c r="H1187" s="64">
        <f t="shared" si="73"/>
        <v>0.375</v>
      </c>
      <c r="I1187" s="63">
        <v>2</v>
      </c>
      <c r="J1187" s="65">
        <v>90.730099999999993</v>
      </c>
      <c r="K1187" s="65">
        <v>100</v>
      </c>
      <c r="L1187" s="62" t="s">
        <v>825</v>
      </c>
      <c r="M1187" s="63">
        <v>0</v>
      </c>
      <c r="N1187" s="66">
        <f t="shared" si="74"/>
        <v>0.98599999999999999</v>
      </c>
      <c r="O1187" s="62" t="str">
        <f t="shared" si="75"/>
        <v>4: Engaged Early</v>
      </c>
    </row>
    <row r="1188" spans="1:15" ht="15" customHeight="1" x14ac:dyDescent="0.4">
      <c r="A1188" s="62" t="s">
        <v>824</v>
      </c>
      <c r="B1188" s="62" t="s">
        <v>1764</v>
      </c>
      <c r="C1188" s="62" t="s">
        <v>826</v>
      </c>
      <c r="D1188" s="63">
        <v>4</v>
      </c>
      <c r="E1188" s="63">
        <v>3</v>
      </c>
      <c r="F1188" s="63">
        <v>0</v>
      </c>
      <c r="G1188" s="64">
        <f t="shared" si="72"/>
        <v>0.75</v>
      </c>
      <c r="H1188" s="64">
        <f t="shared" si="73"/>
        <v>0</v>
      </c>
      <c r="I1188" s="63">
        <v>2</v>
      </c>
      <c r="J1188" s="65">
        <v>86.546850000000006</v>
      </c>
      <c r="K1188" s="65">
        <v>94.74</v>
      </c>
      <c r="L1188" s="62" t="s">
        <v>825</v>
      </c>
      <c r="M1188" s="63">
        <v>0</v>
      </c>
      <c r="N1188" s="66">
        <f t="shared" si="74"/>
        <v>0.94799999999999995</v>
      </c>
      <c r="O1188" s="62" t="str">
        <f t="shared" si="75"/>
        <v>4: Engaged Early</v>
      </c>
    </row>
    <row r="1189" spans="1:15" ht="15" customHeight="1" x14ac:dyDescent="0.4">
      <c r="A1189" s="62" t="s">
        <v>824</v>
      </c>
      <c r="B1189" s="62" t="s">
        <v>1765</v>
      </c>
      <c r="C1189" s="62" t="s">
        <v>826</v>
      </c>
      <c r="D1189" s="63">
        <v>6</v>
      </c>
      <c r="E1189" s="63">
        <v>6</v>
      </c>
      <c r="F1189" s="63">
        <v>4</v>
      </c>
      <c r="G1189" s="64">
        <f t="shared" si="72"/>
        <v>1</v>
      </c>
      <c r="H1189" s="64">
        <f t="shared" si="73"/>
        <v>0.66666666666666663</v>
      </c>
      <c r="I1189" s="63">
        <v>2</v>
      </c>
      <c r="J1189" s="65">
        <v>92.77</v>
      </c>
      <c r="K1189" s="65">
        <v>97.23</v>
      </c>
      <c r="L1189" s="62" t="s">
        <v>825</v>
      </c>
      <c r="M1189" s="63">
        <v>2</v>
      </c>
      <c r="N1189" s="66">
        <f t="shared" si="74"/>
        <v>0.97299999999999998</v>
      </c>
      <c r="O1189" s="62" t="str">
        <f t="shared" si="75"/>
        <v>4: Engaged Early</v>
      </c>
    </row>
    <row r="1190" spans="1:15" ht="15" customHeight="1" x14ac:dyDescent="0.4">
      <c r="A1190" s="62" t="s">
        <v>824</v>
      </c>
      <c r="B1190" s="62" t="s">
        <v>1766</v>
      </c>
      <c r="C1190" s="62" t="s">
        <v>826</v>
      </c>
      <c r="D1190" s="63">
        <v>0</v>
      </c>
      <c r="E1190" s="63">
        <v>0</v>
      </c>
      <c r="F1190" s="63">
        <v>0</v>
      </c>
      <c r="G1190" s="64">
        <f t="shared" si="72"/>
        <v>0</v>
      </c>
      <c r="H1190" s="64">
        <f t="shared" si="73"/>
        <v>0</v>
      </c>
      <c r="I1190" s="63">
        <v>2</v>
      </c>
      <c r="J1190" s="65">
        <v>99.158100000000005</v>
      </c>
      <c r="K1190" s="65">
        <v>77.319999999999993</v>
      </c>
      <c r="L1190" s="62" t="s">
        <v>825</v>
      </c>
      <c r="M1190" s="63">
        <v>0</v>
      </c>
      <c r="N1190" s="66">
        <f t="shared" si="74"/>
        <v>0.86299999999999999</v>
      </c>
      <c r="O1190" s="62" t="str">
        <f t="shared" si="75"/>
        <v>4: Engaged Early</v>
      </c>
    </row>
    <row r="1191" spans="1:15" ht="15" customHeight="1" x14ac:dyDescent="0.4">
      <c r="A1191" s="62" t="s">
        <v>824</v>
      </c>
      <c r="B1191" s="62" t="s">
        <v>1767</v>
      </c>
      <c r="C1191" s="62" t="s">
        <v>826</v>
      </c>
      <c r="D1191" s="63">
        <v>2</v>
      </c>
      <c r="E1191" s="63">
        <v>0</v>
      </c>
      <c r="F1191" s="63">
        <v>0</v>
      </c>
      <c r="G1191" s="64">
        <f t="shared" si="72"/>
        <v>0</v>
      </c>
      <c r="H1191" s="64">
        <f t="shared" si="73"/>
        <v>0</v>
      </c>
      <c r="I1191" s="63">
        <v>2</v>
      </c>
      <c r="J1191" s="65">
        <v>64.703199999999995</v>
      </c>
      <c r="K1191" s="65">
        <v>97.07</v>
      </c>
      <c r="L1191" s="62" t="s">
        <v>825</v>
      </c>
      <c r="M1191" s="63">
        <v>0</v>
      </c>
      <c r="N1191" s="66">
        <f t="shared" si="74"/>
        <v>0.92900000000000005</v>
      </c>
      <c r="O1191" s="62" t="str">
        <f t="shared" si="75"/>
        <v>4: Engaged Early</v>
      </c>
    </row>
    <row r="1192" spans="1:15" ht="15" customHeight="1" x14ac:dyDescent="0.4">
      <c r="A1192" s="62" t="s">
        <v>824</v>
      </c>
      <c r="B1192" s="62" t="s">
        <v>236</v>
      </c>
      <c r="C1192" s="62" t="s">
        <v>826</v>
      </c>
      <c r="D1192" s="63">
        <v>15</v>
      </c>
      <c r="E1192" s="63">
        <v>12</v>
      </c>
      <c r="F1192" s="63">
        <v>8</v>
      </c>
      <c r="G1192" s="64">
        <f t="shared" si="72"/>
        <v>0.8</v>
      </c>
      <c r="H1192" s="64">
        <f t="shared" si="73"/>
        <v>0.53333333333333333</v>
      </c>
      <c r="I1192" s="63">
        <v>2</v>
      </c>
      <c r="J1192" s="65">
        <v>99.89</v>
      </c>
      <c r="K1192" s="65">
        <v>100</v>
      </c>
      <c r="L1192" s="62" t="s">
        <v>825</v>
      </c>
      <c r="M1192" s="63">
        <v>0</v>
      </c>
      <c r="N1192" s="66">
        <f t="shared" si="74"/>
        <v>1</v>
      </c>
      <c r="O1192" s="62" t="str">
        <f t="shared" si="75"/>
        <v>4: Engaged Early</v>
      </c>
    </row>
    <row r="1193" spans="1:15" ht="15" customHeight="1" x14ac:dyDescent="0.4">
      <c r="A1193" s="62" t="s">
        <v>824</v>
      </c>
      <c r="B1193" s="62" t="s">
        <v>1768</v>
      </c>
      <c r="C1193" s="62" t="s">
        <v>826</v>
      </c>
      <c r="D1193" s="63">
        <v>19</v>
      </c>
      <c r="E1193" s="63">
        <v>18</v>
      </c>
      <c r="F1193" s="63">
        <v>2</v>
      </c>
      <c r="G1193" s="64">
        <f t="shared" si="72"/>
        <v>0.94736842105263153</v>
      </c>
      <c r="H1193" s="64">
        <f t="shared" si="73"/>
        <v>0.10526315789473684</v>
      </c>
      <c r="I1193" s="63">
        <v>2</v>
      </c>
      <c r="J1193" s="65">
        <v>74.193200000000004</v>
      </c>
      <c r="K1193" s="65">
        <v>63.2</v>
      </c>
      <c r="L1193" s="62" t="s">
        <v>825</v>
      </c>
      <c r="M1193" s="63">
        <v>0</v>
      </c>
      <c r="N1193" s="66">
        <f t="shared" si="74"/>
        <v>0.74</v>
      </c>
      <c r="O1193" s="62" t="str">
        <f t="shared" si="75"/>
        <v>4: Engaged Early</v>
      </c>
    </row>
    <row r="1194" spans="1:15" ht="15" customHeight="1" x14ac:dyDescent="0.4">
      <c r="A1194" s="62" t="s">
        <v>824</v>
      </c>
      <c r="B1194" s="62" t="s">
        <v>1769</v>
      </c>
      <c r="C1194" s="62" t="s">
        <v>826</v>
      </c>
      <c r="D1194" s="63">
        <v>13</v>
      </c>
      <c r="E1194" s="63">
        <v>1</v>
      </c>
      <c r="F1194" s="63">
        <v>0</v>
      </c>
      <c r="G1194" s="64">
        <f t="shared" si="72"/>
        <v>7.6923076923076927E-2</v>
      </c>
      <c r="H1194" s="64">
        <f t="shared" si="73"/>
        <v>0</v>
      </c>
      <c r="I1194" s="63">
        <v>0</v>
      </c>
      <c r="J1194" s="65"/>
      <c r="K1194" s="65">
        <v>47.11</v>
      </c>
      <c r="L1194" s="62" t="s">
        <v>825</v>
      </c>
      <c r="M1194" s="63">
        <v>0</v>
      </c>
      <c r="N1194" s="66">
        <f t="shared" si="74"/>
        <v>0.53300000000000003</v>
      </c>
      <c r="O1194" s="62" t="str">
        <f t="shared" si="75"/>
        <v>3: Elevated (No Wk0)</v>
      </c>
    </row>
    <row r="1195" spans="1:15" ht="15" customHeight="1" x14ac:dyDescent="0.4">
      <c r="A1195" s="62" t="s">
        <v>824</v>
      </c>
      <c r="B1195" s="62" t="s">
        <v>575</v>
      </c>
      <c r="C1195" s="62" t="s">
        <v>825</v>
      </c>
      <c r="D1195" s="63">
        <v>13</v>
      </c>
      <c r="E1195" s="63">
        <v>10</v>
      </c>
      <c r="F1195" s="63">
        <v>0</v>
      </c>
      <c r="G1195" s="64">
        <f t="shared" si="72"/>
        <v>0.76923076923076927</v>
      </c>
      <c r="H1195" s="64">
        <f t="shared" si="73"/>
        <v>0</v>
      </c>
      <c r="I1195" s="63">
        <v>2</v>
      </c>
      <c r="J1195" s="65">
        <v>91.016099999999994</v>
      </c>
      <c r="K1195" s="65">
        <v>42.7</v>
      </c>
      <c r="L1195" s="62" t="s">
        <v>825</v>
      </c>
      <c r="M1195" s="63">
        <v>0</v>
      </c>
      <c r="N1195" s="66">
        <f t="shared" si="74"/>
        <v>0.64300000000000002</v>
      </c>
      <c r="O1195" s="62" t="str">
        <f t="shared" si="75"/>
        <v>4: Engaged Early</v>
      </c>
    </row>
    <row r="1196" spans="1:15" ht="15" customHeight="1" x14ac:dyDescent="0.4">
      <c r="A1196" s="62" t="s">
        <v>824</v>
      </c>
      <c r="B1196" s="62" t="s">
        <v>1770</v>
      </c>
      <c r="C1196" s="62" t="s">
        <v>826</v>
      </c>
      <c r="D1196" s="63">
        <v>21</v>
      </c>
      <c r="E1196" s="63">
        <v>15</v>
      </c>
      <c r="F1196" s="63">
        <v>0</v>
      </c>
      <c r="G1196" s="64">
        <f t="shared" si="72"/>
        <v>0.7142857142857143</v>
      </c>
      <c r="H1196" s="64">
        <f t="shared" si="73"/>
        <v>0</v>
      </c>
      <c r="I1196" s="63">
        <v>2</v>
      </c>
      <c r="J1196" s="65">
        <v>1.2232449999999999</v>
      </c>
      <c r="K1196" s="65">
        <v>78.12</v>
      </c>
      <c r="L1196" s="62" t="s">
        <v>825</v>
      </c>
      <c r="M1196" s="63">
        <v>0</v>
      </c>
      <c r="N1196" s="66">
        <f t="shared" si="74"/>
        <v>0.72099999999999997</v>
      </c>
      <c r="O1196" s="62" t="str">
        <f t="shared" si="75"/>
        <v>4: Engaged Early</v>
      </c>
    </row>
    <row r="1197" spans="1:15" ht="15" customHeight="1" x14ac:dyDescent="0.4">
      <c r="A1197" s="62" t="s">
        <v>824</v>
      </c>
      <c r="B1197" s="62" t="s">
        <v>1771</v>
      </c>
      <c r="C1197" s="62" t="s">
        <v>826</v>
      </c>
      <c r="D1197" s="63">
        <v>3</v>
      </c>
      <c r="E1197" s="63">
        <v>0</v>
      </c>
      <c r="F1197" s="63">
        <v>0</v>
      </c>
      <c r="G1197" s="64">
        <f t="shared" si="72"/>
        <v>0</v>
      </c>
      <c r="H1197" s="64">
        <f t="shared" si="73"/>
        <v>0</v>
      </c>
      <c r="I1197" s="63">
        <v>1</v>
      </c>
      <c r="J1197" s="65">
        <v>98.909199999999998</v>
      </c>
      <c r="K1197" s="65">
        <v>100</v>
      </c>
      <c r="L1197" s="62" t="s">
        <v>825</v>
      </c>
      <c r="M1197" s="63">
        <v>0</v>
      </c>
      <c r="N1197" s="66">
        <f t="shared" si="74"/>
        <v>0.998</v>
      </c>
      <c r="O1197" s="62" t="str">
        <f t="shared" si="75"/>
        <v>4: Engaged Early</v>
      </c>
    </row>
    <row r="1198" spans="1:15" ht="15" customHeight="1" x14ac:dyDescent="0.4">
      <c r="A1198" s="62" t="s">
        <v>824</v>
      </c>
      <c r="B1198" s="62" t="s">
        <v>238</v>
      </c>
      <c r="C1198" s="62" t="s">
        <v>826</v>
      </c>
      <c r="D1198" s="63">
        <v>13</v>
      </c>
      <c r="E1198" s="63">
        <v>13</v>
      </c>
      <c r="F1198" s="63">
        <v>2</v>
      </c>
      <c r="G1198" s="64">
        <f t="shared" si="72"/>
        <v>1</v>
      </c>
      <c r="H1198" s="64">
        <f t="shared" si="73"/>
        <v>0.15384615384615385</v>
      </c>
      <c r="I1198" s="63">
        <v>2</v>
      </c>
      <c r="J1198" s="65">
        <v>91.370199999999997</v>
      </c>
      <c r="K1198" s="65">
        <v>61.13</v>
      </c>
      <c r="L1198" s="62" t="s">
        <v>825</v>
      </c>
      <c r="M1198" s="63">
        <v>1</v>
      </c>
      <c r="N1198" s="66">
        <f t="shared" si="74"/>
        <v>0.754</v>
      </c>
      <c r="O1198" s="62" t="str">
        <f t="shared" si="75"/>
        <v>4: Engaged Early</v>
      </c>
    </row>
    <row r="1199" spans="1:15" ht="15" customHeight="1" x14ac:dyDescent="0.4">
      <c r="A1199" s="62" t="s">
        <v>824</v>
      </c>
      <c r="B1199" s="62" t="s">
        <v>1772</v>
      </c>
      <c r="C1199" s="62" t="s">
        <v>826</v>
      </c>
      <c r="D1199" s="63">
        <v>13</v>
      </c>
      <c r="E1199" s="63">
        <v>11</v>
      </c>
      <c r="F1199" s="63">
        <v>4</v>
      </c>
      <c r="G1199" s="64">
        <f t="shared" si="72"/>
        <v>0.84615384615384615</v>
      </c>
      <c r="H1199" s="64">
        <f t="shared" si="73"/>
        <v>0.30769230769230771</v>
      </c>
      <c r="I1199" s="63">
        <v>2</v>
      </c>
      <c r="J1199" s="65">
        <v>89.260999999999996</v>
      </c>
      <c r="K1199" s="65">
        <v>99.85</v>
      </c>
      <c r="L1199" s="62" t="s">
        <v>825</v>
      </c>
      <c r="M1199" s="63">
        <v>1</v>
      </c>
      <c r="N1199" s="66">
        <f t="shared" si="74"/>
        <v>0.98299999999999998</v>
      </c>
      <c r="O1199" s="62" t="str">
        <f t="shared" si="75"/>
        <v>4: Engaged Early</v>
      </c>
    </row>
    <row r="1200" spans="1:15" ht="15" customHeight="1" x14ac:dyDescent="0.4">
      <c r="A1200" s="62" t="s">
        <v>824</v>
      </c>
      <c r="B1200" s="62" t="s">
        <v>1773</v>
      </c>
      <c r="C1200" s="62" t="s">
        <v>826</v>
      </c>
      <c r="D1200" s="63">
        <v>0</v>
      </c>
      <c r="E1200" s="63">
        <v>0</v>
      </c>
      <c r="F1200" s="63">
        <v>0</v>
      </c>
      <c r="G1200" s="64">
        <f t="shared" si="72"/>
        <v>0</v>
      </c>
      <c r="H1200" s="64">
        <f t="shared" si="73"/>
        <v>0</v>
      </c>
      <c r="I1200" s="63">
        <v>1</v>
      </c>
      <c r="J1200" s="65">
        <v>2.2000000000000002</v>
      </c>
      <c r="K1200" s="65">
        <v>42.33</v>
      </c>
      <c r="L1200" s="62" t="s">
        <v>840</v>
      </c>
      <c r="M1200" s="63">
        <v>0</v>
      </c>
      <c r="N1200" s="66">
        <f t="shared" si="74"/>
        <v>0.33200000000000002</v>
      </c>
      <c r="O1200" s="62" t="str">
        <f t="shared" si="75"/>
        <v>4: Engaged Early</v>
      </c>
    </row>
    <row r="1201" spans="1:15" ht="15" customHeight="1" x14ac:dyDescent="0.4">
      <c r="A1201" s="62" t="s">
        <v>824</v>
      </c>
      <c r="B1201" s="62" t="s">
        <v>1774</v>
      </c>
      <c r="C1201" s="62" t="s">
        <v>826</v>
      </c>
      <c r="D1201" s="63">
        <v>14</v>
      </c>
      <c r="E1201" s="63">
        <v>12</v>
      </c>
      <c r="F1201" s="63">
        <v>3</v>
      </c>
      <c r="G1201" s="64">
        <f t="shared" si="72"/>
        <v>0.8571428571428571</v>
      </c>
      <c r="H1201" s="64">
        <f t="shared" si="73"/>
        <v>0.21428571428571427</v>
      </c>
      <c r="I1201" s="63">
        <v>2</v>
      </c>
      <c r="J1201" s="65">
        <v>94.319599999999994</v>
      </c>
      <c r="K1201" s="65">
        <v>85.51</v>
      </c>
      <c r="L1201" s="62" t="s">
        <v>826</v>
      </c>
      <c r="M1201" s="63">
        <v>0</v>
      </c>
      <c r="N1201" s="66">
        <f t="shared" si="74"/>
        <v>0.65500000000000003</v>
      </c>
      <c r="O1201" s="62" t="str">
        <f t="shared" si="75"/>
        <v>2: High (No DBWT)</v>
      </c>
    </row>
    <row r="1202" spans="1:15" ht="15" customHeight="1" x14ac:dyDescent="0.4">
      <c r="A1202" s="62" t="s">
        <v>824</v>
      </c>
      <c r="B1202" s="62" t="s">
        <v>1775</v>
      </c>
      <c r="C1202" s="62" t="s">
        <v>826</v>
      </c>
      <c r="D1202" s="63">
        <v>22</v>
      </c>
      <c r="E1202" s="63">
        <v>19</v>
      </c>
      <c r="F1202" s="63">
        <v>4</v>
      </c>
      <c r="G1202" s="64">
        <f t="shared" si="72"/>
        <v>0.86363636363636365</v>
      </c>
      <c r="H1202" s="64">
        <f t="shared" si="73"/>
        <v>0.18181818181818182</v>
      </c>
      <c r="I1202" s="63">
        <v>2</v>
      </c>
      <c r="J1202" s="65">
        <v>99.954999999999998</v>
      </c>
      <c r="K1202" s="65">
        <v>99.47</v>
      </c>
      <c r="L1202" s="62" t="s">
        <v>825</v>
      </c>
      <c r="M1202" s="63">
        <v>0</v>
      </c>
      <c r="N1202" s="66">
        <f t="shared" si="74"/>
        <v>0.997</v>
      </c>
      <c r="O1202" s="62" t="str">
        <f t="shared" si="75"/>
        <v>4: Engaged Early</v>
      </c>
    </row>
    <row r="1203" spans="1:15" ht="15" customHeight="1" x14ac:dyDescent="0.4">
      <c r="A1203" s="62" t="s">
        <v>824</v>
      </c>
      <c r="B1203" s="62" t="s">
        <v>1776</v>
      </c>
      <c r="C1203" s="62" t="s">
        <v>826</v>
      </c>
      <c r="D1203" s="63">
        <v>7</v>
      </c>
      <c r="E1203" s="63">
        <v>6</v>
      </c>
      <c r="F1203" s="63">
        <v>3</v>
      </c>
      <c r="G1203" s="64">
        <f t="shared" si="72"/>
        <v>0.8571428571428571</v>
      </c>
      <c r="H1203" s="64">
        <f t="shared" si="73"/>
        <v>0.42857142857142855</v>
      </c>
      <c r="I1203" s="63">
        <v>2</v>
      </c>
      <c r="J1203" s="65">
        <v>98.445449999999994</v>
      </c>
      <c r="K1203" s="65">
        <v>100</v>
      </c>
      <c r="L1203" s="62" t="s">
        <v>825</v>
      </c>
      <c r="M1203" s="63">
        <v>2</v>
      </c>
      <c r="N1203" s="66">
        <f t="shared" si="74"/>
        <v>0.998</v>
      </c>
      <c r="O1203" s="62" t="str">
        <f t="shared" si="75"/>
        <v>4: Engaged Early</v>
      </c>
    </row>
    <row r="1204" spans="1:15" ht="15" customHeight="1" x14ac:dyDescent="0.4">
      <c r="A1204" s="62" t="s">
        <v>824</v>
      </c>
      <c r="B1204" s="62" t="s">
        <v>1777</v>
      </c>
      <c r="C1204" s="62" t="s">
        <v>826</v>
      </c>
      <c r="D1204" s="63">
        <v>20</v>
      </c>
      <c r="E1204" s="63">
        <v>14</v>
      </c>
      <c r="F1204" s="63">
        <v>2</v>
      </c>
      <c r="G1204" s="64">
        <f t="shared" si="72"/>
        <v>0.7</v>
      </c>
      <c r="H1204" s="64">
        <f t="shared" si="73"/>
        <v>0.1</v>
      </c>
      <c r="I1204" s="63">
        <v>2</v>
      </c>
      <c r="J1204" s="65">
        <v>85.6</v>
      </c>
      <c r="K1204" s="65">
        <v>100</v>
      </c>
      <c r="L1204" s="62" t="s">
        <v>825</v>
      </c>
      <c r="M1204" s="63">
        <v>0</v>
      </c>
      <c r="N1204" s="66">
        <f t="shared" si="74"/>
        <v>0.97799999999999998</v>
      </c>
      <c r="O1204" s="62" t="str">
        <f t="shared" si="75"/>
        <v>4: Engaged Early</v>
      </c>
    </row>
    <row r="1205" spans="1:15" ht="15" customHeight="1" x14ac:dyDescent="0.4">
      <c r="A1205" s="62" t="s">
        <v>824</v>
      </c>
      <c r="B1205" s="62" t="s">
        <v>1778</v>
      </c>
      <c r="C1205" s="62" t="s">
        <v>826</v>
      </c>
      <c r="D1205" s="63">
        <v>10</v>
      </c>
      <c r="E1205" s="63">
        <v>8</v>
      </c>
      <c r="F1205" s="63">
        <v>2</v>
      </c>
      <c r="G1205" s="64">
        <f t="shared" si="72"/>
        <v>0.8</v>
      </c>
      <c r="H1205" s="64">
        <f t="shared" si="73"/>
        <v>0.2</v>
      </c>
      <c r="I1205" s="63">
        <v>2</v>
      </c>
      <c r="J1205" s="65">
        <v>79.572800000000001</v>
      </c>
      <c r="K1205" s="65">
        <v>95.57</v>
      </c>
      <c r="L1205" s="62" t="s">
        <v>825</v>
      </c>
      <c r="M1205" s="63">
        <v>0</v>
      </c>
      <c r="N1205" s="66">
        <f t="shared" si="74"/>
        <v>0.94299999999999995</v>
      </c>
      <c r="O1205" s="62" t="str">
        <f t="shared" si="75"/>
        <v>4: Engaged Early</v>
      </c>
    </row>
    <row r="1206" spans="1:15" ht="15" customHeight="1" x14ac:dyDescent="0.4">
      <c r="A1206" s="62" t="s">
        <v>824</v>
      </c>
      <c r="B1206" s="62" t="s">
        <v>1779</v>
      </c>
      <c r="C1206" s="62" t="s">
        <v>826</v>
      </c>
      <c r="D1206" s="63">
        <v>23</v>
      </c>
      <c r="E1206" s="63">
        <v>15</v>
      </c>
      <c r="F1206" s="63">
        <v>1</v>
      </c>
      <c r="G1206" s="64">
        <f t="shared" si="72"/>
        <v>0.65217391304347827</v>
      </c>
      <c r="H1206" s="64">
        <f t="shared" si="73"/>
        <v>4.3478260869565216E-2</v>
      </c>
      <c r="I1206" s="63">
        <v>2</v>
      </c>
      <c r="J1206" s="65">
        <v>99.599149999999995</v>
      </c>
      <c r="K1206" s="65">
        <v>100</v>
      </c>
      <c r="L1206" s="62" t="s">
        <v>825</v>
      </c>
      <c r="M1206" s="63">
        <v>0</v>
      </c>
      <c r="N1206" s="66">
        <f t="shared" si="74"/>
        <v>0.999</v>
      </c>
      <c r="O1206" s="62" t="str">
        <f t="shared" si="75"/>
        <v>4: Engaged Early</v>
      </c>
    </row>
    <row r="1207" spans="1:15" ht="15" customHeight="1" x14ac:dyDescent="0.4">
      <c r="A1207" s="62" t="s">
        <v>824</v>
      </c>
      <c r="B1207" s="62" t="s">
        <v>661</v>
      </c>
      <c r="C1207" s="62" t="s">
        <v>825</v>
      </c>
      <c r="D1207" s="63">
        <v>17</v>
      </c>
      <c r="E1207" s="63">
        <v>12</v>
      </c>
      <c r="F1207" s="63">
        <v>0</v>
      </c>
      <c r="G1207" s="64">
        <f t="shared" si="72"/>
        <v>0.70588235294117652</v>
      </c>
      <c r="H1207" s="64">
        <f t="shared" si="73"/>
        <v>0</v>
      </c>
      <c r="I1207" s="63">
        <v>1</v>
      </c>
      <c r="J1207" s="65">
        <v>92.07</v>
      </c>
      <c r="K1207" s="65">
        <v>19.489999999999998</v>
      </c>
      <c r="L1207" s="62" t="s">
        <v>825</v>
      </c>
      <c r="M1207" s="63">
        <v>0</v>
      </c>
      <c r="N1207" s="66">
        <f t="shared" si="74"/>
        <v>0.505</v>
      </c>
      <c r="O1207" s="62" t="str">
        <f t="shared" si="75"/>
        <v>4: Engaged Early</v>
      </c>
    </row>
    <row r="1208" spans="1:15" ht="15" customHeight="1" x14ac:dyDescent="0.4">
      <c r="A1208" s="62" t="s">
        <v>824</v>
      </c>
      <c r="B1208" s="62" t="s">
        <v>1780</v>
      </c>
      <c r="C1208" s="62" t="s">
        <v>826</v>
      </c>
      <c r="D1208" s="63">
        <v>11</v>
      </c>
      <c r="E1208" s="63">
        <v>7</v>
      </c>
      <c r="F1208" s="63">
        <v>3</v>
      </c>
      <c r="G1208" s="64">
        <f t="shared" si="72"/>
        <v>0.63636363636363635</v>
      </c>
      <c r="H1208" s="64">
        <f t="shared" si="73"/>
        <v>0.27272727272727271</v>
      </c>
      <c r="I1208" s="63">
        <v>2</v>
      </c>
      <c r="J1208" s="65">
        <v>98.49</v>
      </c>
      <c r="K1208" s="65">
        <v>100</v>
      </c>
      <c r="L1208" s="62" t="s">
        <v>825</v>
      </c>
      <c r="M1208" s="63">
        <v>0</v>
      </c>
      <c r="N1208" s="66">
        <f t="shared" si="74"/>
        <v>0.998</v>
      </c>
      <c r="O1208" s="62" t="str">
        <f t="shared" si="75"/>
        <v>4: Engaged Early</v>
      </c>
    </row>
    <row r="1209" spans="1:15" ht="15" customHeight="1" x14ac:dyDescent="0.4">
      <c r="A1209" s="62" t="s">
        <v>824</v>
      </c>
      <c r="B1209" s="62" t="s">
        <v>1781</v>
      </c>
      <c r="C1209" s="62" t="s">
        <v>826</v>
      </c>
      <c r="D1209" s="63">
        <v>15</v>
      </c>
      <c r="E1209" s="63">
        <v>3</v>
      </c>
      <c r="F1209" s="63">
        <v>2</v>
      </c>
      <c r="G1209" s="64">
        <f t="shared" si="72"/>
        <v>0.2</v>
      </c>
      <c r="H1209" s="64">
        <f t="shared" si="73"/>
        <v>0.13333333333333333</v>
      </c>
      <c r="I1209" s="63">
        <v>1</v>
      </c>
      <c r="J1209" s="65">
        <v>82.137299999999996</v>
      </c>
      <c r="K1209" s="65">
        <v>87.5</v>
      </c>
      <c r="L1209" s="62" t="s">
        <v>826</v>
      </c>
      <c r="M1209" s="63">
        <v>0</v>
      </c>
      <c r="N1209" s="66">
        <f t="shared" si="74"/>
        <v>0.64800000000000002</v>
      </c>
      <c r="O1209" s="62" t="str">
        <f t="shared" si="75"/>
        <v>2: High (No DBWT)</v>
      </c>
    </row>
    <row r="1210" spans="1:15" ht="15" customHeight="1" x14ac:dyDescent="0.4">
      <c r="A1210" s="62" t="s">
        <v>824</v>
      </c>
      <c r="B1210" s="62" t="s">
        <v>1782</v>
      </c>
      <c r="C1210" s="62" t="s">
        <v>826</v>
      </c>
      <c r="D1210" s="63">
        <v>0</v>
      </c>
      <c r="E1210" s="63">
        <v>0</v>
      </c>
      <c r="F1210" s="63">
        <v>0</v>
      </c>
      <c r="G1210" s="64">
        <f t="shared" si="72"/>
        <v>0</v>
      </c>
      <c r="H1210" s="64">
        <f t="shared" si="73"/>
        <v>0</v>
      </c>
      <c r="I1210" s="63">
        <v>2</v>
      </c>
      <c r="J1210" s="65">
        <v>96.045100000000005</v>
      </c>
      <c r="K1210" s="65">
        <v>100</v>
      </c>
      <c r="L1210" s="62" t="s">
        <v>825</v>
      </c>
      <c r="M1210" s="63">
        <v>0</v>
      </c>
      <c r="N1210" s="66">
        <f t="shared" si="74"/>
        <v>0.99399999999999999</v>
      </c>
      <c r="O1210" s="62" t="str">
        <f t="shared" si="75"/>
        <v>4: Engaged Early</v>
      </c>
    </row>
    <row r="1211" spans="1:15" ht="15" customHeight="1" x14ac:dyDescent="0.4">
      <c r="A1211" s="62" t="s">
        <v>824</v>
      </c>
      <c r="B1211" s="62" t="s">
        <v>1783</v>
      </c>
      <c r="C1211" s="62" t="s">
        <v>826</v>
      </c>
      <c r="D1211" s="63">
        <v>16</v>
      </c>
      <c r="E1211" s="63">
        <v>13</v>
      </c>
      <c r="F1211" s="63">
        <v>0</v>
      </c>
      <c r="G1211" s="64">
        <f t="shared" si="72"/>
        <v>0.8125</v>
      </c>
      <c r="H1211" s="64">
        <f t="shared" si="73"/>
        <v>0</v>
      </c>
      <c r="I1211" s="63">
        <v>2</v>
      </c>
      <c r="J1211" s="65">
        <v>37.415407999999999</v>
      </c>
      <c r="K1211" s="65">
        <v>81.05</v>
      </c>
      <c r="L1211" s="62" t="s">
        <v>825</v>
      </c>
      <c r="M1211" s="63">
        <v>0</v>
      </c>
      <c r="N1211" s="66">
        <f t="shared" si="74"/>
        <v>0.79200000000000004</v>
      </c>
      <c r="O1211" s="62" t="str">
        <f t="shared" si="75"/>
        <v>4: Engaged Early</v>
      </c>
    </row>
    <row r="1212" spans="1:15" ht="15" customHeight="1" x14ac:dyDescent="0.4">
      <c r="A1212" s="62" t="s">
        <v>824</v>
      </c>
      <c r="B1212" s="62" t="s">
        <v>1784</v>
      </c>
      <c r="C1212" s="62" t="s">
        <v>826</v>
      </c>
      <c r="D1212" s="63">
        <v>10</v>
      </c>
      <c r="E1212" s="63">
        <v>10</v>
      </c>
      <c r="F1212" s="63">
        <v>1</v>
      </c>
      <c r="G1212" s="64">
        <f t="shared" si="72"/>
        <v>1</v>
      </c>
      <c r="H1212" s="64">
        <f t="shared" si="73"/>
        <v>0.1</v>
      </c>
      <c r="I1212" s="63">
        <v>2</v>
      </c>
      <c r="J1212" s="65">
        <v>62.840899999999998</v>
      </c>
      <c r="K1212" s="65">
        <v>91.28</v>
      </c>
      <c r="L1212" s="62" t="s">
        <v>825</v>
      </c>
      <c r="M1212" s="63">
        <v>0</v>
      </c>
      <c r="N1212" s="66">
        <f t="shared" si="74"/>
        <v>0.89200000000000002</v>
      </c>
      <c r="O1212" s="62" t="str">
        <f t="shared" si="75"/>
        <v>4: Engaged Early</v>
      </c>
    </row>
    <row r="1213" spans="1:15" ht="15" customHeight="1" x14ac:dyDescent="0.4">
      <c r="A1213" s="62" t="s">
        <v>824</v>
      </c>
      <c r="B1213" s="62" t="s">
        <v>1785</v>
      </c>
      <c r="C1213" s="62" t="s">
        <v>826</v>
      </c>
      <c r="D1213" s="63">
        <v>8</v>
      </c>
      <c r="E1213" s="63">
        <v>8</v>
      </c>
      <c r="F1213" s="63">
        <v>3</v>
      </c>
      <c r="G1213" s="64">
        <f t="shared" si="72"/>
        <v>1</v>
      </c>
      <c r="H1213" s="64">
        <f t="shared" si="73"/>
        <v>0.375</v>
      </c>
      <c r="I1213" s="63">
        <v>2</v>
      </c>
      <c r="J1213" s="65">
        <v>87.784300000000002</v>
      </c>
      <c r="K1213" s="65">
        <v>100</v>
      </c>
      <c r="L1213" s="62" t="s">
        <v>826</v>
      </c>
      <c r="M1213" s="63">
        <v>0</v>
      </c>
      <c r="N1213" s="66">
        <f t="shared" si="74"/>
        <v>0.73199999999999998</v>
      </c>
      <c r="O1213" s="62" t="str">
        <f t="shared" si="75"/>
        <v>2: High (No DBWT)</v>
      </c>
    </row>
    <row r="1214" spans="1:15" ht="15" customHeight="1" x14ac:dyDescent="0.4">
      <c r="A1214" s="62" t="s">
        <v>824</v>
      </c>
      <c r="B1214" s="62" t="s">
        <v>1786</v>
      </c>
      <c r="C1214" s="62" t="s">
        <v>826</v>
      </c>
      <c r="D1214" s="63">
        <v>19</v>
      </c>
      <c r="E1214" s="63">
        <v>19</v>
      </c>
      <c r="F1214" s="63">
        <v>9</v>
      </c>
      <c r="G1214" s="64">
        <f t="shared" si="72"/>
        <v>1</v>
      </c>
      <c r="H1214" s="64">
        <f t="shared" si="73"/>
        <v>0.47368421052631576</v>
      </c>
      <c r="I1214" s="63">
        <v>2</v>
      </c>
      <c r="J1214" s="65">
        <v>83.352149999999995</v>
      </c>
      <c r="K1214" s="65">
        <v>100</v>
      </c>
      <c r="L1214" s="62" t="s">
        <v>825</v>
      </c>
      <c r="M1214" s="63">
        <v>0</v>
      </c>
      <c r="N1214" s="66">
        <f t="shared" si="74"/>
        <v>0.97499999999999998</v>
      </c>
      <c r="O1214" s="62" t="str">
        <f t="shared" si="75"/>
        <v>4: Engaged Early</v>
      </c>
    </row>
    <row r="1215" spans="1:15" ht="15" customHeight="1" x14ac:dyDescent="0.4">
      <c r="A1215" s="62" t="s">
        <v>824</v>
      </c>
      <c r="B1215" s="62" t="s">
        <v>1787</v>
      </c>
      <c r="C1215" s="62" t="s">
        <v>826</v>
      </c>
      <c r="D1215" s="63">
        <v>10</v>
      </c>
      <c r="E1215" s="63">
        <v>9</v>
      </c>
      <c r="F1215" s="63">
        <v>3</v>
      </c>
      <c r="G1215" s="64">
        <f t="shared" si="72"/>
        <v>0.9</v>
      </c>
      <c r="H1215" s="64">
        <f t="shared" si="73"/>
        <v>0.3</v>
      </c>
      <c r="I1215" s="63">
        <v>2</v>
      </c>
      <c r="J1215" s="65">
        <v>84.849649999999997</v>
      </c>
      <c r="K1215" s="65">
        <v>100</v>
      </c>
      <c r="L1215" s="62" t="s">
        <v>825</v>
      </c>
      <c r="M1215" s="63">
        <v>0</v>
      </c>
      <c r="N1215" s="66">
        <f t="shared" si="74"/>
        <v>0.97699999999999998</v>
      </c>
      <c r="O1215" s="62" t="str">
        <f t="shared" si="75"/>
        <v>4: Engaged Early</v>
      </c>
    </row>
    <row r="1216" spans="1:15" ht="15" customHeight="1" x14ac:dyDescent="0.4">
      <c r="A1216" s="62" t="s">
        <v>824</v>
      </c>
      <c r="B1216" s="62" t="s">
        <v>1788</v>
      </c>
      <c r="C1216" s="62" t="s">
        <v>826</v>
      </c>
      <c r="D1216" s="63">
        <v>5</v>
      </c>
      <c r="E1216" s="63">
        <v>5</v>
      </c>
      <c r="F1216" s="63">
        <v>0</v>
      </c>
      <c r="G1216" s="64">
        <f t="shared" si="72"/>
        <v>1</v>
      </c>
      <c r="H1216" s="64">
        <f t="shared" si="73"/>
        <v>0</v>
      </c>
      <c r="I1216" s="63">
        <v>2</v>
      </c>
      <c r="J1216" s="65">
        <v>84.136250000000004</v>
      </c>
      <c r="K1216" s="65">
        <v>100</v>
      </c>
      <c r="L1216" s="62" t="s">
        <v>826</v>
      </c>
      <c r="M1216" s="63">
        <v>0</v>
      </c>
      <c r="N1216" s="66">
        <f t="shared" si="74"/>
        <v>0.72599999999999998</v>
      </c>
      <c r="O1216" s="62" t="str">
        <f t="shared" si="75"/>
        <v>2: High (No DBWT)</v>
      </c>
    </row>
    <row r="1217" spans="1:15" ht="15" customHeight="1" x14ac:dyDescent="0.4">
      <c r="A1217" s="62" t="s">
        <v>824</v>
      </c>
      <c r="B1217" s="62" t="s">
        <v>1789</v>
      </c>
      <c r="C1217" s="62" t="s">
        <v>826</v>
      </c>
      <c r="D1217" s="63">
        <v>4</v>
      </c>
      <c r="E1217" s="63">
        <v>4</v>
      </c>
      <c r="F1217" s="63">
        <v>0</v>
      </c>
      <c r="G1217" s="64">
        <f t="shared" si="72"/>
        <v>1</v>
      </c>
      <c r="H1217" s="64">
        <f t="shared" si="73"/>
        <v>0</v>
      </c>
      <c r="I1217" s="63">
        <v>2</v>
      </c>
      <c r="J1217" s="65">
        <v>98.934200000000004</v>
      </c>
      <c r="K1217" s="65">
        <v>100</v>
      </c>
      <c r="L1217" s="62" t="s">
        <v>825</v>
      </c>
      <c r="M1217" s="63">
        <v>1</v>
      </c>
      <c r="N1217" s="66">
        <f t="shared" si="74"/>
        <v>0.998</v>
      </c>
      <c r="O1217" s="62" t="str">
        <f t="shared" si="75"/>
        <v>4: Engaged Early</v>
      </c>
    </row>
    <row r="1218" spans="1:15" ht="15" customHeight="1" x14ac:dyDescent="0.4">
      <c r="A1218" s="62" t="s">
        <v>824</v>
      </c>
      <c r="B1218" s="62" t="s">
        <v>1790</v>
      </c>
      <c r="C1218" s="62" t="s">
        <v>826</v>
      </c>
      <c r="D1218" s="63">
        <v>12</v>
      </c>
      <c r="E1218" s="63">
        <v>9</v>
      </c>
      <c r="F1218" s="63">
        <v>6</v>
      </c>
      <c r="G1218" s="64">
        <f t="shared" ref="G1218:G1281" si="76">IFERROR(E1218/D1218,0)</f>
        <v>0.75</v>
      </c>
      <c r="H1218" s="64">
        <f t="shared" ref="H1218:H1281" si="77">IFERROR(F1218/D1218,0)</f>
        <v>0.5</v>
      </c>
      <c r="I1218" s="63">
        <v>2</v>
      </c>
      <c r="J1218" s="65">
        <v>99.795000000000002</v>
      </c>
      <c r="K1218" s="65">
        <v>100</v>
      </c>
      <c r="L1218" s="62" t="s">
        <v>825</v>
      </c>
      <c r="M1218" s="63">
        <v>0</v>
      </c>
      <c r="N1218" s="66">
        <f t="shared" ref="N1218:N1281" si="78">ROUND(IFERROR(K1218/100,0)*0.6 + IF(L1218="Yes",1,IF(L1218="No",0,0.3))*0.25 + IFERROR(J1218/100,0)*0.15,3)</f>
        <v>1</v>
      </c>
      <c r="O1218" s="62" t="str">
        <f t="shared" ref="O1218:O1281" si="79">IF(AND(L1218="No",I1218=0),"1: Critical (No DBWT + No Wk0)",IF(L1218="No","2: High (No DBWT)",IF(I1218=0,"3: Elevated (No Wk0)","4: Engaged Early")))</f>
        <v>4: Engaged Early</v>
      </c>
    </row>
    <row r="1219" spans="1:15" ht="15" customHeight="1" x14ac:dyDescent="0.4">
      <c r="A1219" s="62" t="s">
        <v>824</v>
      </c>
      <c r="B1219" s="62" t="s">
        <v>1791</v>
      </c>
      <c r="C1219" s="62" t="s">
        <v>826</v>
      </c>
      <c r="D1219" s="63">
        <v>8</v>
      </c>
      <c r="E1219" s="63">
        <v>8</v>
      </c>
      <c r="F1219" s="63">
        <v>0</v>
      </c>
      <c r="G1219" s="64">
        <f t="shared" si="76"/>
        <v>1</v>
      </c>
      <c r="H1219" s="64">
        <f t="shared" si="77"/>
        <v>0</v>
      </c>
      <c r="I1219" s="63">
        <v>1</v>
      </c>
      <c r="J1219" s="65">
        <v>99.54</v>
      </c>
      <c r="K1219" s="65">
        <v>12.5</v>
      </c>
      <c r="L1219" s="62" t="s">
        <v>825</v>
      </c>
      <c r="M1219" s="63">
        <v>0</v>
      </c>
      <c r="N1219" s="66">
        <f t="shared" si="78"/>
        <v>0.47399999999999998</v>
      </c>
      <c r="O1219" s="62" t="str">
        <f t="shared" si="79"/>
        <v>4: Engaged Early</v>
      </c>
    </row>
    <row r="1220" spans="1:15" ht="15" customHeight="1" x14ac:dyDescent="0.4">
      <c r="A1220" s="62" t="s">
        <v>824</v>
      </c>
      <c r="B1220" s="62" t="s">
        <v>1792</v>
      </c>
      <c r="C1220" s="62" t="s">
        <v>826</v>
      </c>
      <c r="D1220" s="63">
        <v>0</v>
      </c>
      <c r="E1220" s="63">
        <v>0</v>
      </c>
      <c r="F1220" s="63">
        <v>0</v>
      </c>
      <c r="G1220" s="64">
        <f t="shared" si="76"/>
        <v>0</v>
      </c>
      <c r="H1220" s="64">
        <f t="shared" si="77"/>
        <v>0</v>
      </c>
      <c r="I1220" s="63">
        <v>1</v>
      </c>
      <c r="J1220" s="65">
        <v>99.98</v>
      </c>
      <c r="K1220" s="65">
        <v>11.44</v>
      </c>
      <c r="L1220" s="62" t="s">
        <v>840</v>
      </c>
      <c r="M1220" s="63">
        <v>0</v>
      </c>
      <c r="N1220" s="66">
        <f t="shared" si="78"/>
        <v>0.29399999999999998</v>
      </c>
      <c r="O1220" s="62" t="str">
        <f t="shared" si="79"/>
        <v>4: Engaged Early</v>
      </c>
    </row>
    <row r="1221" spans="1:15" ht="15" customHeight="1" x14ac:dyDescent="0.4">
      <c r="A1221" s="62" t="s">
        <v>824</v>
      </c>
      <c r="B1221" s="62" t="s">
        <v>1793</v>
      </c>
      <c r="C1221" s="62" t="s">
        <v>826</v>
      </c>
      <c r="D1221" s="63">
        <v>13</v>
      </c>
      <c r="E1221" s="63">
        <v>12</v>
      </c>
      <c r="F1221" s="63">
        <v>1</v>
      </c>
      <c r="G1221" s="64">
        <f t="shared" si="76"/>
        <v>0.92307692307692313</v>
      </c>
      <c r="H1221" s="64">
        <f t="shared" si="77"/>
        <v>7.6923076923076927E-2</v>
      </c>
      <c r="I1221" s="63">
        <v>2</v>
      </c>
      <c r="J1221" s="65">
        <v>59.7562</v>
      </c>
      <c r="K1221" s="65">
        <v>67.099999999999994</v>
      </c>
      <c r="L1221" s="62" t="s">
        <v>825</v>
      </c>
      <c r="M1221" s="63">
        <v>0</v>
      </c>
      <c r="N1221" s="66">
        <f t="shared" si="78"/>
        <v>0.74199999999999999</v>
      </c>
      <c r="O1221" s="62" t="str">
        <f t="shared" si="79"/>
        <v>4: Engaged Early</v>
      </c>
    </row>
    <row r="1222" spans="1:15" ht="15" customHeight="1" x14ac:dyDescent="0.4">
      <c r="A1222" s="62" t="s">
        <v>824</v>
      </c>
      <c r="B1222" s="62" t="s">
        <v>1794</v>
      </c>
      <c r="C1222" s="62" t="s">
        <v>826</v>
      </c>
      <c r="D1222" s="63">
        <v>26</v>
      </c>
      <c r="E1222" s="63">
        <v>15</v>
      </c>
      <c r="F1222" s="63">
        <v>2</v>
      </c>
      <c r="G1222" s="64">
        <f t="shared" si="76"/>
        <v>0.57692307692307687</v>
      </c>
      <c r="H1222" s="64">
        <f t="shared" si="77"/>
        <v>7.6923076923076927E-2</v>
      </c>
      <c r="I1222" s="63">
        <v>1</v>
      </c>
      <c r="J1222" s="65">
        <v>11.97</v>
      </c>
      <c r="K1222" s="65">
        <v>1.87</v>
      </c>
      <c r="L1222" s="62" t="s">
        <v>825</v>
      </c>
      <c r="M1222" s="63">
        <v>0</v>
      </c>
      <c r="N1222" s="66">
        <f t="shared" si="78"/>
        <v>0.27900000000000003</v>
      </c>
      <c r="O1222" s="62" t="str">
        <f t="shared" si="79"/>
        <v>4: Engaged Early</v>
      </c>
    </row>
    <row r="1223" spans="1:15" ht="15" customHeight="1" x14ac:dyDescent="0.4">
      <c r="A1223" s="62" t="s">
        <v>824</v>
      </c>
      <c r="B1223" s="62" t="s">
        <v>1795</v>
      </c>
      <c r="C1223" s="62" t="s">
        <v>826</v>
      </c>
      <c r="D1223" s="63">
        <v>25</v>
      </c>
      <c r="E1223" s="63">
        <v>18</v>
      </c>
      <c r="F1223" s="63">
        <v>2</v>
      </c>
      <c r="G1223" s="64">
        <f t="shared" si="76"/>
        <v>0.72</v>
      </c>
      <c r="H1223" s="64">
        <f t="shared" si="77"/>
        <v>0.08</v>
      </c>
      <c r="I1223" s="63">
        <v>2</v>
      </c>
      <c r="J1223" s="65">
        <v>98.721699999999998</v>
      </c>
      <c r="K1223" s="65">
        <v>100</v>
      </c>
      <c r="L1223" s="62" t="s">
        <v>825</v>
      </c>
      <c r="M1223" s="63">
        <v>0</v>
      </c>
      <c r="N1223" s="66">
        <f t="shared" si="78"/>
        <v>0.998</v>
      </c>
      <c r="O1223" s="62" t="str">
        <f t="shared" si="79"/>
        <v>4: Engaged Early</v>
      </c>
    </row>
    <row r="1224" spans="1:15" ht="15" customHeight="1" x14ac:dyDescent="0.4">
      <c r="A1224" s="62" t="s">
        <v>824</v>
      </c>
      <c r="B1224" s="62" t="s">
        <v>1796</v>
      </c>
      <c r="C1224" s="62" t="s">
        <v>826</v>
      </c>
      <c r="D1224" s="63">
        <v>20</v>
      </c>
      <c r="E1224" s="63">
        <v>18</v>
      </c>
      <c r="F1224" s="63">
        <v>3</v>
      </c>
      <c r="G1224" s="64">
        <f t="shared" si="76"/>
        <v>0.9</v>
      </c>
      <c r="H1224" s="64">
        <f t="shared" si="77"/>
        <v>0.15</v>
      </c>
      <c r="I1224" s="63">
        <v>1</v>
      </c>
      <c r="J1224" s="65">
        <v>34.119999999999997</v>
      </c>
      <c r="K1224" s="65">
        <v>48.38</v>
      </c>
      <c r="L1224" s="62" t="s">
        <v>825</v>
      </c>
      <c r="M1224" s="63">
        <v>2</v>
      </c>
      <c r="N1224" s="66">
        <f t="shared" si="78"/>
        <v>0.59099999999999997</v>
      </c>
      <c r="O1224" s="62" t="str">
        <f t="shared" si="79"/>
        <v>4: Engaged Early</v>
      </c>
    </row>
    <row r="1225" spans="1:15" ht="15" customHeight="1" x14ac:dyDescent="0.4">
      <c r="A1225" s="62" t="s">
        <v>824</v>
      </c>
      <c r="B1225" s="62" t="s">
        <v>1797</v>
      </c>
      <c r="C1225" s="62" t="s">
        <v>826</v>
      </c>
      <c r="D1225" s="63">
        <v>6</v>
      </c>
      <c r="E1225" s="63">
        <v>1</v>
      </c>
      <c r="F1225" s="63">
        <v>0</v>
      </c>
      <c r="G1225" s="64">
        <f t="shared" si="76"/>
        <v>0.16666666666666666</v>
      </c>
      <c r="H1225" s="64">
        <f t="shared" si="77"/>
        <v>0</v>
      </c>
      <c r="I1225" s="63">
        <v>1</v>
      </c>
      <c r="J1225" s="65">
        <v>34.9</v>
      </c>
      <c r="K1225" s="65">
        <v>87.5</v>
      </c>
      <c r="L1225" s="62" t="s">
        <v>825</v>
      </c>
      <c r="M1225" s="63">
        <v>0</v>
      </c>
      <c r="N1225" s="66">
        <f t="shared" si="78"/>
        <v>0.82699999999999996</v>
      </c>
      <c r="O1225" s="62" t="str">
        <f t="shared" si="79"/>
        <v>4: Engaged Early</v>
      </c>
    </row>
    <row r="1226" spans="1:15" ht="15" customHeight="1" x14ac:dyDescent="0.4">
      <c r="A1226" s="62" t="s">
        <v>824</v>
      </c>
      <c r="B1226" s="62" t="s">
        <v>1798</v>
      </c>
      <c r="C1226" s="62" t="s">
        <v>826</v>
      </c>
      <c r="D1226" s="63">
        <v>21</v>
      </c>
      <c r="E1226" s="63">
        <v>8</v>
      </c>
      <c r="F1226" s="63">
        <v>0</v>
      </c>
      <c r="G1226" s="64">
        <f t="shared" si="76"/>
        <v>0.38095238095238093</v>
      </c>
      <c r="H1226" s="64">
        <f t="shared" si="77"/>
        <v>0</v>
      </c>
      <c r="I1226" s="63">
        <v>2</v>
      </c>
      <c r="J1226" s="65">
        <v>96.493600000000001</v>
      </c>
      <c r="K1226" s="65">
        <v>94.75</v>
      </c>
      <c r="L1226" s="62" t="s">
        <v>825</v>
      </c>
      <c r="M1226" s="63">
        <v>0</v>
      </c>
      <c r="N1226" s="66">
        <f t="shared" si="78"/>
        <v>0.96299999999999997</v>
      </c>
      <c r="O1226" s="62" t="str">
        <f t="shared" si="79"/>
        <v>4: Engaged Early</v>
      </c>
    </row>
    <row r="1227" spans="1:15" ht="15" customHeight="1" x14ac:dyDescent="0.4">
      <c r="A1227" s="62" t="s">
        <v>824</v>
      </c>
      <c r="B1227" s="62" t="s">
        <v>1799</v>
      </c>
      <c r="C1227" s="62" t="s">
        <v>826</v>
      </c>
      <c r="D1227" s="63">
        <v>14</v>
      </c>
      <c r="E1227" s="63">
        <v>10</v>
      </c>
      <c r="F1227" s="63">
        <v>0</v>
      </c>
      <c r="G1227" s="64">
        <f t="shared" si="76"/>
        <v>0.7142857142857143</v>
      </c>
      <c r="H1227" s="64">
        <f t="shared" si="77"/>
        <v>0</v>
      </c>
      <c r="I1227" s="63">
        <v>2</v>
      </c>
      <c r="J1227" s="65">
        <v>65.797399999999996</v>
      </c>
      <c r="K1227" s="65">
        <v>92.88</v>
      </c>
      <c r="L1227" s="62" t="s">
        <v>825</v>
      </c>
      <c r="M1227" s="63">
        <v>0</v>
      </c>
      <c r="N1227" s="66">
        <f t="shared" si="78"/>
        <v>0.90600000000000003</v>
      </c>
      <c r="O1227" s="62" t="str">
        <f t="shared" si="79"/>
        <v>4: Engaged Early</v>
      </c>
    </row>
    <row r="1228" spans="1:15" ht="15" customHeight="1" x14ac:dyDescent="0.4">
      <c r="A1228" s="62" t="s">
        <v>824</v>
      </c>
      <c r="B1228" s="62" t="s">
        <v>1800</v>
      </c>
      <c r="C1228" s="62" t="s">
        <v>826</v>
      </c>
      <c r="D1228" s="63">
        <v>10</v>
      </c>
      <c r="E1228" s="63">
        <v>7</v>
      </c>
      <c r="F1228" s="63">
        <v>1</v>
      </c>
      <c r="G1228" s="64">
        <f t="shared" si="76"/>
        <v>0.7</v>
      </c>
      <c r="H1228" s="64">
        <f t="shared" si="77"/>
        <v>0.1</v>
      </c>
      <c r="I1228" s="63">
        <v>1</v>
      </c>
      <c r="J1228" s="65">
        <v>18.2</v>
      </c>
      <c r="K1228" s="65">
        <v>5.79</v>
      </c>
      <c r="L1228" s="62" t="s">
        <v>826</v>
      </c>
      <c r="M1228" s="63">
        <v>0</v>
      </c>
      <c r="N1228" s="66">
        <f t="shared" si="78"/>
        <v>6.2E-2</v>
      </c>
      <c r="O1228" s="62" t="str">
        <f t="shared" si="79"/>
        <v>2: High (No DBWT)</v>
      </c>
    </row>
    <row r="1229" spans="1:15" ht="15" customHeight="1" x14ac:dyDescent="0.4">
      <c r="A1229" s="62" t="s">
        <v>824</v>
      </c>
      <c r="B1229" s="62" t="s">
        <v>1801</v>
      </c>
      <c r="C1229" s="62" t="s">
        <v>826</v>
      </c>
      <c r="D1229" s="63">
        <v>12</v>
      </c>
      <c r="E1229" s="63">
        <v>9</v>
      </c>
      <c r="F1229" s="63">
        <v>1</v>
      </c>
      <c r="G1229" s="64">
        <f t="shared" si="76"/>
        <v>0.75</v>
      </c>
      <c r="H1229" s="64">
        <f t="shared" si="77"/>
        <v>8.3333333333333329E-2</v>
      </c>
      <c r="I1229" s="63">
        <v>2</v>
      </c>
      <c r="J1229" s="65">
        <v>90.8964</v>
      </c>
      <c r="K1229" s="65">
        <v>100</v>
      </c>
      <c r="L1229" s="62" t="s">
        <v>825</v>
      </c>
      <c r="M1229" s="63">
        <v>0</v>
      </c>
      <c r="N1229" s="66">
        <f t="shared" si="78"/>
        <v>0.98599999999999999</v>
      </c>
      <c r="O1229" s="62" t="str">
        <f t="shared" si="79"/>
        <v>4: Engaged Early</v>
      </c>
    </row>
    <row r="1230" spans="1:15" ht="15" customHeight="1" x14ac:dyDescent="0.4">
      <c r="A1230" s="62" t="s">
        <v>824</v>
      </c>
      <c r="B1230" s="62" t="s">
        <v>1802</v>
      </c>
      <c r="C1230" s="62" t="s">
        <v>826</v>
      </c>
      <c r="D1230" s="63">
        <v>13</v>
      </c>
      <c r="E1230" s="63">
        <v>11</v>
      </c>
      <c r="F1230" s="63">
        <v>3</v>
      </c>
      <c r="G1230" s="64">
        <f t="shared" si="76"/>
        <v>0.84615384615384615</v>
      </c>
      <c r="H1230" s="64">
        <f t="shared" si="77"/>
        <v>0.23076923076923078</v>
      </c>
      <c r="I1230" s="63">
        <v>2</v>
      </c>
      <c r="J1230" s="65">
        <v>91.497</v>
      </c>
      <c r="K1230" s="65">
        <v>53.6</v>
      </c>
      <c r="L1230" s="62" t="s">
        <v>825</v>
      </c>
      <c r="M1230" s="63">
        <v>0</v>
      </c>
      <c r="N1230" s="66">
        <f t="shared" si="78"/>
        <v>0.70899999999999996</v>
      </c>
      <c r="O1230" s="62" t="str">
        <f t="shared" si="79"/>
        <v>4: Engaged Early</v>
      </c>
    </row>
    <row r="1231" spans="1:15" ht="15" customHeight="1" x14ac:dyDescent="0.4">
      <c r="A1231" s="62" t="s">
        <v>824</v>
      </c>
      <c r="B1231" s="62" t="s">
        <v>237</v>
      </c>
      <c r="C1231" s="62" t="s">
        <v>826</v>
      </c>
      <c r="D1231" s="63">
        <v>15</v>
      </c>
      <c r="E1231" s="63">
        <v>15</v>
      </c>
      <c r="F1231" s="63">
        <v>3</v>
      </c>
      <c r="G1231" s="64">
        <f t="shared" si="76"/>
        <v>1</v>
      </c>
      <c r="H1231" s="64">
        <f t="shared" si="77"/>
        <v>0.2</v>
      </c>
      <c r="I1231" s="63">
        <v>1</v>
      </c>
      <c r="J1231" s="65">
        <v>86.48</v>
      </c>
      <c r="K1231" s="65">
        <v>80.16</v>
      </c>
      <c r="L1231" s="62" t="s">
        <v>825</v>
      </c>
      <c r="M1231" s="63">
        <v>3</v>
      </c>
      <c r="N1231" s="66">
        <f t="shared" si="78"/>
        <v>0.86099999999999999</v>
      </c>
      <c r="O1231" s="62" t="str">
        <f t="shared" si="79"/>
        <v>4: Engaged Early</v>
      </c>
    </row>
    <row r="1232" spans="1:15" ht="15" customHeight="1" x14ac:dyDescent="0.4">
      <c r="A1232" s="62" t="s">
        <v>824</v>
      </c>
      <c r="B1232" s="62" t="s">
        <v>1803</v>
      </c>
      <c r="C1232" s="62" t="s">
        <v>826</v>
      </c>
      <c r="D1232" s="63">
        <v>7</v>
      </c>
      <c r="E1232" s="63">
        <v>4</v>
      </c>
      <c r="F1232" s="63">
        <v>0</v>
      </c>
      <c r="G1232" s="64">
        <f t="shared" si="76"/>
        <v>0.5714285714285714</v>
      </c>
      <c r="H1232" s="64">
        <f t="shared" si="77"/>
        <v>0</v>
      </c>
      <c r="I1232" s="63">
        <v>2</v>
      </c>
      <c r="J1232" s="65">
        <v>92.795500000000004</v>
      </c>
      <c r="K1232" s="65">
        <v>100</v>
      </c>
      <c r="L1232" s="62" t="s">
        <v>825</v>
      </c>
      <c r="M1232" s="63">
        <v>0</v>
      </c>
      <c r="N1232" s="66">
        <f t="shared" si="78"/>
        <v>0.98899999999999999</v>
      </c>
      <c r="O1232" s="62" t="str">
        <f t="shared" si="79"/>
        <v>4: Engaged Early</v>
      </c>
    </row>
    <row r="1233" spans="1:15" ht="15" customHeight="1" x14ac:dyDescent="0.4">
      <c r="A1233" s="62" t="s">
        <v>824</v>
      </c>
      <c r="B1233" s="62" t="s">
        <v>1804</v>
      </c>
      <c r="C1233" s="62" t="s">
        <v>826</v>
      </c>
      <c r="D1233" s="63">
        <v>4</v>
      </c>
      <c r="E1233" s="63">
        <v>1</v>
      </c>
      <c r="F1233" s="63">
        <v>0</v>
      </c>
      <c r="G1233" s="64">
        <f t="shared" si="76"/>
        <v>0.25</v>
      </c>
      <c r="H1233" s="64">
        <f t="shared" si="77"/>
        <v>0</v>
      </c>
      <c r="I1233" s="63">
        <v>2</v>
      </c>
      <c r="J1233" s="65">
        <v>92.753349999999998</v>
      </c>
      <c r="K1233" s="65">
        <v>100</v>
      </c>
      <c r="L1233" s="62" t="s">
        <v>825</v>
      </c>
      <c r="M1233" s="63">
        <v>0</v>
      </c>
      <c r="N1233" s="66">
        <f t="shared" si="78"/>
        <v>0.98899999999999999</v>
      </c>
      <c r="O1233" s="62" t="str">
        <f t="shared" si="79"/>
        <v>4: Engaged Early</v>
      </c>
    </row>
    <row r="1234" spans="1:15" ht="15" customHeight="1" x14ac:dyDescent="0.4">
      <c r="A1234" s="62" t="s">
        <v>824</v>
      </c>
      <c r="B1234" s="62" t="s">
        <v>1805</v>
      </c>
      <c r="C1234" s="62" t="s">
        <v>826</v>
      </c>
      <c r="D1234" s="63">
        <v>15</v>
      </c>
      <c r="E1234" s="63">
        <v>8</v>
      </c>
      <c r="F1234" s="63">
        <v>5</v>
      </c>
      <c r="G1234" s="64">
        <f t="shared" si="76"/>
        <v>0.53333333333333333</v>
      </c>
      <c r="H1234" s="64">
        <f t="shared" si="77"/>
        <v>0.33333333333333331</v>
      </c>
      <c r="I1234" s="63">
        <v>2</v>
      </c>
      <c r="J1234" s="65">
        <v>97.689700000000002</v>
      </c>
      <c r="K1234" s="65">
        <v>100</v>
      </c>
      <c r="L1234" s="62" t="s">
        <v>825</v>
      </c>
      <c r="M1234" s="63">
        <v>0</v>
      </c>
      <c r="N1234" s="66">
        <f t="shared" si="78"/>
        <v>0.997</v>
      </c>
      <c r="O1234" s="62" t="str">
        <f t="shared" si="79"/>
        <v>4: Engaged Early</v>
      </c>
    </row>
    <row r="1235" spans="1:15" ht="15" customHeight="1" x14ac:dyDescent="0.4">
      <c r="A1235" s="62" t="s">
        <v>824</v>
      </c>
      <c r="B1235" s="62" t="s">
        <v>1806</v>
      </c>
      <c r="C1235" s="62" t="s">
        <v>826</v>
      </c>
      <c r="D1235" s="63">
        <v>12</v>
      </c>
      <c r="E1235" s="63">
        <v>10</v>
      </c>
      <c r="F1235" s="63">
        <v>3</v>
      </c>
      <c r="G1235" s="64">
        <f t="shared" si="76"/>
        <v>0.83333333333333337</v>
      </c>
      <c r="H1235" s="64">
        <f t="shared" si="77"/>
        <v>0.25</v>
      </c>
      <c r="I1235" s="63">
        <v>2</v>
      </c>
      <c r="J1235" s="65">
        <v>82.260599999999997</v>
      </c>
      <c r="K1235" s="65">
        <v>99.83</v>
      </c>
      <c r="L1235" s="62" t="s">
        <v>825</v>
      </c>
      <c r="M1235" s="63">
        <v>0</v>
      </c>
      <c r="N1235" s="66">
        <f t="shared" si="78"/>
        <v>0.97199999999999998</v>
      </c>
      <c r="O1235" s="62" t="str">
        <f t="shared" si="79"/>
        <v>4: Engaged Early</v>
      </c>
    </row>
    <row r="1236" spans="1:15" ht="15" customHeight="1" x14ac:dyDescent="0.4">
      <c r="A1236" s="62" t="s">
        <v>824</v>
      </c>
      <c r="B1236" s="62" t="s">
        <v>1807</v>
      </c>
      <c r="C1236" s="62" t="s">
        <v>826</v>
      </c>
      <c r="D1236" s="63">
        <v>4</v>
      </c>
      <c r="E1236" s="63">
        <v>2</v>
      </c>
      <c r="F1236" s="63">
        <v>0</v>
      </c>
      <c r="G1236" s="64">
        <f t="shared" si="76"/>
        <v>0.5</v>
      </c>
      <c r="H1236" s="64">
        <f t="shared" si="77"/>
        <v>0</v>
      </c>
      <c r="I1236" s="63">
        <v>2</v>
      </c>
      <c r="J1236" s="65">
        <v>78.331249999999997</v>
      </c>
      <c r="K1236" s="65">
        <v>90.21</v>
      </c>
      <c r="L1236" s="62" t="s">
        <v>825</v>
      </c>
      <c r="M1236" s="63">
        <v>0</v>
      </c>
      <c r="N1236" s="66">
        <f t="shared" si="78"/>
        <v>0.90900000000000003</v>
      </c>
      <c r="O1236" s="62" t="str">
        <f t="shared" si="79"/>
        <v>4: Engaged Early</v>
      </c>
    </row>
    <row r="1237" spans="1:15" ht="15" customHeight="1" x14ac:dyDescent="0.4">
      <c r="A1237" s="62" t="s">
        <v>824</v>
      </c>
      <c r="B1237" s="62" t="s">
        <v>1808</v>
      </c>
      <c r="C1237" s="62" t="s">
        <v>826</v>
      </c>
      <c r="D1237" s="63">
        <v>13</v>
      </c>
      <c r="E1237" s="63">
        <v>13</v>
      </c>
      <c r="F1237" s="63">
        <v>2</v>
      </c>
      <c r="G1237" s="64">
        <f t="shared" si="76"/>
        <v>1</v>
      </c>
      <c r="H1237" s="64">
        <f t="shared" si="77"/>
        <v>0.15384615384615385</v>
      </c>
      <c r="I1237" s="63">
        <v>2</v>
      </c>
      <c r="J1237" s="65">
        <v>78.346649999999997</v>
      </c>
      <c r="K1237" s="65">
        <v>99.78</v>
      </c>
      <c r="L1237" s="62" t="s">
        <v>825</v>
      </c>
      <c r="M1237" s="63">
        <v>0</v>
      </c>
      <c r="N1237" s="66">
        <f t="shared" si="78"/>
        <v>0.96599999999999997</v>
      </c>
      <c r="O1237" s="62" t="str">
        <f t="shared" si="79"/>
        <v>4: Engaged Early</v>
      </c>
    </row>
    <row r="1238" spans="1:15" ht="15" customHeight="1" x14ac:dyDescent="0.4">
      <c r="A1238" s="62" t="s">
        <v>824</v>
      </c>
      <c r="B1238" s="62" t="s">
        <v>1809</v>
      </c>
      <c r="C1238" s="62" t="s">
        <v>826</v>
      </c>
      <c r="D1238" s="63">
        <v>4</v>
      </c>
      <c r="E1238" s="63">
        <v>3</v>
      </c>
      <c r="F1238" s="63">
        <v>0</v>
      </c>
      <c r="G1238" s="64">
        <f t="shared" si="76"/>
        <v>0.75</v>
      </c>
      <c r="H1238" s="64">
        <f t="shared" si="77"/>
        <v>0</v>
      </c>
      <c r="I1238" s="63">
        <v>2</v>
      </c>
      <c r="J1238" s="65">
        <v>47.418205</v>
      </c>
      <c r="K1238" s="65">
        <v>85.98</v>
      </c>
      <c r="L1238" s="62" t="s">
        <v>825</v>
      </c>
      <c r="M1238" s="63">
        <v>1</v>
      </c>
      <c r="N1238" s="66">
        <f t="shared" si="78"/>
        <v>0.83699999999999997</v>
      </c>
      <c r="O1238" s="62" t="str">
        <f t="shared" si="79"/>
        <v>4: Engaged Early</v>
      </c>
    </row>
    <row r="1239" spans="1:15" ht="15" customHeight="1" x14ac:dyDescent="0.4">
      <c r="A1239" s="62" t="s">
        <v>824</v>
      </c>
      <c r="B1239" s="62" t="s">
        <v>710</v>
      </c>
      <c r="C1239" s="62" t="s">
        <v>825</v>
      </c>
      <c r="D1239" s="63">
        <v>17</v>
      </c>
      <c r="E1239" s="63">
        <v>15</v>
      </c>
      <c r="F1239" s="63">
        <v>2</v>
      </c>
      <c r="G1239" s="64">
        <f t="shared" si="76"/>
        <v>0.88235294117647056</v>
      </c>
      <c r="H1239" s="64">
        <f t="shared" si="77"/>
        <v>0.11764705882352941</v>
      </c>
      <c r="I1239" s="63">
        <v>2</v>
      </c>
      <c r="J1239" s="65">
        <v>82.279250000000005</v>
      </c>
      <c r="K1239" s="65">
        <v>48.42</v>
      </c>
      <c r="L1239" s="62" t="s">
        <v>825</v>
      </c>
      <c r="M1239" s="63">
        <v>1</v>
      </c>
      <c r="N1239" s="66">
        <f t="shared" si="78"/>
        <v>0.66400000000000003</v>
      </c>
      <c r="O1239" s="62" t="str">
        <f t="shared" si="79"/>
        <v>4: Engaged Early</v>
      </c>
    </row>
    <row r="1240" spans="1:15" ht="15" customHeight="1" x14ac:dyDescent="0.4">
      <c r="A1240" s="62" t="s">
        <v>824</v>
      </c>
      <c r="B1240" s="62" t="s">
        <v>1810</v>
      </c>
      <c r="C1240" s="62" t="s">
        <v>826</v>
      </c>
      <c r="D1240" s="63">
        <v>12</v>
      </c>
      <c r="E1240" s="63">
        <v>10</v>
      </c>
      <c r="F1240" s="63">
        <v>3</v>
      </c>
      <c r="G1240" s="64">
        <f t="shared" si="76"/>
        <v>0.83333333333333337</v>
      </c>
      <c r="H1240" s="64">
        <f t="shared" si="77"/>
        <v>0.25</v>
      </c>
      <c r="I1240" s="63">
        <v>2</v>
      </c>
      <c r="J1240" s="65">
        <v>99.91</v>
      </c>
      <c r="K1240" s="65">
        <v>100</v>
      </c>
      <c r="L1240" s="62" t="s">
        <v>825</v>
      </c>
      <c r="M1240" s="63">
        <v>0</v>
      </c>
      <c r="N1240" s="66">
        <f t="shared" si="78"/>
        <v>1</v>
      </c>
      <c r="O1240" s="62" t="str">
        <f t="shared" si="79"/>
        <v>4: Engaged Early</v>
      </c>
    </row>
    <row r="1241" spans="1:15" ht="15" customHeight="1" x14ac:dyDescent="0.4">
      <c r="A1241" s="62" t="s">
        <v>824</v>
      </c>
      <c r="B1241" s="62" t="s">
        <v>675</v>
      </c>
      <c r="C1241" s="62" t="s">
        <v>825</v>
      </c>
      <c r="D1241" s="63">
        <v>1</v>
      </c>
      <c r="E1241" s="63">
        <v>0</v>
      </c>
      <c r="F1241" s="63">
        <v>0</v>
      </c>
      <c r="G1241" s="64">
        <f t="shared" si="76"/>
        <v>0</v>
      </c>
      <c r="H1241" s="64">
        <f t="shared" si="77"/>
        <v>0</v>
      </c>
      <c r="I1241" s="63">
        <v>2</v>
      </c>
      <c r="J1241" s="65">
        <v>91.018600000000006</v>
      </c>
      <c r="K1241" s="65">
        <v>30.54</v>
      </c>
      <c r="L1241" s="62" t="s">
        <v>825</v>
      </c>
      <c r="M1241" s="63">
        <v>0</v>
      </c>
      <c r="N1241" s="66">
        <f t="shared" si="78"/>
        <v>0.56999999999999995</v>
      </c>
      <c r="O1241" s="62" t="str">
        <f t="shared" si="79"/>
        <v>4: Engaged Early</v>
      </c>
    </row>
    <row r="1242" spans="1:15" ht="15" customHeight="1" x14ac:dyDescent="0.4">
      <c r="A1242" s="62" t="s">
        <v>824</v>
      </c>
      <c r="B1242" s="62" t="s">
        <v>1811</v>
      </c>
      <c r="C1242" s="62" t="s">
        <v>826</v>
      </c>
      <c r="D1242" s="63">
        <v>18</v>
      </c>
      <c r="E1242" s="63">
        <v>14</v>
      </c>
      <c r="F1242" s="63">
        <v>8</v>
      </c>
      <c r="G1242" s="64">
        <f t="shared" si="76"/>
        <v>0.77777777777777779</v>
      </c>
      <c r="H1242" s="64">
        <f t="shared" si="77"/>
        <v>0.44444444444444442</v>
      </c>
      <c r="I1242" s="63">
        <v>2</v>
      </c>
      <c r="J1242" s="65">
        <v>92.576300000000003</v>
      </c>
      <c r="K1242" s="65">
        <v>100</v>
      </c>
      <c r="L1242" s="62" t="s">
        <v>825</v>
      </c>
      <c r="M1242" s="63">
        <v>0</v>
      </c>
      <c r="N1242" s="66">
        <f t="shared" si="78"/>
        <v>0.98899999999999999</v>
      </c>
      <c r="O1242" s="62" t="str">
        <f t="shared" si="79"/>
        <v>4: Engaged Early</v>
      </c>
    </row>
    <row r="1243" spans="1:15" ht="15" customHeight="1" x14ac:dyDescent="0.4">
      <c r="A1243" s="62" t="s">
        <v>824</v>
      </c>
      <c r="B1243" s="62" t="s">
        <v>1812</v>
      </c>
      <c r="C1243" s="62" t="s">
        <v>826</v>
      </c>
      <c r="D1243" s="63">
        <v>13</v>
      </c>
      <c r="E1243" s="63">
        <v>12</v>
      </c>
      <c r="F1243" s="63">
        <v>1</v>
      </c>
      <c r="G1243" s="64">
        <f t="shared" si="76"/>
        <v>0.92307692307692313</v>
      </c>
      <c r="H1243" s="64">
        <f t="shared" si="77"/>
        <v>7.6923076923076927E-2</v>
      </c>
      <c r="I1243" s="63">
        <v>2</v>
      </c>
      <c r="J1243" s="65">
        <v>86.619450000000001</v>
      </c>
      <c r="K1243" s="65">
        <v>100</v>
      </c>
      <c r="L1243" s="62" t="s">
        <v>825</v>
      </c>
      <c r="M1243" s="63">
        <v>0</v>
      </c>
      <c r="N1243" s="66">
        <f t="shared" si="78"/>
        <v>0.98</v>
      </c>
      <c r="O1243" s="62" t="str">
        <f t="shared" si="79"/>
        <v>4: Engaged Early</v>
      </c>
    </row>
    <row r="1244" spans="1:15" ht="15" customHeight="1" x14ac:dyDescent="0.4">
      <c r="A1244" s="62" t="s">
        <v>824</v>
      </c>
      <c r="B1244" s="62" t="s">
        <v>1813</v>
      </c>
      <c r="C1244" s="62" t="s">
        <v>826</v>
      </c>
      <c r="D1244" s="63">
        <v>0</v>
      </c>
      <c r="E1244" s="63">
        <v>0</v>
      </c>
      <c r="F1244" s="63">
        <v>0</v>
      </c>
      <c r="G1244" s="64">
        <f t="shared" si="76"/>
        <v>0</v>
      </c>
      <c r="H1244" s="64">
        <f t="shared" si="77"/>
        <v>0</v>
      </c>
      <c r="I1244" s="63">
        <v>1</v>
      </c>
      <c r="J1244" s="65">
        <v>69.75</v>
      </c>
      <c r="K1244" s="65">
        <v>32.299999999999997</v>
      </c>
      <c r="L1244" s="62" t="s">
        <v>840</v>
      </c>
      <c r="M1244" s="63">
        <v>0</v>
      </c>
      <c r="N1244" s="66">
        <f t="shared" si="78"/>
        <v>0.373</v>
      </c>
      <c r="O1244" s="62" t="str">
        <f t="shared" si="79"/>
        <v>4: Engaged Early</v>
      </c>
    </row>
    <row r="1245" spans="1:15" ht="15" customHeight="1" x14ac:dyDescent="0.4">
      <c r="A1245" s="62" t="s">
        <v>824</v>
      </c>
      <c r="B1245" s="62" t="s">
        <v>1814</v>
      </c>
      <c r="C1245" s="62" t="s">
        <v>826</v>
      </c>
      <c r="D1245" s="63">
        <v>16</v>
      </c>
      <c r="E1245" s="63">
        <v>9</v>
      </c>
      <c r="F1245" s="63">
        <v>0</v>
      </c>
      <c r="G1245" s="64">
        <f t="shared" si="76"/>
        <v>0.5625</v>
      </c>
      <c r="H1245" s="64">
        <f t="shared" si="77"/>
        <v>0</v>
      </c>
      <c r="I1245" s="63">
        <v>2</v>
      </c>
      <c r="J1245" s="65">
        <v>98.305250000000001</v>
      </c>
      <c r="K1245" s="65">
        <v>100</v>
      </c>
      <c r="L1245" s="62" t="s">
        <v>825</v>
      </c>
      <c r="M1245" s="63">
        <v>0</v>
      </c>
      <c r="N1245" s="66">
        <f t="shared" si="78"/>
        <v>0.997</v>
      </c>
      <c r="O1245" s="62" t="str">
        <f t="shared" si="79"/>
        <v>4: Engaged Early</v>
      </c>
    </row>
    <row r="1246" spans="1:15" ht="15" customHeight="1" x14ac:dyDescent="0.4">
      <c r="A1246" s="62" t="s">
        <v>824</v>
      </c>
      <c r="B1246" s="62" t="s">
        <v>1815</v>
      </c>
      <c r="C1246" s="62" t="s">
        <v>826</v>
      </c>
      <c r="D1246" s="63">
        <v>13</v>
      </c>
      <c r="E1246" s="63">
        <v>10</v>
      </c>
      <c r="F1246" s="63">
        <v>0</v>
      </c>
      <c r="G1246" s="64">
        <f t="shared" si="76"/>
        <v>0.76923076923076927</v>
      </c>
      <c r="H1246" s="64">
        <f t="shared" si="77"/>
        <v>0</v>
      </c>
      <c r="I1246" s="63">
        <v>2</v>
      </c>
      <c r="J1246" s="65">
        <v>93.367350000000002</v>
      </c>
      <c r="K1246" s="65">
        <v>93.89</v>
      </c>
      <c r="L1246" s="62" t="s">
        <v>825</v>
      </c>
      <c r="M1246" s="63">
        <v>0</v>
      </c>
      <c r="N1246" s="66">
        <f t="shared" si="78"/>
        <v>0.95299999999999996</v>
      </c>
      <c r="O1246" s="62" t="str">
        <f t="shared" si="79"/>
        <v>4: Engaged Early</v>
      </c>
    </row>
    <row r="1247" spans="1:15" ht="15" customHeight="1" x14ac:dyDescent="0.4">
      <c r="A1247" s="62" t="s">
        <v>824</v>
      </c>
      <c r="B1247" s="62" t="s">
        <v>1816</v>
      </c>
      <c r="C1247" s="62" t="s">
        <v>826</v>
      </c>
      <c r="D1247" s="63">
        <v>13</v>
      </c>
      <c r="E1247" s="63">
        <v>13</v>
      </c>
      <c r="F1247" s="63">
        <v>0</v>
      </c>
      <c r="G1247" s="64">
        <f t="shared" si="76"/>
        <v>1</v>
      </c>
      <c r="H1247" s="64">
        <f t="shared" si="77"/>
        <v>0</v>
      </c>
      <c r="I1247" s="63">
        <v>2</v>
      </c>
      <c r="J1247" s="65">
        <v>44.688070000000003</v>
      </c>
      <c r="K1247" s="65">
        <v>87.97</v>
      </c>
      <c r="L1247" s="62" t="s">
        <v>825</v>
      </c>
      <c r="M1247" s="63">
        <v>0</v>
      </c>
      <c r="N1247" s="66">
        <f t="shared" si="78"/>
        <v>0.84499999999999997</v>
      </c>
      <c r="O1247" s="62" t="str">
        <f t="shared" si="79"/>
        <v>4: Engaged Early</v>
      </c>
    </row>
    <row r="1248" spans="1:15" ht="15" customHeight="1" x14ac:dyDescent="0.4">
      <c r="A1248" s="62" t="s">
        <v>824</v>
      </c>
      <c r="B1248" s="62" t="s">
        <v>1817</v>
      </c>
      <c r="C1248" s="62" t="s">
        <v>826</v>
      </c>
      <c r="D1248" s="63">
        <v>12</v>
      </c>
      <c r="E1248" s="63">
        <v>3</v>
      </c>
      <c r="F1248" s="63">
        <v>0</v>
      </c>
      <c r="G1248" s="64">
        <f t="shared" si="76"/>
        <v>0.25</v>
      </c>
      <c r="H1248" s="64">
        <f t="shared" si="77"/>
        <v>0</v>
      </c>
      <c r="I1248" s="63">
        <v>2</v>
      </c>
      <c r="J1248" s="65">
        <v>87.720950000000002</v>
      </c>
      <c r="K1248" s="65">
        <v>99.05</v>
      </c>
      <c r="L1248" s="62" t="s">
        <v>825</v>
      </c>
      <c r="M1248" s="63">
        <v>0</v>
      </c>
      <c r="N1248" s="66">
        <f t="shared" si="78"/>
        <v>0.97599999999999998</v>
      </c>
      <c r="O1248" s="62" t="str">
        <f t="shared" si="79"/>
        <v>4: Engaged Early</v>
      </c>
    </row>
    <row r="1249" spans="1:15" ht="15" customHeight="1" x14ac:dyDescent="0.4">
      <c r="A1249" s="62" t="s">
        <v>824</v>
      </c>
      <c r="B1249" s="62" t="s">
        <v>1818</v>
      </c>
      <c r="C1249" s="62" t="s">
        <v>826</v>
      </c>
      <c r="D1249" s="63">
        <v>14</v>
      </c>
      <c r="E1249" s="63">
        <v>12</v>
      </c>
      <c r="F1249" s="63">
        <v>1</v>
      </c>
      <c r="G1249" s="64">
        <f t="shared" si="76"/>
        <v>0.8571428571428571</v>
      </c>
      <c r="H1249" s="64">
        <f t="shared" si="77"/>
        <v>7.1428571428571425E-2</v>
      </c>
      <c r="I1249" s="63">
        <v>2</v>
      </c>
      <c r="J1249" s="65">
        <v>77.960350000000005</v>
      </c>
      <c r="K1249" s="65">
        <v>95.94</v>
      </c>
      <c r="L1249" s="62" t="s">
        <v>825</v>
      </c>
      <c r="M1249" s="63">
        <v>0</v>
      </c>
      <c r="N1249" s="66">
        <f t="shared" si="78"/>
        <v>0.94299999999999995</v>
      </c>
      <c r="O1249" s="62" t="str">
        <f t="shared" si="79"/>
        <v>4: Engaged Early</v>
      </c>
    </row>
    <row r="1250" spans="1:15" ht="15" customHeight="1" x14ac:dyDescent="0.4">
      <c r="A1250" s="62" t="s">
        <v>824</v>
      </c>
      <c r="B1250" s="62" t="s">
        <v>1819</v>
      </c>
      <c r="C1250" s="62" t="s">
        <v>826</v>
      </c>
      <c r="D1250" s="63">
        <v>13</v>
      </c>
      <c r="E1250" s="63">
        <v>12</v>
      </c>
      <c r="F1250" s="63">
        <v>0</v>
      </c>
      <c r="G1250" s="64">
        <f t="shared" si="76"/>
        <v>0.92307692307692313</v>
      </c>
      <c r="H1250" s="64">
        <f t="shared" si="77"/>
        <v>0</v>
      </c>
      <c r="I1250" s="63">
        <v>1</v>
      </c>
      <c r="J1250" s="65">
        <v>74.459999999999994</v>
      </c>
      <c r="K1250" s="65">
        <v>86.63</v>
      </c>
      <c r="L1250" s="62" t="s">
        <v>825</v>
      </c>
      <c r="M1250" s="63">
        <v>0</v>
      </c>
      <c r="N1250" s="66">
        <f t="shared" si="78"/>
        <v>0.88100000000000001</v>
      </c>
      <c r="O1250" s="62" t="str">
        <f t="shared" si="79"/>
        <v>4: Engaged Early</v>
      </c>
    </row>
    <row r="1251" spans="1:15" ht="15" customHeight="1" x14ac:dyDescent="0.4">
      <c r="A1251" s="62" t="s">
        <v>824</v>
      </c>
      <c r="B1251" s="62" t="s">
        <v>1820</v>
      </c>
      <c r="C1251" s="62" t="s">
        <v>826</v>
      </c>
      <c r="D1251" s="63">
        <v>8</v>
      </c>
      <c r="E1251" s="63">
        <v>4</v>
      </c>
      <c r="F1251" s="63">
        <v>0</v>
      </c>
      <c r="G1251" s="64">
        <f t="shared" si="76"/>
        <v>0.5</v>
      </c>
      <c r="H1251" s="64">
        <f t="shared" si="77"/>
        <v>0</v>
      </c>
      <c r="I1251" s="63">
        <v>2</v>
      </c>
      <c r="J1251" s="65">
        <v>65.319800000000001</v>
      </c>
      <c r="K1251" s="65">
        <v>92.35</v>
      </c>
      <c r="L1251" s="62" t="s">
        <v>826</v>
      </c>
      <c r="M1251" s="63">
        <v>0</v>
      </c>
      <c r="N1251" s="66">
        <f t="shared" si="78"/>
        <v>0.65200000000000002</v>
      </c>
      <c r="O1251" s="62" t="str">
        <f t="shared" si="79"/>
        <v>2: High (No DBWT)</v>
      </c>
    </row>
    <row r="1252" spans="1:15" ht="15" customHeight="1" x14ac:dyDescent="0.4">
      <c r="A1252" s="62" t="s">
        <v>824</v>
      </c>
      <c r="B1252" s="62" t="s">
        <v>1821</v>
      </c>
      <c r="C1252" s="62" t="s">
        <v>826</v>
      </c>
      <c r="D1252" s="63">
        <v>12</v>
      </c>
      <c r="E1252" s="63">
        <v>9</v>
      </c>
      <c r="F1252" s="63">
        <v>1</v>
      </c>
      <c r="G1252" s="64">
        <f t="shared" si="76"/>
        <v>0.75</v>
      </c>
      <c r="H1252" s="64">
        <f t="shared" si="77"/>
        <v>8.3333333333333329E-2</v>
      </c>
      <c r="I1252" s="63">
        <v>2</v>
      </c>
      <c r="J1252" s="65">
        <v>92.41</v>
      </c>
      <c r="K1252" s="65">
        <v>99.99</v>
      </c>
      <c r="L1252" s="62" t="s">
        <v>825</v>
      </c>
      <c r="M1252" s="63">
        <v>0</v>
      </c>
      <c r="N1252" s="66">
        <f t="shared" si="78"/>
        <v>0.98899999999999999</v>
      </c>
      <c r="O1252" s="62" t="str">
        <f t="shared" si="79"/>
        <v>4: Engaged Early</v>
      </c>
    </row>
    <row r="1253" spans="1:15" ht="15" customHeight="1" x14ac:dyDescent="0.4">
      <c r="A1253" s="62" t="s">
        <v>824</v>
      </c>
      <c r="B1253" s="62" t="s">
        <v>1822</v>
      </c>
      <c r="C1253" s="62" t="s">
        <v>826</v>
      </c>
      <c r="D1253" s="63">
        <v>6</v>
      </c>
      <c r="E1253" s="63">
        <v>6</v>
      </c>
      <c r="F1253" s="63">
        <v>0</v>
      </c>
      <c r="G1253" s="64">
        <f t="shared" si="76"/>
        <v>1</v>
      </c>
      <c r="H1253" s="64">
        <f t="shared" si="77"/>
        <v>0</v>
      </c>
      <c r="I1253" s="63">
        <v>2</v>
      </c>
      <c r="J1253" s="65">
        <v>94.027100000000004</v>
      </c>
      <c r="K1253" s="65">
        <v>100</v>
      </c>
      <c r="L1253" s="62" t="s">
        <v>825</v>
      </c>
      <c r="M1253" s="63">
        <v>0</v>
      </c>
      <c r="N1253" s="66">
        <f t="shared" si="78"/>
        <v>0.99099999999999999</v>
      </c>
      <c r="O1253" s="62" t="str">
        <f t="shared" si="79"/>
        <v>4: Engaged Early</v>
      </c>
    </row>
    <row r="1254" spans="1:15" ht="15" customHeight="1" x14ac:dyDescent="0.4">
      <c r="A1254" s="62" t="s">
        <v>824</v>
      </c>
      <c r="B1254" s="62" t="s">
        <v>1823</v>
      </c>
      <c r="C1254" s="62" t="s">
        <v>826</v>
      </c>
      <c r="D1254" s="63">
        <v>10</v>
      </c>
      <c r="E1254" s="63">
        <v>8</v>
      </c>
      <c r="F1254" s="63">
        <v>3</v>
      </c>
      <c r="G1254" s="64">
        <f t="shared" si="76"/>
        <v>0.8</v>
      </c>
      <c r="H1254" s="64">
        <f t="shared" si="77"/>
        <v>0.3</v>
      </c>
      <c r="I1254" s="63">
        <v>2</v>
      </c>
      <c r="J1254" s="65">
        <v>94.328100000000006</v>
      </c>
      <c r="K1254" s="65">
        <v>99.49</v>
      </c>
      <c r="L1254" s="62" t="s">
        <v>825</v>
      </c>
      <c r="M1254" s="63">
        <v>0</v>
      </c>
      <c r="N1254" s="66">
        <f t="shared" si="78"/>
        <v>0.98799999999999999</v>
      </c>
      <c r="O1254" s="62" t="str">
        <f t="shared" si="79"/>
        <v>4: Engaged Early</v>
      </c>
    </row>
    <row r="1255" spans="1:15" ht="15" customHeight="1" x14ac:dyDescent="0.4">
      <c r="A1255" s="62" t="s">
        <v>824</v>
      </c>
      <c r="B1255" s="62" t="s">
        <v>1824</v>
      </c>
      <c r="C1255" s="62" t="s">
        <v>826</v>
      </c>
      <c r="D1255" s="63">
        <v>26</v>
      </c>
      <c r="E1255" s="63">
        <v>17</v>
      </c>
      <c r="F1255" s="63">
        <v>4</v>
      </c>
      <c r="G1255" s="64">
        <f t="shared" si="76"/>
        <v>0.65384615384615385</v>
      </c>
      <c r="H1255" s="64">
        <f t="shared" si="77"/>
        <v>0.15384615384615385</v>
      </c>
      <c r="I1255" s="63">
        <v>2</v>
      </c>
      <c r="J1255" s="65">
        <v>99.765000000000001</v>
      </c>
      <c r="K1255" s="65">
        <v>100</v>
      </c>
      <c r="L1255" s="62" t="s">
        <v>825</v>
      </c>
      <c r="M1255" s="63">
        <v>0</v>
      </c>
      <c r="N1255" s="66">
        <f t="shared" si="78"/>
        <v>1</v>
      </c>
      <c r="O1255" s="62" t="str">
        <f t="shared" si="79"/>
        <v>4: Engaged Early</v>
      </c>
    </row>
    <row r="1256" spans="1:15" ht="15" customHeight="1" x14ac:dyDescent="0.4">
      <c r="A1256" s="62" t="s">
        <v>824</v>
      </c>
      <c r="B1256" s="62" t="s">
        <v>1825</v>
      </c>
      <c r="C1256" s="62" t="s">
        <v>826</v>
      </c>
      <c r="D1256" s="63">
        <v>16</v>
      </c>
      <c r="E1256" s="63">
        <v>16</v>
      </c>
      <c r="F1256" s="63">
        <v>7</v>
      </c>
      <c r="G1256" s="64">
        <f t="shared" si="76"/>
        <v>1</v>
      </c>
      <c r="H1256" s="64">
        <f t="shared" si="77"/>
        <v>0.4375</v>
      </c>
      <c r="I1256" s="63">
        <v>2</v>
      </c>
      <c r="J1256" s="65">
        <v>91.250299999999996</v>
      </c>
      <c r="K1256" s="65">
        <v>100</v>
      </c>
      <c r="L1256" s="62" t="s">
        <v>825</v>
      </c>
      <c r="M1256" s="63">
        <v>0</v>
      </c>
      <c r="N1256" s="66">
        <f t="shared" si="78"/>
        <v>0.98699999999999999</v>
      </c>
      <c r="O1256" s="62" t="str">
        <f t="shared" si="79"/>
        <v>4: Engaged Early</v>
      </c>
    </row>
    <row r="1257" spans="1:15" ht="15" customHeight="1" x14ac:dyDescent="0.4">
      <c r="A1257" s="62" t="s">
        <v>824</v>
      </c>
      <c r="B1257" s="62" t="s">
        <v>1826</v>
      </c>
      <c r="C1257" s="62" t="s">
        <v>826</v>
      </c>
      <c r="D1257" s="63">
        <v>23</v>
      </c>
      <c r="E1257" s="63">
        <v>17</v>
      </c>
      <c r="F1257" s="63">
        <v>2</v>
      </c>
      <c r="G1257" s="64">
        <f t="shared" si="76"/>
        <v>0.73913043478260865</v>
      </c>
      <c r="H1257" s="64">
        <f t="shared" si="77"/>
        <v>8.6956521739130432E-2</v>
      </c>
      <c r="I1257" s="63">
        <v>2</v>
      </c>
      <c r="J1257" s="65">
        <v>98.715599999999995</v>
      </c>
      <c r="K1257" s="65">
        <v>100</v>
      </c>
      <c r="L1257" s="62" t="s">
        <v>825</v>
      </c>
      <c r="M1257" s="63">
        <v>0</v>
      </c>
      <c r="N1257" s="66">
        <f t="shared" si="78"/>
        <v>0.998</v>
      </c>
      <c r="O1257" s="62" t="str">
        <f t="shared" si="79"/>
        <v>4: Engaged Early</v>
      </c>
    </row>
    <row r="1258" spans="1:15" ht="15" customHeight="1" x14ac:dyDescent="0.4">
      <c r="A1258" s="62" t="s">
        <v>824</v>
      </c>
      <c r="B1258" s="62" t="s">
        <v>1827</v>
      </c>
      <c r="C1258" s="62" t="s">
        <v>826</v>
      </c>
      <c r="D1258" s="63">
        <v>5</v>
      </c>
      <c r="E1258" s="63">
        <v>1</v>
      </c>
      <c r="F1258" s="63">
        <v>0</v>
      </c>
      <c r="G1258" s="64">
        <f t="shared" si="76"/>
        <v>0.2</v>
      </c>
      <c r="H1258" s="64">
        <f t="shared" si="77"/>
        <v>0</v>
      </c>
      <c r="I1258" s="63">
        <v>2</v>
      </c>
      <c r="J1258" s="65">
        <v>93.777150000000006</v>
      </c>
      <c r="K1258" s="65">
        <v>84.93</v>
      </c>
      <c r="L1258" s="62" t="s">
        <v>825</v>
      </c>
      <c r="M1258" s="63">
        <v>0</v>
      </c>
      <c r="N1258" s="66">
        <f t="shared" si="78"/>
        <v>0.9</v>
      </c>
      <c r="O1258" s="62" t="str">
        <f t="shared" si="79"/>
        <v>4: Engaged Early</v>
      </c>
    </row>
    <row r="1259" spans="1:15" ht="15" customHeight="1" x14ac:dyDescent="0.4">
      <c r="A1259" s="62" t="s">
        <v>824</v>
      </c>
      <c r="B1259" s="62" t="s">
        <v>1828</v>
      </c>
      <c r="C1259" s="62" t="s">
        <v>826</v>
      </c>
      <c r="D1259" s="63">
        <v>10</v>
      </c>
      <c r="E1259" s="63">
        <v>8</v>
      </c>
      <c r="F1259" s="63">
        <v>1</v>
      </c>
      <c r="G1259" s="64">
        <f t="shared" si="76"/>
        <v>0.8</v>
      </c>
      <c r="H1259" s="64">
        <f t="shared" si="77"/>
        <v>0.1</v>
      </c>
      <c r="I1259" s="63">
        <v>2</v>
      </c>
      <c r="J1259" s="65">
        <v>88.217100000000002</v>
      </c>
      <c r="K1259" s="65">
        <v>100</v>
      </c>
      <c r="L1259" s="62" t="s">
        <v>825</v>
      </c>
      <c r="M1259" s="63">
        <v>0</v>
      </c>
      <c r="N1259" s="66">
        <f t="shared" si="78"/>
        <v>0.98199999999999998</v>
      </c>
      <c r="O1259" s="62" t="str">
        <f t="shared" si="79"/>
        <v>4: Engaged Early</v>
      </c>
    </row>
    <row r="1260" spans="1:15" ht="15" customHeight="1" x14ac:dyDescent="0.4">
      <c r="A1260" s="62" t="s">
        <v>824</v>
      </c>
      <c r="B1260" s="62" t="s">
        <v>1829</v>
      </c>
      <c r="C1260" s="62" t="s">
        <v>826</v>
      </c>
      <c r="D1260" s="63">
        <v>9</v>
      </c>
      <c r="E1260" s="63">
        <v>6</v>
      </c>
      <c r="F1260" s="63">
        <v>2</v>
      </c>
      <c r="G1260" s="64">
        <f t="shared" si="76"/>
        <v>0.66666666666666663</v>
      </c>
      <c r="H1260" s="64">
        <f t="shared" si="77"/>
        <v>0.22222222222222221</v>
      </c>
      <c r="I1260" s="63">
        <v>2</v>
      </c>
      <c r="J1260" s="65">
        <v>97.894199999999998</v>
      </c>
      <c r="K1260" s="65">
        <v>93.03</v>
      </c>
      <c r="L1260" s="62" t="s">
        <v>826</v>
      </c>
      <c r="M1260" s="63">
        <v>0</v>
      </c>
      <c r="N1260" s="66">
        <f t="shared" si="78"/>
        <v>0.70499999999999996</v>
      </c>
      <c r="O1260" s="62" t="str">
        <f t="shared" si="79"/>
        <v>2: High (No DBWT)</v>
      </c>
    </row>
    <row r="1261" spans="1:15" ht="15" customHeight="1" x14ac:dyDescent="0.4">
      <c r="A1261" s="62" t="s">
        <v>824</v>
      </c>
      <c r="B1261" s="62" t="s">
        <v>1830</v>
      </c>
      <c r="C1261" s="62" t="s">
        <v>826</v>
      </c>
      <c r="D1261" s="63">
        <v>13</v>
      </c>
      <c r="E1261" s="63">
        <v>8</v>
      </c>
      <c r="F1261" s="63">
        <v>3</v>
      </c>
      <c r="G1261" s="64">
        <f t="shared" si="76"/>
        <v>0.61538461538461542</v>
      </c>
      <c r="H1261" s="64">
        <f t="shared" si="77"/>
        <v>0.23076923076923078</v>
      </c>
      <c r="I1261" s="63">
        <v>2</v>
      </c>
      <c r="J1261" s="65">
        <v>71.049049999999994</v>
      </c>
      <c r="K1261" s="65">
        <v>75.06</v>
      </c>
      <c r="L1261" s="62" t="s">
        <v>826</v>
      </c>
      <c r="M1261" s="63">
        <v>0</v>
      </c>
      <c r="N1261" s="66">
        <f t="shared" si="78"/>
        <v>0.55700000000000005</v>
      </c>
      <c r="O1261" s="62" t="str">
        <f t="shared" si="79"/>
        <v>2: High (No DBWT)</v>
      </c>
    </row>
    <row r="1262" spans="1:15" ht="15" customHeight="1" x14ac:dyDescent="0.4">
      <c r="A1262" s="62" t="s">
        <v>824</v>
      </c>
      <c r="B1262" s="62" t="s">
        <v>1831</v>
      </c>
      <c r="C1262" s="62" t="s">
        <v>826</v>
      </c>
      <c r="D1262" s="63">
        <v>19</v>
      </c>
      <c r="E1262" s="63">
        <v>10</v>
      </c>
      <c r="F1262" s="63">
        <v>3</v>
      </c>
      <c r="G1262" s="64">
        <f t="shared" si="76"/>
        <v>0.52631578947368418</v>
      </c>
      <c r="H1262" s="64">
        <f t="shared" si="77"/>
        <v>0.15789473684210525</v>
      </c>
      <c r="I1262" s="63">
        <v>2</v>
      </c>
      <c r="J1262" s="65">
        <v>81.056100000000001</v>
      </c>
      <c r="K1262" s="65">
        <v>100</v>
      </c>
      <c r="L1262" s="62" t="s">
        <v>825</v>
      </c>
      <c r="M1262" s="63">
        <v>0</v>
      </c>
      <c r="N1262" s="66">
        <f t="shared" si="78"/>
        <v>0.97199999999999998</v>
      </c>
      <c r="O1262" s="62" t="str">
        <f t="shared" si="79"/>
        <v>4: Engaged Early</v>
      </c>
    </row>
    <row r="1263" spans="1:15" ht="15" customHeight="1" x14ac:dyDescent="0.4">
      <c r="A1263" s="62" t="s">
        <v>824</v>
      </c>
      <c r="B1263" s="62" t="s">
        <v>1832</v>
      </c>
      <c r="C1263" s="62" t="s">
        <v>826</v>
      </c>
      <c r="D1263" s="63">
        <v>3</v>
      </c>
      <c r="E1263" s="63">
        <v>2</v>
      </c>
      <c r="F1263" s="63">
        <v>0</v>
      </c>
      <c r="G1263" s="64">
        <f t="shared" si="76"/>
        <v>0.66666666666666663</v>
      </c>
      <c r="H1263" s="64">
        <f t="shared" si="77"/>
        <v>0</v>
      </c>
      <c r="I1263" s="63">
        <v>2</v>
      </c>
      <c r="J1263" s="65">
        <v>99.974999999999994</v>
      </c>
      <c r="K1263" s="65">
        <v>100</v>
      </c>
      <c r="L1263" s="62" t="s">
        <v>825</v>
      </c>
      <c r="M1263" s="63">
        <v>0</v>
      </c>
      <c r="N1263" s="66">
        <f t="shared" si="78"/>
        <v>1</v>
      </c>
      <c r="O1263" s="62" t="str">
        <f t="shared" si="79"/>
        <v>4: Engaged Early</v>
      </c>
    </row>
    <row r="1264" spans="1:15" ht="15" customHeight="1" x14ac:dyDescent="0.4">
      <c r="A1264" s="62" t="s">
        <v>824</v>
      </c>
      <c r="B1264" s="62" t="s">
        <v>1833</v>
      </c>
      <c r="C1264" s="62" t="s">
        <v>826</v>
      </c>
      <c r="D1264" s="63">
        <v>7</v>
      </c>
      <c r="E1264" s="63">
        <v>4</v>
      </c>
      <c r="F1264" s="63">
        <v>0</v>
      </c>
      <c r="G1264" s="64">
        <f t="shared" si="76"/>
        <v>0.5714285714285714</v>
      </c>
      <c r="H1264" s="64">
        <f t="shared" si="77"/>
        <v>0</v>
      </c>
      <c r="I1264" s="63">
        <v>2</v>
      </c>
      <c r="J1264" s="65">
        <v>73.282200000000003</v>
      </c>
      <c r="K1264" s="65">
        <v>72.349999999999994</v>
      </c>
      <c r="L1264" s="62" t="s">
        <v>825</v>
      </c>
      <c r="M1264" s="63">
        <v>0</v>
      </c>
      <c r="N1264" s="66">
        <f t="shared" si="78"/>
        <v>0.79400000000000004</v>
      </c>
      <c r="O1264" s="62" t="str">
        <f t="shared" si="79"/>
        <v>4: Engaged Early</v>
      </c>
    </row>
    <row r="1265" spans="1:15" ht="15" customHeight="1" x14ac:dyDescent="0.4">
      <c r="A1265" s="62" t="s">
        <v>824</v>
      </c>
      <c r="B1265" s="62" t="s">
        <v>1834</v>
      </c>
      <c r="C1265" s="62" t="s">
        <v>826</v>
      </c>
      <c r="D1265" s="63">
        <v>17</v>
      </c>
      <c r="E1265" s="63">
        <v>15</v>
      </c>
      <c r="F1265" s="63">
        <v>1</v>
      </c>
      <c r="G1265" s="64">
        <f t="shared" si="76"/>
        <v>0.88235294117647056</v>
      </c>
      <c r="H1265" s="64">
        <f t="shared" si="77"/>
        <v>5.8823529411764705E-2</v>
      </c>
      <c r="I1265" s="63">
        <v>2</v>
      </c>
      <c r="J1265" s="65">
        <v>85.024600000000007</v>
      </c>
      <c r="K1265" s="65">
        <v>81.239999999999995</v>
      </c>
      <c r="L1265" s="62" t="s">
        <v>825</v>
      </c>
      <c r="M1265" s="63">
        <v>1</v>
      </c>
      <c r="N1265" s="66">
        <f t="shared" si="78"/>
        <v>0.86499999999999999</v>
      </c>
      <c r="O1265" s="62" t="str">
        <f t="shared" si="79"/>
        <v>4: Engaged Early</v>
      </c>
    </row>
    <row r="1266" spans="1:15" ht="15" customHeight="1" x14ac:dyDescent="0.4">
      <c r="A1266" s="62" t="s">
        <v>824</v>
      </c>
      <c r="B1266" s="62" t="s">
        <v>1835</v>
      </c>
      <c r="C1266" s="62" t="s">
        <v>826</v>
      </c>
      <c r="D1266" s="63">
        <v>3</v>
      </c>
      <c r="E1266" s="63">
        <v>3</v>
      </c>
      <c r="F1266" s="63">
        <v>2</v>
      </c>
      <c r="G1266" s="64">
        <f t="shared" si="76"/>
        <v>1</v>
      </c>
      <c r="H1266" s="64">
        <f t="shared" si="77"/>
        <v>0.66666666666666663</v>
      </c>
      <c r="I1266" s="63">
        <v>2</v>
      </c>
      <c r="J1266" s="65">
        <v>91.180700000000002</v>
      </c>
      <c r="K1266" s="65">
        <v>100</v>
      </c>
      <c r="L1266" s="62" t="s">
        <v>825</v>
      </c>
      <c r="M1266" s="63">
        <v>0</v>
      </c>
      <c r="N1266" s="66">
        <f t="shared" si="78"/>
        <v>0.98699999999999999</v>
      </c>
      <c r="O1266" s="62" t="str">
        <f t="shared" si="79"/>
        <v>4: Engaged Early</v>
      </c>
    </row>
    <row r="1267" spans="1:15" ht="15" customHeight="1" x14ac:dyDescent="0.4">
      <c r="A1267" s="62" t="s">
        <v>824</v>
      </c>
      <c r="B1267" s="62" t="s">
        <v>1836</v>
      </c>
      <c r="C1267" s="62" t="s">
        <v>826</v>
      </c>
      <c r="D1267" s="63">
        <v>0</v>
      </c>
      <c r="E1267" s="63">
        <v>0</v>
      </c>
      <c r="F1267" s="63">
        <v>0</v>
      </c>
      <c r="G1267" s="64">
        <f t="shared" si="76"/>
        <v>0</v>
      </c>
      <c r="H1267" s="64">
        <f t="shared" si="77"/>
        <v>0</v>
      </c>
      <c r="I1267" s="63">
        <v>1</v>
      </c>
      <c r="J1267" s="65">
        <v>100</v>
      </c>
      <c r="K1267" s="65">
        <v>98.84</v>
      </c>
      <c r="L1267" s="62" t="s">
        <v>840</v>
      </c>
      <c r="M1267" s="63">
        <v>0</v>
      </c>
      <c r="N1267" s="66">
        <f t="shared" si="78"/>
        <v>0.81799999999999995</v>
      </c>
      <c r="O1267" s="62" t="str">
        <f t="shared" si="79"/>
        <v>4: Engaged Early</v>
      </c>
    </row>
    <row r="1268" spans="1:15" ht="15" customHeight="1" x14ac:dyDescent="0.4">
      <c r="A1268" s="62" t="s">
        <v>824</v>
      </c>
      <c r="B1268" s="62" t="s">
        <v>1837</v>
      </c>
      <c r="C1268" s="62" t="s">
        <v>826</v>
      </c>
      <c r="D1268" s="63">
        <v>17</v>
      </c>
      <c r="E1268" s="63">
        <v>2</v>
      </c>
      <c r="F1268" s="63">
        <v>1</v>
      </c>
      <c r="G1268" s="64">
        <f t="shared" si="76"/>
        <v>0.11764705882352941</v>
      </c>
      <c r="H1268" s="64">
        <f t="shared" si="77"/>
        <v>5.8823529411764705E-2</v>
      </c>
      <c r="I1268" s="63">
        <v>1</v>
      </c>
      <c r="J1268" s="65">
        <v>92.16</v>
      </c>
      <c r="K1268" s="65">
        <v>42.65</v>
      </c>
      <c r="L1268" s="62" t="s">
        <v>825</v>
      </c>
      <c r="M1268" s="63">
        <v>0</v>
      </c>
      <c r="N1268" s="66">
        <f t="shared" si="78"/>
        <v>0.64400000000000002</v>
      </c>
      <c r="O1268" s="62" t="str">
        <f t="shared" si="79"/>
        <v>4: Engaged Early</v>
      </c>
    </row>
    <row r="1269" spans="1:15" ht="15" customHeight="1" x14ac:dyDescent="0.4">
      <c r="A1269" s="62" t="s">
        <v>824</v>
      </c>
      <c r="B1269" s="62" t="s">
        <v>1838</v>
      </c>
      <c r="C1269" s="62" t="s">
        <v>826</v>
      </c>
      <c r="D1269" s="63">
        <v>1</v>
      </c>
      <c r="E1269" s="63">
        <v>1</v>
      </c>
      <c r="F1269" s="63">
        <v>0</v>
      </c>
      <c r="G1269" s="64">
        <f t="shared" si="76"/>
        <v>1</v>
      </c>
      <c r="H1269" s="64">
        <f t="shared" si="77"/>
        <v>0</v>
      </c>
      <c r="I1269" s="63">
        <v>2</v>
      </c>
      <c r="J1269" s="65">
        <v>87.422849999999997</v>
      </c>
      <c r="K1269" s="65">
        <v>38.119999999999997</v>
      </c>
      <c r="L1269" s="62" t="s">
        <v>826</v>
      </c>
      <c r="M1269" s="63">
        <v>0</v>
      </c>
      <c r="N1269" s="66">
        <f t="shared" si="78"/>
        <v>0.36</v>
      </c>
      <c r="O1269" s="62" t="str">
        <f t="shared" si="79"/>
        <v>2: High (No DBWT)</v>
      </c>
    </row>
    <row r="1270" spans="1:15" ht="15" customHeight="1" x14ac:dyDescent="0.4">
      <c r="A1270" s="62" t="s">
        <v>824</v>
      </c>
      <c r="B1270" s="62" t="s">
        <v>1839</v>
      </c>
      <c r="C1270" s="62" t="s">
        <v>826</v>
      </c>
      <c r="D1270" s="63">
        <v>7</v>
      </c>
      <c r="E1270" s="63">
        <v>7</v>
      </c>
      <c r="F1270" s="63">
        <v>1</v>
      </c>
      <c r="G1270" s="64">
        <f t="shared" si="76"/>
        <v>1</v>
      </c>
      <c r="H1270" s="64">
        <f t="shared" si="77"/>
        <v>0.14285714285714285</v>
      </c>
      <c r="I1270" s="63">
        <v>2</v>
      </c>
      <c r="J1270" s="65">
        <v>34.157550000000001</v>
      </c>
      <c r="K1270" s="65">
        <v>62.22</v>
      </c>
      <c r="L1270" s="62" t="s">
        <v>825</v>
      </c>
      <c r="M1270" s="63">
        <v>0</v>
      </c>
      <c r="N1270" s="66">
        <f t="shared" si="78"/>
        <v>0.67500000000000004</v>
      </c>
      <c r="O1270" s="62" t="str">
        <f t="shared" si="79"/>
        <v>4: Engaged Early</v>
      </c>
    </row>
    <row r="1271" spans="1:15" ht="15" customHeight="1" x14ac:dyDescent="0.4">
      <c r="A1271" s="62" t="s">
        <v>824</v>
      </c>
      <c r="B1271" s="62" t="s">
        <v>1840</v>
      </c>
      <c r="C1271" s="62" t="s">
        <v>826</v>
      </c>
      <c r="D1271" s="63">
        <v>4</v>
      </c>
      <c r="E1271" s="63">
        <v>0</v>
      </c>
      <c r="F1271" s="63">
        <v>0</v>
      </c>
      <c r="G1271" s="64">
        <f t="shared" si="76"/>
        <v>0</v>
      </c>
      <c r="H1271" s="64">
        <f t="shared" si="77"/>
        <v>0</v>
      </c>
      <c r="I1271" s="63">
        <v>2</v>
      </c>
      <c r="J1271" s="65">
        <v>92.075000000000003</v>
      </c>
      <c r="K1271" s="65">
        <v>100</v>
      </c>
      <c r="L1271" s="62" t="s">
        <v>825</v>
      </c>
      <c r="M1271" s="63">
        <v>0</v>
      </c>
      <c r="N1271" s="66">
        <f t="shared" si="78"/>
        <v>0.98799999999999999</v>
      </c>
      <c r="O1271" s="62" t="str">
        <f t="shared" si="79"/>
        <v>4: Engaged Early</v>
      </c>
    </row>
    <row r="1272" spans="1:15" ht="15" customHeight="1" x14ac:dyDescent="0.4">
      <c r="A1272" s="62" t="s">
        <v>824</v>
      </c>
      <c r="B1272" s="62" t="s">
        <v>1841</v>
      </c>
      <c r="C1272" s="62" t="s">
        <v>826</v>
      </c>
      <c r="D1272" s="63">
        <v>3</v>
      </c>
      <c r="E1272" s="63">
        <v>1</v>
      </c>
      <c r="F1272" s="63">
        <v>0</v>
      </c>
      <c r="G1272" s="64">
        <f t="shared" si="76"/>
        <v>0.33333333333333331</v>
      </c>
      <c r="H1272" s="64">
        <f t="shared" si="77"/>
        <v>0</v>
      </c>
      <c r="I1272" s="63">
        <v>2</v>
      </c>
      <c r="J1272" s="65">
        <v>83.555049999999994</v>
      </c>
      <c r="K1272" s="65">
        <v>100</v>
      </c>
      <c r="L1272" s="62" t="s">
        <v>825</v>
      </c>
      <c r="M1272" s="63">
        <v>0</v>
      </c>
      <c r="N1272" s="66">
        <f t="shared" si="78"/>
        <v>0.97499999999999998</v>
      </c>
      <c r="O1272" s="62" t="str">
        <f t="shared" si="79"/>
        <v>4: Engaged Early</v>
      </c>
    </row>
    <row r="1273" spans="1:15" ht="15" customHeight="1" x14ac:dyDescent="0.4">
      <c r="A1273" s="62" t="s">
        <v>824</v>
      </c>
      <c r="B1273" s="62" t="s">
        <v>1842</v>
      </c>
      <c r="C1273" s="62" t="s">
        <v>826</v>
      </c>
      <c r="D1273" s="63">
        <v>1</v>
      </c>
      <c r="E1273" s="63">
        <v>1</v>
      </c>
      <c r="F1273" s="63">
        <v>1</v>
      </c>
      <c r="G1273" s="64">
        <f t="shared" si="76"/>
        <v>1</v>
      </c>
      <c r="H1273" s="64">
        <f t="shared" si="77"/>
        <v>1</v>
      </c>
      <c r="I1273" s="63">
        <v>2</v>
      </c>
      <c r="J1273" s="65">
        <v>97.969449999999995</v>
      </c>
      <c r="K1273" s="65">
        <v>100</v>
      </c>
      <c r="L1273" s="62" t="s">
        <v>825</v>
      </c>
      <c r="M1273" s="63">
        <v>0</v>
      </c>
      <c r="N1273" s="66">
        <f t="shared" si="78"/>
        <v>0.997</v>
      </c>
      <c r="O1273" s="62" t="str">
        <f t="shared" si="79"/>
        <v>4: Engaged Early</v>
      </c>
    </row>
    <row r="1274" spans="1:15" ht="15" customHeight="1" x14ac:dyDescent="0.4">
      <c r="A1274" s="62" t="s">
        <v>824</v>
      </c>
      <c r="B1274" s="62" t="s">
        <v>1843</v>
      </c>
      <c r="C1274" s="62" t="s">
        <v>826</v>
      </c>
      <c r="D1274" s="63">
        <v>7</v>
      </c>
      <c r="E1274" s="63">
        <v>1</v>
      </c>
      <c r="F1274" s="63">
        <v>0</v>
      </c>
      <c r="G1274" s="64">
        <f t="shared" si="76"/>
        <v>0.14285714285714285</v>
      </c>
      <c r="H1274" s="64">
        <f t="shared" si="77"/>
        <v>0</v>
      </c>
      <c r="I1274" s="63">
        <v>2</v>
      </c>
      <c r="J1274" s="65">
        <v>51.374614999999999</v>
      </c>
      <c r="K1274" s="65">
        <v>64.849999999999994</v>
      </c>
      <c r="L1274" s="62" t="s">
        <v>825</v>
      </c>
      <c r="M1274" s="63">
        <v>0</v>
      </c>
      <c r="N1274" s="66">
        <f t="shared" si="78"/>
        <v>0.71599999999999997</v>
      </c>
      <c r="O1274" s="62" t="str">
        <f t="shared" si="79"/>
        <v>4: Engaged Early</v>
      </c>
    </row>
    <row r="1275" spans="1:15" ht="15" customHeight="1" x14ac:dyDescent="0.4">
      <c r="A1275" s="62" t="s">
        <v>824</v>
      </c>
      <c r="B1275" s="62" t="s">
        <v>1844</v>
      </c>
      <c r="C1275" s="62" t="s">
        <v>826</v>
      </c>
      <c r="D1275" s="63">
        <v>3</v>
      </c>
      <c r="E1275" s="63">
        <v>3</v>
      </c>
      <c r="F1275" s="63">
        <v>3</v>
      </c>
      <c r="G1275" s="64">
        <f t="shared" si="76"/>
        <v>1</v>
      </c>
      <c r="H1275" s="64">
        <f t="shared" si="77"/>
        <v>1</v>
      </c>
      <c r="I1275" s="63">
        <v>2</v>
      </c>
      <c r="J1275" s="65">
        <v>99.637799999999999</v>
      </c>
      <c r="K1275" s="65">
        <v>100</v>
      </c>
      <c r="L1275" s="62" t="s">
        <v>825</v>
      </c>
      <c r="M1275" s="63">
        <v>0</v>
      </c>
      <c r="N1275" s="66">
        <f t="shared" si="78"/>
        <v>0.999</v>
      </c>
      <c r="O1275" s="62" t="str">
        <f t="shared" si="79"/>
        <v>4: Engaged Early</v>
      </c>
    </row>
    <row r="1276" spans="1:15" ht="15" customHeight="1" x14ac:dyDescent="0.4">
      <c r="A1276" s="62" t="s">
        <v>824</v>
      </c>
      <c r="B1276" s="62" t="s">
        <v>1845</v>
      </c>
      <c r="C1276" s="62" t="s">
        <v>826</v>
      </c>
      <c r="D1276" s="63">
        <v>22</v>
      </c>
      <c r="E1276" s="63">
        <v>4</v>
      </c>
      <c r="F1276" s="63">
        <v>0</v>
      </c>
      <c r="G1276" s="64">
        <f t="shared" si="76"/>
        <v>0.18181818181818182</v>
      </c>
      <c r="H1276" s="64">
        <f t="shared" si="77"/>
        <v>0</v>
      </c>
      <c r="I1276" s="63">
        <v>1</v>
      </c>
      <c r="J1276" s="65">
        <v>85.08</v>
      </c>
      <c r="K1276" s="65">
        <v>84.41</v>
      </c>
      <c r="L1276" s="62" t="s">
        <v>825</v>
      </c>
      <c r="M1276" s="63">
        <v>0</v>
      </c>
      <c r="N1276" s="66">
        <f t="shared" si="78"/>
        <v>0.88400000000000001</v>
      </c>
      <c r="O1276" s="62" t="str">
        <f t="shared" si="79"/>
        <v>4: Engaged Early</v>
      </c>
    </row>
    <row r="1277" spans="1:15" ht="15" customHeight="1" x14ac:dyDescent="0.4">
      <c r="A1277" s="62" t="s">
        <v>824</v>
      </c>
      <c r="B1277" s="62" t="s">
        <v>1846</v>
      </c>
      <c r="C1277" s="62" t="s">
        <v>826</v>
      </c>
      <c r="D1277" s="63">
        <v>3</v>
      </c>
      <c r="E1277" s="63">
        <v>3</v>
      </c>
      <c r="F1277" s="63">
        <v>0</v>
      </c>
      <c r="G1277" s="64">
        <f t="shared" si="76"/>
        <v>1</v>
      </c>
      <c r="H1277" s="64">
        <f t="shared" si="77"/>
        <v>0</v>
      </c>
      <c r="I1277" s="63">
        <v>2</v>
      </c>
      <c r="J1277" s="65">
        <v>99.852500000000006</v>
      </c>
      <c r="K1277" s="65">
        <v>100</v>
      </c>
      <c r="L1277" s="62" t="s">
        <v>825</v>
      </c>
      <c r="M1277" s="63">
        <v>0</v>
      </c>
      <c r="N1277" s="66">
        <f t="shared" si="78"/>
        <v>1</v>
      </c>
      <c r="O1277" s="62" t="str">
        <f t="shared" si="79"/>
        <v>4: Engaged Early</v>
      </c>
    </row>
    <row r="1278" spans="1:15" ht="15" customHeight="1" x14ac:dyDescent="0.4">
      <c r="A1278" s="62" t="s">
        <v>824</v>
      </c>
      <c r="B1278" s="62" t="s">
        <v>1847</v>
      </c>
      <c r="C1278" s="62" t="s">
        <v>826</v>
      </c>
      <c r="D1278" s="63">
        <v>22</v>
      </c>
      <c r="E1278" s="63">
        <v>1</v>
      </c>
      <c r="F1278" s="63">
        <v>8</v>
      </c>
      <c r="G1278" s="64">
        <f t="shared" si="76"/>
        <v>4.5454545454545456E-2</v>
      </c>
      <c r="H1278" s="64">
        <f t="shared" si="77"/>
        <v>0.36363636363636365</v>
      </c>
      <c r="I1278" s="63">
        <v>2</v>
      </c>
      <c r="J1278" s="65">
        <v>98.978849999999994</v>
      </c>
      <c r="K1278" s="65">
        <v>100</v>
      </c>
      <c r="L1278" s="62" t="s">
        <v>825</v>
      </c>
      <c r="M1278" s="63">
        <v>0</v>
      </c>
      <c r="N1278" s="66">
        <f t="shared" si="78"/>
        <v>0.998</v>
      </c>
      <c r="O1278" s="62" t="str">
        <f t="shared" si="79"/>
        <v>4: Engaged Early</v>
      </c>
    </row>
    <row r="1279" spans="1:15" ht="15" customHeight="1" x14ac:dyDescent="0.4">
      <c r="A1279" s="62" t="s">
        <v>824</v>
      </c>
      <c r="B1279" s="62" t="s">
        <v>1848</v>
      </c>
      <c r="C1279" s="62" t="s">
        <v>826</v>
      </c>
      <c r="D1279" s="63">
        <v>1</v>
      </c>
      <c r="E1279" s="63">
        <v>1</v>
      </c>
      <c r="F1279" s="63">
        <v>0</v>
      </c>
      <c r="G1279" s="64">
        <f t="shared" si="76"/>
        <v>1</v>
      </c>
      <c r="H1279" s="64">
        <f t="shared" si="77"/>
        <v>0</v>
      </c>
      <c r="I1279" s="63">
        <v>2</v>
      </c>
      <c r="J1279" s="65">
        <v>56.445900000000002</v>
      </c>
      <c r="K1279" s="65">
        <v>14.59</v>
      </c>
      <c r="L1279" s="62" t="s">
        <v>825</v>
      </c>
      <c r="M1279" s="63">
        <v>1</v>
      </c>
      <c r="N1279" s="66">
        <f t="shared" si="78"/>
        <v>0.42199999999999999</v>
      </c>
      <c r="O1279" s="62" t="str">
        <f t="shared" si="79"/>
        <v>4: Engaged Early</v>
      </c>
    </row>
    <row r="1280" spans="1:15" ht="15" customHeight="1" x14ac:dyDescent="0.4">
      <c r="A1280" s="62" t="s">
        <v>824</v>
      </c>
      <c r="B1280" s="62" t="s">
        <v>1849</v>
      </c>
      <c r="C1280" s="62" t="s">
        <v>826</v>
      </c>
      <c r="D1280" s="63">
        <v>17</v>
      </c>
      <c r="E1280" s="63">
        <v>15</v>
      </c>
      <c r="F1280" s="63">
        <v>9</v>
      </c>
      <c r="G1280" s="64">
        <f t="shared" si="76"/>
        <v>0.88235294117647056</v>
      </c>
      <c r="H1280" s="64">
        <f t="shared" si="77"/>
        <v>0.52941176470588236</v>
      </c>
      <c r="I1280" s="63">
        <v>2</v>
      </c>
      <c r="J1280" s="65">
        <v>61.850200000000001</v>
      </c>
      <c r="K1280" s="65">
        <v>91.63</v>
      </c>
      <c r="L1280" s="62" t="s">
        <v>825</v>
      </c>
      <c r="M1280" s="63">
        <v>0</v>
      </c>
      <c r="N1280" s="66">
        <f t="shared" si="78"/>
        <v>0.89300000000000002</v>
      </c>
      <c r="O1280" s="62" t="str">
        <f t="shared" si="79"/>
        <v>4: Engaged Early</v>
      </c>
    </row>
    <row r="1281" spans="1:15" ht="15" customHeight="1" x14ac:dyDescent="0.4">
      <c r="A1281" s="62" t="s">
        <v>824</v>
      </c>
      <c r="B1281" s="62" t="s">
        <v>1850</v>
      </c>
      <c r="C1281" s="62" t="s">
        <v>826</v>
      </c>
      <c r="D1281" s="63">
        <v>4</v>
      </c>
      <c r="E1281" s="63">
        <v>3</v>
      </c>
      <c r="F1281" s="63">
        <v>2</v>
      </c>
      <c r="G1281" s="64">
        <f t="shared" si="76"/>
        <v>0.75</v>
      </c>
      <c r="H1281" s="64">
        <f t="shared" si="77"/>
        <v>0.5</v>
      </c>
      <c r="I1281" s="63">
        <v>2</v>
      </c>
      <c r="J1281" s="65">
        <v>99.944999999999993</v>
      </c>
      <c r="K1281" s="65">
        <v>100</v>
      </c>
      <c r="L1281" s="62" t="s">
        <v>825</v>
      </c>
      <c r="M1281" s="63">
        <v>0</v>
      </c>
      <c r="N1281" s="66">
        <f t="shared" si="78"/>
        <v>1</v>
      </c>
      <c r="O1281" s="62" t="str">
        <f t="shared" si="79"/>
        <v>4: Engaged Early</v>
      </c>
    </row>
    <row r="1282" spans="1:15" ht="15" customHeight="1" x14ac:dyDescent="0.4">
      <c r="A1282" s="62" t="s">
        <v>824</v>
      </c>
      <c r="B1282" s="62" t="s">
        <v>1851</v>
      </c>
      <c r="C1282" s="62" t="s">
        <v>826</v>
      </c>
      <c r="D1282" s="63">
        <v>3</v>
      </c>
      <c r="E1282" s="63">
        <v>2</v>
      </c>
      <c r="F1282" s="63">
        <v>0</v>
      </c>
      <c r="G1282" s="64">
        <f t="shared" ref="G1282:G1345" si="80">IFERROR(E1282/D1282,0)</f>
        <v>0.66666666666666663</v>
      </c>
      <c r="H1282" s="64">
        <f t="shared" ref="H1282:H1345" si="81">IFERROR(F1282/D1282,0)</f>
        <v>0</v>
      </c>
      <c r="I1282" s="63">
        <v>2</v>
      </c>
      <c r="J1282" s="65">
        <v>88.370750000000001</v>
      </c>
      <c r="K1282" s="65">
        <v>62.5</v>
      </c>
      <c r="L1282" s="62" t="s">
        <v>825</v>
      </c>
      <c r="M1282" s="63">
        <v>0</v>
      </c>
      <c r="N1282" s="66">
        <f t="shared" ref="N1282:N1345" si="82">ROUND(IFERROR(K1282/100,0)*0.6 + IF(L1282="Yes",1,IF(L1282="No",0,0.3))*0.25 + IFERROR(J1282/100,0)*0.15,3)</f>
        <v>0.75800000000000001</v>
      </c>
      <c r="O1282" s="62" t="str">
        <f t="shared" ref="O1282:O1345" si="83">IF(AND(L1282="No",I1282=0),"1: Critical (No DBWT + No Wk0)",IF(L1282="No","2: High (No DBWT)",IF(I1282=0,"3: Elevated (No Wk0)","4: Engaged Early")))</f>
        <v>4: Engaged Early</v>
      </c>
    </row>
    <row r="1283" spans="1:15" ht="15" customHeight="1" x14ac:dyDescent="0.4">
      <c r="A1283" s="62" t="s">
        <v>824</v>
      </c>
      <c r="B1283" s="62" t="s">
        <v>1852</v>
      </c>
      <c r="C1283" s="62" t="s">
        <v>826</v>
      </c>
      <c r="D1283" s="63">
        <v>4</v>
      </c>
      <c r="E1283" s="63">
        <v>4</v>
      </c>
      <c r="F1283" s="63">
        <v>0</v>
      </c>
      <c r="G1283" s="64">
        <f t="shared" si="80"/>
        <v>1</v>
      </c>
      <c r="H1283" s="64">
        <f t="shared" si="81"/>
        <v>0</v>
      </c>
      <c r="I1283" s="63">
        <v>2</v>
      </c>
      <c r="J1283" s="65">
        <v>46.559750000000001</v>
      </c>
      <c r="K1283" s="65">
        <v>77.34</v>
      </c>
      <c r="L1283" s="62" t="s">
        <v>825</v>
      </c>
      <c r="M1283" s="63">
        <v>0</v>
      </c>
      <c r="N1283" s="66">
        <f t="shared" si="82"/>
        <v>0.78400000000000003</v>
      </c>
      <c r="O1283" s="62" t="str">
        <f t="shared" si="83"/>
        <v>4: Engaged Early</v>
      </c>
    </row>
    <row r="1284" spans="1:15" ht="15" customHeight="1" x14ac:dyDescent="0.4">
      <c r="A1284" s="62" t="s">
        <v>824</v>
      </c>
      <c r="B1284" s="62" t="s">
        <v>1853</v>
      </c>
      <c r="C1284" s="62" t="s">
        <v>826</v>
      </c>
      <c r="D1284" s="63">
        <v>12</v>
      </c>
      <c r="E1284" s="63">
        <v>9</v>
      </c>
      <c r="F1284" s="63">
        <v>2</v>
      </c>
      <c r="G1284" s="64">
        <f t="shared" si="80"/>
        <v>0.75</v>
      </c>
      <c r="H1284" s="64">
        <f t="shared" si="81"/>
        <v>0.16666666666666666</v>
      </c>
      <c r="I1284" s="63">
        <v>2</v>
      </c>
      <c r="J1284" s="65">
        <v>100</v>
      </c>
      <c r="K1284" s="65">
        <v>100</v>
      </c>
      <c r="L1284" s="62" t="s">
        <v>825</v>
      </c>
      <c r="M1284" s="63">
        <v>0</v>
      </c>
      <c r="N1284" s="66">
        <f t="shared" si="82"/>
        <v>1</v>
      </c>
      <c r="O1284" s="62" t="str">
        <f t="shared" si="83"/>
        <v>4: Engaged Early</v>
      </c>
    </row>
    <row r="1285" spans="1:15" ht="15" customHeight="1" x14ac:dyDescent="0.4">
      <c r="A1285" s="62" t="s">
        <v>824</v>
      </c>
      <c r="B1285" s="62" t="s">
        <v>1854</v>
      </c>
      <c r="C1285" s="62" t="s">
        <v>826</v>
      </c>
      <c r="D1285" s="63">
        <v>4</v>
      </c>
      <c r="E1285" s="63">
        <v>4</v>
      </c>
      <c r="F1285" s="63">
        <v>3</v>
      </c>
      <c r="G1285" s="64">
        <f t="shared" si="80"/>
        <v>1</v>
      </c>
      <c r="H1285" s="64">
        <f t="shared" si="81"/>
        <v>0.75</v>
      </c>
      <c r="I1285" s="63">
        <v>2</v>
      </c>
      <c r="J1285" s="65">
        <v>99.695449999999994</v>
      </c>
      <c r="K1285" s="65">
        <v>100</v>
      </c>
      <c r="L1285" s="62" t="s">
        <v>826</v>
      </c>
      <c r="M1285" s="63">
        <v>0</v>
      </c>
      <c r="N1285" s="66">
        <f t="shared" si="82"/>
        <v>0.75</v>
      </c>
      <c r="O1285" s="62" t="str">
        <f t="shared" si="83"/>
        <v>2: High (No DBWT)</v>
      </c>
    </row>
    <row r="1286" spans="1:15" ht="15" customHeight="1" x14ac:dyDescent="0.4">
      <c r="A1286" s="62" t="s">
        <v>824</v>
      </c>
      <c r="B1286" s="62" t="s">
        <v>1855</v>
      </c>
      <c r="C1286" s="62" t="s">
        <v>826</v>
      </c>
      <c r="D1286" s="63">
        <v>26</v>
      </c>
      <c r="E1286" s="63">
        <v>17</v>
      </c>
      <c r="F1286" s="63">
        <v>3</v>
      </c>
      <c r="G1286" s="64">
        <f t="shared" si="80"/>
        <v>0.65384615384615385</v>
      </c>
      <c r="H1286" s="64">
        <f t="shared" si="81"/>
        <v>0.11538461538461539</v>
      </c>
      <c r="I1286" s="63">
        <v>2</v>
      </c>
      <c r="J1286" s="65">
        <v>94.204999999999998</v>
      </c>
      <c r="K1286" s="65">
        <v>100</v>
      </c>
      <c r="L1286" s="62" t="s">
        <v>825</v>
      </c>
      <c r="M1286" s="63">
        <v>0</v>
      </c>
      <c r="N1286" s="66">
        <f t="shared" si="82"/>
        <v>0.99099999999999999</v>
      </c>
      <c r="O1286" s="62" t="str">
        <f t="shared" si="83"/>
        <v>4: Engaged Early</v>
      </c>
    </row>
    <row r="1287" spans="1:15" ht="15" customHeight="1" x14ac:dyDescent="0.4">
      <c r="A1287" s="62" t="s">
        <v>824</v>
      </c>
      <c r="B1287" s="62" t="s">
        <v>1856</v>
      </c>
      <c r="C1287" s="62" t="s">
        <v>826</v>
      </c>
      <c r="D1287" s="63">
        <v>17</v>
      </c>
      <c r="E1287" s="63">
        <v>17</v>
      </c>
      <c r="F1287" s="63">
        <v>1</v>
      </c>
      <c r="G1287" s="64">
        <f t="shared" si="80"/>
        <v>1</v>
      </c>
      <c r="H1287" s="64">
        <f t="shared" si="81"/>
        <v>5.8823529411764705E-2</v>
      </c>
      <c r="I1287" s="63">
        <v>2</v>
      </c>
      <c r="J1287" s="65">
        <v>91.045649999999995</v>
      </c>
      <c r="K1287" s="65">
        <v>100</v>
      </c>
      <c r="L1287" s="62" t="s">
        <v>825</v>
      </c>
      <c r="M1287" s="63">
        <v>0</v>
      </c>
      <c r="N1287" s="66">
        <f t="shared" si="82"/>
        <v>0.98699999999999999</v>
      </c>
      <c r="O1287" s="62" t="str">
        <f t="shared" si="83"/>
        <v>4: Engaged Early</v>
      </c>
    </row>
    <row r="1288" spans="1:15" ht="15" customHeight="1" x14ac:dyDescent="0.4">
      <c r="A1288" s="62" t="s">
        <v>824</v>
      </c>
      <c r="B1288" s="62" t="s">
        <v>1857</v>
      </c>
      <c r="C1288" s="62" t="s">
        <v>826</v>
      </c>
      <c r="D1288" s="63">
        <v>23</v>
      </c>
      <c r="E1288" s="63">
        <v>16</v>
      </c>
      <c r="F1288" s="63">
        <v>2</v>
      </c>
      <c r="G1288" s="64">
        <f t="shared" si="80"/>
        <v>0.69565217391304346</v>
      </c>
      <c r="H1288" s="64">
        <f t="shared" si="81"/>
        <v>8.6956521739130432E-2</v>
      </c>
      <c r="I1288" s="63">
        <v>2</v>
      </c>
      <c r="J1288" s="65">
        <v>86.679100000000005</v>
      </c>
      <c r="K1288" s="65">
        <v>100</v>
      </c>
      <c r="L1288" s="62" t="s">
        <v>826</v>
      </c>
      <c r="M1288" s="63">
        <v>0</v>
      </c>
      <c r="N1288" s="66">
        <f t="shared" si="82"/>
        <v>0.73</v>
      </c>
      <c r="O1288" s="62" t="str">
        <f t="shared" si="83"/>
        <v>2: High (No DBWT)</v>
      </c>
    </row>
    <row r="1289" spans="1:15" ht="15" customHeight="1" x14ac:dyDescent="0.4">
      <c r="A1289" s="62" t="s">
        <v>824</v>
      </c>
      <c r="B1289" s="62" t="s">
        <v>1858</v>
      </c>
      <c r="C1289" s="62" t="s">
        <v>826</v>
      </c>
      <c r="D1289" s="63">
        <v>5</v>
      </c>
      <c r="E1289" s="63">
        <v>5</v>
      </c>
      <c r="F1289" s="63">
        <v>3</v>
      </c>
      <c r="G1289" s="64">
        <f t="shared" si="80"/>
        <v>1</v>
      </c>
      <c r="H1289" s="64">
        <f t="shared" si="81"/>
        <v>0.6</v>
      </c>
      <c r="I1289" s="63">
        <v>1</v>
      </c>
      <c r="J1289" s="65">
        <v>83.292100000000005</v>
      </c>
      <c r="K1289" s="65">
        <v>67.58</v>
      </c>
      <c r="L1289" s="62" t="s">
        <v>825</v>
      </c>
      <c r="M1289" s="63">
        <v>0</v>
      </c>
      <c r="N1289" s="66">
        <f t="shared" si="82"/>
        <v>0.78</v>
      </c>
      <c r="O1289" s="62" t="str">
        <f t="shared" si="83"/>
        <v>4: Engaged Early</v>
      </c>
    </row>
    <row r="1290" spans="1:15" ht="15" customHeight="1" x14ac:dyDescent="0.4">
      <c r="A1290" s="62" t="s">
        <v>824</v>
      </c>
      <c r="B1290" s="62" t="s">
        <v>1859</v>
      </c>
      <c r="C1290" s="62" t="s">
        <v>826</v>
      </c>
      <c r="D1290" s="63">
        <v>7</v>
      </c>
      <c r="E1290" s="63">
        <v>2</v>
      </c>
      <c r="F1290" s="63">
        <v>1</v>
      </c>
      <c r="G1290" s="64">
        <f t="shared" si="80"/>
        <v>0.2857142857142857</v>
      </c>
      <c r="H1290" s="64">
        <f t="shared" si="81"/>
        <v>0.14285714285714285</v>
      </c>
      <c r="I1290" s="63">
        <v>2</v>
      </c>
      <c r="J1290" s="65">
        <v>44.942450000000001</v>
      </c>
      <c r="K1290" s="65">
        <v>83.56</v>
      </c>
      <c r="L1290" s="62" t="s">
        <v>825</v>
      </c>
      <c r="M1290" s="63">
        <v>0</v>
      </c>
      <c r="N1290" s="66">
        <f t="shared" si="82"/>
        <v>0.81899999999999995</v>
      </c>
      <c r="O1290" s="62" t="str">
        <f t="shared" si="83"/>
        <v>4: Engaged Early</v>
      </c>
    </row>
    <row r="1291" spans="1:15" ht="15" customHeight="1" x14ac:dyDescent="0.4">
      <c r="A1291" s="62" t="s">
        <v>824</v>
      </c>
      <c r="B1291" s="62" t="s">
        <v>1860</v>
      </c>
      <c r="C1291" s="62" t="s">
        <v>826</v>
      </c>
      <c r="D1291" s="63">
        <v>23</v>
      </c>
      <c r="E1291" s="63">
        <v>22</v>
      </c>
      <c r="F1291" s="63">
        <v>2</v>
      </c>
      <c r="G1291" s="64">
        <f t="shared" si="80"/>
        <v>0.95652173913043481</v>
      </c>
      <c r="H1291" s="64">
        <f t="shared" si="81"/>
        <v>8.6956521739130432E-2</v>
      </c>
      <c r="I1291" s="63">
        <v>2</v>
      </c>
      <c r="J1291" s="65">
        <v>75.763450000000006</v>
      </c>
      <c r="K1291" s="65">
        <v>92.64</v>
      </c>
      <c r="L1291" s="62" t="s">
        <v>825</v>
      </c>
      <c r="M1291" s="63">
        <v>0</v>
      </c>
      <c r="N1291" s="66">
        <f t="shared" si="82"/>
        <v>0.91900000000000004</v>
      </c>
      <c r="O1291" s="62" t="str">
        <f t="shared" si="83"/>
        <v>4: Engaged Early</v>
      </c>
    </row>
    <row r="1292" spans="1:15" ht="15" customHeight="1" x14ac:dyDescent="0.4">
      <c r="A1292" s="62" t="s">
        <v>824</v>
      </c>
      <c r="B1292" s="62" t="s">
        <v>1861</v>
      </c>
      <c r="C1292" s="62" t="s">
        <v>826</v>
      </c>
      <c r="D1292" s="63">
        <v>21</v>
      </c>
      <c r="E1292" s="63">
        <v>19</v>
      </c>
      <c r="F1292" s="63">
        <v>0</v>
      </c>
      <c r="G1292" s="64">
        <f t="shared" si="80"/>
        <v>0.90476190476190477</v>
      </c>
      <c r="H1292" s="64">
        <f t="shared" si="81"/>
        <v>0</v>
      </c>
      <c r="I1292" s="63">
        <v>2</v>
      </c>
      <c r="J1292" s="65">
        <v>36.775534999999998</v>
      </c>
      <c r="K1292" s="65">
        <v>68.709999999999994</v>
      </c>
      <c r="L1292" s="62" t="s">
        <v>825</v>
      </c>
      <c r="M1292" s="63">
        <v>0</v>
      </c>
      <c r="N1292" s="66">
        <f t="shared" si="82"/>
        <v>0.71699999999999997</v>
      </c>
      <c r="O1292" s="62" t="str">
        <f t="shared" si="83"/>
        <v>4: Engaged Early</v>
      </c>
    </row>
    <row r="1293" spans="1:15" ht="15" customHeight="1" x14ac:dyDescent="0.4">
      <c r="A1293" s="62" t="s">
        <v>824</v>
      </c>
      <c r="B1293" s="62" t="s">
        <v>1862</v>
      </c>
      <c r="C1293" s="62" t="s">
        <v>826</v>
      </c>
      <c r="D1293" s="63">
        <v>4</v>
      </c>
      <c r="E1293" s="63">
        <v>3</v>
      </c>
      <c r="F1293" s="63">
        <v>0</v>
      </c>
      <c r="G1293" s="64">
        <f t="shared" si="80"/>
        <v>0.75</v>
      </c>
      <c r="H1293" s="64">
        <f t="shared" si="81"/>
        <v>0</v>
      </c>
      <c r="I1293" s="63">
        <v>2</v>
      </c>
      <c r="J1293" s="65">
        <v>85.544550000000001</v>
      </c>
      <c r="K1293" s="65">
        <v>100</v>
      </c>
      <c r="L1293" s="62" t="s">
        <v>825</v>
      </c>
      <c r="M1293" s="63">
        <v>0</v>
      </c>
      <c r="N1293" s="66">
        <f t="shared" si="82"/>
        <v>0.97799999999999998</v>
      </c>
      <c r="O1293" s="62" t="str">
        <f t="shared" si="83"/>
        <v>4: Engaged Early</v>
      </c>
    </row>
    <row r="1294" spans="1:15" ht="15" customHeight="1" x14ac:dyDescent="0.4">
      <c r="A1294" s="62" t="s">
        <v>824</v>
      </c>
      <c r="B1294" s="62" t="s">
        <v>702</v>
      </c>
      <c r="C1294" s="62" t="s">
        <v>825</v>
      </c>
      <c r="D1294" s="63">
        <v>22</v>
      </c>
      <c r="E1294" s="63">
        <v>1</v>
      </c>
      <c r="F1294" s="63">
        <v>3</v>
      </c>
      <c r="G1294" s="64">
        <f t="shared" si="80"/>
        <v>4.5454545454545456E-2</v>
      </c>
      <c r="H1294" s="64">
        <f t="shared" si="81"/>
        <v>0.13636363636363635</v>
      </c>
      <c r="I1294" s="63">
        <v>1</v>
      </c>
      <c r="J1294" s="65">
        <v>25.3506</v>
      </c>
      <c r="K1294" s="65">
        <v>66.34</v>
      </c>
      <c r="L1294" s="62" t="s">
        <v>825</v>
      </c>
      <c r="M1294" s="63">
        <v>0</v>
      </c>
      <c r="N1294" s="66">
        <f t="shared" si="82"/>
        <v>0.68600000000000005</v>
      </c>
      <c r="O1294" s="62" t="str">
        <f t="shared" si="83"/>
        <v>4: Engaged Early</v>
      </c>
    </row>
    <row r="1295" spans="1:15" ht="15" customHeight="1" x14ac:dyDescent="0.4">
      <c r="A1295" s="62" t="s">
        <v>824</v>
      </c>
      <c r="B1295" s="62" t="s">
        <v>525</v>
      </c>
      <c r="C1295" s="62" t="s">
        <v>825</v>
      </c>
      <c r="D1295" s="63">
        <v>7</v>
      </c>
      <c r="E1295" s="63">
        <v>5</v>
      </c>
      <c r="F1295" s="63">
        <v>0</v>
      </c>
      <c r="G1295" s="64">
        <f t="shared" si="80"/>
        <v>0.7142857142857143</v>
      </c>
      <c r="H1295" s="64">
        <f t="shared" si="81"/>
        <v>0</v>
      </c>
      <c r="I1295" s="63">
        <v>0</v>
      </c>
      <c r="J1295" s="65"/>
      <c r="K1295" s="65">
        <v>0.24</v>
      </c>
      <c r="L1295" s="62" t="s">
        <v>825</v>
      </c>
      <c r="M1295" s="63">
        <v>0</v>
      </c>
      <c r="N1295" s="66">
        <f t="shared" si="82"/>
        <v>0.251</v>
      </c>
      <c r="O1295" s="62" t="str">
        <f t="shared" si="83"/>
        <v>3: Elevated (No Wk0)</v>
      </c>
    </row>
    <row r="1296" spans="1:15" ht="15" customHeight="1" x14ac:dyDescent="0.4">
      <c r="A1296" s="62" t="s">
        <v>824</v>
      </c>
      <c r="B1296" s="62" t="s">
        <v>1863</v>
      </c>
      <c r="C1296" s="62" t="s">
        <v>826</v>
      </c>
      <c r="D1296" s="63">
        <v>9</v>
      </c>
      <c r="E1296" s="63">
        <v>3</v>
      </c>
      <c r="F1296" s="63">
        <v>0</v>
      </c>
      <c r="G1296" s="64">
        <f t="shared" si="80"/>
        <v>0.33333333333333331</v>
      </c>
      <c r="H1296" s="64">
        <f t="shared" si="81"/>
        <v>0</v>
      </c>
      <c r="I1296" s="63">
        <v>2</v>
      </c>
      <c r="J1296" s="65">
        <v>89.415800000000004</v>
      </c>
      <c r="K1296" s="65">
        <v>98.86</v>
      </c>
      <c r="L1296" s="62" t="s">
        <v>825</v>
      </c>
      <c r="M1296" s="63">
        <v>0</v>
      </c>
      <c r="N1296" s="66">
        <f t="shared" si="82"/>
        <v>0.97699999999999998</v>
      </c>
      <c r="O1296" s="62" t="str">
        <f t="shared" si="83"/>
        <v>4: Engaged Early</v>
      </c>
    </row>
    <row r="1297" spans="1:15" ht="15" customHeight="1" x14ac:dyDescent="0.4">
      <c r="A1297" s="62" t="s">
        <v>824</v>
      </c>
      <c r="B1297" s="62" t="s">
        <v>1864</v>
      </c>
      <c r="C1297" s="62" t="s">
        <v>826</v>
      </c>
      <c r="D1297" s="63">
        <v>15</v>
      </c>
      <c r="E1297" s="63">
        <v>9</v>
      </c>
      <c r="F1297" s="63">
        <v>4</v>
      </c>
      <c r="G1297" s="64">
        <f t="shared" si="80"/>
        <v>0.6</v>
      </c>
      <c r="H1297" s="64">
        <f t="shared" si="81"/>
        <v>0.26666666666666666</v>
      </c>
      <c r="I1297" s="63">
        <v>2</v>
      </c>
      <c r="J1297" s="65">
        <v>88.838200000000001</v>
      </c>
      <c r="K1297" s="65">
        <v>100</v>
      </c>
      <c r="L1297" s="62" t="s">
        <v>825</v>
      </c>
      <c r="M1297" s="63">
        <v>0</v>
      </c>
      <c r="N1297" s="66">
        <f t="shared" si="82"/>
        <v>0.98299999999999998</v>
      </c>
      <c r="O1297" s="62" t="str">
        <f t="shared" si="83"/>
        <v>4: Engaged Early</v>
      </c>
    </row>
    <row r="1298" spans="1:15" ht="15" customHeight="1" x14ac:dyDescent="0.4">
      <c r="A1298" s="62" t="s">
        <v>824</v>
      </c>
      <c r="B1298" s="62" t="s">
        <v>1865</v>
      </c>
      <c r="C1298" s="62" t="s">
        <v>826</v>
      </c>
      <c r="D1298" s="63">
        <v>18</v>
      </c>
      <c r="E1298" s="63">
        <v>16</v>
      </c>
      <c r="F1298" s="63">
        <v>3</v>
      </c>
      <c r="G1298" s="64">
        <f t="shared" si="80"/>
        <v>0.88888888888888884</v>
      </c>
      <c r="H1298" s="64">
        <f t="shared" si="81"/>
        <v>0.16666666666666666</v>
      </c>
      <c r="I1298" s="63">
        <v>2</v>
      </c>
      <c r="J1298" s="65">
        <v>99.440449999999998</v>
      </c>
      <c r="K1298" s="65">
        <v>100</v>
      </c>
      <c r="L1298" s="62" t="s">
        <v>826</v>
      </c>
      <c r="M1298" s="63">
        <v>0</v>
      </c>
      <c r="N1298" s="66">
        <f t="shared" si="82"/>
        <v>0.749</v>
      </c>
      <c r="O1298" s="62" t="str">
        <f t="shared" si="83"/>
        <v>2: High (No DBWT)</v>
      </c>
    </row>
    <row r="1299" spans="1:15" ht="15" customHeight="1" x14ac:dyDescent="0.4">
      <c r="A1299" s="62" t="s">
        <v>824</v>
      </c>
      <c r="B1299" s="62" t="s">
        <v>1866</v>
      </c>
      <c r="C1299" s="62" t="s">
        <v>826</v>
      </c>
      <c r="D1299" s="63">
        <v>3</v>
      </c>
      <c r="E1299" s="63">
        <v>0</v>
      </c>
      <c r="F1299" s="63">
        <v>0</v>
      </c>
      <c r="G1299" s="64">
        <f t="shared" si="80"/>
        <v>0</v>
      </c>
      <c r="H1299" s="64">
        <f t="shared" si="81"/>
        <v>0</v>
      </c>
      <c r="I1299" s="63">
        <v>2</v>
      </c>
      <c r="J1299" s="65">
        <v>53.168399999999998</v>
      </c>
      <c r="K1299" s="65">
        <v>76.739999999999995</v>
      </c>
      <c r="L1299" s="62" t="s">
        <v>825</v>
      </c>
      <c r="M1299" s="63">
        <v>0</v>
      </c>
      <c r="N1299" s="66">
        <f t="shared" si="82"/>
        <v>0.79</v>
      </c>
      <c r="O1299" s="62" t="str">
        <f t="shared" si="83"/>
        <v>4: Engaged Early</v>
      </c>
    </row>
    <row r="1300" spans="1:15" ht="15" customHeight="1" x14ac:dyDescent="0.4">
      <c r="A1300" s="62" t="s">
        <v>824</v>
      </c>
      <c r="B1300" s="62" t="s">
        <v>1867</v>
      </c>
      <c r="C1300" s="62" t="s">
        <v>826</v>
      </c>
      <c r="D1300" s="63">
        <v>7</v>
      </c>
      <c r="E1300" s="63">
        <v>0</v>
      </c>
      <c r="F1300" s="63">
        <v>1</v>
      </c>
      <c r="G1300" s="64">
        <f t="shared" si="80"/>
        <v>0</v>
      </c>
      <c r="H1300" s="64">
        <f t="shared" si="81"/>
        <v>0.14285714285714285</v>
      </c>
      <c r="I1300" s="63">
        <v>2</v>
      </c>
      <c r="J1300" s="65">
        <v>59.421900000000001</v>
      </c>
      <c r="K1300" s="65">
        <v>94.62</v>
      </c>
      <c r="L1300" s="62" t="s">
        <v>825</v>
      </c>
      <c r="M1300" s="63">
        <v>2</v>
      </c>
      <c r="N1300" s="66">
        <f t="shared" si="82"/>
        <v>0.90700000000000003</v>
      </c>
      <c r="O1300" s="62" t="str">
        <f t="shared" si="83"/>
        <v>4: Engaged Early</v>
      </c>
    </row>
    <row r="1301" spans="1:15" ht="15" customHeight="1" x14ac:dyDescent="0.4">
      <c r="A1301" s="62" t="s">
        <v>824</v>
      </c>
      <c r="B1301" s="62" t="s">
        <v>1868</v>
      </c>
      <c r="C1301" s="62" t="s">
        <v>826</v>
      </c>
      <c r="D1301" s="63">
        <v>2</v>
      </c>
      <c r="E1301" s="63">
        <v>0</v>
      </c>
      <c r="F1301" s="63">
        <v>0</v>
      </c>
      <c r="G1301" s="64">
        <f t="shared" si="80"/>
        <v>0</v>
      </c>
      <c r="H1301" s="64">
        <f t="shared" si="81"/>
        <v>0</v>
      </c>
      <c r="I1301" s="63">
        <v>2</v>
      </c>
      <c r="J1301" s="65">
        <v>32.362850000000002</v>
      </c>
      <c r="K1301" s="65">
        <v>78.62</v>
      </c>
      <c r="L1301" s="62" t="s">
        <v>825</v>
      </c>
      <c r="M1301" s="63">
        <v>0</v>
      </c>
      <c r="N1301" s="66">
        <f t="shared" si="82"/>
        <v>0.77</v>
      </c>
      <c r="O1301" s="62" t="str">
        <f t="shared" si="83"/>
        <v>4: Engaged Early</v>
      </c>
    </row>
    <row r="1302" spans="1:15" ht="15" customHeight="1" x14ac:dyDescent="0.4">
      <c r="A1302" s="62" t="s">
        <v>824</v>
      </c>
      <c r="B1302" s="62" t="s">
        <v>1869</v>
      </c>
      <c r="C1302" s="62" t="s">
        <v>826</v>
      </c>
      <c r="D1302" s="63">
        <v>22</v>
      </c>
      <c r="E1302" s="63">
        <v>19</v>
      </c>
      <c r="F1302" s="63">
        <v>0</v>
      </c>
      <c r="G1302" s="64">
        <f t="shared" si="80"/>
        <v>0.86363636363636365</v>
      </c>
      <c r="H1302" s="64">
        <f t="shared" si="81"/>
        <v>0</v>
      </c>
      <c r="I1302" s="63">
        <v>2</v>
      </c>
      <c r="J1302" s="65">
        <v>71.309600000000003</v>
      </c>
      <c r="K1302" s="65">
        <v>93.38</v>
      </c>
      <c r="L1302" s="62" t="s">
        <v>825</v>
      </c>
      <c r="M1302" s="63">
        <v>1</v>
      </c>
      <c r="N1302" s="66">
        <f t="shared" si="82"/>
        <v>0.91700000000000004</v>
      </c>
      <c r="O1302" s="62" t="str">
        <f t="shared" si="83"/>
        <v>4: Engaged Early</v>
      </c>
    </row>
    <row r="1303" spans="1:15" ht="15" customHeight="1" x14ac:dyDescent="0.4">
      <c r="A1303" s="62" t="s">
        <v>824</v>
      </c>
      <c r="B1303" s="62" t="s">
        <v>1870</v>
      </c>
      <c r="C1303" s="62" t="s">
        <v>826</v>
      </c>
      <c r="D1303" s="63">
        <v>6</v>
      </c>
      <c r="E1303" s="63">
        <v>6</v>
      </c>
      <c r="F1303" s="63">
        <v>4</v>
      </c>
      <c r="G1303" s="64">
        <f t="shared" si="80"/>
        <v>1</v>
      </c>
      <c r="H1303" s="64">
        <f t="shared" si="81"/>
        <v>0.66666666666666663</v>
      </c>
      <c r="I1303" s="63">
        <v>2</v>
      </c>
      <c r="J1303" s="65">
        <v>64.469200000000001</v>
      </c>
      <c r="K1303" s="65">
        <v>91.58</v>
      </c>
      <c r="L1303" s="62" t="s">
        <v>825</v>
      </c>
      <c r="M1303" s="63">
        <v>0</v>
      </c>
      <c r="N1303" s="66">
        <f t="shared" si="82"/>
        <v>0.89600000000000002</v>
      </c>
      <c r="O1303" s="62" t="str">
        <f t="shared" si="83"/>
        <v>4: Engaged Early</v>
      </c>
    </row>
    <row r="1304" spans="1:15" ht="15" customHeight="1" x14ac:dyDescent="0.4">
      <c r="A1304" s="62" t="s">
        <v>824</v>
      </c>
      <c r="B1304" s="62" t="s">
        <v>1871</v>
      </c>
      <c r="C1304" s="62" t="s">
        <v>826</v>
      </c>
      <c r="D1304" s="63">
        <v>17</v>
      </c>
      <c r="E1304" s="63">
        <v>15</v>
      </c>
      <c r="F1304" s="63">
        <v>5</v>
      </c>
      <c r="G1304" s="64">
        <f t="shared" si="80"/>
        <v>0.88235294117647056</v>
      </c>
      <c r="H1304" s="64">
        <f t="shared" si="81"/>
        <v>0.29411764705882354</v>
      </c>
      <c r="I1304" s="63">
        <v>2</v>
      </c>
      <c r="J1304" s="65">
        <v>89.845749999999995</v>
      </c>
      <c r="K1304" s="65">
        <v>95.27</v>
      </c>
      <c r="L1304" s="62" t="s">
        <v>826</v>
      </c>
      <c r="M1304" s="63">
        <v>0</v>
      </c>
      <c r="N1304" s="66">
        <f t="shared" si="82"/>
        <v>0.70599999999999996</v>
      </c>
      <c r="O1304" s="62" t="str">
        <f t="shared" si="83"/>
        <v>2: High (No DBWT)</v>
      </c>
    </row>
    <row r="1305" spans="1:15" ht="15" customHeight="1" x14ac:dyDescent="0.4">
      <c r="A1305" s="62" t="s">
        <v>824</v>
      </c>
      <c r="B1305" s="62" t="s">
        <v>1872</v>
      </c>
      <c r="C1305" s="62" t="s">
        <v>826</v>
      </c>
      <c r="D1305" s="63">
        <v>8</v>
      </c>
      <c r="E1305" s="63">
        <v>0</v>
      </c>
      <c r="F1305" s="63">
        <v>0</v>
      </c>
      <c r="G1305" s="64">
        <f t="shared" si="80"/>
        <v>0</v>
      </c>
      <c r="H1305" s="64">
        <f t="shared" si="81"/>
        <v>0</v>
      </c>
      <c r="I1305" s="63">
        <v>2</v>
      </c>
      <c r="J1305" s="65">
        <v>86.815200000000004</v>
      </c>
      <c r="K1305" s="65">
        <v>96.6</v>
      </c>
      <c r="L1305" s="62" t="s">
        <v>825</v>
      </c>
      <c r="M1305" s="63">
        <v>0</v>
      </c>
      <c r="N1305" s="66">
        <f t="shared" si="82"/>
        <v>0.96</v>
      </c>
      <c r="O1305" s="62" t="str">
        <f t="shared" si="83"/>
        <v>4: Engaged Early</v>
      </c>
    </row>
    <row r="1306" spans="1:15" ht="15" customHeight="1" x14ac:dyDescent="0.4">
      <c r="A1306" s="62" t="s">
        <v>824</v>
      </c>
      <c r="B1306" s="62" t="s">
        <v>403</v>
      </c>
      <c r="C1306" s="62" t="s">
        <v>825</v>
      </c>
      <c r="D1306" s="63">
        <v>10</v>
      </c>
      <c r="E1306" s="63">
        <v>3</v>
      </c>
      <c r="F1306" s="63">
        <v>2</v>
      </c>
      <c r="G1306" s="64">
        <f t="shared" si="80"/>
        <v>0.3</v>
      </c>
      <c r="H1306" s="64">
        <f t="shared" si="81"/>
        <v>0.2</v>
      </c>
      <c r="I1306" s="63">
        <v>0</v>
      </c>
      <c r="J1306" s="65"/>
      <c r="K1306" s="65">
        <v>0</v>
      </c>
      <c r="L1306" s="62" t="s">
        <v>826</v>
      </c>
      <c r="M1306" s="63">
        <v>0</v>
      </c>
      <c r="N1306" s="66">
        <f t="shared" si="82"/>
        <v>0</v>
      </c>
      <c r="O1306" s="62" t="str">
        <f t="shared" si="83"/>
        <v>1: Critical (No DBWT + No Wk0)</v>
      </c>
    </row>
    <row r="1307" spans="1:15" ht="15" customHeight="1" x14ac:dyDescent="0.4">
      <c r="A1307" s="62" t="s">
        <v>824</v>
      </c>
      <c r="B1307" s="62" t="s">
        <v>341</v>
      </c>
      <c r="C1307" s="62" t="s">
        <v>825</v>
      </c>
      <c r="D1307" s="63">
        <v>26</v>
      </c>
      <c r="E1307" s="63">
        <v>0</v>
      </c>
      <c r="F1307" s="63">
        <v>0</v>
      </c>
      <c r="G1307" s="64">
        <f t="shared" si="80"/>
        <v>0</v>
      </c>
      <c r="H1307" s="64">
        <f t="shared" si="81"/>
        <v>0</v>
      </c>
      <c r="I1307" s="63">
        <v>0</v>
      </c>
      <c r="J1307" s="65"/>
      <c r="K1307" s="65">
        <v>0</v>
      </c>
      <c r="L1307" s="62" t="s">
        <v>825</v>
      </c>
      <c r="M1307" s="63">
        <v>0</v>
      </c>
      <c r="N1307" s="66">
        <f t="shared" si="82"/>
        <v>0.25</v>
      </c>
      <c r="O1307" s="62" t="str">
        <f t="shared" si="83"/>
        <v>3: Elevated (No Wk0)</v>
      </c>
    </row>
    <row r="1308" spans="1:15" ht="15" customHeight="1" x14ac:dyDescent="0.4">
      <c r="A1308" s="62" t="s">
        <v>824</v>
      </c>
      <c r="B1308" s="62" t="s">
        <v>1873</v>
      </c>
      <c r="C1308" s="62" t="s">
        <v>826</v>
      </c>
      <c r="D1308" s="63">
        <v>15</v>
      </c>
      <c r="E1308" s="63">
        <v>10</v>
      </c>
      <c r="F1308" s="63">
        <v>0</v>
      </c>
      <c r="G1308" s="64">
        <f t="shared" si="80"/>
        <v>0.66666666666666663</v>
      </c>
      <c r="H1308" s="64">
        <f t="shared" si="81"/>
        <v>0</v>
      </c>
      <c r="I1308" s="63">
        <v>2</v>
      </c>
      <c r="J1308" s="65">
        <v>43.397067999999997</v>
      </c>
      <c r="K1308" s="65">
        <v>87.31</v>
      </c>
      <c r="L1308" s="62" t="s">
        <v>825</v>
      </c>
      <c r="M1308" s="63">
        <v>0</v>
      </c>
      <c r="N1308" s="66">
        <f t="shared" si="82"/>
        <v>0.83899999999999997</v>
      </c>
      <c r="O1308" s="62" t="str">
        <f t="shared" si="83"/>
        <v>4: Engaged Early</v>
      </c>
    </row>
    <row r="1309" spans="1:15" ht="15" customHeight="1" x14ac:dyDescent="0.4">
      <c r="A1309" s="62" t="s">
        <v>824</v>
      </c>
      <c r="B1309" s="62" t="s">
        <v>1874</v>
      </c>
      <c r="C1309" s="62" t="s">
        <v>826</v>
      </c>
      <c r="D1309" s="63">
        <v>15</v>
      </c>
      <c r="E1309" s="63">
        <v>12</v>
      </c>
      <c r="F1309" s="63">
        <v>2</v>
      </c>
      <c r="G1309" s="64">
        <f t="shared" si="80"/>
        <v>0.8</v>
      </c>
      <c r="H1309" s="64">
        <f t="shared" si="81"/>
        <v>0.13333333333333333</v>
      </c>
      <c r="I1309" s="63">
        <v>1</v>
      </c>
      <c r="J1309" s="65">
        <v>97.56</v>
      </c>
      <c r="K1309" s="65">
        <v>28.34</v>
      </c>
      <c r="L1309" s="62" t="s">
        <v>825</v>
      </c>
      <c r="M1309" s="63">
        <v>0</v>
      </c>
      <c r="N1309" s="66">
        <f t="shared" si="82"/>
        <v>0.56599999999999995</v>
      </c>
      <c r="O1309" s="62" t="str">
        <f t="shared" si="83"/>
        <v>4: Engaged Early</v>
      </c>
    </row>
    <row r="1310" spans="1:15" ht="15" customHeight="1" x14ac:dyDescent="0.4">
      <c r="A1310" s="62" t="s">
        <v>824</v>
      </c>
      <c r="B1310" s="62" t="s">
        <v>1875</v>
      </c>
      <c r="C1310" s="62" t="s">
        <v>826</v>
      </c>
      <c r="D1310" s="63">
        <v>15</v>
      </c>
      <c r="E1310" s="63">
        <v>12</v>
      </c>
      <c r="F1310" s="63">
        <v>1</v>
      </c>
      <c r="G1310" s="64">
        <f t="shared" si="80"/>
        <v>0.8</v>
      </c>
      <c r="H1310" s="64">
        <f t="shared" si="81"/>
        <v>6.6666666666666666E-2</v>
      </c>
      <c r="I1310" s="63">
        <v>2</v>
      </c>
      <c r="J1310" s="65">
        <v>92.868700000000004</v>
      </c>
      <c r="K1310" s="65">
        <v>100</v>
      </c>
      <c r="L1310" s="62" t="s">
        <v>825</v>
      </c>
      <c r="M1310" s="63">
        <v>0</v>
      </c>
      <c r="N1310" s="66">
        <f t="shared" si="82"/>
        <v>0.98899999999999999</v>
      </c>
      <c r="O1310" s="62" t="str">
        <f t="shared" si="83"/>
        <v>4: Engaged Early</v>
      </c>
    </row>
    <row r="1311" spans="1:15" ht="15" customHeight="1" x14ac:dyDescent="0.4">
      <c r="A1311" s="62" t="s">
        <v>824</v>
      </c>
      <c r="B1311" s="62" t="s">
        <v>659</v>
      </c>
      <c r="C1311" s="62" t="s">
        <v>825</v>
      </c>
      <c r="D1311" s="63">
        <v>5</v>
      </c>
      <c r="E1311" s="63">
        <v>5</v>
      </c>
      <c r="F1311" s="63">
        <v>1</v>
      </c>
      <c r="G1311" s="64">
        <f t="shared" si="80"/>
        <v>1</v>
      </c>
      <c r="H1311" s="64">
        <f t="shared" si="81"/>
        <v>0.2</v>
      </c>
      <c r="I1311" s="63">
        <v>1</v>
      </c>
      <c r="J1311" s="65">
        <v>89.87</v>
      </c>
      <c r="K1311" s="65">
        <v>79.36</v>
      </c>
      <c r="L1311" s="62" t="s">
        <v>825</v>
      </c>
      <c r="M1311" s="63">
        <v>0</v>
      </c>
      <c r="N1311" s="66">
        <f t="shared" si="82"/>
        <v>0.86099999999999999</v>
      </c>
      <c r="O1311" s="62" t="str">
        <f t="shared" si="83"/>
        <v>4: Engaged Early</v>
      </c>
    </row>
    <row r="1312" spans="1:15" ht="15" customHeight="1" x14ac:dyDescent="0.4">
      <c r="A1312" s="62" t="s">
        <v>824</v>
      </c>
      <c r="B1312" s="62" t="s">
        <v>1876</v>
      </c>
      <c r="C1312" s="62" t="s">
        <v>826</v>
      </c>
      <c r="D1312" s="63">
        <v>21</v>
      </c>
      <c r="E1312" s="63">
        <v>14</v>
      </c>
      <c r="F1312" s="63">
        <v>1</v>
      </c>
      <c r="G1312" s="64">
        <f t="shared" si="80"/>
        <v>0.66666666666666663</v>
      </c>
      <c r="H1312" s="64">
        <f t="shared" si="81"/>
        <v>4.7619047619047616E-2</v>
      </c>
      <c r="I1312" s="63">
        <v>2</v>
      </c>
      <c r="J1312" s="65">
        <v>79.356049999999996</v>
      </c>
      <c r="K1312" s="65">
        <v>84.46</v>
      </c>
      <c r="L1312" s="62" t="s">
        <v>825</v>
      </c>
      <c r="M1312" s="63">
        <v>0</v>
      </c>
      <c r="N1312" s="66">
        <f t="shared" si="82"/>
        <v>0.876</v>
      </c>
      <c r="O1312" s="62" t="str">
        <f t="shared" si="83"/>
        <v>4: Engaged Early</v>
      </c>
    </row>
    <row r="1313" spans="1:15" ht="15" customHeight="1" x14ac:dyDescent="0.4">
      <c r="A1313" s="62" t="s">
        <v>824</v>
      </c>
      <c r="B1313" s="62" t="s">
        <v>1877</v>
      </c>
      <c r="C1313" s="62" t="s">
        <v>826</v>
      </c>
      <c r="D1313" s="63">
        <v>23</v>
      </c>
      <c r="E1313" s="63">
        <v>15</v>
      </c>
      <c r="F1313" s="63">
        <v>0</v>
      </c>
      <c r="G1313" s="64">
        <f t="shared" si="80"/>
        <v>0.65217391304347827</v>
      </c>
      <c r="H1313" s="64">
        <f t="shared" si="81"/>
        <v>0</v>
      </c>
      <c r="I1313" s="63">
        <v>2</v>
      </c>
      <c r="J1313" s="65">
        <v>47.194924999999998</v>
      </c>
      <c r="K1313" s="65">
        <v>77.33</v>
      </c>
      <c r="L1313" s="62" t="s">
        <v>825</v>
      </c>
      <c r="M1313" s="63">
        <v>0</v>
      </c>
      <c r="N1313" s="66">
        <f t="shared" si="82"/>
        <v>0.78500000000000003</v>
      </c>
      <c r="O1313" s="62" t="str">
        <f t="shared" si="83"/>
        <v>4: Engaged Early</v>
      </c>
    </row>
    <row r="1314" spans="1:15" ht="15" customHeight="1" x14ac:dyDescent="0.4">
      <c r="A1314" s="62" t="s">
        <v>824</v>
      </c>
      <c r="B1314" s="62" t="s">
        <v>1878</v>
      </c>
      <c r="C1314" s="62" t="s">
        <v>826</v>
      </c>
      <c r="D1314" s="63">
        <v>5</v>
      </c>
      <c r="E1314" s="63">
        <v>2</v>
      </c>
      <c r="F1314" s="63">
        <v>1</v>
      </c>
      <c r="G1314" s="64">
        <f t="shared" si="80"/>
        <v>0.4</v>
      </c>
      <c r="H1314" s="64">
        <f t="shared" si="81"/>
        <v>0.2</v>
      </c>
      <c r="I1314" s="63">
        <v>2</v>
      </c>
      <c r="J1314" s="65">
        <v>67.039450000000002</v>
      </c>
      <c r="K1314" s="65">
        <v>95.2</v>
      </c>
      <c r="L1314" s="62" t="s">
        <v>825</v>
      </c>
      <c r="M1314" s="63">
        <v>0</v>
      </c>
      <c r="N1314" s="66">
        <f t="shared" si="82"/>
        <v>0.92200000000000004</v>
      </c>
      <c r="O1314" s="62" t="str">
        <f t="shared" si="83"/>
        <v>4: Engaged Early</v>
      </c>
    </row>
    <row r="1315" spans="1:15" ht="15" customHeight="1" x14ac:dyDescent="0.4">
      <c r="A1315" s="62" t="s">
        <v>824</v>
      </c>
      <c r="B1315" s="62" t="s">
        <v>1879</v>
      </c>
      <c r="C1315" s="62" t="s">
        <v>826</v>
      </c>
      <c r="D1315" s="63">
        <v>2</v>
      </c>
      <c r="E1315" s="63">
        <v>2</v>
      </c>
      <c r="F1315" s="63">
        <v>1</v>
      </c>
      <c r="G1315" s="64">
        <f t="shared" si="80"/>
        <v>1</v>
      </c>
      <c r="H1315" s="64">
        <f t="shared" si="81"/>
        <v>0.5</v>
      </c>
      <c r="I1315" s="63">
        <v>1</v>
      </c>
      <c r="J1315" s="65">
        <v>87.05</v>
      </c>
      <c r="K1315" s="65">
        <v>87.5</v>
      </c>
      <c r="L1315" s="62" t="s">
        <v>825</v>
      </c>
      <c r="M1315" s="63">
        <v>0</v>
      </c>
      <c r="N1315" s="66">
        <f t="shared" si="82"/>
        <v>0.90600000000000003</v>
      </c>
      <c r="O1315" s="62" t="str">
        <f t="shared" si="83"/>
        <v>4: Engaged Early</v>
      </c>
    </row>
    <row r="1316" spans="1:15" ht="15" customHeight="1" x14ac:dyDescent="0.4">
      <c r="A1316" s="62" t="s">
        <v>824</v>
      </c>
      <c r="B1316" s="62" t="s">
        <v>1880</v>
      </c>
      <c r="C1316" s="62" t="s">
        <v>826</v>
      </c>
      <c r="D1316" s="63">
        <v>4</v>
      </c>
      <c r="E1316" s="63">
        <v>4</v>
      </c>
      <c r="F1316" s="63">
        <v>4</v>
      </c>
      <c r="G1316" s="64">
        <f t="shared" si="80"/>
        <v>1</v>
      </c>
      <c r="H1316" s="64">
        <f t="shared" si="81"/>
        <v>1</v>
      </c>
      <c r="I1316" s="63">
        <v>2</v>
      </c>
      <c r="J1316" s="65">
        <v>92.050200000000004</v>
      </c>
      <c r="K1316" s="65">
        <v>100</v>
      </c>
      <c r="L1316" s="62" t="s">
        <v>825</v>
      </c>
      <c r="M1316" s="63">
        <v>0</v>
      </c>
      <c r="N1316" s="66">
        <f t="shared" si="82"/>
        <v>0.98799999999999999</v>
      </c>
      <c r="O1316" s="62" t="str">
        <f t="shared" si="83"/>
        <v>4: Engaged Early</v>
      </c>
    </row>
    <row r="1317" spans="1:15" ht="15" customHeight="1" x14ac:dyDescent="0.4">
      <c r="A1317" s="62" t="s">
        <v>824</v>
      </c>
      <c r="B1317" s="62" t="s">
        <v>1881</v>
      </c>
      <c r="C1317" s="62" t="s">
        <v>826</v>
      </c>
      <c r="D1317" s="63">
        <v>9</v>
      </c>
      <c r="E1317" s="63">
        <v>8</v>
      </c>
      <c r="F1317" s="63">
        <v>1</v>
      </c>
      <c r="G1317" s="64">
        <f t="shared" si="80"/>
        <v>0.88888888888888884</v>
      </c>
      <c r="H1317" s="64">
        <f t="shared" si="81"/>
        <v>0.1111111111111111</v>
      </c>
      <c r="I1317" s="63">
        <v>2</v>
      </c>
      <c r="J1317" s="65">
        <v>98.075000000000003</v>
      </c>
      <c r="K1317" s="65">
        <v>78.3</v>
      </c>
      <c r="L1317" s="62" t="s">
        <v>825</v>
      </c>
      <c r="M1317" s="63">
        <v>0</v>
      </c>
      <c r="N1317" s="66">
        <f t="shared" si="82"/>
        <v>0.86699999999999999</v>
      </c>
      <c r="O1317" s="62" t="str">
        <f t="shared" si="83"/>
        <v>4: Engaged Early</v>
      </c>
    </row>
    <row r="1318" spans="1:15" ht="15" customHeight="1" x14ac:dyDescent="0.4">
      <c r="A1318" s="62" t="s">
        <v>824</v>
      </c>
      <c r="B1318" s="62" t="s">
        <v>1882</v>
      </c>
      <c r="C1318" s="62" t="s">
        <v>826</v>
      </c>
      <c r="D1318" s="63">
        <v>17</v>
      </c>
      <c r="E1318" s="63">
        <v>11</v>
      </c>
      <c r="F1318" s="63">
        <v>3</v>
      </c>
      <c r="G1318" s="64">
        <f t="shared" si="80"/>
        <v>0.6470588235294118</v>
      </c>
      <c r="H1318" s="64">
        <f t="shared" si="81"/>
        <v>0.17647058823529413</v>
      </c>
      <c r="I1318" s="63">
        <v>2</v>
      </c>
      <c r="J1318" s="65">
        <v>51.403100000000002</v>
      </c>
      <c r="K1318" s="65">
        <v>40.18</v>
      </c>
      <c r="L1318" s="62" t="s">
        <v>826</v>
      </c>
      <c r="M1318" s="63">
        <v>1</v>
      </c>
      <c r="N1318" s="66">
        <f t="shared" si="82"/>
        <v>0.318</v>
      </c>
      <c r="O1318" s="62" t="str">
        <f t="shared" si="83"/>
        <v>2: High (No DBWT)</v>
      </c>
    </row>
    <row r="1319" spans="1:15" ht="15" customHeight="1" x14ac:dyDescent="0.4">
      <c r="A1319" s="62" t="s">
        <v>824</v>
      </c>
      <c r="B1319" s="62" t="s">
        <v>1883</v>
      </c>
      <c r="C1319" s="62" t="s">
        <v>826</v>
      </c>
      <c r="D1319" s="63">
        <v>24</v>
      </c>
      <c r="E1319" s="63">
        <v>20</v>
      </c>
      <c r="F1319" s="63">
        <v>0</v>
      </c>
      <c r="G1319" s="64">
        <f t="shared" si="80"/>
        <v>0.83333333333333337</v>
      </c>
      <c r="H1319" s="64">
        <f t="shared" si="81"/>
        <v>0</v>
      </c>
      <c r="I1319" s="63">
        <v>2</v>
      </c>
      <c r="J1319" s="65">
        <v>99.469200000000001</v>
      </c>
      <c r="K1319" s="65">
        <v>100</v>
      </c>
      <c r="L1319" s="62" t="s">
        <v>825</v>
      </c>
      <c r="M1319" s="63">
        <v>0</v>
      </c>
      <c r="N1319" s="66">
        <f t="shared" si="82"/>
        <v>0.999</v>
      </c>
      <c r="O1319" s="62" t="str">
        <f t="shared" si="83"/>
        <v>4: Engaged Early</v>
      </c>
    </row>
    <row r="1320" spans="1:15" ht="15" customHeight="1" x14ac:dyDescent="0.4">
      <c r="A1320" s="62" t="s">
        <v>824</v>
      </c>
      <c r="B1320" s="62" t="s">
        <v>1884</v>
      </c>
      <c r="C1320" s="62" t="s">
        <v>826</v>
      </c>
      <c r="D1320" s="63">
        <v>17</v>
      </c>
      <c r="E1320" s="63">
        <v>8</v>
      </c>
      <c r="F1320" s="63">
        <v>1</v>
      </c>
      <c r="G1320" s="64">
        <f t="shared" si="80"/>
        <v>0.47058823529411764</v>
      </c>
      <c r="H1320" s="64">
        <f t="shared" si="81"/>
        <v>5.8823529411764705E-2</v>
      </c>
      <c r="I1320" s="63">
        <v>2</v>
      </c>
      <c r="J1320" s="65">
        <v>72.950299999999999</v>
      </c>
      <c r="K1320" s="65">
        <v>76.75</v>
      </c>
      <c r="L1320" s="62" t="s">
        <v>825</v>
      </c>
      <c r="M1320" s="63">
        <v>0</v>
      </c>
      <c r="N1320" s="66">
        <f t="shared" si="82"/>
        <v>0.82</v>
      </c>
      <c r="O1320" s="62" t="str">
        <f t="shared" si="83"/>
        <v>4: Engaged Early</v>
      </c>
    </row>
    <row r="1321" spans="1:15" ht="15" customHeight="1" x14ac:dyDescent="0.4">
      <c r="A1321" s="62" t="s">
        <v>824</v>
      </c>
      <c r="B1321" s="62" t="s">
        <v>1885</v>
      </c>
      <c r="C1321" s="62" t="s">
        <v>826</v>
      </c>
      <c r="D1321" s="63">
        <v>13</v>
      </c>
      <c r="E1321" s="63">
        <v>7</v>
      </c>
      <c r="F1321" s="63">
        <v>0</v>
      </c>
      <c r="G1321" s="64">
        <f t="shared" si="80"/>
        <v>0.53846153846153844</v>
      </c>
      <c r="H1321" s="64">
        <f t="shared" si="81"/>
        <v>0</v>
      </c>
      <c r="I1321" s="63">
        <v>2</v>
      </c>
      <c r="J1321" s="65">
        <v>97.966099999999997</v>
      </c>
      <c r="K1321" s="65">
        <v>100</v>
      </c>
      <c r="L1321" s="62" t="s">
        <v>825</v>
      </c>
      <c r="M1321" s="63">
        <v>0</v>
      </c>
      <c r="N1321" s="66">
        <f t="shared" si="82"/>
        <v>0.997</v>
      </c>
      <c r="O1321" s="62" t="str">
        <f t="shared" si="83"/>
        <v>4: Engaged Early</v>
      </c>
    </row>
    <row r="1322" spans="1:15" ht="15" customHeight="1" x14ac:dyDescent="0.4">
      <c r="A1322" s="62" t="s">
        <v>824</v>
      </c>
      <c r="B1322" s="62" t="s">
        <v>1886</v>
      </c>
      <c r="C1322" s="62" t="s">
        <v>826</v>
      </c>
      <c r="D1322" s="63">
        <v>20</v>
      </c>
      <c r="E1322" s="63">
        <v>18</v>
      </c>
      <c r="F1322" s="63">
        <v>9</v>
      </c>
      <c r="G1322" s="64">
        <f t="shared" si="80"/>
        <v>0.9</v>
      </c>
      <c r="H1322" s="64">
        <f t="shared" si="81"/>
        <v>0.45</v>
      </c>
      <c r="I1322" s="63">
        <v>2</v>
      </c>
      <c r="J1322" s="65">
        <v>98.759349999999998</v>
      </c>
      <c r="K1322" s="65">
        <v>100</v>
      </c>
      <c r="L1322" s="62" t="s">
        <v>825</v>
      </c>
      <c r="M1322" s="63">
        <v>1</v>
      </c>
      <c r="N1322" s="66">
        <f t="shared" si="82"/>
        <v>0.998</v>
      </c>
      <c r="O1322" s="62" t="str">
        <f t="shared" si="83"/>
        <v>4: Engaged Early</v>
      </c>
    </row>
    <row r="1323" spans="1:15" ht="15" customHeight="1" x14ac:dyDescent="0.4">
      <c r="A1323" s="62" t="s">
        <v>824</v>
      </c>
      <c r="B1323" s="62" t="s">
        <v>1887</v>
      </c>
      <c r="C1323" s="62" t="s">
        <v>826</v>
      </c>
      <c r="D1323" s="63">
        <v>17</v>
      </c>
      <c r="E1323" s="63">
        <v>17</v>
      </c>
      <c r="F1323" s="63">
        <v>4</v>
      </c>
      <c r="G1323" s="64">
        <f t="shared" si="80"/>
        <v>1</v>
      </c>
      <c r="H1323" s="64">
        <f t="shared" si="81"/>
        <v>0.23529411764705882</v>
      </c>
      <c r="I1323" s="63">
        <v>2</v>
      </c>
      <c r="J1323" s="65">
        <v>99.719200000000001</v>
      </c>
      <c r="K1323" s="65">
        <v>100</v>
      </c>
      <c r="L1323" s="62" t="s">
        <v>825</v>
      </c>
      <c r="M1323" s="63">
        <v>0</v>
      </c>
      <c r="N1323" s="66">
        <f t="shared" si="82"/>
        <v>1</v>
      </c>
      <c r="O1323" s="62" t="str">
        <f t="shared" si="83"/>
        <v>4: Engaged Early</v>
      </c>
    </row>
    <row r="1324" spans="1:15" ht="15" customHeight="1" x14ac:dyDescent="0.4">
      <c r="A1324" s="62" t="s">
        <v>824</v>
      </c>
      <c r="B1324" s="62" t="s">
        <v>1888</v>
      </c>
      <c r="C1324" s="62" t="s">
        <v>826</v>
      </c>
      <c r="D1324" s="63">
        <v>19</v>
      </c>
      <c r="E1324" s="63">
        <v>15</v>
      </c>
      <c r="F1324" s="63">
        <v>2</v>
      </c>
      <c r="G1324" s="64">
        <f t="shared" si="80"/>
        <v>0.78947368421052633</v>
      </c>
      <c r="H1324" s="64">
        <f t="shared" si="81"/>
        <v>0.10526315789473684</v>
      </c>
      <c r="I1324" s="63">
        <v>1</v>
      </c>
      <c r="J1324" s="65">
        <v>1.26478</v>
      </c>
      <c r="K1324" s="65">
        <v>46.12</v>
      </c>
      <c r="L1324" s="62" t="s">
        <v>825</v>
      </c>
      <c r="M1324" s="63">
        <v>0</v>
      </c>
      <c r="N1324" s="66">
        <f t="shared" si="82"/>
        <v>0.52900000000000003</v>
      </c>
      <c r="O1324" s="62" t="str">
        <f t="shared" si="83"/>
        <v>4: Engaged Early</v>
      </c>
    </row>
    <row r="1325" spans="1:15" ht="15" customHeight="1" x14ac:dyDescent="0.4">
      <c r="A1325" s="62" t="s">
        <v>824</v>
      </c>
      <c r="B1325" s="62" t="s">
        <v>1889</v>
      </c>
      <c r="C1325" s="62" t="s">
        <v>826</v>
      </c>
      <c r="D1325" s="63">
        <v>3</v>
      </c>
      <c r="E1325" s="63">
        <v>1</v>
      </c>
      <c r="F1325" s="63">
        <v>0</v>
      </c>
      <c r="G1325" s="64">
        <f t="shared" si="80"/>
        <v>0.33333333333333331</v>
      </c>
      <c r="H1325" s="64">
        <f t="shared" si="81"/>
        <v>0</v>
      </c>
      <c r="I1325" s="63">
        <v>2</v>
      </c>
      <c r="J1325" s="65">
        <v>63.756300000000003</v>
      </c>
      <c r="K1325" s="65">
        <v>92.91</v>
      </c>
      <c r="L1325" s="62" t="s">
        <v>825</v>
      </c>
      <c r="M1325" s="63">
        <v>0</v>
      </c>
      <c r="N1325" s="66">
        <f t="shared" si="82"/>
        <v>0.90300000000000002</v>
      </c>
      <c r="O1325" s="62" t="str">
        <f t="shared" si="83"/>
        <v>4: Engaged Early</v>
      </c>
    </row>
    <row r="1326" spans="1:15" ht="15" customHeight="1" x14ac:dyDescent="0.4">
      <c r="A1326" s="62" t="s">
        <v>824</v>
      </c>
      <c r="B1326" s="62" t="s">
        <v>1890</v>
      </c>
      <c r="C1326" s="62" t="s">
        <v>826</v>
      </c>
      <c r="D1326" s="63">
        <v>13</v>
      </c>
      <c r="E1326" s="63">
        <v>0</v>
      </c>
      <c r="F1326" s="63">
        <v>0</v>
      </c>
      <c r="G1326" s="64">
        <f t="shared" si="80"/>
        <v>0</v>
      </c>
      <c r="H1326" s="64">
        <f t="shared" si="81"/>
        <v>0</v>
      </c>
      <c r="I1326" s="63">
        <v>2</v>
      </c>
      <c r="J1326" s="65">
        <v>87.560249999999996</v>
      </c>
      <c r="K1326" s="65">
        <v>75.11</v>
      </c>
      <c r="L1326" s="62" t="s">
        <v>826</v>
      </c>
      <c r="M1326" s="63">
        <v>0</v>
      </c>
      <c r="N1326" s="66">
        <f t="shared" si="82"/>
        <v>0.58199999999999996</v>
      </c>
      <c r="O1326" s="62" t="str">
        <f t="shared" si="83"/>
        <v>2: High (No DBWT)</v>
      </c>
    </row>
    <row r="1327" spans="1:15" ht="15" customHeight="1" x14ac:dyDescent="0.4">
      <c r="A1327" s="62" t="s">
        <v>824</v>
      </c>
      <c r="B1327" s="62" t="s">
        <v>1891</v>
      </c>
      <c r="C1327" s="62" t="s">
        <v>826</v>
      </c>
      <c r="D1327" s="63">
        <v>23</v>
      </c>
      <c r="E1327" s="63">
        <v>9</v>
      </c>
      <c r="F1327" s="63">
        <v>2</v>
      </c>
      <c r="G1327" s="64">
        <f t="shared" si="80"/>
        <v>0.39130434782608697</v>
      </c>
      <c r="H1327" s="64">
        <f t="shared" si="81"/>
        <v>8.6956521739130432E-2</v>
      </c>
      <c r="I1327" s="63">
        <v>2</v>
      </c>
      <c r="J1327" s="65">
        <v>99.23</v>
      </c>
      <c r="K1327" s="65">
        <v>98.87</v>
      </c>
      <c r="L1327" s="62" t="s">
        <v>825</v>
      </c>
      <c r="M1327" s="63">
        <v>1</v>
      </c>
      <c r="N1327" s="66">
        <f t="shared" si="82"/>
        <v>0.99199999999999999</v>
      </c>
      <c r="O1327" s="62" t="str">
        <f t="shared" si="83"/>
        <v>4: Engaged Early</v>
      </c>
    </row>
    <row r="1328" spans="1:15" ht="15" customHeight="1" x14ac:dyDescent="0.4">
      <c r="A1328" s="62" t="s">
        <v>824</v>
      </c>
      <c r="B1328" s="62" t="s">
        <v>1892</v>
      </c>
      <c r="C1328" s="62" t="s">
        <v>826</v>
      </c>
      <c r="D1328" s="63">
        <v>22</v>
      </c>
      <c r="E1328" s="63">
        <v>10</v>
      </c>
      <c r="F1328" s="63">
        <v>4</v>
      </c>
      <c r="G1328" s="64">
        <f t="shared" si="80"/>
        <v>0.45454545454545453</v>
      </c>
      <c r="H1328" s="64">
        <f t="shared" si="81"/>
        <v>0.18181818181818182</v>
      </c>
      <c r="I1328" s="63">
        <v>2</v>
      </c>
      <c r="J1328" s="65">
        <v>99.5</v>
      </c>
      <c r="K1328" s="65">
        <v>61.09</v>
      </c>
      <c r="L1328" s="62" t="s">
        <v>825</v>
      </c>
      <c r="M1328" s="63">
        <v>0</v>
      </c>
      <c r="N1328" s="66">
        <f t="shared" si="82"/>
        <v>0.76600000000000001</v>
      </c>
      <c r="O1328" s="62" t="str">
        <f t="shared" si="83"/>
        <v>4: Engaged Early</v>
      </c>
    </row>
    <row r="1329" spans="1:15" ht="15" customHeight="1" x14ac:dyDescent="0.4">
      <c r="A1329" s="62" t="s">
        <v>824</v>
      </c>
      <c r="B1329" s="62" t="s">
        <v>1893</v>
      </c>
      <c r="C1329" s="62" t="s">
        <v>826</v>
      </c>
      <c r="D1329" s="63">
        <v>20</v>
      </c>
      <c r="E1329" s="63">
        <v>18</v>
      </c>
      <c r="F1329" s="63">
        <v>1</v>
      </c>
      <c r="G1329" s="64">
        <f t="shared" si="80"/>
        <v>0.9</v>
      </c>
      <c r="H1329" s="64">
        <f t="shared" si="81"/>
        <v>0.05</v>
      </c>
      <c r="I1329" s="63">
        <v>2</v>
      </c>
      <c r="J1329" s="65">
        <v>80.178399999999996</v>
      </c>
      <c r="K1329" s="65">
        <v>100</v>
      </c>
      <c r="L1329" s="62" t="s">
        <v>825</v>
      </c>
      <c r="M1329" s="63">
        <v>0</v>
      </c>
      <c r="N1329" s="66">
        <f t="shared" si="82"/>
        <v>0.97</v>
      </c>
      <c r="O1329" s="62" t="str">
        <f t="shared" si="83"/>
        <v>4: Engaged Early</v>
      </c>
    </row>
    <row r="1330" spans="1:15" ht="15" customHeight="1" x14ac:dyDescent="0.4">
      <c r="A1330" s="62" t="s">
        <v>824</v>
      </c>
      <c r="B1330" s="62" t="s">
        <v>1894</v>
      </c>
      <c r="C1330" s="62" t="s">
        <v>826</v>
      </c>
      <c r="D1330" s="63">
        <v>23</v>
      </c>
      <c r="E1330" s="63">
        <v>3</v>
      </c>
      <c r="F1330" s="63">
        <v>0</v>
      </c>
      <c r="G1330" s="64">
        <f t="shared" si="80"/>
        <v>0.13043478260869565</v>
      </c>
      <c r="H1330" s="64">
        <f t="shared" si="81"/>
        <v>0</v>
      </c>
      <c r="I1330" s="63">
        <v>1</v>
      </c>
      <c r="J1330" s="65">
        <v>98.07</v>
      </c>
      <c r="K1330" s="65">
        <v>47.2</v>
      </c>
      <c r="L1330" s="62" t="s">
        <v>825</v>
      </c>
      <c r="M1330" s="63">
        <v>0</v>
      </c>
      <c r="N1330" s="66">
        <f t="shared" si="82"/>
        <v>0.68</v>
      </c>
      <c r="O1330" s="62" t="str">
        <f t="shared" si="83"/>
        <v>4: Engaged Early</v>
      </c>
    </row>
    <row r="1331" spans="1:15" ht="15" customHeight="1" x14ac:dyDescent="0.4">
      <c r="A1331" s="62" t="s">
        <v>824</v>
      </c>
      <c r="B1331" s="62" t="s">
        <v>1895</v>
      </c>
      <c r="C1331" s="62" t="s">
        <v>826</v>
      </c>
      <c r="D1331" s="63">
        <v>15</v>
      </c>
      <c r="E1331" s="63">
        <v>10</v>
      </c>
      <c r="F1331" s="63">
        <v>0</v>
      </c>
      <c r="G1331" s="64">
        <f t="shared" si="80"/>
        <v>0.66666666666666663</v>
      </c>
      <c r="H1331" s="64">
        <f t="shared" si="81"/>
        <v>0</v>
      </c>
      <c r="I1331" s="63">
        <v>2</v>
      </c>
      <c r="J1331" s="65">
        <v>99.772949999999994</v>
      </c>
      <c r="K1331" s="65">
        <v>100</v>
      </c>
      <c r="L1331" s="62" t="s">
        <v>825</v>
      </c>
      <c r="M1331" s="63">
        <v>0</v>
      </c>
      <c r="N1331" s="66">
        <f t="shared" si="82"/>
        <v>1</v>
      </c>
      <c r="O1331" s="62" t="str">
        <f t="shared" si="83"/>
        <v>4: Engaged Early</v>
      </c>
    </row>
    <row r="1332" spans="1:15" ht="15" customHeight="1" x14ac:dyDescent="0.4">
      <c r="A1332" s="62" t="s">
        <v>824</v>
      </c>
      <c r="B1332" s="62" t="s">
        <v>1896</v>
      </c>
      <c r="C1332" s="62" t="s">
        <v>826</v>
      </c>
      <c r="D1332" s="63">
        <v>13</v>
      </c>
      <c r="E1332" s="63">
        <v>3</v>
      </c>
      <c r="F1332" s="63">
        <v>0</v>
      </c>
      <c r="G1332" s="64">
        <f t="shared" si="80"/>
        <v>0.23076923076923078</v>
      </c>
      <c r="H1332" s="64">
        <f t="shared" si="81"/>
        <v>0</v>
      </c>
      <c r="I1332" s="63">
        <v>2</v>
      </c>
      <c r="J1332" s="65">
        <v>91.825999999999993</v>
      </c>
      <c r="K1332" s="65">
        <v>99.81</v>
      </c>
      <c r="L1332" s="62" t="s">
        <v>825</v>
      </c>
      <c r="M1332" s="63">
        <v>0</v>
      </c>
      <c r="N1332" s="66">
        <f t="shared" si="82"/>
        <v>0.98699999999999999</v>
      </c>
      <c r="O1332" s="62" t="str">
        <f t="shared" si="83"/>
        <v>4: Engaged Early</v>
      </c>
    </row>
    <row r="1333" spans="1:15" ht="15" customHeight="1" x14ac:dyDescent="0.4">
      <c r="A1333" s="62" t="s">
        <v>824</v>
      </c>
      <c r="B1333" s="62" t="s">
        <v>1897</v>
      </c>
      <c r="C1333" s="62" t="s">
        <v>826</v>
      </c>
      <c r="D1333" s="63">
        <v>3</v>
      </c>
      <c r="E1333" s="63">
        <v>3</v>
      </c>
      <c r="F1333" s="63">
        <v>1</v>
      </c>
      <c r="G1333" s="64">
        <f t="shared" si="80"/>
        <v>1</v>
      </c>
      <c r="H1333" s="64">
        <f t="shared" si="81"/>
        <v>0.33333333333333331</v>
      </c>
      <c r="I1333" s="63">
        <v>2</v>
      </c>
      <c r="J1333" s="65">
        <v>85.176249999999996</v>
      </c>
      <c r="K1333" s="65">
        <v>100</v>
      </c>
      <c r="L1333" s="62" t="s">
        <v>825</v>
      </c>
      <c r="M1333" s="63">
        <v>1</v>
      </c>
      <c r="N1333" s="66">
        <f t="shared" si="82"/>
        <v>0.97799999999999998</v>
      </c>
      <c r="O1333" s="62" t="str">
        <f t="shared" si="83"/>
        <v>4: Engaged Early</v>
      </c>
    </row>
    <row r="1334" spans="1:15" ht="15" customHeight="1" x14ac:dyDescent="0.4">
      <c r="A1334" s="62" t="s">
        <v>824</v>
      </c>
      <c r="B1334" s="62" t="s">
        <v>1898</v>
      </c>
      <c r="C1334" s="62" t="s">
        <v>826</v>
      </c>
      <c r="D1334" s="63">
        <v>2</v>
      </c>
      <c r="E1334" s="63">
        <v>1</v>
      </c>
      <c r="F1334" s="63">
        <v>0</v>
      </c>
      <c r="G1334" s="64">
        <f t="shared" si="80"/>
        <v>0.5</v>
      </c>
      <c r="H1334" s="64">
        <f t="shared" si="81"/>
        <v>0</v>
      </c>
      <c r="I1334" s="63">
        <v>2</v>
      </c>
      <c r="J1334" s="65">
        <v>97.1113</v>
      </c>
      <c r="K1334" s="65">
        <v>100</v>
      </c>
      <c r="L1334" s="62" t="s">
        <v>825</v>
      </c>
      <c r="M1334" s="63">
        <v>0</v>
      </c>
      <c r="N1334" s="66">
        <f t="shared" si="82"/>
        <v>0.996</v>
      </c>
      <c r="O1334" s="62" t="str">
        <f t="shared" si="83"/>
        <v>4: Engaged Early</v>
      </c>
    </row>
    <row r="1335" spans="1:15" ht="15" customHeight="1" x14ac:dyDescent="0.4">
      <c r="A1335" s="62" t="s">
        <v>824</v>
      </c>
      <c r="B1335" s="62" t="s">
        <v>1899</v>
      </c>
      <c r="C1335" s="62" t="s">
        <v>826</v>
      </c>
      <c r="D1335" s="63">
        <v>11</v>
      </c>
      <c r="E1335" s="63">
        <v>4</v>
      </c>
      <c r="F1335" s="63">
        <v>0</v>
      </c>
      <c r="G1335" s="64">
        <f t="shared" si="80"/>
        <v>0.36363636363636365</v>
      </c>
      <c r="H1335" s="64">
        <f t="shared" si="81"/>
        <v>0</v>
      </c>
      <c r="I1335" s="63">
        <v>0</v>
      </c>
      <c r="J1335" s="65"/>
      <c r="K1335" s="65">
        <v>0.23</v>
      </c>
      <c r="L1335" s="62" t="s">
        <v>825</v>
      </c>
      <c r="M1335" s="63">
        <v>0</v>
      </c>
      <c r="N1335" s="66">
        <f t="shared" si="82"/>
        <v>0.251</v>
      </c>
      <c r="O1335" s="62" t="str">
        <f t="shared" si="83"/>
        <v>3: Elevated (No Wk0)</v>
      </c>
    </row>
    <row r="1336" spans="1:15" ht="15" customHeight="1" x14ac:dyDescent="0.4">
      <c r="A1336" s="62" t="s">
        <v>824</v>
      </c>
      <c r="B1336" s="62" t="s">
        <v>1900</v>
      </c>
      <c r="C1336" s="62" t="s">
        <v>826</v>
      </c>
      <c r="D1336" s="63">
        <v>26</v>
      </c>
      <c r="E1336" s="63">
        <v>22</v>
      </c>
      <c r="F1336" s="63">
        <v>2</v>
      </c>
      <c r="G1336" s="64">
        <f t="shared" si="80"/>
        <v>0.84615384615384615</v>
      </c>
      <c r="H1336" s="64">
        <f t="shared" si="81"/>
        <v>7.6923076923076927E-2</v>
      </c>
      <c r="I1336" s="63">
        <v>2</v>
      </c>
      <c r="J1336" s="65">
        <v>92.42</v>
      </c>
      <c r="K1336" s="65">
        <v>75</v>
      </c>
      <c r="L1336" s="62" t="s">
        <v>825</v>
      </c>
      <c r="M1336" s="63">
        <v>0</v>
      </c>
      <c r="N1336" s="66">
        <f t="shared" si="82"/>
        <v>0.83899999999999997</v>
      </c>
      <c r="O1336" s="62" t="str">
        <f t="shared" si="83"/>
        <v>4: Engaged Early</v>
      </c>
    </row>
    <row r="1337" spans="1:15" ht="15" customHeight="1" x14ac:dyDescent="0.4">
      <c r="A1337" s="62" t="s">
        <v>824</v>
      </c>
      <c r="B1337" s="62" t="s">
        <v>1901</v>
      </c>
      <c r="C1337" s="62" t="s">
        <v>826</v>
      </c>
      <c r="D1337" s="63">
        <v>17</v>
      </c>
      <c r="E1337" s="63">
        <v>17</v>
      </c>
      <c r="F1337" s="63">
        <v>7</v>
      </c>
      <c r="G1337" s="64">
        <f t="shared" si="80"/>
        <v>1</v>
      </c>
      <c r="H1337" s="64">
        <f t="shared" si="81"/>
        <v>0.41176470588235292</v>
      </c>
      <c r="I1337" s="63">
        <v>2</v>
      </c>
      <c r="J1337" s="65">
        <v>87.236350000000002</v>
      </c>
      <c r="K1337" s="65">
        <v>99.26</v>
      </c>
      <c r="L1337" s="62" t="s">
        <v>825</v>
      </c>
      <c r="M1337" s="63">
        <v>0</v>
      </c>
      <c r="N1337" s="66">
        <f t="shared" si="82"/>
        <v>0.97599999999999998</v>
      </c>
      <c r="O1337" s="62" t="str">
        <f t="shared" si="83"/>
        <v>4: Engaged Early</v>
      </c>
    </row>
    <row r="1338" spans="1:15" ht="15" customHeight="1" x14ac:dyDescent="0.4">
      <c r="A1338" s="62" t="s">
        <v>824</v>
      </c>
      <c r="B1338" s="62" t="s">
        <v>1902</v>
      </c>
      <c r="C1338" s="62" t="s">
        <v>826</v>
      </c>
      <c r="D1338" s="63">
        <v>13</v>
      </c>
      <c r="E1338" s="63">
        <v>12</v>
      </c>
      <c r="F1338" s="63">
        <v>1</v>
      </c>
      <c r="G1338" s="64">
        <f t="shared" si="80"/>
        <v>0.92307692307692313</v>
      </c>
      <c r="H1338" s="64">
        <f t="shared" si="81"/>
        <v>7.6923076923076927E-2</v>
      </c>
      <c r="I1338" s="63">
        <v>2</v>
      </c>
      <c r="J1338" s="65">
        <v>99.894999999999996</v>
      </c>
      <c r="K1338" s="65">
        <v>100</v>
      </c>
      <c r="L1338" s="62" t="s">
        <v>825</v>
      </c>
      <c r="M1338" s="63">
        <v>0</v>
      </c>
      <c r="N1338" s="66">
        <f t="shared" si="82"/>
        <v>1</v>
      </c>
      <c r="O1338" s="62" t="str">
        <f t="shared" si="83"/>
        <v>4: Engaged Early</v>
      </c>
    </row>
    <row r="1339" spans="1:15" ht="15" customHeight="1" x14ac:dyDescent="0.4">
      <c r="A1339" s="62" t="s">
        <v>824</v>
      </c>
      <c r="B1339" s="62" t="s">
        <v>1903</v>
      </c>
      <c r="C1339" s="62" t="s">
        <v>826</v>
      </c>
      <c r="D1339" s="63">
        <v>13</v>
      </c>
      <c r="E1339" s="63">
        <v>9</v>
      </c>
      <c r="F1339" s="63">
        <v>0</v>
      </c>
      <c r="G1339" s="64">
        <f t="shared" si="80"/>
        <v>0.69230769230769229</v>
      </c>
      <c r="H1339" s="64">
        <f t="shared" si="81"/>
        <v>0</v>
      </c>
      <c r="I1339" s="63">
        <v>2</v>
      </c>
      <c r="J1339" s="65">
        <v>55.460299999999997</v>
      </c>
      <c r="K1339" s="65">
        <v>89.21</v>
      </c>
      <c r="L1339" s="62" t="s">
        <v>825</v>
      </c>
      <c r="M1339" s="63">
        <v>0</v>
      </c>
      <c r="N1339" s="66">
        <f t="shared" si="82"/>
        <v>0.86799999999999999</v>
      </c>
      <c r="O1339" s="62" t="str">
        <f t="shared" si="83"/>
        <v>4: Engaged Early</v>
      </c>
    </row>
    <row r="1340" spans="1:15" ht="15" customHeight="1" x14ac:dyDescent="0.4">
      <c r="A1340" s="62" t="s">
        <v>824</v>
      </c>
      <c r="B1340" s="62" t="s">
        <v>1904</v>
      </c>
      <c r="C1340" s="62" t="s">
        <v>826</v>
      </c>
      <c r="D1340" s="63">
        <v>0</v>
      </c>
      <c r="E1340" s="63">
        <v>0</v>
      </c>
      <c r="F1340" s="63">
        <v>0</v>
      </c>
      <c r="G1340" s="64">
        <f t="shared" si="80"/>
        <v>0</v>
      </c>
      <c r="H1340" s="64">
        <f t="shared" si="81"/>
        <v>0</v>
      </c>
      <c r="I1340" s="63">
        <v>2</v>
      </c>
      <c r="J1340" s="65">
        <v>89.848249999999993</v>
      </c>
      <c r="K1340" s="65">
        <v>100</v>
      </c>
      <c r="L1340" s="62" t="s">
        <v>826</v>
      </c>
      <c r="M1340" s="63">
        <v>0</v>
      </c>
      <c r="N1340" s="66">
        <f t="shared" si="82"/>
        <v>0.73499999999999999</v>
      </c>
      <c r="O1340" s="62" t="str">
        <f t="shared" si="83"/>
        <v>2: High (No DBWT)</v>
      </c>
    </row>
    <row r="1341" spans="1:15" ht="15" customHeight="1" x14ac:dyDescent="0.4">
      <c r="A1341" s="62" t="s">
        <v>824</v>
      </c>
      <c r="B1341" s="62" t="s">
        <v>1905</v>
      </c>
      <c r="C1341" s="62" t="s">
        <v>826</v>
      </c>
      <c r="D1341" s="63">
        <v>20</v>
      </c>
      <c r="E1341" s="63">
        <v>17</v>
      </c>
      <c r="F1341" s="63">
        <v>5</v>
      </c>
      <c r="G1341" s="64">
        <f t="shared" si="80"/>
        <v>0.85</v>
      </c>
      <c r="H1341" s="64">
        <f t="shared" si="81"/>
        <v>0.25</v>
      </c>
      <c r="I1341" s="63">
        <v>2</v>
      </c>
      <c r="J1341" s="65">
        <v>91.973050000000001</v>
      </c>
      <c r="K1341" s="65">
        <v>99.32</v>
      </c>
      <c r="L1341" s="62" t="s">
        <v>825</v>
      </c>
      <c r="M1341" s="63">
        <v>0</v>
      </c>
      <c r="N1341" s="66">
        <f t="shared" si="82"/>
        <v>0.98399999999999999</v>
      </c>
      <c r="O1341" s="62" t="str">
        <f t="shared" si="83"/>
        <v>4: Engaged Early</v>
      </c>
    </row>
    <row r="1342" spans="1:15" ht="15" customHeight="1" x14ac:dyDescent="0.4">
      <c r="A1342" s="62" t="s">
        <v>824</v>
      </c>
      <c r="B1342" s="62" t="s">
        <v>1906</v>
      </c>
      <c r="C1342" s="62" t="s">
        <v>826</v>
      </c>
      <c r="D1342" s="63">
        <v>4</v>
      </c>
      <c r="E1342" s="63">
        <v>0</v>
      </c>
      <c r="F1342" s="63">
        <v>0</v>
      </c>
      <c r="G1342" s="64">
        <f t="shared" si="80"/>
        <v>0</v>
      </c>
      <c r="H1342" s="64">
        <f t="shared" si="81"/>
        <v>0</v>
      </c>
      <c r="I1342" s="63">
        <v>2</v>
      </c>
      <c r="J1342" s="65">
        <v>82.995149999999995</v>
      </c>
      <c r="K1342" s="65">
        <v>100</v>
      </c>
      <c r="L1342" s="62" t="s">
        <v>825</v>
      </c>
      <c r="M1342" s="63">
        <v>0</v>
      </c>
      <c r="N1342" s="66">
        <f t="shared" si="82"/>
        <v>0.97399999999999998</v>
      </c>
      <c r="O1342" s="62" t="str">
        <f t="shared" si="83"/>
        <v>4: Engaged Early</v>
      </c>
    </row>
    <row r="1343" spans="1:15" ht="15" customHeight="1" x14ac:dyDescent="0.4">
      <c r="A1343" s="62" t="s">
        <v>824</v>
      </c>
      <c r="B1343" s="62" t="s">
        <v>1907</v>
      </c>
      <c r="C1343" s="62" t="s">
        <v>826</v>
      </c>
      <c r="D1343" s="63">
        <v>18</v>
      </c>
      <c r="E1343" s="63">
        <v>11</v>
      </c>
      <c r="F1343" s="63">
        <v>1</v>
      </c>
      <c r="G1343" s="64">
        <f t="shared" si="80"/>
        <v>0.61111111111111116</v>
      </c>
      <c r="H1343" s="64">
        <f t="shared" si="81"/>
        <v>5.5555555555555552E-2</v>
      </c>
      <c r="I1343" s="63">
        <v>2</v>
      </c>
      <c r="J1343" s="65">
        <v>97.788550000000001</v>
      </c>
      <c r="K1343" s="65">
        <v>100</v>
      </c>
      <c r="L1343" s="62" t="s">
        <v>825</v>
      </c>
      <c r="M1343" s="63">
        <v>0</v>
      </c>
      <c r="N1343" s="66">
        <f t="shared" si="82"/>
        <v>0.997</v>
      </c>
      <c r="O1343" s="62" t="str">
        <f t="shared" si="83"/>
        <v>4: Engaged Early</v>
      </c>
    </row>
    <row r="1344" spans="1:15" ht="15" customHeight="1" x14ac:dyDescent="0.4">
      <c r="A1344" s="62" t="s">
        <v>824</v>
      </c>
      <c r="B1344" s="62" t="s">
        <v>1908</v>
      </c>
      <c r="C1344" s="62" t="s">
        <v>826</v>
      </c>
      <c r="D1344" s="63">
        <v>10</v>
      </c>
      <c r="E1344" s="63">
        <v>8</v>
      </c>
      <c r="F1344" s="63">
        <v>3</v>
      </c>
      <c r="G1344" s="64">
        <f t="shared" si="80"/>
        <v>0.8</v>
      </c>
      <c r="H1344" s="64">
        <f t="shared" si="81"/>
        <v>0.3</v>
      </c>
      <c r="I1344" s="63">
        <v>2</v>
      </c>
      <c r="J1344" s="65">
        <v>66.804150000000007</v>
      </c>
      <c r="K1344" s="65">
        <v>80.88</v>
      </c>
      <c r="L1344" s="62" t="s">
        <v>825</v>
      </c>
      <c r="M1344" s="63">
        <v>0</v>
      </c>
      <c r="N1344" s="66">
        <f t="shared" si="82"/>
        <v>0.83499999999999996</v>
      </c>
      <c r="O1344" s="62" t="str">
        <f t="shared" si="83"/>
        <v>4: Engaged Early</v>
      </c>
    </row>
    <row r="1345" spans="1:15" ht="15" customHeight="1" x14ac:dyDescent="0.4">
      <c r="A1345" s="62" t="s">
        <v>824</v>
      </c>
      <c r="B1345" s="62" t="s">
        <v>1909</v>
      </c>
      <c r="C1345" s="62" t="s">
        <v>826</v>
      </c>
      <c r="D1345" s="63">
        <v>6</v>
      </c>
      <c r="E1345" s="63">
        <v>6</v>
      </c>
      <c r="F1345" s="63">
        <v>1</v>
      </c>
      <c r="G1345" s="64">
        <f t="shared" si="80"/>
        <v>1</v>
      </c>
      <c r="H1345" s="64">
        <f t="shared" si="81"/>
        <v>0.16666666666666666</v>
      </c>
      <c r="I1345" s="63">
        <v>2</v>
      </c>
      <c r="J1345" s="65">
        <v>97.52</v>
      </c>
      <c r="K1345" s="65">
        <v>100</v>
      </c>
      <c r="L1345" s="62" t="s">
        <v>825</v>
      </c>
      <c r="M1345" s="63">
        <v>2</v>
      </c>
      <c r="N1345" s="66">
        <f t="shared" si="82"/>
        <v>0.996</v>
      </c>
      <c r="O1345" s="62" t="str">
        <f t="shared" si="83"/>
        <v>4: Engaged Early</v>
      </c>
    </row>
    <row r="1346" spans="1:15" ht="15" customHeight="1" x14ac:dyDescent="0.4">
      <c r="A1346" s="62" t="s">
        <v>824</v>
      </c>
      <c r="B1346" s="62" t="s">
        <v>1910</v>
      </c>
      <c r="C1346" s="62" t="s">
        <v>826</v>
      </c>
      <c r="D1346" s="63">
        <v>13</v>
      </c>
      <c r="E1346" s="63">
        <v>10</v>
      </c>
      <c r="F1346" s="63">
        <v>1</v>
      </c>
      <c r="G1346" s="64">
        <f t="shared" ref="G1346:G1409" si="84">IFERROR(E1346/D1346,0)</f>
        <v>0.76923076923076927</v>
      </c>
      <c r="H1346" s="64">
        <f t="shared" ref="H1346:H1409" si="85">IFERROR(F1346/D1346,0)</f>
        <v>7.6923076923076927E-2</v>
      </c>
      <c r="I1346" s="63">
        <v>2</v>
      </c>
      <c r="J1346" s="65">
        <v>91.965549999999993</v>
      </c>
      <c r="K1346" s="65">
        <v>99.93</v>
      </c>
      <c r="L1346" s="62" t="s">
        <v>825</v>
      </c>
      <c r="M1346" s="63">
        <v>1</v>
      </c>
      <c r="N1346" s="66">
        <f t="shared" ref="N1346:N1409" si="86">ROUND(IFERROR(K1346/100,0)*0.6 + IF(L1346="Yes",1,IF(L1346="No",0,0.3))*0.25 + IFERROR(J1346/100,0)*0.15,3)</f>
        <v>0.98799999999999999</v>
      </c>
      <c r="O1346" s="62" t="str">
        <f t="shared" ref="O1346:O1409" si="87">IF(AND(L1346="No",I1346=0),"1: Critical (No DBWT + No Wk0)",IF(L1346="No","2: High (No DBWT)",IF(I1346=0,"3: Elevated (No Wk0)","4: Engaged Early")))</f>
        <v>4: Engaged Early</v>
      </c>
    </row>
    <row r="1347" spans="1:15" ht="15" customHeight="1" x14ac:dyDescent="0.4">
      <c r="A1347" s="62" t="s">
        <v>824</v>
      </c>
      <c r="B1347" s="62" t="s">
        <v>1911</v>
      </c>
      <c r="C1347" s="62" t="s">
        <v>826</v>
      </c>
      <c r="D1347" s="63">
        <v>0</v>
      </c>
      <c r="E1347" s="63">
        <v>0</v>
      </c>
      <c r="F1347" s="63">
        <v>0</v>
      </c>
      <c r="G1347" s="64">
        <f t="shared" si="84"/>
        <v>0</v>
      </c>
      <c r="H1347" s="64">
        <f t="shared" si="85"/>
        <v>0</v>
      </c>
      <c r="I1347" s="63">
        <v>2</v>
      </c>
      <c r="J1347" s="65">
        <v>93.520700000000005</v>
      </c>
      <c r="K1347" s="65">
        <v>100</v>
      </c>
      <c r="L1347" s="62" t="s">
        <v>825</v>
      </c>
      <c r="M1347" s="63">
        <v>0</v>
      </c>
      <c r="N1347" s="66">
        <f t="shared" si="86"/>
        <v>0.99</v>
      </c>
      <c r="O1347" s="62" t="str">
        <f t="shared" si="87"/>
        <v>4: Engaged Early</v>
      </c>
    </row>
    <row r="1348" spans="1:15" ht="15" customHeight="1" x14ac:dyDescent="0.4">
      <c r="A1348" s="62" t="s">
        <v>824</v>
      </c>
      <c r="B1348" s="62" t="s">
        <v>1912</v>
      </c>
      <c r="C1348" s="62" t="s">
        <v>826</v>
      </c>
      <c r="D1348" s="63">
        <v>17</v>
      </c>
      <c r="E1348" s="63">
        <v>9</v>
      </c>
      <c r="F1348" s="63">
        <v>3</v>
      </c>
      <c r="G1348" s="64">
        <f t="shared" si="84"/>
        <v>0.52941176470588236</v>
      </c>
      <c r="H1348" s="64">
        <f t="shared" si="85"/>
        <v>0.17647058823529413</v>
      </c>
      <c r="I1348" s="63">
        <v>2</v>
      </c>
      <c r="J1348" s="65">
        <v>88.754599999999996</v>
      </c>
      <c r="K1348" s="65">
        <v>100</v>
      </c>
      <c r="L1348" s="62" t="s">
        <v>825</v>
      </c>
      <c r="M1348" s="63">
        <v>0</v>
      </c>
      <c r="N1348" s="66">
        <f t="shared" si="86"/>
        <v>0.98299999999999998</v>
      </c>
      <c r="O1348" s="62" t="str">
        <f t="shared" si="87"/>
        <v>4: Engaged Early</v>
      </c>
    </row>
    <row r="1349" spans="1:15" ht="15" customHeight="1" x14ac:dyDescent="0.4">
      <c r="A1349" s="62" t="s">
        <v>824</v>
      </c>
      <c r="B1349" s="62" t="s">
        <v>1913</v>
      </c>
      <c r="C1349" s="62" t="s">
        <v>826</v>
      </c>
      <c r="D1349" s="63">
        <v>22</v>
      </c>
      <c r="E1349" s="63">
        <v>17</v>
      </c>
      <c r="F1349" s="63">
        <v>8</v>
      </c>
      <c r="G1349" s="64">
        <f t="shared" si="84"/>
        <v>0.77272727272727271</v>
      </c>
      <c r="H1349" s="64">
        <f t="shared" si="85"/>
        <v>0.36363636363636365</v>
      </c>
      <c r="I1349" s="63">
        <v>2</v>
      </c>
      <c r="J1349" s="65">
        <v>97.940749999999994</v>
      </c>
      <c r="K1349" s="65">
        <v>100</v>
      </c>
      <c r="L1349" s="62" t="s">
        <v>825</v>
      </c>
      <c r="M1349" s="63">
        <v>0</v>
      </c>
      <c r="N1349" s="66">
        <f t="shared" si="86"/>
        <v>0.997</v>
      </c>
      <c r="O1349" s="62" t="str">
        <f t="shared" si="87"/>
        <v>4: Engaged Early</v>
      </c>
    </row>
    <row r="1350" spans="1:15" ht="15" customHeight="1" x14ac:dyDescent="0.4">
      <c r="A1350" s="62" t="s">
        <v>824</v>
      </c>
      <c r="B1350" s="62" t="s">
        <v>1914</v>
      </c>
      <c r="C1350" s="62" t="s">
        <v>826</v>
      </c>
      <c r="D1350" s="63">
        <v>4</v>
      </c>
      <c r="E1350" s="63">
        <v>3</v>
      </c>
      <c r="F1350" s="63">
        <v>0</v>
      </c>
      <c r="G1350" s="64">
        <f t="shared" si="84"/>
        <v>0.75</v>
      </c>
      <c r="H1350" s="64">
        <f t="shared" si="85"/>
        <v>0</v>
      </c>
      <c r="I1350" s="63">
        <v>2</v>
      </c>
      <c r="J1350" s="65">
        <v>99.8</v>
      </c>
      <c r="K1350" s="65">
        <v>100</v>
      </c>
      <c r="L1350" s="62" t="s">
        <v>825</v>
      </c>
      <c r="M1350" s="63">
        <v>0</v>
      </c>
      <c r="N1350" s="66">
        <f t="shared" si="86"/>
        <v>1</v>
      </c>
      <c r="O1350" s="62" t="str">
        <f t="shared" si="87"/>
        <v>4: Engaged Early</v>
      </c>
    </row>
    <row r="1351" spans="1:15" ht="15" customHeight="1" x14ac:dyDescent="0.4">
      <c r="A1351" s="62" t="s">
        <v>824</v>
      </c>
      <c r="B1351" s="62" t="s">
        <v>1915</v>
      </c>
      <c r="C1351" s="62" t="s">
        <v>826</v>
      </c>
      <c r="D1351" s="63">
        <v>3</v>
      </c>
      <c r="E1351" s="63">
        <v>3</v>
      </c>
      <c r="F1351" s="63">
        <v>0</v>
      </c>
      <c r="G1351" s="64">
        <f t="shared" si="84"/>
        <v>1</v>
      </c>
      <c r="H1351" s="64">
        <f t="shared" si="85"/>
        <v>0</v>
      </c>
      <c r="I1351" s="63">
        <v>2</v>
      </c>
      <c r="J1351" s="65">
        <v>99.81</v>
      </c>
      <c r="K1351" s="65">
        <v>100</v>
      </c>
      <c r="L1351" s="62" t="s">
        <v>825</v>
      </c>
      <c r="M1351" s="63">
        <v>0</v>
      </c>
      <c r="N1351" s="66">
        <f t="shared" si="86"/>
        <v>1</v>
      </c>
      <c r="O1351" s="62" t="str">
        <f t="shared" si="87"/>
        <v>4: Engaged Early</v>
      </c>
    </row>
    <row r="1352" spans="1:15" ht="15" customHeight="1" x14ac:dyDescent="0.4">
      <c r="A1352" s="62" t="s">
        <v>824</v>
      </c>
      <c r="B1352" s="62" t="s">
        <v>1916</v>
      </c>
      <c r="C1352" s="62" t="s">
        <v>826</v>
      </c>
      <c r="D1352" s="63">
        <v>22</v>
      </c>
      <c r="E1352" s="63">
        <v>20</v>
      </c>
      <c r="F1352" s="63">
        <v>3</v>
      </c>
      <c r="G1352" s="64">
        <f t="shared" si="84"/>
        <v>0.90909090909090906</v>
      </c>
      <c r="H1352" s="64">
        <f t="shared" si="85"/>
        <v>0.13636363636363635</v>
      </c>
      <c r="I1352" s="63">
        <v>2</v>
      </c>
      <c r="J1352" s="65">
        <v>66.900549999999996</v>
      </c>
      <c r="K1352" s="65">
        <v>86.23</v>
      </c>
      <c r="L1352" s="62" t="s">
        <v>825</v>
      </c>
      <c r="M1352" s="63">
        <v>0</v>
      </c>
      <c r="N1352" s="66">
        <f t="shared" si="86"/>
        <v>0.86799999999999999</v>
      </c>
      <c r="O1352" s="62" t="str">
        <f t="shared" si="87"/>
        <v>4: Engaged Early</v>
      </c>
    </row>
    <row r="1353" spans="1:15" ht="15" customHeight="1" x14ac:dyDescent="0.4">
      <c r="A1353" s="62" t="s">
        <v>824</v>
      </c>
      <c r="B1353" s="62" t="s">
        <v>1917</v>
      </c>
      <c r="C1353" s="62" t="s">
        <v>826</v>
      </c>
      <c r="D1353" s="63">
        <v>13</v>
      </c>
      <c r="E1353" s="63">
        <v>4</v>
      </c>
      <c r="F1353" s="63">
        <v>5</v>
      </c>
      <c r="G1353" s="64">
        <f t="shared" si="84"/>
        <v>0.30769230769230771</v>
      </c>
      <c r="H1353" s="64">
        <f t="shared" si="85"/>
        <v>0.38461538461538464</v>
      </c>
      <c r="I1353" s="63">
        <v>2</v>
      </c>
      <c r="J1353" s="65">
        <v>99.495900000000006</v>
      </c>
      <c r="K1353" s="65">
        <v>100</v>
      </c>
      <c r="L1353" s="62" t="s">
        <v>825</v>
      </c>
      <c r="M1353" s="63">
        <v>0</v>
      </c>
      <c r="N1353" s="66">
        <f t="shared" si="86"/>
        <v>0.999</v>
      </c>
      <c r="O1353" s="62" t="str">
        <f t="shared" si="87"/>
        <v>4: Engaged Early</v>
      </c>
    </row>
    <row r="1354" spans="1:15" ht="15" customHeight="1" x14ac:dyDescent="0.4">
      <c r="A1354" s="62" t="s">
        <v>824</v>
      </c>
      <c r="B1354" s="62" t="s">
        <v>1918</v>
      </c>
      <c r="C1354" s="62" t="s">
        <v>826</v>
      </c>
      <c r="D1354" s="63">
        <v>17</v>
      </c>
      <c r="E1354" s="63">
        <v>12</v>
      </c>
      <c r="F1354" s="63">
        <v>1</v>
      </c>
      <c r="G1354" s="64">
        <f t="shared" si="84"/>
        <v>0.70588235294117652</v>
      </c>
      <c r="H1354" s="64">
        <f t="shared" si="85"/>
        <v>5.8823529411764705E-2</v>
      </c>
      <c r="I1354" s="63">
        <v>2</v>
      </c>
      <c r="J1354" s="65">
        <v>93.996449999999996</v>
      </c>
      <c r="K1354" s="65">
        <v>100</v>
      </c>
      <c r="L1354" s="62" t="s">
        <v>825</v>
      </c>
      <c r="M1354" s="63">
        <v>0</v>
      </c>
      <c r="N1354" s="66">
        <f t="shared" si="86"/>
        <v>0.99099999999999999</v>
      </c>
      <c r="O1354" s="62" t="str">
        <f t="shared" si="87"/>
        <v>4: Engaged Early</v>
      </c>
    </row>
    <row r="1355" spans="1:15" ht="15" customHeight="1" x14ac:dyDescent="0.4">
      <c r="A1355" s="62" t="s">
        <v>824</v>
      </c>
      <c r="B1355" s="62" t="s">
        <v>1919</v>
      </c>
      <c r="C1355" s="62" t="s">
        <v>826</v>
      </c>
      <c r="D1355" s="63">
        <v>15</v>
      </c>
      <c r="E1355" s="63">
        <v>7</v>
      </c>
      <c r="F1355" s="63">
        <v>1</v>
      </c>
      <c r="G1355" s="64">
        <f t="shared" si="84"/>
        <v>0.46666666666666667</v>
      </c>
      <c r="H1355" s="64">
        <f t="shared" si="85"/>
        <v>6.6666666666666666E-2</v>
      </c>
      <c r="I1355" s="63">
        <v>1</v>
      </c>
      <c r="J1355" s="65">
        <v>99.9358</v>
      </c>
      <c r="K1355" s="65">
        <v>59.46</v>
      </c>
      <c r="L1355" s="62" t="s">
        <v>825</v>
      </c>
      <c r="M1355" s="63">
        <v>0</v>
      </c>
      <c r="N1355" s="66">
        <f t="shared" si="86"/>
        <v>0.75700000000000001</v>
      </c>
      <c r="O1355" s="62" t="str">
        <f t="shared" si="87"/>
        <v>4: Engaged Early</v>
      </c>
    </row>
    <row r="1356" spans="1:15" ht="15" customHeight="1" x14ac:dyDescent="0.4">
      <c r="A1356" s="62" t="s">
        <v>824</v>
      </c>
      <c r="B1356" s="62" t="s">
        <v>1920</v>
      </c>
      <c r="C1356" s="62" t="s">
        <v>826</v>
      </c>
      <c r="D1356" s="63">
        <v>20</v>
      </c>
      <c r="E1356" s="63">
        <v>12</v>
      </c>
      <c r="F1356" s="63">
        <v>2</v>
      </c>
      <c r="G1356" s="64">
        <f t="shared" si="84"/>
        <v>0.6</v>
      </c>
      <c r="H1356" s="64">
        <f t="shared" si="85"/>
        <v>0.1</v>
      </c>
      <c r="I1356" s="63">
        <v>2</v>
      </c>
      <c r="J1356" s="65">
        <v>98.899749999999997</v>
      </c>
      <c r="K1356" s="65">
        <v>100</v>
      </c>
      <c r="L1356" s="62" t="s">
        <v>825</v>
      </c>
      <c r="M1356" s="63">
        <v>0</v>
      </c>
      <c r="N1356" s="66">
        <f t="shared" si="86"/>
        <v>0.998</v>
      </c>
      <c r="O1356" s="62" t="str">
        <f t="shared" si="87"/>
        <v>4: Engaged Early</v>
      </c>
    </row>
    <row r="1357" spans="1:15" ht="15" customHeight="1" x14ac:dyDescent="0.4">
      <c r="A1357" s="62" t="s">
        <v>824</v>
      </c>
      <c r="B1357" s="62" t="s">
        <v>313</v>
      </c>
      <c r="C1357" s="62" t="s">
        <v>825</v>
      </c>
      <c r="D1357" s="63">
        <v>17</v>
      </c>
      <c r="E1357" s="63">
        <v>5</v>
      </c>
      <c r="F1357" s="63">
        <v>2</v>
      </c>
      <c r="G1357" s="64">
        <f t="shared" si="84"/>
        <v>0.29411764705882354</v>
      </c>
      <c r="H1357" s="64">
        <f t="shared" si="85"/>
        <v>0.11764705882352941</v>
      </c>
      <c r="I1357" s="63">
        <v>1</v>
      </c>
      <c r="J1357" s="65">
        <v>4.3167400000000002</v>
      </c>
      <c r="K1357" s="65">
        <v>4.91</v>
      </c>
      <c r="L1357" s="62" t="s">
        <v>826</v>
      </c>
      <c r="M1357" s="63">
        <v>0</v>
      </c>
      <c r="N1357" s="66">
        <f t="shared" si="86"/>
        <v>3.5999999999999997E-2</v>
      </c>
      <c r="O1357" s="62" t="str">
        <f t="shared" si="87"/>
        <v>2: High (No DBWT)</v>
      </c>
    </row>
    <row r="1358" spans="1:15" ht="15" customHeight="1" x14ac:dyDescent="0.4">
      <c r="A1358" s="62" t="s">
        <v>824</v>
      </c>
      <c r="B1358" s="62" t="s">
        <v>801</v>
      </c>
      <c r="C1358" s="62" t="s">
        <v>825</v>
      </c>
      <c r="D1358" s="63">
        <v>20</v>
      </c>
      <c r="E1358" s="63">
        <v>0</v>
      </c>
      <c r="F1358" s="63">
        <v>0</v>
      </c>
      <c r="G1358" s="64">
        <f t="shared" si="84"/>
        <v>0</v>
      </c>
      <c r="H1358" s="64">
        <f t="shared" si="85"/>
        <v>0</v>
      </c>
      <c r="I1358" s="63">
        <v>1</v>
      </c>
      <c r="J1358" s="65">
        <v>67.280699999999996</v>
      </c>
      <c r="K1358" s="65">
        <v>10.51</v>
      </c>
      <c r="L1358" s="62" t="s">
        <v>826</v>
      </c>
      <c r="M1358" s="63">
        <v>0</v>
      </c>
      <c r="N1358" s="66">
        <f t="shared" si="86"/>
        <v>0.16400000000000001</v>
      </c>
      <c r="O1358" s="62" t="str">
        <f t="shared" si="87"/>
        <v>2: High (No DBWT)</v>
      </c>
    </row>
    <row r="1359" spans="1:15" ht="15" customHeight="1" x14ac:dyDescent="0.4">
      <c r="A1359" s="62" t="s">
        <v>824</v>
      </c>
      <c r="B1359" s="62" t="s">
        <v>589</v>
      </c>
      <c r="C1359" s="62" t="s">
        <v>825</v>
      </c>
      <c r="D1359" s="63">
        <v>18</v>
      </c>
      <c r="E1359" s="63">
        <v>5</v>
      </c>
      <c r="F1359" s="63">
        <v>0</v>
      </c>
      <c r="G1359" s="64">
        <f t="shared" si="84"/>
        <v>0.27777777777777779</v>
      </c>
      <c r="H1359" s="64">
        <f t="shared" si="85"/>
        <v>0</v>
      </c>
      <c r="I1359" s="63">
        <v>0</v>
      </c>
      <c r="J1359" s="65"/>
      <c r="K1359" s="65">
        <v>0</v>
      </c>
      <c r="L1359" s="62" t="s">
        <v>825</v>
      </c>
      <c r="M1359" s="63">
        <v>0</v>
      </c>
      <c r="N1359" s="66">
        <f t="shared" si="86"/>
        <v>0.25</v>
      </c>
      <c r="O1359" s="62" t="str">
        <f t="shared" si="87"/>
        <v>3: Elevated (No Wk0)</v>
      </c>
    </row>
    <row r="1360" spans="1:15" ht="15" customHeight="1" x14ac:dyDescent="0.4">
      <c r="A1360" s="62" t="s">
        <v>824</v>
      </c>
      <c r="B1360" s="62" t="s">
        <v>655</v>
      </c>
      <c r="C1360" s="62" t="s">
        <v>825</v>
      </c>
      <c r="D1360" s="63">
        <v>12</v>
      </c>
      <c r="E1360" s="63">
        <v>10</v>
      </c>
      <c r="F1360" s="63">
        <v>4</v>
      </c>
      <c r="G1360" s="64">
        <f t="shared" si="84"/>
        <v>0.83333333333333337</v>
      </c>
      <c r="H1360" s="64">
        <f t="shared" si="85"/>
        <v>0.33333333333333331</v>
      </c>
      <c r="I1360" s="63">
        <v>2</v>
      </c>
      <c r="J1360" s="65">
        <v>50.867199999999997</v>
      </c>
      <c r="K1360" s="65">
        <v>72.95</v>
      </c>
      <c r="L1360" s="62" t="s">
        <v>825</v>
      </c>
      <c r="M1360" s="63">
        <v>0</v>
      </c>
      <c r="N1360" s="66">
        <f t="shared" si="86"/>
        <v>0.76400000000000001</v>
      </c>
      <c r="O1360" s="62" t="str">
        <f t="shared" si="87"/>
        <v>4: Engaged Early</v>
      </c>
    </row>
    <row r="1361" spans="1:15" ht="15" customHeight="1" x14ac:dyDescent="0.4">
      <c r="A1361" s="62" t="s">
        <v>824</v>
      </c>
      <c r="B1361" s="62" t="s">
        <v>491</v>
      </c>
      <c r="C1361" s="62" t="s">
        <v>825</v>
      </c>
      <c r="D1361" s="63">
        <v>17</v>
      </c>
      <c r="E1361" s="63">
        <v>12</v>
      </c>
      <c r="F1361" s="63">
        <v>2</v>
      </c>
      <c r="G1361" s="64">
        <f t="shared" si="84"/>
        <v>0.70588235294117652</v>
      </c>
      <c r="H1361" s="64">
        <f t="shared" si="85"/>
        <v>0.11764705882352941</v>
      </c>
      <c r="I1361" s="63">
        <v>2</v>
      </c>
      <c r="J1361" s="65">
        <v>49.012048999999998</v>
      </c>
      <c r="K1361" s="65">
        <v>28.64</v>
      </c>
      <c r="L1361" s="62" t="s">
        <v>825</v>
      </c>
      <c r="M1361" s="63">
        <v>0</v>
      </c>
      <c r="N1361" s="66">
        <f t="shared" si="86"/>
        <v>0.495</v>
      </c>
      <c r="O1361" s="62" t="str">
        <f t="shared" si="87"/>
        <v>4: Engaged Early</v>
      </c>
    </row>
    <row r="1362" spans="1:15" ht="15" customHeight="1" x14ac:dyDescent="0.4">
      <c r="A1362" s="62" t="s">
        <v>824</v>
      </c>
      <c r="B1362" s="62" t="s">
        <v>353</v>
      </c>
      <c r="C1362" s="62" t="s">
        <v>825</v>
      </c>
      <c r="D1362" s="63">
        <v>17</v>
      </c>
      <c r="E1362" s="63">
        <v>17</v>
      </c>
      <c r="F1362" s="63">
        <v>4</v>
      </c>
      <c r="G1362" s="64">
        <f t="shared" si="84"/>
        <v>1</v>
      </c>
      <c r="H1362" s="64">
        <f t="shared" si="85"/>
        <v>0.23529411764705882</v>
      </c>
      <c r="I1362" s="63">
        <v>0</v>
      </c>
      <c r="J1362" s="65"/>
      <c r="K1362" s="65">
        <v>25</v>
      </c>
      <c r="L1362" s="62" t="s">
        <v>825</v>
      </c>
      <c r="M1362" s="63">
        <v>0</v>
      </c>
      <c r="N1362" s="66">
        <f t="shared" si="86"/>
        <v>0.4</v>
      </c>
      <c r="O1362" s="62" t="str">
        <f t="shared" si="87"/>
        <v>3: Elevated (No Wk0)</v>
      </c>
    </row>
    <row r="1363" spans="1:15" ht="15" customHeight="1" x14ac:dyDescent="0.4">
      <c r="A1363" s="62" t="s">
        <v>824</v>
      </c>
      <c r="B1363" s="62" t="s">
        <v>1921</v>
      </c>
      <c r="C1363" s="62" t="s">
        <v>826</v>
      </c>
      <c r="D1363" s="63">
        <v>3</v>
      </c>
      <c r="E1363" s="63">
        <v>2</v>
      </c>
      <c r="F1363" s="63">
        <v>0</v>
      </c>
      <c r="G1363" s="64">
        <f t="shared" si="84"/>
        <v>0.66666666666666663</v>
      </c>
      <c r="H1363" s="64">
        <f t="shared" si="85"/>
        <v>0</v>
      </c>
      <c r="I1363" s="63">
        <v>2</v>
      </c>
      <c r="J1363" s="65">
        <v>87.783850000000001</v>
      </c>
      <c r="K1363" s="65">
        <v>99.97</v>
      </c>
      <c r="L1363" s="62" t="s">
        <v>826</v>
      </c>
      <c r="M1363" s="63">
        <v>0</v>
      </c>
      <c r="N1363" s="66">
        <f t="shared" si="86"/>
        <v>0.73099999999999998</v>
      </c>
      <c r="O1363" s="62" t="str">
        <f t="shared" si="87"/>
        <v>2: High (No DBWT)</v>
      </c>
    </row>
    <row r="1364" spans="1:15" ht="15" customHeight="1" x14ac:dyDescent="0.4">
      <c r="A1364" s="62" t="s">
        <v>824</v>
      </c>
      <c r="B1364" s="62" t="s">
        <v>1922</v>
      </c>
      <c r="C1364" s="62" t="s">
        <v>826</v>
      </c>
      <c r="D1364" s="63">
        <v>13</v>
      </c>
      <c r="E1364" s="63">
        <v>7</v>
      </c>
      <c r="F1364" s="63">
        <v>0</v>
      </c>
      <c r="G1364" s="64">
        <f t="shared" si="84"/>
        <v>0.53846153846153844</v>
      </c>
      <c r="H1364" s="64">
        <f t="shared" si="85"/>
        <v>0</v>
      </c>
      <c r="I1364" s="63">
        <v>0</v>
      </c>
      <c r="J1364" s="65"/>
      <c r="K1364" s="65">
        <v>0.85</v>
      </c>
      <c r="L1364" s="62" t="s">
        <v>826</v>
      </c>
      <c r="M1364" s="63">
        <v>0</v>
      </c>
      <c r="N1364" s="66">
        <f t="shared" si="86"/>
        <v>5.0000000000000001E-3</v>
      </c>
      <c r="O1364" s="62" t="str">
        <f t="shared" si="87"/>
        <v>1: Critical (No DBWT + No Wk0)</v>
      </c>
    </row>
    <row r="1365" spans="1:15" ht="15" customHeight="1" x14ac:dyDescent="0.4">
      <c r="A1365" s="62" t="s">
        <v>824</v>
      </c>
      <c r="B1365" s="62" t="s">
        <v>1923</v>
      </c>
      <c r="C1365" s="62" t="s">
        <v>826</v>
      </c>
      <c r="D1365" s="63">
        <v>5</v>
      </c>
      <c r="E1365" s="63">
        <v>5</v>
      </c>
      <c r="F1365" s="63">
        <v>2</v>
      </c>
      <c r="G1365" s="64">
        <f t="shared" si="84"/>
        <v>1</v>
      </c>
      <c r="H1365" s="64">
        <f t="shared" si="85"/>
        <v>0.4</v>
      </c>
      <c r="I1365" s="63">
        <v>2</v>
      </c>
      <c r="J1365" s="65">
        <v>90.014449999999997</v>
      </c>
      <c r="K1365" s="65">
        <v>98.98</v>
      </c>
      <c r="L1365" s="62" t="s">
        <v>825</v>
      </c>
      <c r="M1365" s="63">
        <v>0</v>
      </c>
      <c r="N1365" s="66">
        <f t="shared" si="86"/>
        <v>0.97899999999999998</v>
      </c>
      <c r="O1365" s="62" t="str">
        <f t="shared" si="87"/>
        <v>4: Engaged Early</v>
      </c>
    </row>
    <row r="1366" spans="1:15" ht="15" customHeight="1" x14ac:dyDescent="0.4">
      <c r="A1366" s="62" t="s">
        <v>824</v>
      </c>
      <c r="B1366" s="62" t="s">
        <v>1924</v>
      </c>
      <c r="C1366" s="62" t="s">
        <v>826</v>
      </c>
      <c r="D1366" s="63">
        <v>5</v>
      </c>
      <c r="E1366" s="63">
        <v>5</v>
      </c>
      <c r="F1366" s="63">
        <v>0</v>
      </c>
      <c r="G1366" s="64">
        <f t="shared" si="84"/>
        <v>1</v>
      </c>
      <c r="H1366" s="64">
        <f t="shared" si="85"/>
        <v>0</v>
      </c>
      <c r="I1366" s="63">
        <v>2</v>
      </c>
      <c r="J1366" s="65">
        <v>85.130549999999999</v>
      </c>
      <c r="K1366" s="65">
        <v>100</v>
      </c>
      <c r="L1366" s="62" t="s">
        <v>825</v>
      </c>
      <c r="M1366" s="63">
        <v>0</v>
      </c>
      <c r="N1366" s="66">
        <f t="shared" si="86"/>
        <v>0.97799999999999998</v>
      </c>
      <c r="O1366" s="62" t="str">
        <f t="shared" si="87"/>
        <v>4: Engaged Early</v>
      </c>
    </row>
    <row r="1367" spans="1:15" ht="15" customHeight="1" x14ac:dyDescent="0.4">
      <c r="A1367" s="62" t="s">
        <v>824</v>
      </c>
      <c r="B1367" s="62" t="s">
        <v>1925</v>
      </c>
      <c r="C1367" s="62" t="s">
        <v>826</v>
      </c>
      <c r="D1367" s="63">
        <v>15</v>
      </c>
      <c r="E1367" s="63">
        <v>11</v>
      </c>
      <c r="F1367" s="63">
        <v>2</v>
      </c>
      <c r="G1367" s="64">
        <f t="shared" si="84"/>
        <v>0.73333333333333328</v>
      </c>
      <c r="H1367" s="64">
        <f t="shared" si="85"/>
        <v>0.13333333333333333</v>
      </c>
      <c r="I1367" s="63">
        <v>2</v>
      </c>
      <c r="J1367" s="65">
        <v>99.162549999999996</v>
      </c>
      <c r="K1367" s="65">
        <v>100</v>
      </c>
      <c r="L1367" s="62" t="s">
        <v>825</v>
      </c>
      <c r="M1367" s="63">
        <v>1</v>
      </c>
      <c r="N1367" s="66">
        <f t="shared" si="86"/>
        <v>0.999</v>
      </c>
      <c r="O1367" s="62" t="str">
        <f t="shared" si="87"/>
        <v>4: Engaged Early</v>
      </c>
    </row>
    <row r="1368" spans="1:15" ht="15" customHeight="1" x14ac:dyDescent="0.4">
      <c r="A1368" s="62" t="s">
        <v>824</v>
      </c>
      <c r="B1368" s="62" t="s">
        <v>1926</v>
      </c>
      <c r="C1368" s="62" t="s">
        <v>826</v>
      </c>
      <c r="D1368" s="63">
        <v>5</v>
      </c>
      <c r="E1368" s="63">
        <v>4</v>
      </c>
      <c r="F1368" s="63">
        <v>1</v>
      </c>
      <c r="G1368" s="64">
        <f t="shared" si="84"/>
        <v>0.8</v>
      </c>
      <c r="H1368" s="64">
        <f t="shared" si="85"/>
        <v>0.2</v>
      </c>
      <c r="I1368" s="63">
        <v>2</v>
      </c>
      <c r="J1368" s="65">
        <v>88.176699999999997</v>
      </c>
      <c r="K1368" s="65">
        <v>98.66</v>
      </c>
      <c r="L1368" s="62" t="s">
        <v>825</v>
      </c>
      <c r="M1368" s="63">
        <v>0</v>
      </c>
      <c r="N1368" s="66">
        <f t="shared" si="86"/>
        <v>0.97399999999999998</v>
      </c>
      <c r="O1368" s="62" t="str">
        <f t="shared" si="87"/>
        <v>4: Engaged Early</v>
      </c>
    </row>
    <row r="1369" spans="1:15" ht="15" customHeight="1" x14ac:dyDescent="0.4">
      <c r="A1369" s="62" t="s">
        <v>824</v>
      </c>
      <c r="B1369" s="62" t="s">
        <v>1927</v>
      </c>
      <c r="C1369" s="62" t="s">
        <v>826</v>
      </c>
      <c r="D1369" s="63">
        <v>8</v>
      </c>
      <c r="E1369" s="63">
        <v>8</v>
      </c>
      <c r="F1369" s="63">
        <v>2</v>
      </c>
      <c r="G1369" s="64">
        <f t="shared" si="84"/>
        <v>1</v>
      </c>
      <c r="H1369" s="64">
        <f t="shared" si="85"/>
        <v>0.25</v>
      </c>
      <c r="I1369" s="63">
        <v>2</v>
      </c>
      <c r="J1369" s="65">
        <v>96.770150000000001</v>
      </c>
      <c r="K1369" s="65">
        <v>100</v>
      </c>
      <c r="L1369" s="62" t="s">
        <v>825</v>
      </c>
      <c r="M1369" s="63">
        <v>0</v>
      </c>
      <c r="N1369" s="66">
        <f t="shared" si="86"/>
        <v>0.995</v>
      </c>
      <c r="O1369" s="62" t="str">
        <f t="shared" si="87"/>
        <v>4: Engaged Early</v>
      </c>
    </row>
    <row r="1370" spans="1:15" ht="15" customHeight="1" x14ac:dyDescent="0.4">
      <c r="A1370" s="62" t="s">
        <v>824</v>
      </c>
      <c r="B1370" s="62" t="s">
        <v>1928</v>
      </c>
      <c r="C1370" s="62" t="s">
        <v>826</v>
      </c>
      <c r="D1370" s="63">
        <v>14</v>
      </c>
      <c r="E1370" s="63">
        <v>14</v>
      </c>
      <c r="F1370" s="63">
        <v>5</v>
      </c>
      <c r="G1370" s="64">
        <f t="shared" si="84"/>
        <v>1</v>
      </c>
      <c r="H1370" s="64">
        <f t="shared" si="85"/>
        <v>0.35714285714285715</v>
      </c>
      <c r="I1370" s="63">
        <v>2</v>
      </c>
      <c r="J1370" s="65">
        <v>84.023099999999999</v>
      </c>
      <c r="K1370" s="65">
        <v>97.54</v>
      </c>
      <c r="L1370" s="62" t="s">
        <v>825</v>
      </c>
      <c r="M1370" s="63">
        <v>0</v>
      </c>
      <c r="N1370" s="66">
        <f t="shared" si="86"/>
        <v>0.96099999999999997</v>
      </c>
      <c r="O1370" s="62" t="str">
        <f t="shared" si="87"/>
        <v>4: Engaged Early</v>
      </c>
    </row>
    <row r="1371" spans="1:15" ht="15" customHeight="1" x14ac:dyDescent="0.4">
      <c r="A1371" s="62" t="s">
        <v>824</v>
      </c>
      <c r="B1371" s="62" t="s">
        <v>1929</v>
      </c>
      <c r="C1371" s="62" t="s">
        <v>826</v>
      </c>
      <c r="D1371" s="63">
        <v>21</v>
      </c>
      <c r="E1371" s="63">
        <v>21</v>
      </c>
      <c r="F1371" s="63">
        <v>0</v>
      </c>
      <c r="G1371" s="64">
        <f t="shared" si="84"/>
        <v>1</v>
      </c>
      <c r="H1371" s="64">
        <f t="shared" si="85"/>
        <v>0</v>
      </c>
      <c r="I1371" s="63">
        <v>2</v>
      </c>
      <c r="J1371" s="65">
        <v>93.03</v>
      </c>
      <c r="K1371" s="65">
        <v>100</v>
      </c>
      <c r="L1371" s="62" t="s">
        <v>826</v>
      </c>
      <c r="M1371" s="63">
        <v>0</v>
      </c>
      <c r="N1371" s="66">
        <f t="shared" si="86"/>
        <v>0.74</v>
      </c>
      <c r="O1371" s="62" t="str">
        <f t="shared" si="87"/>
        <v>2: High (No DBWT)</v>
      </c>
    </row>
    <row r="1372" spans="1:15" ht="15" customHeight="1" x14ac:dyDescent="0.4">
      <c r="A1372" s="62" t="s">
        <v>824</v>
      </c>
      <c r="B1372" s="62" t="s">
        <v>1930</v>
      </c>
      <c r="C1372" s="62" t="s">
        <v>826</v>
      </c>
      <c r="D1372" s="63">
        <v>18</v>
      </c>
      <c r="E1372" s="63">
        <v>4</v>
      </c>
      <c r="F1372" s="63">
        <v>0</v>
      </c>
      <c r="G1372" s="64">
        <f t="shared" si="84"/>
        <v>0.22222222222222221</v>
      </c>
      <c r="H1372" s="64">
        <f t="shared" si="85"/>
        <v>0</v>
      </c>
      <c r="I1372" s="63">
        <v>2</v>
      </c>
      <c r="J1372" s="65">
        <v>44.795555</v>
      </c>
      <c r="K1372" s="65">
        <v>85.71</v>
      </c>
      <c r="L1372" s="62" t="s">
        <v>826</v>
      </c>
      <c r="M1372" s="63">
        <v>0</v>
      </c>
      <c r="N1372" s="66">
        <f t="shared" si="86"/>
        <v>0.58099999999999996</v>
      </c>
      <c r="O1372" s="62" t="str">
        <f t="shared" si="87"/>
        <v>2: High (No DBWT)</v>
      </c>
    </row>
    <row r="1373" spans="1:15" ht="15" customHeight="1" x14ac:dyDescent="0.4">
      <c r="A1373" s="62" t="s">
        <v>824</v>
      </c>
      <c r="B1373" s="62" t="s">
        <v>1931</v>
      </c>
      <c r="C1373" s="62" t="s">
        <v>826</v>
      </c>
      <c r="D1373" s="63">
        <v>7</v>
      </c>
      <c r="E1373" s="63">
        <v>3</v>
      </c>
      <c r="F1373" s="63">
        <v>0</v>
      </c>
      <c r="G1373" s="64">
        <f t="shared" si="84"/>
        <v>0.42857142857142855</v>
      </c>
      <c r="H1373" s="64">
        <f t="shared" si="85"/>
        <v>0</v>
      </c>
      <c r="I1373" s="63">
        <v>2</v>
      </c>
      <c r="J1373" s="65">
        <v>98.769750000000002</v>
      </c>
      <c r="K1373" s="65">
        <v>87.5</v>
      </c>
      <c r="L1373" s="62" t="s">
        <v>825</v>
      </c>
      <c r="M1373" s="63">
        <v>0</v>
      </c>
      <c r="N1373" s="66">
        <f t="shared" si="86"/>
        <v>0.92300000000000004</v>
      </c>
      <c r="O1373" s="62" t="str">
        <f t="shared" si="87"/>
        <v>4: Engaged Early</v>
      </c>
    </row>
    <row r="1374" spans="1:15" ht="15" customHeight="1" x14ac:dyDescent="0.4">
      <c r="A1374" s="62" t="s">
        <v>824</v>
      </c>
      <c r="B1374" s="62" t="s">
        <v>1932</v>
      </c>
      <c r="C1374" s="62" t="s">
        <v>826</v>
      </c>
      <c r="D1374" s="63">
        <v>8</v>
      </c>
      <c r="E1374" s="63">
        <v>8</v>
      </c>
      <c r="F1374" s="63">
        <v>0</v>
      </c>
      <c r="G1374" s="64">
        <f t="shared" si="84"/>
        <v>1</v>
      </c>
      <c r="H1374" s="64">
        <f t="shared" si="85"/>
        <v>0</v>
      </c>
      <c r="I1374" s="63">
        <v>1</v>
      </c>
      <c r="J1374" s="65">
        <v>81.05</v>
      </c>
      <c r="K1374" s="65">
        <v>40.270000000000003</v>
      </c>
      <c r="L1374" s="62" t="s">
        <v>825</v>
      </c>
      <c r="M1374" s="63">
        <v>0</v>
      </c>
      <c r="N1374" s="66">
        <f t="shared" si="86"/>
        <v>0.61299999999999999</v>
      </c>
      <c r="O1374" s="62" t="str">
        <f t="shared" si="87"/>
        <v>4: Engaged Early</v>
      </c>
    </row>
    <row r="1375" spans="1:15" ht="15" customHeight="1" x14ac:dyDescent="0.4">
      <c r="A1375" s="62" t="s">
        <v>824</v>
      </c>
      <c r="B1375" s="62" t="s">
        <v>803</v>
      </c>
      <c r="C1375" s="62" t="s">
        <v>825</v>
      </c>
      <c r="D1375" s="63">
        <v>18</v>
      </c>
      <c r="E1375" s="63">
        <v>12</v>
      </c>
      <c r="F1375" s="63">
        <v>1</v>
      </c>
      <c r="G1375" s="64">
        <f t="shared" si="84"/>
        <v>0.66666666666666663</v>
      </c>
      <c r="H1375" s="64">
        <f t="shared" si="85"/>
        <v>5.5555555555555552E-2</v>
      </c>
      <c r="I1375" s="63">
        <v>1</v>
      </c>
      <c r="J1375" s="65">
        <v>50.44</v>
      </c>
      <c r="K1375" s="65">
        <v>7.88</v>
      </c>
      <c r="L1375" s="62" t="s">
        <v>825</v>
      </c>
      <c r="M1375" s="63">
        <v>1</v>
      </c>
      <c r="N1375" s="66">
        <f t="shared" si="86"/>
        <v>0.373</v>
      </c>
      <c r="O1375" s="62" t="str">
        <f t="shared" si="87"/>
        <v>4: Engaged Early</v>
      </c>
    </row>
    <row r="1376" spans="1:15" ht="15" customHeight="1" x14ac:dyDescent="0.4">
      <c r="A1376" s="62" t="s">
        <v>824</v>
      </c>
      <c r="B1376" s="62" t="s">
        <v>1933</v>
      </c>
      <c r="C1376" s="62" t="s">
        <v>826</v>
      </c>
      <c r="D1376" s="63">
        <v>11</v>
      </c>
      <c r="E1376" s="63">
        <v>2</v>
      </c>
      <c r="F1376" s="63">
        <v>2</v>
      </c>
      <c r="G1376" s="64">
        <f t="shared" si="84"/>
        <v>0.18181818181818182</v>
      </c>
      <c r="H1376" s="64">
        <f t="shared" si="85"/>
        <v>0.18181818181818182</v>
      </c>
      <c r="I1376" s="63">
        <v>2</v>
      </c>
      <c r="J1376" s="65">
        <v>99.476349999999996</v>
      </c>
      <c r="K1376" s="65">
        <v>100</v>
      </c>
      <c r="L1376" s="62" t="s">
        <v>825</v>
      </c>
      <c r="M1376" s="63">
        <v>0</v>
      </c>
      <c r="N1376" s="66">
        <f t="shared" si="86"/>
        <v>0.999</v>
      </c>
      <c r="O1376" s="62" t="str">
        <f t="shared" si="87"/>
        <v>4: Engaged Early</v>
      </c>
    </row>
    <row r="1377" spans="1:15" ht="15" customHeight="1" x14ac:dyDescent="0.4">
      <c r="A1377" s="62" t="s">
        <v>824</v>
      </c>
      <c r="B1377" s="62" t="s">
        <v>809</v>
      </c>
      <c r="C1377" s="62" t="s">
        <v>825</v>
      </c>
      <c r="D1377" s="63">
        <v>4</v>
      </c>
      <c r="E1377" s="63">
        <v>3</v>
      </c>
      <c r="F1377" s="63">
        <v>0</v>
      </c>
      <c r="G1377" s="64">
        <f t="shared" si="84"/>
        <v>0.75</v>
      </c>
      <c r="H1377" s="64">
        <f t="shared" si="85"/>
        <v>0</v>
      </c>
      <c r="I1377" s="63">
        <v>1</v>
      </c>
      <c r="J1377" s="65">
        <v>16.277200000000001</v>
      </c>
      <c r="K1377" s="65">
        <v>46.22</v>
      </c>
      <c r="L1377" s="62" t="s">
        <v>825</v>
      </c>
      <c r="M1377" s="63">
        <v>0</v>
      </c>
      <c r="N1377" s="66">
        <f t="shared" si="86"/>
        <v>0.55200000000000005</v>
      </c>
      <c r="O1377" s="62" t="str">
        <f t="shared" si="87"/>
        <v>4: Engaged Early</v>
      </c>
    </row>
    <row r="1378" spans="1:15" ht="15" customHeight="1" x14ac:dyDescent="0.4">
      <c r="A1378" s="62" t="s">
        <v>824</v>
      </c>
      <c r="B1378" s="62" t="s">
        <v>1934</v>
      </c>
      <c r="C1378" s="62" t="s">
        <v>826</v>
      </c>
      <c r="D1378" s="63">
        <v>0</v>
      </c>
      <c r="E1378" s="63">
        <v>0</v>
      </c>
      <c r="F1378" s="63">
        <v>0</v>
      </c>
      <c r="G1378" s="64">
        <f t="shared" si="84"/>
        <v>0</v>
      </c>
      <c r="H1378" s="64">
        <f t="shared" si="85"/>
        <v>0</v>
      </c>
      <c r="I1378" s="63">
        <v>0</v>
      </c>
      <c r="J1378" s="65"/>
      <c r="K1378" s="65">
        <v>85.71</v>
      </c>
      <c r="L1378" s="62" t="s">
        <v>825</v>
      </c>
      <c r="M1378" s="63">
        <v>0</v>
      </c>
      <c r="N1378" s="66">
        <f t="shared" si="86"/>
        <v>0.76400000000000001</v>
      </c>
      <c r="O1378" s="62" t="str">
        <f t="shared" si="87"/>
        <v>3: Elevated (No Wk0)</v>
      </c>
    </row>
    <row r="1379" spans="1:15" ht="15" customHeight="1" x14ac:dyDescent="0.4">
      <c r="A1379" s="62" t="s">
        <v>824</v>
      </c>
      <c r="B1379" s="62" t="s">
        <v>1935</v>
      </c>
      <c r="C1379" s="62" t="s">
        <v>826</v>
      </c>
      <c r="D1379" s="63">
        <v>0</v>
      </c>
      <c r="E1379" s="63">
        <v>0</v>
      </c>
      <c r="F1379" s="63">
        <v>0</v>
      </c>
      <c r="G1379" s="64">
        <f t="shared" si="84"/>
        <v>0</v>
      </c>
      <c r="H1379" s="64">
        <f t="shared" si="85"/>
        <v>0</v>
      </c>
      <c r="I1379" s="63">
        <v>2</v>
      </c>
      <c r="J1379" s="65">
        <v>89.552000000000007</v>
      </c>
      <c r="K1379" s="65">
        <v>100</v>
      </c>
      <c r="L1379" s="62" t="s">
        <v>825</v>
      </c>
      <c r="M1379" s="63">
        <v>0</v>
      </c>
      <c r="N1379" s="66">
        <f t="shared" si="86"/>
        <v>0.98399999999999999</v>
      </c>
      <c r="O1379" s="62" t="str">
        <f t="shared" si="87"/>
        <v>4: Engaged Early</v>
      </c>
    </row>
    <row r="1380" spans="1:15" ht="15" customHeight="1" x14ac:dyDescent="0.4">
      <c r="A1380" s="62" t="s">
        <v>824</v>
      </c>
      <c r="B1380" s="62" t="s">
        <v>1936</v>
      </c>
      <c r="C1380" s="62" t="s">
        <v>826</v>
      </c>
      <c r="D1380" s="63">
        <v>8</v>
      </c>
      <c r="E1380" s="63">
        <v>1</v>
      </c>
      <c r="F1380" s="63">
        <v>0</v>
      </c>
      <c r="G1380" s="64">
        <f t="shared" si="84"/>
        <v>0.125</v>
      </c>
      <c r="H1380" s="64">
        <f t="shared" si="85"/>
        <v>0</v>
      </c>
      <c r="I1380" s="63">
        <v>2</v>
      </c>
      <c r="J1380" s="65">
        <v>89.613399999999999</v>
      </c>
      <c r="K1380" s="65">
        <v>100</v>
      </c>
      <c r="L1380" s="62" t="s">
        <v>825</v>
      </c>
      <c r="M1380" s="63">
        <v>0</v>
      </c>
      <c r="N1380" s="66">
        <f t="shared" si="86"/>
        <v>0.98399999999999999</v>
      </c>
      <c r="O1380" s="62" t="str">
        <f t="shared" si="87"/>
        <v>4: Engaged Early</v>
      </c>
    </row>
    <row r="1381" spans="1:15" ht="15" customHeight="1" x14ac:dyDescent="0.4">
      <c r="A1381" s="62" t="s">
        <v>824</v>
      </c>
      <c r="B1381" s="62" t="s">
        <v>1937</v>
      </c>
      <c r="C1381" s="62" t="s">
        <v>826</v>
      </c>
      <c r="D1381" s="63">
        <v>13</v>
      </c>
      <c r="E1381" s="63">
        <v>2</v>
      </c>
      <c r="F1381" s="63">
        <v>4</v>
      </c>
      <c r="G1381" s="64">
        <f t="shared" si="84"/>
        <v>0.15384615384615385</v>
      </c>
      <c r="H1381" s="64">
        <f t="shared" si="85"/>
        <v>0.30769230769230771</v>
      </c>
      <c r="I1381" s="63">
        <v>2</v>
      </c>
      <c r="J1381" s="65">
        <v>82.325950000000006</v>
      </c>
      <c r="K1381" s="65">
        <v>97.67</v>
      </c>
      <c r="L1381" s="62" t="s">
        <v>825</v>
      </c>
      <c r="M1381" s="63">
        <v>0</v>
      </c>
      <c r="N1381" s="66">
        <f t="shared" si="86"/>
        <v>0.96</v>
      </c>
      <c r="O1381" s="62" t="str">
        <f t="shared" si="87"/>
        <v>4: Engaged Early</v>
      </c>
    </row>
    <row r="1382" spans="1:15" ht="15" customHeight="1" x14ac:dyDescent="0.4">
      <c r="A1382" s="62" t="s">
        <v>824</v>
      </c>
      <c r="B1382" s="62" t="s">
        <v>1938</v>
      </c>
      <c r="C1382" s="62" t="s">
        <v>826</v>
      </c>
      <c r="D1382" s="63">
        <v>21</v>
      </c>
      <c r="E1382" s="63">
        <v>12</v>
      </c>
      <c r="F1382" s="63">
        <v>0</v>
      </c>
      <c r="G1382" s="64">
        <f t="shared" si="84"/>
        <v>0.5714285714285714</v>
      </c>
      <c r="H1382" s="64">
        <f t="shared" si="85"/>
        <v>0</v>
      </c>
      <c r="I1382" s="63">
        <v>2</v>
      </c>
      <c r="J1382" s="65">
        <v>95.108850000000004</v>
      </c>
      <c r="K1382" s="65">
        <v>100</v>
      </c>
      <c r="L1382" s="62" t="s">
        <v>825</v>
      </c>
      <c r="M1382" s="63">
        <v>0</v>
      </c>
      <c r="N1382" s="66">
        <f t="shared" si="86"/>
        <v>0.99299999999999999</v>
      </c>
      <c r="O1382" s="62" t="str">
        <f t="shared" si="87"/>
        <v>4: Engaged Early</v>
      </c>
    </row>
    <row r="1383" spans="1:15" ht="15" customHeight="1" x14ac:dyDescent="0.4">
      <c r="A1383" s="62" t="s">
        <v>824</v>
      </c>
      <c r="B1383" s="62" t="s">
        <v>1939</v>
      </c>
      <c r="C1383" s="62" t="s">
        <v>826</v>
      </c>
      <c r="D1383" s="63">
        <v>0</v>
      </c>
      <c r="E1383" s="63">
        <v>0</v>
      </c>
      <c r="F1383" s="63">
        <v>0</v>
      </c>
      <c r="G1383" s="64">
        <f t="shared" si="84"/>
        <v>0</v>
      </c>
      <c r="H1383" s="64">
        <f t="shared" si="85"/>
        <v>0</v>
      </c>
      <c r="I1383" s="63">
        <v>2</v>
      </c>
      <c r="J1383" s="65">
        <v>93.290700000000001</v>
      </c>
      <c r="K1383" s="65">
        <v>100</v>
      </c>
      <c r="L1383" s="62" t="s">
        <v>825</v>
      </c>
      <c r="M1383" s="63">
        <v>0</v>
      </c>
      <c r="N1383" s="66">
        <f t="shared" si="86"/>
        <v>0.99</v>
      </c>
      <c r="O1383" s="62" t="str">
        <f t="shared" si="87"/>
        <v>4: Engaged Early</v>
      </c>
    </row>
    <row r="1384" spans="1:15" ht="15" customHeight="1" x14ac:dyDescent="0.4">
      <c r="A1384" s="62" t="s">
        <v>824</v>
      </c>
      <c r="B1384" s="62" t="s">
        <v>1940</v>
      </c>
      <c r="C1384" s="62" t="s">
        <v>826</v>
      </c>
      <c r="D1384" s="63">
        <v>21</v>
      </c>
      <c r="E1384" s="63">
        <v>16</v>
      </c>
      <c r="F1384" s="63">
        <v>0</v>
      </c>
      <c r="G1384" s="64">
        <f t="shared" si="84"/>
        <v>0.76190476190476186</v>
      </c>
      <c r="H1384" s="64">
        <f t="shared" si="85"/>
        <v>0</v>
      </c>
      <c r="I1384" s="63">
        <v>2</v>
      </c>
      <c r="J1384" s="65">
        <v>95.900700000000001</v>
      </c>
      <c r="K1384" s="65">
        <v>100</v>
      </c>
      <c r="L1384" s="62" t="s">
        <v>826</v>
      </c>
      <c r="M1384" s="63">
        <v>0</v>
      </c>
      <c r="N1384" s="66">
        <f t="shared" si="86"/>
        <v>0.74399999999999999</v>
      </c>
      <c r="O1384" s="62" t="str">
        <f t="shared" si="87"/>
        <v>2: High (No DBWT)</v>
      </c>
    </row>
    <row r="1385" spans="1:15" ht="15" customHeight="1" x14ac:dyDescent="0.4">
      <c r="A1385" s="62" t="s">
        <v>824</v>
      </c>
      <c r="B1385" s="62" t="s">
        <v>1941</v>
      </c>
      <c r="C1385" s="62" t="s">
        <v>826</v>
      </c>
      <c r="D1385" s="63">
        <v>17</v>
      </c>
      <c r="E1385" s="63">
        <v>8</v>
      </c>
      <c r="F1385" s="63">
        <v>1</v>
      </c>
      <c r="G1385" s="64">
        <f t="shared" si="84"/>
        <v>0.47058823529411764</v>
      </c>
      <c r="H1385" s="64">
        <f t="shared" si="85"/>
        <v>5.8823529411764705E-2</v>
      </c>
      <c r="I1385" s="63">
        <v>2</v>
      </c>
      <c r="J1385" s="65">
        <v>92.637900000000002</v>
      </c>
      <c r="K1385" s="65">
        <v>100</v>
      </c>
      <c r="L1385" s="62" t="s">
        <v>825</v>
      </c>
      <c r="M1385" s="63">
        <v>0</v>
      </c>
      <c r="N1385" s="66">
        <f t="shared" si="86"/>
        <v>0.98899999999999999</v>
      </c>
      <c r="O1385" s="62" t="str">
        <f t="shared" si="87"/>
        <v>4: Engaged Early</v>
      </c>
    </row>
    <row r="1386" spans="1:15" ht="15" customHeight="1" x14ac:dyDescent="0.4">
      <c r="A1386" s="62" t="s">
        <v>824</v>
      </c>
      <c r="B1386" s="62" t="s">
        <v>1942</v>
      </c>
      <c r="C1386" s="62" t="s">
        <v>826</v>
      </c>
      <c r="D1386" s="63">
        <v>14</v>
      </c>
      <c r="E1386" s="63">
        <v>8</v>
      </c>
      <c r="F1386" s="63">
        <v>0</v>
      </c>
      <c r="G1386" s="64">
        <f t="shared" si="84"/>
        <v>0.5714285714285714</v>
      </c>
      <c r="H1386" s="64">
        <f t="shared" si="85"/>
        <v>0</v>
      </c>
      <c r="I1386" s="63">
        <v>2</v>
      </c>
      <c r="J1386" s="65">
        <v>91.674750000000003</v>
      </c>
      <c r="K1386" s="65">
        <v>100</v>
      </c>
      <c r="L1386" s="62" t="s">
        <v>825</v>
      </c>
      <c r="M1386" s="63">
        <v>1</v>
      </c>
      <c r="N1386" s="66">
        <f t="shared" si="86"/>
        <v>0.98799999999999999</v>
      </c>
      <c r="O1386" s="62" t="str">
        <f t="shared" si="87"/>
        <v>4: Engaged Early</v>
      </c>
    </row>
    <row r="1387" spans="1:15" ht="15" customHeight="1" x14ac:dyDescent="0.4">
      <c r="A1387" s="62" t="s">
        <v>824</v>
      </c>
      <c r="B1387" s="62" t="s">
        <v>1943</v>
      </c>
      <c r="C1387" s="62" t="s">
        <v>826</v>
      </c>
      <c r="D1387" s="63">
        <v>13</v>
      </c>
      <c r="E1387" s="63">
        <v>13</v>
      </c>
      <c r="F1387" s="63">
        <v>3</v>
      </c>
      <c r="G1387" s="64">
        <f t="shared" si="84"/>
        <v>1</v>
      </c>
      <c r="H1387" s="64">
        <f t="shared" si="85"/>
        <v>0.23076923076923078</v>
      </c>
      <c r="I1387" s="63">
        <v>2</v>
      </c>
      <c r="J1387" s="65">
        <v>86.141199999999998</v>
      </c>
      <c r="K1387" s="65">
        <v>100</v>
      </c>
      <c r="L1387" s="62" t="s">
        <v>825</v>
      </c>
      <c r="M1387" s="63">
        <v>0</v>
      </c>
      <c r="N1387" s="66">
        <f t="shared" si="86"/>
        <v>0.97899999999999998</v>
      </c>
      <c r="O1387" s="62" t="str">
        <f t="shared" si="87"/>
        <v>4: Engaged Early</v>
      </c>
    </row>
    <row r="1388" spans="1:15" ht="15" customHeight="1" x14ac:dyDescent="0.4">
      <c r="A1388" s="62" t="s">
        <v>824</v>
      </c>
      <c r="B1388" s="62" t="s">
        <v>1944</v>
      </c>
      <c r="C1388" s="62" t="s">
        <v>826</v>
      </c>
      <c r="D1388" s="63">
        <v>10</v>
      </c>
      <c r="E1388" s="63">
        <v>3</v>
      </c>
      <c r="F1388" s="63">
        <v>0</v>
      </c>
      <c r="G1388" s="64">
        <f t="shared" si="84"/>
        <v>0.3</v>
      </c>
      <c r="H1388" s="64">
        <f t="shared" si="85"/>
        <v>0</v>
      </c>
      <c r="I1388" s="63">
        <v>2</v>
      </c>
      <c r="J1388" s="65">
        <v>79.665499999999994</v>
      </c>
      <c r="K1388" s="65">
        <v>100</v>
      </c>
      <c r="L1388" s="62" t="s">
        <v>825</v>
      </c>
      <c r="M1388" s="63">
        <v>0</v>
      </c>
      <c r="N1388" s="66">
        <f t="shared" si="86"/>
        <v>0.96899999999999997</v>
      </c>
      <c r="O1388" s="62" t="str">
        <f t="shared" si="87"/>
        <v>4: Engaged Early</v>
      </c>
    </row>
    <row r="1389" spans="1:15" ht="15" customHeight="1" x14ac:dyDescent="0.4">
      <c r="A1389" s="62" t="s">
        <v>824</v>
      </c>
      <c r="B1389" s="62" t="s">
        <v>1945</v>
      </c>
      <c r="C1389" s="62" t="s">
        <v>826</v>
      </c>
      <c r="D1389" s="63">
        <v>3</v>
      </c>
      <c r="E1389" s="63">
        <v>1</v>
      </c>
      <c r="F1389" s="63">
        <v>0</v>
      </c>
      <c r="G1389" s="64">
        <f t="shared" si="84"/>
        <v>0.33333333333333331</v>
      </c>
      <c r="H1389" s="64">
        <f t="shared" si="85"/>
        <v>0</v>
      </c>
      <c r="I1389" s="63">
        <v>2</v>
      </c>
      <c r="J1389" s="65">
        <v>25.217068000000001</v>
      </c>
      <c r="K1389" s="65">
        <v>82.88</v>
      </c>
      <c r="L1389" s="62" t="s">
        <v>825</v>
      </c>
      <c r="M1389" s="63">
        <v>0</v>
      </c>
      <c r="N1389" s="66">
        <f t="shared" si="86"/>
        <v>0.78500000000000003</v>
      </c>
      <c r="O1389" s="62" t="str">
        <f t="shared" si="87"/>
        <v>4: Engaged Early</v>
      </c>
    </row>
    <row r="1390" spans="1:15" ht="15" customHeight="1" x14ac:dyDescent="0.4">
      <c r="A1390" s="62" t="s">
        <v>824</v>
      </c>
      <c r="B1390" s="62" t="s">
        <v>1946</v>
      </c>
      <c r="C1390" s="62" t="s">
        <v>826</v>
      </c>
      <c r="D1390" s="63">
        <v>0</v>
      </c>
      <c r="E1390" s="63">
        <v>0</v>
      </c>
      <c r="F1390" s="63">
        <v>0</v>
      </c>
      <c r="G1390" s="64">
        <f t="shared" si="84"/>
        <v>0</v>
      </c>
      <c r="H1390" s="64">
        <f t="shared" si="85"/>
        <v>0</v>
      </c>
      <c r="I1390" s="63">
        <v>1</v>
      </c>
      <c r="J1390" s="65">
        <v>100</v>
      </c>
      <c r="K1390" s="65">
        <v>100</v>
      </c>
      <c r="L1390" s="62" t="s">
        <v>840</v>
      </c>
      <c r="M1390" s="63">
        <v>0</v>
      </c>
      <c r="N1390" s="66">
        <f t="shared" si="86"/>
        <v>0.82499999999999996</v>
      </c>
      <c r="O1390" s="62" t="str">
        <f t="shared" si="87"/>
        <v>4: Engaged Early</v>
      </c>
    </row>
    <row r="1391" spans="1:15" ht="15" customHeight="1" x14ac:dyDescent="0.4">
      <c r="A1391" s="62" t="s">
        <v>824</v>
      </c>
      <c r="B1391" s="62" t="s">
        <v>1947</v>
      </c>
      <c r="C1391" s="62" t="s">
        <v>826</v>
      </c>
      <c r="D1391" s="63">
        <v>8</v>
      </c>
      <c r="E1391" s="63">
        <v>3</v>
      </c>
      <c r="F1391" s="63">
        <v>1</v>
      </c>
      <c r="G1391" s="64">
        <f t="shared" si="84"/>
        <v>0.375</v>
      </c>
      <c r="H1391" s="64">
        <f t="shared" si="85"/>
        <v>0.125</v>
      </c>
      <c r="I1391" s="63">
        <v>2</v>
      </c>
      <c r="J1391" s="65">
        <v>99.319649999999996</v>
      </c>
      <c r="K1391" s="65">
        <v>45.9</v>
      </c>
      <c r="L1391" s="62" t="s">
        <v>825</v>
      </c>
      <c r="M1391" s="63">
        <v>0</v>
      </c>
      <c r="N1391" s="66">
        <f t="shared" si="86"/>
        <v>0.67400000000000004</v>
      </c>
      <c r="O1391" s="62" t="str">
        <f t="shared" si="87"/>
        <v>4: Engaged Early</v>
      </c>
    </row>
    <row r="1392" spans="1:15" ht="15" customHeight="1" x14ac:dyDescent="0.4">
      <c r="A1392" s="62" t="s">
        <v>824</v>
      </c>
      <c r="B1392" s="62" t="s">
        <v>285</v>
      </c>
      <c r="C1392" s="62" t="s">
        <v>825</v>
      </c>
      <c r="D1392" s="63">
        <v>6</v>
      </c>
      <c r="E1392" s="63">
        <v>4</v>
      </c>
      <c r="F1392" s="63">
        <v>0</v>
      </c>
      <c r="G1392" s="64">
        <f t="shared" si="84"/>
        <v>0.66666666666666663</v>
      </c>
      <c r="H1392" s="64">
        <f t="shared" si="85"/>
        <v>0</v>
      </c>
      <c r="I1392" s="63">
        <v>1</v>
      </c>
      <c r="J1392" s="65">
        <v>57.82</v>
      </c>
      <c r="K1392" s="65">
        <v>40.299999999999997</v>
      </c>
      <c r="L1392" s="62" t="s">
        <v>826</v>
      </c>
      <c r="M1392" s="63">
        <v>1</v>
      </c>
      <c r="N1392" s="66">
        <f t="shared" si="86"/>
        <v>0.32900000000000001</v>
      </c>
      <c r="O1392" s="62" t="str">
        <f t="shared" si="87"/>
        <v>2: High (No DBWT)</v>
      </c>
    </row>
    <row r="1393" spans="1:15" ht="15" customHeight="1" x14ac:dyDescent="0.4">
      <c r="A1393" s="62" t="s">
        <v>824</v>
      </c>
      <c r="B1393" s="62" t="s">
        <v>1948</v>
      </c>
      <c r="C1393" s="62" t="s">
        <v>826</v>
      </c>
      <c r="D1393" s="63">
        <v>5</v>
      </c>
      <c r="E1393" s="63">
        <v>5</v>
      </c>
      <c r="F1393" s="63">
        <v>1</v>
      </c>
      <c r="G1393" s="64">
        <f t="shared" si="84"/>
        <v>1</v>
      </c>
      <c r="H1393" s="64">
        <f t="shared" si="85"/>
        <v>0.2</v>
      </c>
      <c r="I1393" s="63">
        <v>2</v>
      </c>
      <c r="J1393" s="65">
        <v>94.362949999999998</v>
      </c>
      <c r="K1393" s="65">
        <v>100</v>
      </c>
      <c r="L1393" s="62" t="s">
        <v>825</v>
      </c>
      <c r="M1393" s="63">
        <v>0</v>
      </c>
      <c r="N1393" s="66">
        <f t="shared" si="86"/>
        <v>0.99199999999999999</v>
      </c>
      <c r="O1393" s="62" t="str">
        <f t="shared" si="87"/>
        <v>4: Engaged Early</v>
      </c>
    </row>
    <row r="1394" spans="1:15" ht="15" customHeight="1" x14ac:dyDescent="0.4">
      <c r="A1394" s="62" t="s">
        <v>824</v>
      </c>
      <c r="B1394" s="62" t="s">
        <v>805</v>
      </c>
      <c r="C1394" s="62" t="s">
        <v>825</v>
      </c>
      <c r="D1394" s="63">
        <v>22</v>
      </c>
      <c r="E1394" s="63">
        <v>18</v>
      </c>
      <c r="F1394" s="63">
        <v>1</v>
      </c>
      <c r="G1394" s="64">
        <f t="shared" si="84"/>
        <v>0.81818181818181823</v>
      </c>
      <c r="H1394" s="64">
        <f t="shared" si="85"/>
        <v>4.5454545454545456E-2</v>
      </c>
      <c r="I1394" s="63">
        <v>0</v>
      </c>
      <c r="J1394" s="65"/>
      <c r="K1394" s="65">
        <v>8.39</v>
      </c>
      <c r="L1394" s="62" t="s">
        <v>826</v>
      </c>
      <c r="M1394" s="63">
        <v>0</v>
      </c>
      <c r="N1394" s="66">
        <f t="shared" si="86"/>
        <v>0.05</v>
      </c>
      <c r="O1394" s="62" t="str">
        <f t="shared" si="87"/>
        <v>1: Critical (No DBWT + No Wk0)</v>
      </c>
    </row>
    <row r="1395" spans="1:15" ht="15" customHeight="1" x14ac:dyDescent="0.4">
      <c r="A1395" s="62" t="s">
        <v>824</v>
      </c>
      <c r="B1395" s="62" t="s">
        <v>1949</v>
      </c>
      <c r="C1395" s="62" t="s">
        <v>826</v>
      </c>
      <c r="D1395" s="63">
        <v>17</v>
      </c>
      <c r="E1395" s="63">
        <v>10</v>
      </c>
      <c r="F1395" s="63">
        <v>5</v>
      </c>
      <c r="G1395" s="64">
        <f t="shared" si="84"/>
        <v>0.58823529411764708</v>
      </c>
      <c r="H1395" s="64">
        <f t="shared" si="85"/>
        <v>0.29411764705882354</v>
      </c>
      <c r="I1395" s="63">
        <v>2</v>
      </c>
      <c r="J1395" s="65">
        <v>81.491900000000001</v>
      </c>
      <c r="K1395" s="65">
        <v>61.82</v>
      </c>
      <c r="L1395" s="62" t="s">
        <v>825</v>
      </c>
      <c r="M1395" s="63">
        <v>0</v>
      </c>
      <c r="N1395" s="66">
        <f t="shared" si="86"/>
        <v>0.74299999999999999</v>
      </c>
      <c r="O1395" s="62" t="str">
        <f t="shared" si="87"/>
        <v>4: Engaged Early</v>
      </c>
    </row>
    <row r="1396" spans="1:15" ht="15" customHeight="1" x14ac:dyDescent="0.4">
      <c r="A1396" s="62" t="s">
        <v>824</v>
      </c>
      <c r="B1396" s="62" t="s">
        <v>479</v>
      </c>
      <c r="C1396" s="62" t="s">
        <v>825</v>
      </c>
      <c r="D1396" s="63">
        <v>8</v>
      </c>
      <c r="E1396" s="63">
        <v>2</v>
      </c>
      <c r="F1396" s="63">
        <v>0</v>
      </c>
      <c r="G1396" s="64">
        <f t="shared" si="84"/>
        <v>0.25</v>
      </c>
      <c r="H1396" s="64">
        <f t="shared" si="85"/>
        <v>0</v>
      </c>
      <c r="I1396" s="63">
        <v>2</v>
      </c>
      <c r="J1396" s="65">
        <v>34.074849999999998</v>
      </c>
      <c r="K1396" s="65">
        <v>14.29</v>
      </c>
      <c r="L1396" s="62" t="s">
        <v>825</v>
      </c>
      <c r="M1396" s="63">
        <v>0</v>
      </c>
      <c r="N1396" s="66">
        <f t="shared" si="86"/>
        <v>0.38700000000000001</v>
      </c>
      <c r="O1396" s="62" t="str">
        <f t="shared" si="87"/>
        <v>4: Engaged Early</v>
      </c>
    </row>
    <row r="1397" spans="1:15" ht="15" customHeight="1" x14ac:dyDescent="0.4">
      <c r="A1397" s="62" t="s">
        <v>824</v>
      </c>
      <c r="B1397" s="62" t="s">
        <v>405</v>
      </c>
      <c r="C1397" s="62" t="s">
        <v>825</v>
      </c>
      <c r="D1397" s="63">
        <v>24</v>
      </c>
      <c r="E1397" s="63">
        <v>21</v>
      </c>
      <c r="F1397" s="63">
        <v>1</v>
      </c>
      <c r="G1397" s="64">
        <f t="shared" si="84"/>
        <v>0.875</v>
      </c>
      <c r="H1397" s="64">
        <f t="shared" si="85"/>
        <v>4.1666666666666664E-2</v>
      </c>
      <c r="I1397" s="63">
        <v>0</v>
      </c>
      <c r="J1397" s="65"/>
      <c r="K1397" s="65">
        <v>0.28000000000000003</v>
      </c>
      <c r="L1397" s="62" t="s">
        <v>826</v>
      </c>
      <c r="M1397" s="63">
        <v>0</v>
      </c>
      <c r="N1397" s="66">
        <f t="shared" si="86"/>
        <v>2E-3</v>
      </c>
      <c r="O1397" s="62" t="str">
        <f t="shared" si="87"/>
        <v>1: Critical (No DBWT + No Wk0)</v>
      </c>
    </row>
    <row r="1398" spans="1:15" ht="15" customHeight="1" x14ac:dyDescent="0.4">
      <c r="A1398" s="62" t="s">
        <v>824</v>
      </c>
      <c r="B1398" s="62" t="s">
        <v>1950</v>
      </c>
      <c r="C1398" s="62" t="s">
        <v>826</v>
      </c>
      <c r="D1398" s="63">
        <v>26</v>
      </c>
      <c r="E1398" s="63">
        <v>3</v>
      </c>
      <c r="F1398" s="63">
        <v>2</v>
      </c>
      <c r="G1398" s="64">
        <f t="shared" si="84"/>
        <v>0.11538461538461539</v>
      </c>
      <c r="H1398" s="64">
        <f t="shared" si="85"/>
        <v>7.6923076923076927E-2</v>
      </c>
      <c r="I1398" s="63">
        <v>0</v>
      </c>
      <c r="J1398" s="65"/>
      <c r="K1398" s="65">
        <v>21.66</v>
      </c>
      <c r="L1398" s="62" t="s">
        <v>826</v>
      </c>
      <c r="M1398" s="63">
        <v>0</v>
      </c>
      <c r="N1398" s="66">
        <f t="shared" si="86"/>
        <v>0.13</v>
      </c>
      <c r="O1398" s="62" t="str">
        <f t="shared" si="87"/>
        <v>1: Critical (No DBWT + No Wk0)</v>
      </c>
    </row>
    <row r="1399" spans="1:15" ht="15" customHeight="1" x14ac:dyDescent="0.4">
      <c r="A1399" s="62" t="s">
        <v>824</v>
      </c>
      <c r="B1399" s="62" t="s">
        <v>1951</v>
      </c>
      <c r="C1399" s="62" t="s">
        <v>826</v>
      </c>
      <c r="D1399" s="63">
        <v>5</v>
      </c>
      <c r="E1399" s="63">
        <v>5</v>
      </c>
      <c r="F1399" s="63">
        <v>2</v>
      </c>
      <c r="G1399" s="64">
        <f t="shared" si="84"/>
        <v>1</v>
      </c>
      <c r="H1399" s="64">
        <f t="shared" si="85"/>
        <v>0.4</v>
      </c>
      <c r="I1399" s="63">
        <v>2</v>
      </c>
      <c r="J1399" s="65">
        <v>99.375</v>
      </c>
      <c r="K1399" s="65">
        <v>100</v>
      </c>
      <c r="L1399" s="62" t="s">
        <v>825</v>
      </c>
      <c r="M1399" s="63">
        <v>0</v>
      </c>
      <c r="N1399" s="66">
        <f t="shared" si="86"/>
        <v>0.999</v>
      </c>
      <c r="O1399" s="62" t="str">
        <f t="shared" si="87"/>
        <v>4: Engaged Early</v>
      </c>
    </row>
    <row r="1400" spans="1:15" ht="15" customHeight="1" x14ac:dyDescent="0.4">
      <c r="A1400" s="62" t="s">
        <v>824</v>
      </c>
      <c r="B1400" s="62" t="s">
        <v>377</v>
      </c>
      <c r="C1400" s="62" t="s">
        <v>825</v>
      </c>
      <c r="D1400" s="63">
        <v>23</v>
      </c>
      <c r="E1400" s="63">
        <v>16</v>
      </c>
      <c r="F1400" s="63">
        <v>2</v>
      </c>
      <c r="G1400" s="64">
        <f t="shared" si="84"/>
        <v>0.69565217391304346</v>
      </c>
      <c r="H1400" s="64">
        <f t="shared" si="85"/>
        <v>8.6956521739130432E-2</v>
      </c>
      <c r="I1400" s="63">
        <v>1</v>
      </c>
      <c r="J1400" s="65">
        <v>84.9</v>
      </c>
      <c r="K1400" s="65">
        <v>16.670000000000002</v>
      </c>
      <c r="L1400" s="62" t="s">
        <v>825</v>
      </c>
      <c r="M1400" s="63">
        <v>0</v>
      </c>
      <c r="N1400" s="66">
        <f t="shared" si="86"/>
        <v>0.47699999999999998</v>
      </c>
      <c r="O1400" s="62" t="str">
        <f t="shared" si="87"/>
        <v>4: Engaged Early</v>
      </c>
    </row>
    <row r="1401" spans="1:15" ht="15" customHeight="1" x14ac:dyDescent="0.4">
      <c r="A1401" s="62" t="s">
        <v>824</v>
      </c>
      <c r="B1401" s="62" t="s">
        <v>1952</v>
      </c>
      <c r="C1401" s="62" t="s">
        <v>826</v>
      </c>
      <c r="D1401" s="63">
        <v>10</v>
      </c>
      <c r="E1401" s="63">
        <v>7</v>
      </c>
      <c r="F1401" s="63">
        <v>6</v>
      </c>
      <c r="G1401" s="64">
        <f t="shared" si="84"/>
        <v>0.7</v>
      </c>
      <c r="H1401" s="64">
        <f t="shared" si="85"/>
        <v>0.6</v>
      </c>
      <c r="I1401" s="63">
        <v>2</v>
      </c>
      <c r="J1401" s="65">
        <v>99.834199999999996</v>
      </c>
      <c r="K1401" s="65">
        <v>90.55</v>
      </c>
      <c r="L1401" s="62" t="s">
        <v>825</v>
      </c>
      <c r="M1401" s="63">
        <v>0</v>
      </c>
      <c r="N1401" s="66">
        <f t="shared" si="86"/>
        <v>0.94299999999999995</v>
      </c>
      <c r="O1401" s="62" t="str">
        <f t="shared" si="87"/>
        <v>4: Engaged Early</v>
      </c>
    </row>
    <row r="1402" spans="1:15" ht="15" customHeight="1" x14ac:dyDescent="0.4">
      <c r="A1402" s="62" t="s">
        <v>824</v>
      </c>
      <c r="B1402" s="62" t="s">
        <v>599</v>
      </c>
      <c r="C1402" s="62" t="s">
        <v>825</v>
      </c>
      <c r="D1402" s="63">
        <v>4</v>
      </c>
      <c r="E1402" s="63">
        <v>4</v>
      </c>
      <c r="F1402" s="63">
        <v>0</v>
      </c>
      <c r="G1402" s="64">
        <f t="shared" si="84"/>
        <v>1</v>
      </c>
      <c r="H1402" s="64">
        <f t="shared" si="85"/>
        <v>0</v>
      </c>
      <c r="I1402" s="63">
        <v>2</v>
      </c>
      <c r="J1402" s="65">
        <v>86.016649999999998</v>
      </c>
      <c r="K1402" s="65">
        <v>33.56</v>
      </c>
      <c r="L1402" s="62" t="s">
        <v>825</v>
      </c>
      <c r="M1402" s="63">
        <v>0</v>
      </c>
      <c r="N1402" s="66">
        <f t="shared" si="86"/>
        <v>0.57999999999999996</v>
      </c>
      <c r="O1402" s="62" t="str">
        <f t="shared" si="87"/>
        <v>4: Engaged Early</v>
      </c>
    </row>
    <row r="1403" spans="1:15" ht="15" customHeight="1" x14ac:dyDescent="0.4">
      <c r="A1403" s="62" t="s">
        <v>824</v>
      </c>
      <c r="B1403" s="62" t="s">
        <v>223</v>
      </c>
      <c r="C1403" s="62" t="s">
        <v>826</v>
      </c>
      <c r="D1403" s="63">
        <v>3</v>
      </c>
      <c r="E1403" s="63">
        <v>3</v>
      </c>
      <c r="F1403" s="63">
        <v>0</v>
      </c>
      <c r="G1403" s="64">
        <f t="shared" si="84"/>
        <v>1</v>
      </c>
      <c r="H1403" s="64">
        <f t="shared" si="85"/>
        <v>0</v>
      </c>
      <c r="I1403" s="63">
        <v>2</v>
      </c>
      <c r="J1403" s="65">
        <v>80.378950000000003</v>
      </c>
      <c r="K1403" s="65">
        <v>87.28</v>
      </c>
      <c r="L1403" s="62" t="s">
        <v>826</v>
      </c>
      <c r="M1403" s="63">
        <v>0</v>
      </c>
      <c r="N1403" s="66">
        <f t="shared" si="86"/>
        <v>0.64400000000000002</v>
      </c>
      <c r="O1403" s="62" t="str">
        <f t="shared" si="87"/>
        <v>2: High (No DBWT)</v>
      </c>
    </row>
    <row r="1404" spans="1:15" ht="15" customHeight="1" x14ac:dyDescent="0.4">
      <c r="A1404" s="62" t="s">
        <v>824</v>
      </c>
      <c r="B1404" s="62" t="s">
        <v>1953</v>
      </c>
      <c r="C1404" s="62" t="s">
        <v>826</v>
      </c>
      <c r="D1404" s="63">
        <v>26</v>
      </c>
      <c r="E1404" s="63">
        <v>21</v>
      </c>
      <c r="F1404" s="63">
        <v>2</v>
      </c>
      <c r="G1404" s="64">
        <f t="shared" si="84"/>
        <v>0.80769230769230771</v>
      </c>
      <c r="H1404" s="64">
        <f t="shared" si="85"/>
        <v>7.6923076923076927E-2</v>
      </c>
      <c r="I1404" s="63">
        <v>2</v>
      </c>
      <c r="J1404" s="65">
        <v>86.758949999999999</v>
      </c>
      <c r="K1404" s="65">
        <v>87.5</v>
      </c>
      <c r="L1404" s="62" t="s">
        <v>825</v>
      </c>
      <c r="M1404" s="63">
        <v>0</v>
      </c>
      <c r="N1404" s="66">
        <f t="shared" si="86"/>
        <v>0.90500000000000003</v>
      </c>
      <c r="O1404" s="62" t="str">
        <f t="shared" si="87"/>
        <v>4: Engaged Early</v>
      </c>
    </row>
    <row r="1405" spans="1:15" ht="15" customHeight="1" x14ac:dyDescent="0.4">
      <c r="A1405" s="62" t="s">
        <v>824</v>
      </c>
      <c r="B1405" s="62" t="s">
        <v>1954</v>
      </c>
      <c r="C1405" s="62" t="s">
        <v>826</v>
      </c>
      <c r="D1405" s="63">
        <v>5</v>
      </c>
      <c r="E1405" s="63">
        <v>2</v>
      </c>
      <c r="F1405" s="63">
        <v>0</v>
      </c>
      <c r="G1405" s="64">
        <f t="shared" si="84"/>
        <v>0.4</v>
      </c>
      <c r="H1405" s="64">
        <f t="shared" si="85"/>
        <v>0</v>
      </c>
      <c r="I1405" s="63">
        <v>1</v>
      </c>
      <c r="J1405" s="65">
        <v>82.223100000000002</v>
      </c>
      <c r="K1405" s="65">
        <v>77.36</v>
      </c>
      <c r="L1405" s="62" t="s">
        <v>825</v>
      </c>
      <c r="M1405" s="63">
        <v>0</v>
      </c>
      <c r="N1405" s="66">
        <f t="shared" si="86"/>
        <v>0.83699999999999997</v>
      </c>
      <c r="O1405" s="62" t="str">
        <f t="shared" si="87"/>
        <v>4: Engaged Early</v>
      </c>
    </row>
    <row r="1406" spans="1:15" ht="15" customHeight="1" x14ac:dyDescent="0.4">
      <c r="A1406" s="62" t="s">
        <v>824</v>
      </c>
      <c r="B1406" s="62" t="s">
        <v>1955</v>
      </c>
      <c r="C1406" s="62" t="s">
        <v>826</v>
      </c>
      <c r="D1406" s="63">
        <v>17</v>
      </c>
      <c r="E1406" s="63">
        <v>4</v>
      </c>
      <c r="F1406" s="63">
        <v>2</v>
      </c>
      <c r="G1406" s="64">
        <f t="shared" si="84"/>
        <v>0.23529411764705882</v>
      </c>
      <c r="H1406" s="64">
        <f t="shared" si="85"/>
        <v>0.11764705882352941</v>
      </c>
      <c r="I1406" s="63">
        <v>2</v>
      </c>
      <c r="J1406" s="65">
        <v>61.638249999999999</v>
      </c>
      <c r="K1406" s="65">
        <v>89.02</v>
      </c>
      <c r="L1406" s="62" t="s">
        <v>825</v>
      </c>
      <c r="M1406" s="63">
        <v>1</v>
      </c>
      <c r="N1406" s="66">
        <f t="shared" si="86"/>
        <v>0.877</v>
      </c>
      <c r="O1406" s="62" t="str">
        <f t="shared" si="87"/>
        <v>4: Engaged Early</v>
      </c>
    </row>
    <row r="1407" spans="1:15" ht="15" customHeight="1" x14ac:dyDescent="0.4">
      <c r="A1407" s="62" t="s">
        <v>824</v>
      </c>
      <c r="B1407" s="62" t="s">
        <v>1956</v>
      </c>
      <c r="C1407" s="62" t="s">
        <v>826</v>
      </c>
      <c r="D1407" s="63">
        <v>12</v>
      </c>
      <c r="E1407" s="63">
        <v>9</v>
      </c>
      <c r="F1407" s="63">
        <v>1</v>
      </c>
      <c r="G1407" s="64">
        <f t="shared" si="84"/>
        <v>0.75</v>
      </c>
      <c r="H1407" s="64">
        <f t="shared" si="85"/>
        <v>8.3333333333333329E-2</v>
      </c>
      <c r="I1407" s="63">
        <v>2</v>
      </c>
      <c r="J1407" s="65">
        <v>99.875</v>
      </c>
      <c r="K1407" s="65">
        <v>100</v>
      </c>
      <c r="L1407" s="62" t="s">
        <v>825</v>
      </c>
      <c r="M1407" s="63">
        <v>0</v>
      </c>
      <c r="N1407" s="66">
        <f t="shared" si="86"/>
        <v>1</v>
      </c>
      <c r="O1407" s="62" t="str">
        <f t="shared" si="87"/>
        <v>4: Engaged Early</v>
      </c>
    </row>
    <row r="1408" spans="1:15" ht="15" customHeight="1" x14ac:dyDescent="0.4">
      <c r="A1408" s="62" t="s">
        <v>824</v>
      </c>
      <c r="B1408" s="62" t="s">
        <v>1957</v>
      </c>
      <c r="C1408" s="62" t="s">
        <v>826</v>
      </c>
      <c r="D1408" s="63">
        <v>8</v>
      </c>
      <c r="E1408" s="63">
        <v>6</v>
      </c>
      <c r="F1408" s="63">
        <v>0</v>
      </c>
      <c r="G1408" s="64">
        <f t="shared" si="84"/>
        <v>0.75</v>
      </c>
      <c r="H1408" s="64">
        <f t="shared" si="85"/>
        <v>0</v>
      </c>
      <c r="I1408" s="63">
        <v>2</v>
      </c>
      <c r="J1408" s="65">
        <v>43.271925000000003</v>
      </c>
      <c r="K1408" s="65">
        <v>87.78</v>
      </c>
      <c r="L1408" s="62" t="s">
        <v>825</v>
      </c>
      <c r="M1408" s="63">
        <v>0</v>
      </c>
      <c r="N1408" s="66">
        <f t="shared" si="86"/>
        <v>0.84199999999999997</v>
      </c>
      <c r="O1408" s="62" t="str">
        <f t="shared" si="87"/>
        <v>4: Engaged Early</v>
      </c>
    </row>
    <row r="1409" spans="1:15" ht="15" customHeight="1" x14ac:dyDescent="0.4">
      <c r="A1409" s="62" t="s">
        <v>824</v>
      </c>
      <c r="B1409" s="62" t="s">
        <v>1958</v>
      </c>
      <c r="C1409" s="62" t="s">
        <v>826</v>
      </c>
      <c r="D1409" s="63">
        <v>15</v>
      </c>
      <c r="E1409" s="63">
        <v>12</v>
      </c>
      <c r="F1409" s="63">
        <v>0</v>
      </c>
      <c r="G1409" s="64">
        <f t="shared" si="84"/>
        <v>0.8</v>
      </c>
      <c r="H1409" s="64">
        <f t="shared" si="85"/>
        <v>0</v>
      </c>
      <c r="I1409" s="63">
        <v>2</v>
      </c>
      <c r="J1409" s="65">
        <v>89.942300000000003</v>
      </c>
      <c r="K1409" s="65">
        <v>99.1</v>
      </c>
      <c r="L1409" s="62" t="s">
        <v>826</v>
      </c>
      <c r="M1409" s="63">
        <v>0</v>
      </c>
      <c r="N1409" s="66">
        <f t="shared" si="86"/>
        <v>0.73</v>
      </c>
      <c r="O1409" s="62" t="str">
        <f t="shared" si="87"/>
        <v>2: High (No DBWT)</v>
      </c>
    </row>
    <row r="1410" spans="1:15" ht="15" customHeight="1" x14ac:dyDescent="0.4">
      <c r="A1410" s="62" t="s">
        <v>824</v>
      </c>
      <c r="B1410" s="62" t="s">
        <v>1959</v>
      </c>
      <c r="C1410" s="62" t="s">
        <v>826</v>
      </c>
      <c r="D1410" s="63">
        <v>14</v>
      </c>
      <c r="E1410" s="63">
        <v>14</v>
      </c>
      <c r="F1410" s="63">
        <v>0</v>
      </c>
      <c r="G1410" s="64">
        <f t="shared" ref="G1410:G1473" si="88">IFERROR(E1410/D1410,0)</f>
        <v>1</v>
      </c>
      <c r="H1410" s="64">
        <f t="shared" ref="H1410:H1473" si="89">IFERROR(F1410/D1410,0)</f>
        <v>0</v>
      </c>
      <c r="I1410" s="63">
        <v>2</v>
      </c>
      <c r="J1410" s="65">
        <v>91.354500000000002</v>
      </c>
      <c r="K1410" s="65">
        <v>100</v>
      </c>
      <c r="L1410" s="62" t="s">
        <v>825</v>
      </c>
      <c r="M1410" s="63">
        <v>0</v>
      </c>
      <c r="N1410" s="66">
        <f t="shared" ref="N1410:N1473" si="90">ROUND(IFERROR(K1410/100,0)*0.6 + IF(L1410="Yes",1,IF(L1410="No",0,0.3))*0.25 + IFERROR(J1410/100,0)*0.15,3)</f>
        <v>0.98699999999999999</v>
      </c>
      <c r="O1410" s="62" t="str">
        <f t="shared" ref="O1410:O1473" si="91">IF(AND(L1410="No",I1410=0),"1: Critical (No DBWT + No Wk0)",IF(L1410="No","2: High (No DBWT)",IF(I1410=0,"3: Elevated (No Wk0)","4: Engaged Early")))</f>
        <v>4: Engaged Early</v>
      </c>
    </row>
    <row r="1411" spans="1:15" ht="15" customHeight="1" x14ac:dyDescent="0.4">
      <c r="A1411" s="62" t="s">
        <v>824</v>
      </c>
      <c r="B1411" s="62" t="s">
        <v>1960</v>
      </c>
      <c r="C1411" s="62" t="s">
        <v>826</v>
      </c>
      <c r="D1411" s="63">
        <v>13</v>
      </c>
      <c r="E1411" s="63">
        <v>8</v>
      </c>
      <c r="F1411" s="63">
        <v>5</v>
      </c>
      <c r="G1411" s="64">
        <f t="shared" si="88"/>
        <v>0.61538461538461542</v>
      </c>
      <c r="H1411" s="64">
        <f t="shared" si="89"/>
        <v>0.38461538461538464</v>
      </c>
      <c r="I1411" s="63">
        <v>2</v>
      </c>
      <c r="J1411" s="65">
        <v>54.361649999999997</v>
      </c>
      <c r="K1411" s="65">
        <v>64.319999999999993</v>
      </c>
      <c r="L1411" s="62" t="s">
        <v>825</v>
      </c>
      <c r="M1411" s="63">
        <v>0</v>
      </c>
      <c r="N1411" s="66">
        <f t="shared" si="90"/>
        <v>0.71699999999999997</v>
      </c>
      <c r="O1411" s="62" t="str">
        <f t="shared" si="91"/>
        <v>4: Engaged Early</v>
      </c>
    </row>
    <row r="1412" spans="1:15" ht="15" customHeight="1" x14ac:dyDescent="0.4">
      <c r="A1412" s="62" t="s">
        <v>824</v>
      </c>
      <c r="B1412" s="62" t="s">
        <v>1961</v>
      </c>
      <c r="C1412" s="62" t="s">
        <v>826</v>
      </c>
      <c r="D1412" s="63">
        <v>10</v>
      </c>
      <c r="E1412" s="63">
        <v>10</v>
      </c>
      <c r="F1412" s="63">
        <v>2</v>
      </c>
      <c r="G1412" s="64">
        <f t="shared" si="88"/>
        <v>1</v>
      </c>
      <c r="H1412" s="64">
        <f t="shared" si="89"/>
        <v>0.2</v>
      </c>
      <c r="I1412" s="63">
        <v>2</v>
      </c>
      <c r="J1412" s="65">
        <v>99.504999999999995</v>
      </c>
      <c r="K1412" s="65">
        <v>100</v>
      </c>
      <c r="L1412" s="62" t="s">
        <v>826</v>
      </c>
      <c r="M1412" s="63">
        <v>0</v>
      </c>
      <c r="N1412" s="66">
        <f t="shared" si="90"/>
        <v>0.749</v>
      </c>
      <c r="O1412" s="62" t="str">
        <f t="shared" si="91"/>
        <v>2: High (No DBWT)</v>
      </c>
    </row>
    <row r="1413" spans="1:15" ht="15" customHeight="1" x14ac:dyDescent="0.4">
      <c r="A1413" s="62" t="s">
        <v>824</v>
      </c>
      <c r="B1413" s="62" t="s">
        <v>1962</v>
      </c>
      <c r="C1413" s="62" t="s">
        <v>826</v>
      </c>
      <c r="D1413" s="63">
        <v>3</v>
      </c>
      <c r="E1413" s="63">
        <v>3</v>
      </c>
      <c r="F1413" s="63">
        <v>1</v>
      </c>
      <c r="G1413" s="64">
        <f t="shared" si="88"/>
        <v>1</v>
      </c>
      <c r="H1413" s="64">
        <f t="shared" si="89"/>
        <v>0.33333333333333331</v>
      </c>
      <c r="I1413" s="63">
        <v>2</v>
      </c>
      <c r="J1413" s="65">
        <v>76.802350000000004</v>
      </c>
      <c r="K1413" s="65">
        <v>98.14</v>
      </c>
      <c r="L1413" s="62" t="s">
        <v>825</v>
      </c>
      <c r="M1413" s="63">
        <v>0</v>
      </c>
      <c r="N1413" s="66">
        <f t="shared" si="90"/>
        <v>0.95399999999999996</v>
      </c>
      <c r="O1413" s="62" t="str">
        <f t="shared" si="91"/>
        <v>4: Engaged Early</v>
      </c>
    </row>
    <row r="1414" spans="1:15" ht="15" customHeight="1" x14ac:dyDescent="0.4">
      <c r="A1414" s="62" t="s">
        <v>824</v>
      </c>
      <c r="B1414" s="62" t="s">
        <v>1963</v>
      </c>
      <c r="C1414" s="62" t="s">
        <v>826</v>
      </c>
      <c r="D1414" s="63">
        <v>22</v>
      </c>
      <c r="E1414" s="63">
        <v>14</v>
      </c>
      <c r="F1414" s="63">
        <v>11</v>
      </c>
      <c r="G1414" s="64">
        <f t="shared" si="88"/>
        <v>0.63636363636363635</v>
      </c>
      <c r="H1414" s="64">
        <f t="shared" si="89"/>
        <v>0.5</v>
      </c>
      <c r="I1414" s="63">
        <v>2</v>
      </c>
      <c r="J1414" s="65">
        <v>97.933149999999998</v>
      </c>
      <c r="K1414" s="65">
        <v>100</v>
      </c>
      <c r="L1414" s="62" t="s">
        <v>825</v>
      </c>
      <c r="M1414" s="63">
        <v>0</v>
      </c>
      <c r="N1414" s="66">
        <f t="shared" si="90"/>
        <v>0.997</v>
      </c>
      <c r="O1414" s="62" t="str">
        <f t="shared" si="91"/>
        <v>4: Engaged Early</v>
      </c>
    </row>
    <row r="1415" spans="1:15" ht="15" customHeight="1" x14ac:dyDescent="0.4">
      <c r="A1415" s="62" t="s">
        <v>824</v>
      </c>
      <c r="B1415" s="62" t="s">
        <v>1964</v>
      </c>
      <c r="C1415" s="62" t="s">
        <v>826</v>
      </c>
      <c r="D1415" s="63">
        <v>16</v>
      </c>
      <c r="E1415" s="63">
        <v>16</v>
      </c>
      <c r="F1415" s="63">
        <v>1</v>
      </c>
      <c r="G1415" s="64">
        <f t="shared" si="88"/>
        <v>1</v>
      </c>
      <c r="H1415" s="64">
        <f t="shared" si="89"/>
        <v>6.25E-2</v>
      </c>
      <c r="I1415" s="63">
        <v>2</v>
      </c>
      <c r="J1415" s="65">
        <v>99.050150000000002</v>
      </c>
      <c r="K1415" s="65">
        <v>100</v>
      </c>
      <c r="L1415" s="62" t="s">
        <v>825</v>
      </c>
      <c r="M1415" s="63">
        <v>0</v>
      </c>
      <c r="N1415" s="66">
        <f t="shared" si="90"/>
        <v>0.999</v>
      </c>
      <c r="O1415" s="62" t="str">
        <f t="shared" si="91"/>
        <v>4: Engaged Early</v>
      </c>
    </row>
    <row r="1416" spans="1:15" ht="15" customHeight="1" x14ac:dyDescent="0.4">
      <c r="A1416" s="62" t="s">
        <v>824</v>
      </c>
      <c r="B1416" s="62" t="s">
        <v>1965</v>
      </c>
      <c r="C1416" s="62" t="s">
        <v>826</v>
      </c>
      <c r="D1416" s="63">
        <v>15</v>
      </c>
      <c r="E1416" s="63">
        <v>14</v>
      </c>
      <c r="F1416" s="63">
        <v>5</v>
      </c>
      <c r="G1416" s="64">
        <f t="shared" si="88"/>
        <v>0.93333333333333335</v>
      </c>
      <c r="H1416" s="64">
        <f t="shared" si="89"/>
        <v>0.33333333333333331</v>
      </c>
      <c r="I1416" s="63">
        <v>2</v>
      </c>
      <c r="J1416" s="65">
        <v>96.355599999999995</v>
      </c>
      <c r="K1416" s="65">
        <v>100</v>
      </c>
      <c r="L1416" s="62" t="s">
        <v>826</v>
      </c>
      <c r="M1416" s="63">
        <v>0</v>
      </c>
      <c r="N1416" s="66">
        <f t="shared" si="90"/>
        <v>0.745</v>
      </c>
      <c r="O1416" s="62" t="str">
        <f t="shared" si="91"/>
        <v>2: High (No DBWT)</v>
      </c>
    </row>
    <row r="1417" spans="1:15" ht="15" customHeight="1" x14ac:dyDescent="0.4">
      <c r="A1417" s="62" t="s">
        <v>824</v>
      </c>
      <c r="B1417" s="62" t="s">
        <v>1966</v>
      </c>
      <c r="C1417" s="62" t="s">
        <v>826</v>
      </c>
      <c r="D1417" s="63">
        <v>4</v>
      </c>
      <c r="E1417" s="63">
        <v>4</v>
      </c>
      <c r="F1417" s="63">
        <v>2</v>
      </c>
      <c r="G1417" s="64">
        <f t="shared" si="88"/>
        <v>1</v>
      </c>
      <c r="H1417" s="64">
        <f t="shared" si="89"/>
        <v>0.5</v>
      </c>
      <c r="I1417" s="63">
        <v>2</v>
      </c>
      <c r="J1417" s="65">
        <v>85.001300000000001</v>
      </c>
      <c r="K1417" s="65">
        <v>100</v>
      </c>
      <c r="L1417" s="62" t="s">
        <v>825</v>
      </c>
      <c r="M1417" s="63">
        <v>0</v>
      </c>
      <c r="N1417" s="66">
        <f t="shared" si="90"/>
        <v>0.97799999999999998</v>
      </c>
      <c r="O1417" s="62" t="str">
        <f t="shared" si="91"/>
        <v>4: Engaged Early</v>
      </c>
    </row>
    <row r="1418" spans="1:15" ht="15" customHeight="1" x14ac:dyDescent="0.4">
      <c r="A1418" s="62" t="s">
        <v>824</v>
      </c>
      <c r="B1418" s="62" t="s">
        <v>1967</v>
      </c>
      <c r="C1418" s="62" t="s">
        <v>826</v>
      </c>
      <c r="D1418" s="63">
        <v>5</v>
      </c>
      <c r="E1418" s="63">
        <v>5</v>
      </c>
      <c r="F1418" s="63">
        <v>2</v>
      </c>
      <c r="G1418" s="64">
        <f t="shared" si="88"/>
        <v>1</v>
      </c>
      <c r="H1418" s="64">
        <f t="shared" si="89"/>
        <v>0.4</v>
      </c>
      <c r="I1418" s="63">
        <v>2</v>
      </c>
      <c r="J1418" s="65">
        <v>99.78</v>
      </c>
      <c r="K1418" s="65">
        <v>100</v>
      </c>
      <c r="L1418" s="62" t="s">
        <v>825</v>
      </c>
      <c r="M1418" s="63">
        <v>0</v>
      </c>
      <c r="N1418" s="66">
        <f t="shared" si="90"/>
        <v>1</v>
      </c>
      <c r="O1418" s="62" t="str">
        <f t="shared" si="91"/>
        <v>4: Engaged Early</v>
      </c>
    </row>
    <row r="1419" spans="1:15" ht="15" customHeight="1" x14ac:dyDescent="0.4">
      <c r="A1419" s="62" t="s">
        <v>824</v>
      </c>
      <c r="B1419" s="62" t="s">
        <v>1968</v>
      </c>
      <c r="C1419" s="62" t="s">
        <v>826</v>
      </c>
      <c r="D1419" s="63">
        <v>25</v>
      </c>
      <c r="E1419" s="63">
        <v>12</v>
      </c>
      <c r="F1419" s="63">
        <v>0</v>
      </c>
      <c r="G1419" s="64">
        <f t="shared" si="88"/>
        <v>0.48</v>
      </c>
      <c r="H1419" s="64">
        <f t="shared" si="89"/>
        <v>0</v>
      </c>
      <c r="I1419" s="63">
        <v>2</v>
      </c>
      <c r="J1419" s="65">
        <v>96.5154</v>
      </c>
      <c r="K1419" s="65">
        <v>100</v>
      </c>
      <c r="L1419" s="62" t="s">
        <v>825</v>
      </c>
      <c r="M1419" s="63">
        <v>0</v>
      </c>
      <c r="N1419" s="66">
        <f t="shared" si="90"/>
        <v>0.995</v>
      </c>
      <c r="O1419" s="62" t="str">
        <f t="shared" si="91"/>
        <v>4: Engaged Early</v>
      </c>
    </row>
    <row r="1420" spans="1:15" ht="15" customHeight="1" x14ac:dyDescent="0.4">
      <c r="A1420" s="62" t="s">
        <v>824</v>
      </c>
      <c r="B1420" s="62" t="s">
        <v>1969</v>
      </c>
      <c r="C1420" s="62" t="s">
        <v>826</v>
      </c>
      <c r="D1420" s="63">
        <v>4</v>
      </c>
      <c r="E1420" s="63">
        <v>4</v>
      </c>
      <c r="F1420" s="63">
        <v>0</v>
      </c>
      <c r="G1420" s="64">
        <f t="shared" si="88"/>
        <v>1</v>
      </c>
      <c r="H1420" s="64">
        <f t="shared" si="89"/>
        <v>0</v>
      </c>
      <c r="I1420" s="63">
        <v>2</v>
      </c>
      <c r="J1420" s="65">
        <v>97.68</v>
      </c>
      <c r="K1420" s="65">
        <v>100</v>
      </c>
      <c r="L1420" s="62" t="s">
        <v>825</v>
      </c>
      <c r="M1420" s="63">
        <v>0</v>
      </c>
      <c r="N1420" s="66">
        <f t="shared" si="90"/>
        <v>0.997</v>
      </c>
      <c r="O1420" s="62" t="str">
        <f t="shared" si="91"/>
        <v>4: Engaged Early</v>
      </c>
    </row>
    <row r="1421" spans="1:15" ht="15" customHeight="1" x14ac:dyDescent="0.4">
      <c r="A1421" s="62" t="s">
        <v>824</v>
      </c>
      <c r="B1421" s="62" t="s">
        <v>1970</v>
      </c>
      <c r="C1421" s="62" t="s">
        <v>826</v>
      </c>
      <c r="D1421" s="63">
        <v>6</v>
      </c>
      <c r="E1421" s="63">
        <v>6</v>
      </c>
      <c r="F1421" s="63">
        <v>1</v>
      </c>
      <c r="G1421" s="64">
        <f t="shared" si="88"/>
        <v>1</v>
      </c>
      <c r="H1421" s="64">
        <f t="shared" si="89"/>
        <v>0.16666666666666666</v>
      </c>
      <c r="I1421" s="63">
        <v>2</v>
      </c>
      <c r="J1421" s="65">
        <v>92.654600000000002</v>
      </c>
      <c r="K1421" s="65">
        <v>100</v>
      </c>
      <c r="L1421" s="62" t="s">
        <v>825</v>
      </c>
      <c r="M1421" s="63">
        <v>0</v>
      </c>
      <c r="N1421" s="66">
        <f t="shared" si="90"/>
        <v>0.98899999999999999</v>
      </c>
      <c r="O1421" s="62" t="str">
        <f t="shared" si="91"/>
        <v>4: Engaged Early</v>
      </c>
    </row>
    <row r="1422" spans="1:15" ht="15" customHeight="1" x14ac:dyDescent="0.4">
      <c r="A1422" s="62" t="s">
        <v>824</v>
      </c>
      <c r="B1422" s="62" t="s">
        <v>1971</v>
      </c>
      <c r="C1422" s="62" t="s">
        <v>826</v>
      </c>
      <c r="D1422" s="63">
        <v>8</v>
      </c>
      <c r="E1422" s="63">
        <v>8</v>
      </c>
      <c r="F1422" s="63">
        <v>5</v>
      </c>
      <c r="G1422" s="64">
        <f t="shared" si="88"/>
        <v>1</v>
      </c>
      <c r="H1422" s="64">
        <f t="shared" si="89"/>
        <v>0.625</v>
      </c>
      <c r="I1422" s="63">
        <v>2</v>
      </c>
      <c r="J1422" s="65">
        <v>55.884599999999999</v>
      </c>
      <c r="K1422" s="65">
        <v>89.71</v>
      </c>
      <c r="L1422" s="62" t="s">
        <v>825</v>
      </c>
      <c r="M1422" s="63">
        <v>0</v>
      </c>
      <c r="N1422" s="66">
        <f t="shared" si="90"/>
        <v>0.872</v>
      </c>
      <c r="O1422" s="62" t="str">
        <f t="shared" si="91"/>
        <v>4: Engaged Early</v>
      </c>
    </row>
    <row r="1423" spans="1:15" ht="15" customHeight="1" x14ac:dyDescent="0.4">
      <c r="A1423" s="62" t="s">
        <v>824</v>
      </c>
      <c r="B1423" s="62" t="s">
        <v>1972</v>
      </c>
      <c r="C1423" s="62" t="s">
        <v>826</v>
      </c>
      <c r="D1423" s="63">
        <v>10</v>
      </c>
      <c r="E1423" s="63">
        <v>10</v>
      </c>
      <c r="F1423" s="63">
        <v>2</v>
      </c>
      <c r="G1423" s="64">
        <f t="shared" si="88"/>
        <v>1</v>
      </c>
      <c r="H1423" s="64">
        <f t="shared" si="89"/>
        <v>0.2</v>
      </c>
      <c r="I1423" s="63">
        <v>2</v>
      </c>
      <c r="J1423" s="65">
        <v>91.226349999999996</v>
      </c>
      <c r="K1423" s="65">
        <v>100</v>
      </c>
      <c r="L1423" s="62" t="s">
        <v>825</v>
      </c>
      <c r="M1423" s="63">
        <v>0</v>
      </c>
      <c r="N1423" s="66">
        <f t="shared" si="90"/>
        <v>0.98699999999999999</v>
      </c>
      <c r="O1423" s="62" t="str">
        <f t="shared" si="91"/>
        <v>4: Engaged Early</v>
      </c>
    </row>
    <row r="1424" spans="1:15" ht="15" customHeight="1" x14ac:dyDescent="0.4">
      <c r="A1424" s="62" t="s">
        <v>824</v>
      </c>
      <c r="B1424" s="62" t="s">
        <v>1973</v>
      </c>
      <c r="C1424" s="62" t="s">
        <v>826</v>
      </c>
      <c r="D1424" s="63">
        <v>23</v>
      </c>
      <c r="E1424" s="63">
        <v>5</v>
      </c>
      <c r="F1424" s="63">
        <v>6</v>
      </c>
      <c r="G1424" s="64">
        <f t="shared" si="88"/>
        <v>0.21739130434782608</v>
      </c>
      <c r="H1424" s="64">
        <f t="shared" si="89"/>
        <v>0.2608695652173913</v>
      </c>
      <c r="I1424" s="63">
        <v>2</v>
      </c>
      <c r="J1424" s="65">
        <v>89.598749999999995</v>
      </c>
      <c r="K1424" s="65">
        <v>100</v>
      </c>
      <c r="L1424" s="62" t="s">
        <v>825</v>
      </c>
      <c r="M1424" s="63">
        <v>0</v>
      </c>
      <c r="N1424" s="66">
        <f t="shared" si="90"/>
        <v>0.98399999999999999</v>
      </c>
      <c r="O1424" s="62" t="str">
        <f t="shared" si="91"/>
        <v>4: Engaged Early</v>
      </c>
    </row>
    <row r="1425" spans="1:15" ht="15" customHeight="1" x14ac:dyDescent="0.4">
      <c r="A1425" s="62" t="s">
        <v>824</v>
      </c>
      <c r="B1425" s="62" t="s">
        <v>1974</v>
      </c>
      <c r="C1425" s="62" t="s">
        <v>826</v>
      </c>
      <c r="D1425" s="63">
        <v>4</v>
      </c>
      <c r="E1425" s="63">
        <v>1</v>
      </c>
      <c r="F1425" s="63">
        <v>1</v>
      </c>
      <c r="G1425" s="64">
        <f t="shared" si="88"/>
        <v>0.25</v>
      </c>
      <c r="H1425" s="64">
        <f t="shared" si="89"/>
        <v>0.25</v>
      </c>
      <c r="I1425" s="63">
        <v>2</v>
      </c>
      <c r="J1425" s="65">
        <v>98.955100000000002</v>
      </c>
      <c r="K1425" s="65">
        <v>100</v>
      </c>
      <c r="L1425" s="62" t="s">
        <v>825</v>
      </c>
      <c r="M1425" s="63">
        <v>0</v>
      </c>
      <c r="N1425" s="66">
        <f t="shared" si="90"/>
        <v>0.998</v>
      </c>
      <c r="O1425" s="62" t="str">
        <f t="shared" si="91"/>
        <v>4: Engaged Early</v>
      </c>
    </row>
    <row r="1426" spans="1:15" ht="15" customHeight="1" x14ac:dyDescent="0.4">
      <c r="A1426" s="62" t="s">
        <v>824</v>
      </c>
      <c r="B1426" s="62" t="s">
        <v>1975</v>
      </c>
      <c r="C1426" s="62" t="s">
        <v>826</v>
      </c>
      <c r="D1426" s="63">
        <v>12</v>
      </c>
      <c r="E1426" s="63">
        <v>10</v>
      </c>
      <c r="F1426" s="63">
        <v>2</v>
      </c>
      <c r="G1426" s="64">
        <f t="shared" si="88"/>
        <v>0.83333333333333337</v>
      </c>
      <c r="H1426" s="64">
        <f t="shared" si="89"/>
        <v>0.16666666666666666</v>
      </c>
      <c r="I1426" s="63">
        <v>1</v>
      </c>
      <c r="J1426" s="65">
        <v>54.81</v>
      </c>
      <c r="K1426" s="65">
        <v>58.56</v>
      </c>
      <c r="L1426" s="62" t="s">
        <v>825</v>
      </c>
      <c r="M1426" s="63">
        <v>0</v>
      </c>
      <c r="N1426" s="66">
        <f t="shared" si="90"/>
        <v>0.68400000000000005</v>
      </c>
      <c r="O1426" s="62" t="str">
        <f t="shared" si="91"/>
        <v>4: Engaged Early</v>
      </c>
    </row>
    <row r="1427" spans="1:15" ht="15" customHeight="1" x14ac:dyDescent="0.4">
      <c r="A1427" s="62" t="s">
        <v>824</v>
      </c>
      <c r="B1427" s="62" t="s">
        <v>1976</v>
      </c>
      <c r="C1427" s="62" t="s">
        <v>826</v>
      </c>
      <c r="D1427" s="63">
        <v>8</v>
      </c>
      <c r="E1427" s="63">
        <v>4</v>
      </c>
      <c r="F1427" s="63">
        <v>0</v>
      </c>
      <c r="G1427" s="64">
        <f t="shared" si="88"/>
        <v>0.5</v>
      </c>
      <c r="H1427" s="64">
        <f t="shared" si="89"/>
        <v>0</v>
      </c>
      <c r="I1427" s="63">
        <v>2</v>
      </c>
      <c r="J1427" s="65">
        <v>87.893649999999994</v>
      </c>
      <c r="K1427" s="65">
        <v>97.44</v>
      </c>
      <c r="L1427" s="62" t="s">
        <v>825</v>
      </c>
      <c r="M1427" s="63">
        <v>0</v>
      </c>
      <c r="N1427" s="66">
        <f t="shared" si="90"/>
        <v>0.96599999999999997</v>
      </c>
      <c r="O1427" s="62" t="str">
        <f t="shared" si="91"/>
        <v>4: Engaged Early</v>
      </c>
    </row>
    <row r="1428" spans="1:15" ht="15" customHeight="1" x14ac:dyDescent="0.4">
      <c r="A1428" s="62" t="s">
        <v>824</v>
      </c>
      <c r="B1428" s="62" t="s">
        <v>1977</v>
      </c>
      <c r="C1428" s="62" t="s">
        <v>826</v>
      </c>
      <c r="D1428" s="63">
        <v>17</v>
      </c>
      <c r="E1428" s="63">
        <v>13</v>
      </c>
      <c r="F1428" s="63">
        <v>0</v>
      </c>
      <c r="G1428" s="64">
        <f t="shared" si="88"/>
        <v>0.76470588235294112</v>
      </c>
      <c r="H1428" s="64">
        <f t="shared" si="89"/>
        <v>0</v>
      </c>
      <c r="I1428" s="63">
        <v>2</v>
      </c>
      <c r="J1428" s="65">
        <v>98.075749999999999</v>
      </c>
      <c r="K1428" s="65">
        <v>66.58</v>
      </c>
      <c r="L1428" s="62" t="s">
        <v>825</v>
      </c>
      <c r="M1428" s="63">
        <v>0</v>
      </c>
      <c r="N1428" s="66">
        <f t="shared" si="90"/>
        <v>0.79700000000000004</v>
      </c>
      <c r="O1428" s="62" t="str">
        <f t="shared" si="91"/>
        <v>4: Engaged Early</v>
      </c>
    </row>
    <row r="1429" spans="1:15" ht="15" customHeight="1" x14ac:dyDescent="0.4">
      <c r="A1429" s="62" t="s">
        <v>824</v>
      </c>
      <c r="B1429" s="62" t="s">
        <v>1978</v>
      </c>
      <c r="C1429" s="62" t="s">
        <v>826</v>
      </c>
      <c r="D1429" s="63">
        <v>23</v>
      </c>
      <c r="E1429" s="63">
        <v>6</v>
      </c>
      <c r="F1429" s="63">
        <v>3</v>
      </c>
      <c r="G1429" s="64">
        <f t="shared" si="88"/>
        <v>0.2608695652173913</v>
      </c>
      <c r="H1429" s="64">
        <f t="shared" si="89"/>
        <v>0.13043478260869565</v>
      </c>
      <c r="I1429" s="63">
        <v>2</v>
      </c>
      <c r="J1429" s="65">
        <v>40.302365000000002</v>
      </c>
      <c r="K1429" s="65">
        <v>87.96</v>
      </c>
      <c r="L1429" s="62" t="s">
        <v>825</v>
      </c>
      <c r="M1429" s="63">
        <v>0</v>
      </c>
      <c r="N1429" s="66">
        <f t="shared" si="90"/>
        <v>0.83799999999999997</v>
      </c>
      <c r="O1429" s="62" t="str">
        <f t="shared" si="91"/>
        <v>4: Engaged Early</v>
      </c>
    </row>
    <row r="1430" spans="1:15" ht="15" customHeight="1" x14ac:dyDescent="0.4">
      <c r="A1430" s="62" t="s">
        <v>824</v>
      </c>
      <c r="B1430" s="62" t="s">
        <v>1979</v>
      </c>
      <c r="C1430" s="62" t="s">
        <v>826</v>
      </c>
      <c r="D1430" s="63">
        <v>17</v>
      </c>
      <c r="E1430" s="63">
        <v>17</v>
      </c>
      <c r="F1430" s="63">
        <v>0</v>
      </c>
      <c r="G1430" s="64">
        <f t="shared" si="88"/>
        <v>1</v>
      </c>
      <c r="H1430" s="64">
        <f t="shared" si="89"/>
        <v>0</v>
      </c>
      <c r="I1430" s="63">
        <v>1</v>
      </c>
      <c r="J1430" s="65">
        <v>20.158200000000001</v>
      </c>
      <c r="K1430" s="65">
        <v>46.4</v>
      </c>
      <c r="L1430" s="62" t="s">
        <v>825</v>
      </c>
      <c r="M1430" s="63">
        <v>0</v>
      </c>
      <c r="N1430" s="66">
        <f t="shared" si="90"/>
        <v>0.55900000000000005</v>
      </c>
      <c r="O1430" s="62" t="str">
        <f t="shared" si="91"/>
        <v>4: Engaged Early</v>
      </c>
    </row>
    <row r="1431" spans="1:15" ht="15" customHeight="1" x14ac:dyDescent="0.4">
      <c r="A1431" s="62" t="s">
        <v>824</v>
      </c>
      <c r="B1431" s="62" t="s">
        <v>1980</v>
      </c>
      <c r="C1431" s="62" t="s">
        <v>826</v>
      </c>
      <c r="D1431" s="63">
        <v>7</v>
      </c>
      <c r="E1431" s="63">
        <v>4</v>
      </c>
      <c r="F1431" s="63">
        <v>0</v>
      </c>
      <c r="G1431" s="64">
        <f t="shared" si="88"/>
        <v>0.5714285714285714</v>
      </c>
      <c r="H1431" s="64">
        <f t="shared" si="89"/>
        <v>0</v>
      </c>
      <c r="I1431" s="63">
        <v>2</v>
      </c>
      <c r="J1431" s="65">
        <v>97.599950000000007</v>
      </c>
      <c r="K1431" s="65">
        <v>100</v>
      </c>
      <c r="L1431" s="62" t="s">
        <v>825</v>
      </c>
      <c r="M1431" s="63">
        <v>0</v>
      </c>
      <c r="N1431" s="66">
        <f t="shared" si="90"/>
        <v>0.996</v>
      </c>
      <c r="O1431" s="62" t="str">
        <f t="shared" si="91"/>
        <v>4: Engaged Early</v>
      </c>
    </row>
    <row r="1432" spans="1:15" ht="15" customHeight="1" x14ac:dyDescent="0.4">
      <c r="A1432" s="62" t="s">
        <v>824</v>
      </c>
      <c r="B1432" s="62" t="s">
        <v>780</v>
      </c>
      <c r="C1432" s="62" t="s">
        <v>825</v>
      </c>
      <c r="D1432" s="63">
        <v>23</v>
      </c>
      <c r="E1432" s="63">
        <v>17</v>
      </c>
      <c r="F1432" s="63">
        <v>0</v>
      </c>
      <c r="G1432" s="64">
        <f t="shared" si="88"/>
        <v>0.73913043478260865</v>
      </c>
      <c r="H1432" s="64">
        <f t="shared" si="89"/>
        <v>0</v>
      </c>
      <c r="I1432" s="63">
        <v>1</v>
      </c>
      <c r="J1432" s="65">
        <v>85.794200000000004</v>
      </c>
      <c r="K1432" s="65">
        <v>37.5</v>
      </c>
      <c r="L1432" s="62" t="s">
        <v>826</v>
      </c>
      <c r="M1432" s="63">
        <v>0</v>
      </c>
      <c r="N1432" s="66">
        <f t="shared" si="90"/>
        <v>0.35399999999999998</v>
      </c>
      <c r="O1432" s="62" t="str">
        <f t="shared" si="91"/>
        <v>2: High (No DBWT)</v>
      </c>
    </row>
    <row r="1433" spans="1:15" ht="15" customHeight="1" x14ac:dyDescent="0.4">
      <c r="A1433" s="62" t="s">
        <v>824</v>
      </c>
      <c r="B1433" s="62" t="s">
        <v>1981</v>
      </c>
      <c r="C1433" s="62" t="s">
        <v>826</v>
      </c>
      <c r="D1433" s="63">
        <v>23</v>
      </c>
      <c r="E1433" s="63">
        <v>19</v>
      </c>
      <c r="F1433" s="63">
        <v>5</v>
      </c>
      <c r="G1433" s="64">
        <f t="shared" si="88"/>
        <v>0.82608695652173914</v>
      </c>
      <c r="H1433" s="64">
        <f t="shared" si="89"/>
        <v>0.21739130434782608</v>
      </c>
      <c r="I1433" s="63">
        <v>2</v>
      </c>
      <c r="J1433" s="65">
        <v>89.848399999999998</v>
      </c>
      <c r="K1433" s="65">
        <v>100</v>
      </c>
      <c r="L1433" s="62" t="s">
        <v>825</v>
      </c>
      <c r="M1433" s="63">
        <v>1</v>
      </c>
      <c r="N1433" s="66">
        <f t="shared" si="90"/>
        <v>0.98499999999999999</v>
      </c>
      <c r="O1433" s="62" t="str">
        <f t="shared" si="91"/>
        <v>4: Engaged Early</v>
      </c>
    </row>
    <row r="1434" spans="1:15" ht="15" customHeight="1" x14ac:dyDescent="0.4">
      <c r="A1434" s="62" t="s">
        <v>824</v>
      </c>
      <c r="B1434" s="62" t="s">
        <v>1982</v>
      </c>
      <c r="C1434" s="62" t="s">
        <v>826</v>
      </c>
      <c r="D1434" s="63">
        <v>7</v>
      </c>
      <c r="E1434" s="63">
        <v>7</v>
      </c>
      <c r="F1434" s="63">
        <v>2</v>
      </c>
      <c r="G1434" s="64">
        <f t="shared" si="88"/>
        <v>1</v>
      </c>
      <c r="H1434" s="64">
        <f t="shared" si="89"/>
        <v>0.2857142857142857</v>
      </c>
      <c r="I1434" s="63">
        <v>2</v>
      </c>
      <c r="J1434" s="65">
        <v>93.875299999999996</v>
      </c>
      <c r="K1434" s="65">
        <v>100</v>
      </c>
      <c r="L1434" s="62" t="s">
        <v>825</v>
      </c>
      <c r="M1434" s="63">
        <v>1</v>
      </c>
      <c r="N1434" s="66">
        <f t="shared" si="90"/>
        <v>0.99099999999999999</v>
      </c>
      <c r="O1434" s="62" t="str">
        <f t="shared" si="91"/>
        <v>4: Engaged Early</v>
      </c>
    </row>
    <row r="1435" spans="1:15" ht="15" customHeight="1" x14ac:dyDescent="0.4">
      <c r="A1435" s="62" t="s">
        <v>824</v>
      </c>
      <c r="B1435" s="62" t="s">
        <v>1983</v>
      </c>
      <c r="C1435" s="62" t="s">
        <v>826</v>
      </c>
      <c r="D1435" s="63">
        <v>22</v>
      </c>
      <c r="E1435" s="63">
        <v>7</v>
      </c>
      <c r="F1435" s="63">
        <v>3</v>
      </c>
      <c r="G1435" s="64">
        <f t="shared" si="88"/>
        <v>0.31818181818181818</v>
      </c>
      <c r="H1435" s="64">
        <f t="shared" si="89"/>
        <v>0.13636363636363635</v>
      </c>
      <c r="I1435" s="63">
        <v>2</v>
      </c>
      <c r="J1435" s="65">
        <v>99.946650000000005</v>
      </c>
      <c r="K1435" s="65">
        <v>100</v>
      </c>
      <c r="L1435" s="62" t="s">
        <v>825</v>
      </c>
      <c r="M1435" s="63">
        <v>0</v>
      </c>
      <c r="N1435" s="66">
        <f t="shared" si="90"/>
        <v>1</v>
      </c>
      <c r="O1435" s="62" t="str">
        <f t="shared" si="91"/>
        <v>4: Engaged Early</v>
      </c>
    </row>
    <row r="1436" spans="1:15" ht="15" customHeight="1" x14ac:dyDescent="0.4">
      <c r="A1436" s="62" t="s">
        <v>824</v>
      </c>
      <c r="B1436" s="62" t="s">
        <v>1984</v>
      </c>
      <c r="C1436" s="62" t="s">
        <v>826</v>
      </c>
      <c r="D1436" s="63">
        <v>6</v>
      </c>
      <c r="E1436" s="63">
        <v>4</v>
      </c>
      <c r="F1436" s="63">
        <v>1</v>
      </c>
      <c r="G1436" s="64">
        <f t="shared" si="88"/>
        <v>0.66666666666666663</v>
      </c>
      <c r="H1436" s="64">
        <f t="shared" si="89"/>
        <v>0.16666666666666666</v>
      </c>
      <c r="I1436" s="63">
        <v>2</v>
      </c>
      <c r="J1436" s="65">
        <v>75.290499999999994</v>
      </c>
      <c r="K1436" s="65">
        <v>99.26</v>
      </c>
      <c r="L1436" s="62" t="s">
        <v>825</v>
      </c>
      <c r="M1436" s="63">
        <v>0</v>
      </c>
      <c r="N1436" s="66">
        <f t="shared" si="90"/>
        <v>0.95799999999999996</v>
      </c>
      <c r="O1436" s="62" t="str">
        <f t="shared" si="91"/>
        <v>4: Engaged Early</v>
      </c>
    </row>
    <row r="1437" spans="1:15" ht="15" customHeight="1" x14ac:dyDescent="0.4">
      <c r="A1437" s="62" t="s">
        <v>824</v>
      </c>
      <c r="B1437" s="62" t="s">
        <v>1985</v>
      </c>
      <c r="C1437" s="62" t="s">
        <v>826</v>
      </c>
      <c r="D1437" s="63">
        <v>6</v>
      </c>
      <c r="E1437" s="63">
        <v>3</v>
      </c>
      <c r="F1437" s="63">
        <v>0</v>
      </c>
      <c r="G1437" s="64">
        <f t="shared" si="88"/>
        <v>0.5</v>
      </c>
      <c r="H1437" s="64">
        <f t="shared" si="89"/>
        <v>0</v>
      </c>
      <c r="I1437" s="63">
        <v>2</v>
      </c>
      <c r="J1437" s="65">
        <v>80.695700000000002</v>
      </c>
      <c r="K1437" s="65">
        <v>100</v>
      </c>
      <c r="L1437" s="62" t="s">
        <v>825</v>
      </c>
      <c r="M1437" s="63">
        <v>0</v>
      </c>
      <c r="N1437" s="66">
        <f t="shared" si="90"/>
        <v>0.97099999999999997</v>
      </c>
      <c r="O1437" s="62" t="str">
        <f t="shared" si="91"/>
        <v>4: Engaged Early</v>
      </c>
    </row>
    <row r="1438" spans="1:15" ht="15" customHeight="1" x14ac:dyDescent="0.4">
      <c r="A1438" s="62" t="s">
        <v>824</v>
      </c>
      <c r="B1438" s="62" t="s">
        <v>1986</v>
      </c>
      <c r="C1438" s="62" t="s">
        <v>826</v>
      </c>
      <c r="D1438" s="63">
        <v>5</v>
      </c>
      <c r="E1438" s="63">
        <v>2</v>
      </c>
      <c r="F1438" s="63">
        <v>0</v>
      </c>
      <c r="G1438" s="64">
        <f t="shared" si="88"/>
        <v>0.4</v>
      </c>
      <c r="H1438" s="64">
        <f t="shared" si="89"/>
        <v>0</v>
      </c>
      <c r="I1438" s="63">
        <v>2</v>
      </c>
      <c r="J1438" s="65">
        <v>85.367099999999994</v>
      </c>
      <c r="K1438" s="65">
        <v>98.61</v>
      </c>
      <c r="L1438" s="62" t="s">
        <v>826</v>
      </c>
      <c r="M1438" s="63">
        <v>0</v>
      </c>
      <c r="N1438" s="66">
        <f t="shared" si="90"/>
        <v>0.72</v>
      </c>
      <c r="O1438" s="62" t="str">
        <f t="shared" si="91"/>
        <v>2: High (No DBWT)</v>
      </c>
    </row>
    <row r="1439" spans="1:15" ht="15" customHeight="1" x14ac:dyDescent="0.4">
      <c r="A1439" s="62" t="s">
        <v>824</v>
      </c>
      <c r="B1439" s="62" t="s">
        <v>1987</v>
      </c>
      <c r="C1439" s="62" t="s">
        <v>826</v>
      </c>
      <c r="D1439" s="63">
        <v>15</v>
      </c>
      <c r="E1439" s="63">
        <v>12</v>
      </c>
      <c r="F1439" s="63">
        <v>5</v>
      </c>
      <c r="G1439" s="64">
        <f t="shared" si="88"/>
        <v>0.8</v>
      </c>
      <c r="H1439" s="64">
        <f t="shared" si="89"/>
        <v>0.33333333333333331</v>
      </c>
      <c r="I1439" s="63">
        <v>2</v>
      </c>
      <c r="J1439" s="65">
        <v>92.104650000000007</v>
      </c>
      <c r="K1439" s="65">
        <v>100</v>
      </c>
      <c r="L1439" s="62" t="s">
        <v>825</v>
      </c>
      <c r="M1439" s="63">
        <v>0</v>
      </c>
      <c r="N1439" s="66">
        <f t="shared" si="90"/>
        <v>0.98799999999999999</v>
      </c>
      <c r="O1439" s="62" t="str">
        <f t="shared" si="91"/>
        <v>4: Engaged Early</v>
      </c>
    </row>
    <row r="1440" spans="1:15" ht="15" customHeight="1" x14ac:dyDescent="0.4">
      <c r="A1440" s="62" t="s">
        <v>824</v>
      </c>
      <c r="B1440" s="62" t="s">
        <v>1988</v>
      </c>
      <c r="C1440" s="62" t="s">
        <v>826</v>
      </c>
      <c r="D1440" s="63">
        <v>0</v>
      </c>
      <c r="E1440" s="63">
        <v>0</v>
      </c>
      <c r="F1440" s="63">
        <v>0</v>
      </c>
      <c r="G1440" s="64">
        <f t="shared" si="88"/>
        <v>0</v>
      </c>
      <c r="H1440" s="64">
        <f t="shared" si="89"/>
        <v>0</v>
      </c>
      <c r="I1440" s="63">
        <v>2</v>
      </c>
      <c r="J1440" s="65">
        <v>92.254350000000002</v>
      </c>
      <c r="K1440" s="65">
        <v>87.64</v>
      </c>
      <c r="L1440" s="62" t="s">
        <v>825</v>
      </c>
      <c r="M1440" s="63">
        <v>0</v>
      </c>
      <c r="N1440" s="66">
        <f t="shared" si="90"/>
        <v>0.91400000000000003</v>
      </c>
      <c r="O1440" s="62" t="str">
        <f t="shared" si="91"/>
        <v>4: Engaged Early</v>
      </c>
    </row>
    <row r="1441" spans="1:15" ht="15" customHeight="1" x14ac:dyDescent="0.4">
      <c r="A1441" s="62" t="s">
        <v>824</v>
      </c>
      <c r="B1441" s="62" t="s">
        <v>1989</v>
      </c>
      <c r="C1441" s="62" t="s">
        <v>826</v>
      </c>
      <c r="D1441" s="63">
        <v>25</v>
      </c>
      <c r="E1441" s="63">
        <v>16</v>
      </c>
      <c r="F1441" s="63">
        <v>1</v>
      </c>
      <c r="G1441" s="64">
        <f t="shared" si="88"/>
        <v>0.64</v>
      </c>
      <c r="H1441" s="64">
        <f t="shared" si="89"/>
        <v>0.04</v>
      </c>
      <c r="I1441" s="63">
        <v>2</v>
      </c>
      <c r="J1441" s="65">
        <v>83.953000000000003</v>
      </c>
      <c r="K1441" s="65">
        <v>54.61</v>
      </c>
      <c r="L1441" s="62" t="s">
        <v>825</v>
      </c>
      <c r="M1441" s="63">
        <v>0</v>
      </c>
      <c r="N1441" s="66">
        <f t="shared" si="90"/>
        <v>0.70399999999999996</v>
      </c>
      <c r="O1441" s="62" t="str">
        <f t="shared" si="91"/>
        <v>4: Engaged Early</v>
      </c>
    </row>
    <row r="1442" spans="1:15" ht="15" customHeight="1" x14ac:dyDescent="0.4">
      <c r="A1442" s="62" t="s">
        <v>824</v>
      </c>
      <c r="B1442" s="62" t="s">
        <v>1990</v>
      </c>
      <c r="C1442" s="62" t="s">
        <v>826</v>
      </c>
      <c r="D1442" s="63">
        <v>23</v>
      </c>
      <c r="E1442" s="63">
        <v>15</v>
      </c>
      <c r="F1442" s="63">
        <v>1</v>
      </c>
      <c r="G1442" s="64">
        <f t="shared" si="88"/>
        <v>0.65217391304347827</v>
      </c>
      <c r="H1442" s="64">
        <f t="shared" si="89"/>
        <v>4.3478260869565216E-2</v>
      </c>
      <c r="I1442" s="63">
        <v>2</v>
      </c>
      <c r="J1442" s="65">
        <v>93.093800000000002</v>
      </c>
      <c r="K1442" s="65">
        <v>100</v>
      </c>
      <c r="L1442" s="62" t="s">
        <v>825</v>
      </c>
      <c r="M1442" s="63">
        <v>0</v>
      </c>
      <c r="N1442" s="66">
        <f t="shared" si="90"/>
        <v>0.99</v>
      </c>
      <c r="O1442" s="62" t="str">
        <f t="shared" si="91"/>
        <v>4: Engaged Early</v>
      </c>
    </row>
    <row r="1443" spans="1:15" ht="15" customHeight="1" x14ac:dyDescent="0.4">
      <c r="A1443" s="62" t="s">
        <v>824</v>
      </c>
      <c r="B1443" s="62" t="s">
        <v>1991</v>
      </c>
      <c r="C1443" s="62" t="s">
        <v>826</v>
      </c>
      <c r="D1443" s="63">
        <v>4</v>
      </c>
      <c r="E1443" s="63">
        <v>4</v>
      </c>
      <c r="F1443" s="63">
        <v>1</v>
      </c>
      <c r="G1443" s="64">
        <f t="shared" si="88"/>
        <v>1</v>
      </c>
      <c r="H1443" s="64">
        <f t="shared" si="89"/>
        <v>0.25</v>
      </c>
      <c r="I1443" s="63">
        <v>2</v>
      </c>
      <c r="J1443" s="65">
        <v>93.182400000000001</v>
      </c>
      <c r="K1443" s="65">
        <v>100</v>
      </c>
      <c r="L1443" s="62" t="s">
        <v>825</v>
      </c>
      <c r="M1443" s="63">
        <v>1</v>
      </c>
      <c r="N1443" s="66">
        <f t="shared" si="90"/>
        <v>0.99</v>
      </c>
      <c r="O1443" s="62" t="str">
        <f t="shared" si="91"/>
        <v>4: Engaged Early</v>
      </c>
    </row>
    <row r="1444" spans="1:15" ht="15" customHeight="1" x14ac:dyDescent="0.4">
      <c r="A1444" s="62" t="s">
        <v>824</v>
      </c>
      <c r="B1444" s="62" t="s">
        <v>1992</v>
      </c>
      <c r="C1444" s="62" t="s">
        <v>826</v>
      </c>
      <c r="D1444" s="63">
        <v>13</v>
      </c>
      <c r="E1444" s="63">
        <v>7</v>
      </c>
      <c r="F1444" s="63">
        <v>1</v>
      </c>
      <c r="G1444" s="64">
        <f t="shared" si="88"/>
        <v>0.53846153846153844</v>
      </c>
      <c r="H1444" s="64">
        <f t="shared" si="89"/>
        <v>7.6923076923076927E-2</v>
      </c>
      <c r="I1444" s="63">
        <v>2</v>
      </c>
      <c r="J1444" s="65">
        <v>98.401049999999998</v>
      </c>
      <c r="K1444" s="65">
        <v>100</v>
      </c>
      <c r="L1444" s="62" t="s">
        <v>825</v>
      </c>
      <c r="M1444" s="63">
        <v>0</v>
      </c>
      <c r="N1444" s="66">
        <f t="shared" si="90"/>
        <v>0.998</v>
      </c>
      <c r="O1444" s="62" t="str">
        <f t="shared" si="91"/>
        <v>4: Engaged Early</v>
      </c>
    </row>
    <row r="1445" spans="1:15" ht="15" customHeight="1" x14ac:dyDescent="0.4">
      <c r="A1445" s="62" t="s">
        <v>824</v>
      </c>
      <c r="B1445" s="62" t="s">
        <v>1993</v>
      </c>
      <c r="C1445" s="62" t="s">
        <v>826</v>
      </c>
      <c r="D1445" s="63">
        <v>3</v>
      </c>
      <c r="E1445" s="63">
        <v>1</v>
      </c>
      <c r="F1445" s="63">
        <v>0</v>
      </c>
      <c r="G1445" s="64">
        <f t="shared" si="88"/>
        <v>0.33333333333333331</v>
      </c>
      <c r="H1445" s="64">
        <f t="shared" si="89"/>
        <v>0</v>
      </c>
      <c r="I1445" s="63">
        <v>2</v>
      </c>
      <c r="J1445" s="65">
        <v>61.87</v>
      </c>
      <c r="K1445" s="65">
        <v>77.569999999999993</v>
      </c>
      <c r="L1445" s="62" t="s">
        <v>825</v>
      </c>
      <c r="M1445" s="63">
        <v>0</v>
      </c>
      <c r="N1445" s="66">
        <f t="shared" si="90"/>
        <v>0.80800000000000005</v>
      </c>
      <c r="O1445" s="62" t="str">
        <f t="shared" si="91"/>
        <v>4: Engaged Early</v>
      </c>
    </row>
    <row r="1446" spans="1:15" ht="15" customHeight="1" x14ac:dyDescent="0.4">
      <c r="A1446" s="62" t="s">
        <v>824</v>
      </c>
      <c r="B1446" s="62" t="s">
        <v>1994</v>
      </c>
      <c r="C1446" s="62" t="s">
        <v>826</v>
      </c>
      <c r="D1446" s="63">
        <v>10</v>
      </c>
      <c r="E1446" s="63">
        <v>8</v>
      </c>
      <c r="F1446" s="63">
        <v>0</v>
      </c>
      <c r="G1446" s="64">
        <f t="shared" si="88"/>
        <v>0.8</v>
      </c>
      <c r="H1446" s="64">
        <f t="shared" si="89"/>
        <v>0</v>
      </c>
      <c r="I1446" s="63">
        <v>2</v>
      </c>
      <c r="J1446" s="65">
        <v>75.9161</v>
      </c>
      <c r="K1446" s="65">
        <v>93.39</v>
      </c>
      <c r="L1446" s="62" t="s">
        <v>826</v>
      </c>
      <c r="M1446" s="63">
        <v>0</v>
      </c>
      <c r="N1446" s="66">
        <f t="shared" si="90"/>
        <v>0.67400000000000004</v>
      </c>
      <c r="O1446" s="62" t="str">
        <f t="shared" si="91"/>
        <v>2: High (No DBWT)</v>
      </c>
    </row>
    <row r="1447" spans="1:15" ht="15" customHeight="1" x14ac:dyDescent="0.4">
      <c r="A1447" s="62" t="s">
        <v>824</v>
      </c>
      <c r="B1447" s="62" t="s">
        <v>1995</v>
      </c>
      <c r="C1447" s="62" t="s">
        <v>826</v>
      </c>
      <c r="D1447" s="63">
        <v>0</v>
      </c>
      <c r="E1447" s="63">
        <v>0</v>
      </c>
      <c r="F1447" s="63">
        <v>0</v>
      </c>
      <c r="G1447" s="64">
        <f t="shared" si="88"/>
        <v>0</v>
      </c>
      <c r="H1447" s="64">
        <f t="shared" si="89"/>
        <v>0</v>
      </c>
      <c r="I1447" s="63">
        <v>1</v>
      </c>
      <c r="J1447" s="65">
        <v>96.28</v>
      </c>
      <c r="K1447" s="65">
        <v>100</v>
      </c>
      <c r="L1447" s="62" t="s">
        <v>840</v>
      </c>
      <c r="M1447" s="63">
        <v>0</v>
      </c>
      <c r="N1447" s="66">
        <f t="shared" si="90"/>
        <v>0.81899999999999995</v>
      </c>
      <c r="O1447" s="62" t="str">
        <f t="shared" si="91"/>
        <v>4: Engaged Early</v>
      </c>
    </row>
    <row r="1448" spans="1:15" ht="15" customHeight="1" x14ac:dyDescent="0.4">
      <c r="A1448" s="62" t="s">
        <v>824</v>
      </c>
      <c r="B1448" s="62" t="s">
        <v>1996</v>
      </c>
      <c r="C1448" s="62" t="s">
        <v>826</v>
      </c>
      <c r="D1448" s="63">
        <v>7</v>
      </c>
      <c r="E1448" s="63">
        <v>7</v>
      </c>
      <c r="F1448" s="63">
        <v>1</v>
      </c>
      <c r="G1448" s="64">
        <f t="shared" si="88"/>
        <v>1</v>
      </c>
      <c r="H1448" s="64">
        <f t="shared" si="89"/>
        <v>0.14285714285714285</v>
      </c>
      <c r="I1448" s="63">
        <v>1</v>
      </c>
      <c r="J1448" s="65">
        <v>90.21</v>
      </c>
      <c r="K1448" s="65">
        <v>87.5</v>
      </c>
      <c r="L1448" s="62" t="s">
        <v>825</v>
      </c>
      <c r="M1448" s="63">
        <v>0</v>
      </c>
      <c r="N1448" s="66">
        <f t="shared" si="90"/>
        <v>0.91</v>
      </c>
      <c r="O1448" s="62" t="str">
        <f t="shared" si="91"/>
        <v>4: Engaged Early</v>
      </c>
    </row>
    <row r="1449" spans="1:15" ht="15" customHeight="1" x14ac:dyDescent="0.4">
      <c r="A1449" s="62" t="s">
        <v>824</v>
      </c>
      <c r="B1449" s="62" t="s">
        <v>1997</v>
      </c>
      <c r="C1449" s="62" t="s">
        <v>826</v>
      </c>
      <c r="D1449" s="63">
        <v>5</v>
      </c>
      <c r="E1449" s="63">
        <v>2</v>
      </c>
      <c r="F1449" s="63">
        <v>0</v>
      </c>
      <c r="G1449" s="64">
        <f t="shared" si="88"/>
        <v>0.4</v>
      </c>
      <c r="H1449" s="64">
        <f t="shared" si="89"/>
        <v>0</v>
      </c>
      <c r="I1449" s="63">
        <v>2</v>
      </c>
      <c r="J1449" s="65">
        <v>81.156000000000006</v>
      </c>
      <c r="K1449" s="65">
        <v>99.88</v>
      </c>
      <c r="L1449" s="62" t="s">
        <v>825</v>
      </c>
      <c r="M1449" s="63">
        <v>0</v>
      </c>
      <c r="N1449" s="66">
        <f t="shared" si="90"/>
        <v>0.97099999999999997</v>
      </c>
      <c r="O1449" s="62" t="str">
        <f t="shared" si="91"/>
        <v>4: Engaged Early</v>
      </c>
    </row>
    <row r="1450" spans="1:15" ht="15" customHeight="1" x14ac:dyDescent="0.4">
      <c r="A1450" s="62" t="s">
        <v>824</v>
      </c>
      <c r="B1450" s="62" t="s">
        <v>1998</v>
      </c>
      <c r="C1450" s="62" t="s">
        <v>826</v>
      </c>
      <c r="D1450" s="63">
        <v>17</v>
      </c>
      <c r="E1450" s="63">
        <v>17</v>
      </c>
      <c r="F1450" s="63">
        <v>4</v>
      </c>
      <c r="G1450" s="64">
        <f t="shared" si="88"/>
        <v>1</v>
      </c>
      <c r="H1450" s="64">
        <f t="shared" si="89"/>
        <v>0.23529411764705882</v>
      </c>
      <c r="I1450" s="63">
        <v>2</v>
      </c>
      <c r="J1450" s="65">
        <v>92.320499999999996</v>
      </c>
      <c r="K1450" s="65">
        <v>100</v>
      </c>
      <c r="L1450" s="62" t="s">
        <v>825</v>
      </c>
      <c r="M1450" s="63">
        <v>0</v>
      </c>
      <c r="N1450" s="66">
        <f t="shared" si="90"/>
        <v>0.98799999999999999</v>
      </c>
      <c r="O1450" s="62" t="str">
        <f t="shared" si="91"/>
        <v>4: Engaged Early</v>
      </c>
    </row>
    <row r="1451" spans="1:15" ht="15" customHeight="1" x14ac:dyDescent="0.4">
      <c r="A1451" s="62" t="s">
        <v>824</v>
      </c>
      <c r="B1451" s="62" t="s">
        <v>1999</v>
      </c>
      <c r="C1451" s="62" t="s">
        <v>826</v>
      </c>
      <c r="D1451" s="63">
        <v>11</v>
      </c>
      <c r="E1451" s="63">
        <v>7</v>
      </c>
      <c r="F1451" s="63">
        <v>1</v>
      </c>
      <c r="G1451" s="64">
        <f t="shared" si="88"/>
        <v>0.63636363636363635</v>
      </c>
      <c r="H1451" s="64">
        <f t="shared" si="89"/>
        <v>9.0909090909090912E-2</v>
      </c>
      <c r="I1451" s="63">
        <v>2</v>
      </c>
      <c r="J1451" s="65">
        <v>99.199250000000006</v>
      </c>
      <c r="K1451" s="65">
        <v>100</v>
      </c>
      <c r="L1451" s="62" t="s">
        <v>825</v>
      </c>
      <c r="M1451" s="63">
        <v>0</v>
      </c>
      <c r="N1451" s="66">
        <f t="shared" si="90"/>
        <v>0.999</v>
      </c>
      <c r="O1451" s="62" t="str">
        <f t="shared" si="91"/>
        <v>4: Engaged Early</v>
      </c>
    </row>
    <row r="1452" spans="1:15" ht="15" customHeight="1" x14ac:dyDescent="0.4">
      <c r="A1452" s="62" t="s">
        <v>824</v>
      </c>
      <c r="B1452" s="62" t="s">
        <v>2000</v>
      </c>
      <c r="C1452" s="62" t="s">
        <v>826</v>
      </c>
      <c r="D1452" s="63">
        <v>5</v>
      </c>
      <c r="E1452" s="63">
        <v>0</v>
      </c>
      <c r="F1452" s="63">
        <v>1</v>
      </c>
      <c r="G1452" s="64">
        <f t="shared" si="88"/>
        <v>0</v>
      </c>
      <c r="H1452" s="64">
        <f t="shared" si="89"/>
        <v>0.2</v>
      </c>
      <c r="I1452" s="63">
        <v>2</v>
      </c>
      <c r="J1452" s="65">
        <v>99.704999999999998</v>
      </c>
      <c r="K1452" s="65">
        <v>100</v>
      </c>
      <c r="L1452" s="62" t="s">
        <v>825</v>
      </c>
      <c r="M1452" s="63">
        <v>0</v>
      </c>
      <c r="N1452" s="66">
        <f t="shared" si="90"/>
        <v>1</v>
      </c>
      <c r="O1452" s="62" t="str">
        <f t="shared" si="91"/>
        <v>4: Engaged Early</v>
      </c>
    </row>
    <row r="1453" spans="1:15" ht="15" customHeight="1" x14ac:dyDescent="0.4">
      <c r="A1453" s="62" t="s">
        <v>824</v>
      </c>
      <c r="B1453" s="62" t="s">
        <v>2001</v>
      </c>
      <c r="C1453" s="62" t="s">
        <v>826</v>
      </c>
      <c r="D1453" s="63">
        <v>11</v>
      </c>
      <c r="E1453" s="63">
        <v>7</v>
      </c>
      <c r="F1453" s="63">
        <v>0</v>
      </c>
      <c r="G1453" s="64">
        <f t="shared" si="88"/>
        <v>0.63636363636363635</v>
      </c>
      <c r="H1453" s="64">
        <f t="shared" si="89"/>
        <v>0</v>
      </c>
      <c r="I1453" s="63">
        <v>2</v>
      </c>
      <c r="J1453" s="65">
        <v>67.040199999999999</v>
      </c>
      <c r="K1453" s="65">
        <v>95.32</v>
      </c>
      <c r="L1453" s="62" t="s">
        <v>825</v>
      </c>
      <c r="M1453" s="63">
        <v>0</v>
      </c>
      <c r="N1453" s="66">
        <f t="shared" si="90"/>
        <v>0.92200000000000004</v>
      </c>
      <c r="O1453" s="62" t="str">
        <f t="shared" si="91"/>
        <v>4: Engaged Early</v>
      </c>
    </row>
    <row r="1454" spans="1:15" ht="15" customHeight="1" x14ac:dyDescent="0.4">
      <c r="A1454" s="62" t="s">
        <v>824</v>
      </c>
      <c r="B1454" s="62" t="s">
        <v>2002</v>
      </c>
      <c r="C1454" s="62" t="s">
        <v>826</v>
      </c>
      <c r="D1454" s="63">
        <v>26</v>
      </c>
      <c r="E1454" s="63">
        <v>7</v>
      </c>
      <c r="F1454" s="63">
        <v>5</v>
      </c>
      <c r="G1454" s="64">
        <f t="shared" si="88"/>
        <v>0.26923076923076922</v>
      </c>
      <c r="H1454" s="64">
        <f t="shared" si="89"/>
        <v>0.19230769230769232</v>
      </c>
      <c r="I1454" s="63">
        <v>2</v>
      </c>
      <c r="J1454" s="65">
        <v>99.724999999999994</v>
      </c>
      <c r="K1454" s="65">
        <v>100</v>
      </c>
      <c r="L1454" s="62" t="s">
        <v>826</v>
      </c>
      <c r="M1454" s="63">
        <v>0</v>
      </c>
      <c r="N1454" s="66">
        <f t="shared" si="90"/>
        <v>0.75</v>
      </c>
      <c r="O1454" s="62" t="str">
        <f t="shared" si="91"/>
        <v>2: High (No DBWT)</v>
      </c>
    </row>
    <row r="1455" spans="1:15" ht="15" customHeight="1" x14ac:dyDescent="0.4">
      <c r="A1455" s="62" t="s">
        <v>824</v>
      </c>
      <c r="B1455" s="62" t="s">
        <v>2003</v>
      </c>
      <c r="C1455" s="62" t="s">
        <v>826</v>
      </c>
      <c r="D1455" s="63">
        <v>12</v>
      </c>
      <c r="E1455" s="63">
        <v>12</v>
      </c>
      <c r="F1455" s="63">
        <v>0</v>
      </c>
      <c r="G1455" s="64">
        <f t="shared" si="88"/>
        <v>1</v>
      </c>
      <c r="H1455" s="64">
        <f t="shared" si="89"/>
        <v>0</v>
      </c>
      <c r="I1455" s="63">
        <v>0</v>
      </c>
      <c r="J1455" s="65"/>
      <c r="K1455" s="65">
        <v>27.19</v>
      </c>
      <c r="L1455" s="62" t="s">
        <v>825</v>
      </c>
      <c r="M1455" s="63">
        <v>0</v>
      </c>
      <c r="N1455" s="66">
        <f t="shared" si="90"/>
        <v>0.41299999999999998</v>
      </c>
      <c r="O1455" s="62" t="str">
        <f t="shared" si="91"/>
        <v>3: Elevated (No Wk0)</v>
      </c>
    </row>
    <row r="1456" spans="1:15" ht="15" customHeight="1" x14ac:dyDescent="0.4">
      <c r="A1456" s="62" t="s">
        <v>824</v>
      </c>
      <c r="B1456" s="62" t="s">
        <v>2004</v>
      </c>
      <c r="C1456" s="62" t="s">
        <v>826</v>
      </c>
      <c r="D1456" s="63">
        <v>5</v>
      </c>
      <c r="E1456" s="63">
        <v>4</v>
      </c>
      <c r="F1456" s="63">
        <v>1</v>
      </c>
      <c r="G1456" s="64">
        <f t="shared" si="88"/>
        <v>0.8</v>
      </c>
      <c r="H1456" s="64">
        <f t="shared" si="89"/>
        <v>0.2</v>
      </c>
      <c r="I1456" s="63">
        <v>2</v>
      </c>
      <c r="J1456" s="65">
        <v>1.0910899999999999</v>
      </c>
      <c r="K1456" s="65">
        <v>26.13</v>
      </c>
      <c r="L1456" s="62" t="s">
        <v>825</v>
      </c>
      <c r="M1456" s="63">
        <v>0</v>
      </c>
      <c r="N1456" s="66">
        <f t="shared" si="90"/>
        <v>0.40799999999999997</v>
      </c>
      <c r="O1456" s="62" t="str">
        <f t="shared" si="91"/>
        <v>4: Engaged Early</v>
      </c>
    </row>
    <row r="1457" spans="1:15" ht="15" customHeight="1" x14ac:dyDescent="0.4">
      <c r="A1457" s="62" t="s">
        <v>824</v>
      </c>
      <c r="B1457" s="62" t="s">
        <v>657</v>
      </c>
      <c r="C1457" s="62" t="s">
        <v>825</v>
      </c>
      <c r="D1457" s="63">
        <v>8</v>
      </c>
      <c r="E1457" s="63">
        <v>8</v>
      </c>
      <c r="F1457" s="63">
        <v>2</v>
      </c>
      <c r="G1457" s="64">
        <f t="shared" si="88"/>
        <v>1</v>
      </c>
      <c r="H1457" s="64">
        <f t="shared" si="89"/>
        <v>0.25</v>
      </c>
      <c r="I1457" s="63">
        <v>2</v>
      </c>
      <c r="J1457" s="65">
        <v>99.784999999999997</v>
      </c>
      <c r="K1457" s="65">
        <v>42.86</v>
      </c>
      <c r="L1457" s="62" t="s">
        <v>825</v>
      </c>
      <c r="M1457" s="63">
        <v>0</v>
      </c>
      <c r="N1457" s="66">
        <f t="shared" si="90"/>
        <v>0.65700000000000003</v>
      </c>
      <c r="O1457" s="62" t="str">
        <f t="shared" si="91"/>
        <v>4: Engaged Early</v>
      </c>
    </row>
    <row r="1458" spans="1:15" ht="15" customHeight="1" x14ac:dyDescent="0.4">
      <c r="A1458" s="62" t="s">
        <v>824</v>
      </c>
      <c r="B1458" s="62" t="s">
        <v>2005</v>
      </c>
      <c r="C1458" s="62" t="s">
        <v>826</v>
      </c>
      <c r="D1458" s="63">
        <v>12</v>
      </c>
      <c r="E1458" s="63">
        <v>11</v>
      </c>
      <c r="F1458" s="63">
        <v>2</v>
      </c>
      <c r="G1458" s="64">
        <f t="shared" si="88"/>
        <v>0.91666666666666663</v>
      </c>
      <c r="H1458" s="64">
        <f t="shared" si="89"/>
        <v>0.16666666666666666</v>
      </c>
      <c r="I1458" s="63">
        <v>2</v>
      </c>
      <c r="J1458" s="65">
        <v>65.629949999999994</v>
      </c>
      <c r="K1458" s="65">
        <v>96.12</v>
      </c>
      <c r="L1458" s="62" t="s">
        <v>825</v>
      </c>
      <c r="M1458" s="63">
        <v>0</v>
      </c>
      <c r="N1458" s="66">
        <f t="shared" si="90"/>
        <v>0.92500000000000004</v>
      </c>
      <c r="O1458" s="62" t="str">
        <f t="shared" si="91"/>
        <v>4: Engaged Early</v>
      </c>
    </row>
    <row r="1459" spans="1:15" ht="15" customHeight="1" x14ac:dyDescent="0.4">
      <c r="A1459" s="62" t="s">
        <v>824</v>
      </c>
      <c r="B1459" s="62" t="s">
        <v>585</v>
      </c>
      <c r="C1459" s="62" t="s">
        <v>825</v>
      </c>
      <c r="D1459" s="63">
        <v>26</v>
      </c>
      <c r="E1459" s="63">
        <v>17</v>
      </c>
      <c r="F1459" s="63">
        <v>2</v>
      </c>
      <c r="G1459" s="64">
        <f t="shared" si="88"/>
        <v>0.65384615384615385</v>
      </c>
      <c r="H1459" s="64">
        <f t="shared" si="89"/>
        <v>7.6923076923076927E-2</v>
      </c>
      <c r="I1459" s="63">
        <v>2</v>
      </c>
      <c r="J1459" s="65">
        <v>10.90105</v>
      </c>
      <c r="K1459" s="65">
        <v>28.89</v>
      </c>
      <c r="L1459" s="62" t="s">
        <v>825</v>
      </c>
      <c r="M1459" s="63">
        <v>1</v>
      </c>
      <c r="N1459" s="66">
        <f t="shared" si="90"/>
        <v>0.44</v>
      </c>
      <c r="O1459" s="62" t="str">
        <f t="shared" si="91"/>
        <v>4: Engaged Early</v>
      </c>
    </row>
    <row r="1460" spans="1:15" ht="15" customHeight="1" x14ac:dyDescent="0.4">
      <c r="A1460" s="62" t="s">
        <v>824</v>
      </c>
      <c r="B1460" s="62" t="s">
        <v>2006</v>
      </c>
      <c r="C1460" s="62" t="s">
        <v>826</v>
      </c>
      <c r="D1460" s="63">
        <v>12</v>
      </c>
      <c r="E1460" s="63">
        <v>11</v>
      </c>
      <c r="F1460" s="63">
        <v>6</v>
      </c>
      <c r="G1460" s="64">
        <f t="shared" si="88"/>
        <v>0.91666666666666663</v>
      </c>
      <c r="H1460" s="64">
        <f t="shared" si="89"/>
        <v>0.5</v>
      </c>
      <c r="I1460" s="63">
        <v>2</v>
      </c>
      <c r="J1460" s="65">
        <v>98.92</v>
      </c>
      <c r="K1460" s="65">
        <v>100</v>
      </c>
      <c r="L1460" s="62" t="s">
        <v>826</v>
      </c>
      <c r="M1460" s="63">
        <v>1</v>
      </c>
      <c r="N1460" s="66">
        <f t="shared" si="90"/>
        <v>0.748</v>
      </c>
      <c r="O1460" s="62" t="str">
        <f t="shared" si="91"/>
        <v>2: High (No DBWT)</v>
      </c>
    </row>
    <row r="1461" spans="1:15" ht="15" customHeight="1" x14ac:dyDescent="0.4">
      <c r="A1461" s="62" t="s">
        <v>824</v>
      </c>
      <c r="B1461" s="62" t="s">
        <v>685</v>
      </c>
      <c r="C1461" s="62" t="s">
        <v>825</v>
      </c>
      <c r="D1461" s="63">
        <v>7</v>
      </c>
      <c r="E1461" s="63">
        <v>1</v>
      </c>
      <c r="F1461" s="63">
        <v>0</v>
      </c>
      <c r="G1461" s="64">
        <f t="shared" si="88"/>
        <v>0.14285714285714285</v>
      </c>
      <c r="H1461" s="64">
        <f t="shared" si="89"/>
        <v>0</v>
      </c>
      <c r="I1461" s="63">
        <v>2</v>
      </c>
      <c r="J1461" s="65">
        <v>97.376249999999999</v>
      </c>
      <c r="K1461" s="65">
        <v>68.709999999999994</v>
      </c>
      <c r="L1461" s="62" t="s">
        <v>826</v>
      </c>
      <c r="M1461" s="63">
        <v>0</v>
      </c>
      <c r="N1461" s="66">
        <f t="shared" si="90"/>
        <v>0.55800000000000005</v>
      </c>
      <c r="O1461" s="62" t="str">
        <f t="shared" si="91"/>
        <v>2: High (No DBWT)</v>
      </c>
    </row>
    <row r="1462" spans="1:15" ht="15" customHeight="1" x14ac:dyDescent="0.4">
      <c r="A1462" s="62" t="s">
        <v>824</v>
      </c>
      <c r="B1462" s="62" t="s">
        <v>2007</v>
      </c>
      <c r="C1462" s="62" t="s">
        <v>826</v>
      </c>
      <c r="D1462" s="63">
        <v>15</v>
      </c>
      <c r="E1462" s="63">
        <v>11</v>
      </c>
      <c r="F1462" s="63">
        <v>2</v>
      </c>
      <c r="G1462" s="64">
        <f t="shared" si="88"/>
        <v>0.73333333333333328</v>
      </c>
      <c r="H1462" s="64">
        <f t="shared" si="89"/>
        <v>0.13333333333333333</v>
      </c>
      <c r="I1462" s="63">
        <v>2</v>
      </c>
      <c r="J1462" s="65">
        <v>99.313000000000002</v>
      </c>
      <c r="K1462" s="65">
        <v>100</v>
      </c>
      <c r="L1462" s="62" t="s">
        <v>825</v>
      </c>
      <c r="M1462" s="63">
        <v>0</v>
      </c>
      <c r="N1462" s="66">
        <f t="shared" si="90"/>
        <v>0.999</v>
      </c>
      <c r="O1462" s="62" t="str">
        <f t="shared" si="91"/>
        <v>4: Engaged Early</v>
      </c>
    </row>
    <row r="1463" spans="1:15" ht="15" customHeight="1" x14ac:dyDescent="0.4">
      <c r="A1463" s="62" t="s">
        <v>824</v>
      </c>
      <c r="B1463" s="62" t="s">
        <v>2008</v>
      </c>
      <c r="C1463" s="62" t="s">
        <v>826</v>
      </c>
      <c r="D1463" s="63">
        <v>13</v>
      </c>
      <c r="E1463" s="63">
        <v>8</v>
      </c>
      <c r="F1463" s="63">
        <v>1</v>
      </c>
      <c r="G1463" s="64">
        <f t="shared" si="88"/>
        <v>0.61538461538461542</v>
      </c>
      <c r="H1463" s="64">
        <f t="shared" si="89"/>
        <v>7.6923076923076927E-2</v>
      </c>
      <c r="I1463" s="63">
        <v>1</v>
      </c>
      <c r="J1463" s="65">
        <v>97.039699999999996</v>
      </c>
      <c r="K1463" s="65">
        <v>89.69</v>
      </c>
      <c r="L1463" s="62" t="s">
        <v>825</v>
      </c>
      <c r="M1463" s="63">
        <v>0</v>
      </c>
      <c r="N1463" s="66">
        <f t="shared" si="90"/>
        <v>0.93400000000000005</v>
      </c>
      <c r="O1463" s="62" t="str">
        <f t="shared" si="91"/>
        <v>4: Engaged Early</v>
      </c>
    </row>
    <row r="1464" spans="1:15" ht="15" customHeight="1" x14ac:dyDescent="0.4">
      <c r="A1464" s="62" t="s">
        <v>824</v>
      </c>
      <c r="B1464" s="62" t="s">
        <v>2009</v>
      </c>
      <c r="C1464" s="62" t="s">
        <v>826</v>
      </c>
      <c r="D1464" s="63">
        <v>7</v>
      </c>
      <c r="E1464" s="63">
        <v>5</v>
      </c>
      <c r="F1464" s="63">
        <v>0</v>
      </c>
      <c r="G1464" s="64">
        <f t="shared" si="88"/>
        <v>0.7142857142857143</v>
      </c>
      <c r="H1464" s="64">
        <f t="shared" si="89"/>
        <v>0</v>
      </c>
      <c r="I1464" s="63">
        <v>2</v>
      </c>
      <c r="J1464" s="65">
        <v>59.087699999999998</v>
      </c>
      <c r="K1464" s="65">
        <v>92.67</v>
      </c>
      <c r="L1464" s="62" t="s">
        <v>825</v>
      </c>
      <c r="M1464" s="63">
        <v>0</v>
      </c>
      <c r="N1464" s="66">
        <f t="shared" si="90"/>
        <v>0.89500000000000002</v>
      </c>
      <c r="O1464" s="62" t="str">
        <f t="shared" si="91"/>
        <v>4: Engaged Early</v>
      </c>
    </row>
    <row r="1465" spans="1:15" ht="15" customHeight="1" x14ac:dyDescent="0.4">
      <c r="A1465" s="62" t="s">
        <v>824</v>
      </c>
      <c r="B1465" s="62" t="s">
        <v>2010</v>
      </c>
      <c r="C1465" s="62" t="s">
        <v>826</v>
      </c>
      <c r="D1465" s="63">
        <v>12</v>
      </c>
      <c r="E1465" s="63">
        <v>12</v>
      </c>
      <c r="F1465" s="63">
        <v>0</v>
      </c>
      <c r="G1465" s="64">
        <f t="shared" si="88"/>
        <v>1</v>
      </c>
      <c r="H1465" s="64">
        <f t="shared" si="89"/>
        <v>0</v>
      </c>
      <c r="I1465" s="63">
        <v>2</v>
      </c>
      <c r="J1465" s="65">
        <v>99.52</v>
      </c>
      <c r="K1465" s="65">
        <v>90.68</v>
      </c>
      <c r="L1465" s="62" t="s">
        <v>825</v>
      </c>
      <c r="M1465" s="63">
        <v>0</v>
      </c>
      <c r="N1465" s="66">
        <f t="shared" si="90"/>
        <v>0.94299999999999995</v>
      </c>
      <c r="O1465" s="62" t="str">
        <f t="shared" si="91"/>
        <v>4: Engaged Early</v>
      </c>
    </row>
    <row r="1466" spans="1:15" ht="15" customHeight="1" x14ac:dyDescent="0.4">
      <c r="A1466" s="62" t="s">
        <v>824</v>
      </c>
      <c r="B1466" s="62" t="s">
        <v>2011</v>
      </c>
      <c r="C1466" s="62" t="s">
        <v>826</v>
      </c>
      <c r="D1466" s="63">
        <v>18</v>
      </c>
      <c r="E1466" s="63">
        <v>4</v>
      </c>
      <c r="F1466" s="63">
        <v>0</v>
      </c>
      <c r="G1466" s="64">
        <f t="shared" si="88"/>
        <v>0.22222222222222221</v>
      </c>
      <c r="H1466" s="64">
        <f t="shared" si="89"/>
        <v>0</v>
      </c>
      <c r="I1466" s="63">
        <v>2</v>
      </c>
      <c r="J1466" s="65">
        <v>84.072649999999996</v>
      </c>
      <c r="K1466" s="65">
        <v>96</v>
      </c>
      <c r="L1466" s="62" t="s">
        <v>825</v>
      </c>
      <c r="M1466" s="63">
        <v>0</v>
      </c>
      <c r="N1466" s="66">
        <f t="shared" si="90"/>
        <v>0.95199999999999996</v>
      </c>
      <c r="O1466" s="62" t="str">
        <f t="shared" si="91"/>
        <v>4: Engaged Early</v>
      </c>
    </row>
    <row r="1467" spans="1:15" ht="15" customHeight="1" x14ac:dyDescent="0.4">
      <c r="A1467" s="62" t="s">
        <v>824</v>
      </c>
      <c r="B1467" s="62" t="s">
        <v>792</v>
      </c>
      <c r="C1467" s="62" t="s">
        <v>825</v>
      </c>
      <c r="D1467" s="63">
        <v>10</v>
      </c>
      <c r="E1467" s="63">
        <v>9</v>
      </c>
      <c r="F1467" s="63">
        <v>4</v>
      </c>
      <c r="G1467" s="64">
        <f t="shared" si="88"/>
        <v>0.9</v>
      </c>
      <c r="H1467" s="64">
        <f t="shared" si="89"/>
        <v>0.4</v>
      </c>
      <c r="I1467" s="63">
        <v>2</v>
      </c>
      <c r="J1467" s="65">
        <v>87.7029</v>
      </c>
      <c r="K1467" s="65">
        <v>85.93</v>
      </c>
      <c r="L1467" s="62" t="s">
        <v>826</v>
      </c>
      <c r="M1467" s="63">
        <v>0</v>
      </c>
      <c r="N1467" s="66">
        <f t="shared" si="90"/>
        <v>0.64700000000000002</v>
      </c>
      <c r="O1467" s="62" t="str">
        <f t="shared" si="91"/>
        <v>2: High (No DBWT)</v>
      </c>
    </row>
    <row r="1468" spans="1:15" ht="15" customHeight="1" x14ac:dyDescent="0.4">
      <c r="A1468" s="62" t="s">
        <v>824</v>
      </c>
      <c r="B1468" s="62" t="s">
        <v>2012</v>
      </c>
      <c r="C1468" s="62" t="s">
        <v>826</v>
      </c>
      <c r="D1468" s="63">
        <v>0</v>
      </c>
      <c r="E1468" s="63">
        <v>0</v>
      </c>
      <c r="F1468" s="63">
        <v>0</v>
      </c>
      <c r="G1468" s="64">
        <f t="shared" si="88"/>
        <v>0</v>
      </c>
      <c r="H1468" s="64">
        <f t="shared" si="89"/>
        <v>0</v>
      </c>
      <c r="I1468" s="63">
        <v>2</v>
      </c>
      <c r="J1468" s="65">
        <v>92.3048</v>
      </c>
      <c r="K1468" s="65">
        <v>100</v>
      </c>
      <c r="L1468" s="62" t="s">
        <v>825</v>
      </c>
      <c r="M1468" s="63">
        <v>0</v>
      </c>
      <c r="N1468" s="66">
        <f t="shared" si="90"/>
        <v>0.98799999999999999</v>
      </c>
      <c r="O1468" s="62" t="str">
        <f t="shared" si="91"/>
        <v>4: Engaged Early</v>
      </c>
    </row>
    <row r="1469" spans="1:15" ht="15" customHeight="1" x14ac:dyDescent="0.4">
      <c r="A1469" s="62" t="s">
        <v>824</v>
      </c>
      <c r="B1469" s="62" t="s">
        <v>319</v>
      </c>
      <c r="C1469" s="62" t="s">
        <v>825</v>
      </c>
      <c r="D1469" s="63">
        <v>12</v>
      </c>
      <c r="E1469" s="63">
        <v>12</v>
      </c>
      <c r="F1469" s="63">
        <v>3</v>
      </c>
      <c r="G1469" s="64">
        <f t="shared" si="88"/>
        <v>1</v>
      </c>
      <c r="H1469" s="64">
        <f t="shared" si="89"/>
        <v>0.25</v>
      </c>
      <c r="I1469" s="63">
        <v>1</v>
      </c>
      <c r="J1469" s="65">
        <v>31.04</v>
      </c>
      <c r="K1469" s="65">
        <v>13.55</v>
      </c>
      <c r="L1469" s="62" t="s">
        <v>825</v>
      </c>
      <c r="M1469" s="63">
        <v>0</v>
      </c>
      <c r="N1469" s="66">
        <f t="shared" si="90"/>
        <v>0.378</v>
      </c>
      <c r="O1469" s="62" t="str">
        <f t="shared" si="91"/>
        <v>4: Engaged Early</v>
      </c>
    </row>
    <row r="1470" spans="1:15" ht="15" customHeight="1" x14ac:dyDescent="0.4">
      <c r="A1470" s="62" t="s">
        <v>824</v>
      </c>
      <c r="B1470" s="62" t="s">
        <v>2013</v>
      </c>
      <c r="C1470" s="62" t="s">
        <v>826</v>
      </c>
      <c r="D1470" s="63">
        <v>5</v>
      </c>
      <c r="E1470" s="63">
        <v>4</v>
      </c>
      <c r="F1470" s="63">
        <v>0</v>
      </c>
      <c r="G1470" s="64">
        <f t="shared" si="88"/>
        <v>0.8</v>
      </c>
      <c r="H1470" s="64">
        <f t="shared" si="89"/>
        <v>0</v>
      </c>
      <c r="I1470" s="63">
        <v>2</v>
      </c>
      <c r="J1470" s="65">
        <v>89.333100000000002</v>
      </c>
      <c r="K1470" s="65">
        <v>100</v>
      </c>
      <c r="L1470" s="62" t="s">
        <v>825</v>
      </c>
      <c r="M1470" s="63">
        <v>0</v>
      </c>
      <c r="N1470" s="66">
        <f t="shared" si="90"/>
        <v>0.98399999999999999</v>
      </c>
      <c r="O1470" s="62" t="str">
        <f t="shared" si="91"/>
        <v>4: Engaged Early</v>
      </c>
    </row>
    <row r="1471" spans="1:15" ht="15" customHeight="1" x14ac:dyDescent="0.4">
      <c r="A1471" s="62" t="s">
        <v>824</v>
      </c>
      <c r="B1471" s="62" t="s">
        <v>2014</v>
      </c>
      <c r="C1471" s="62" t="s">
        <v>826</v>
      </c>
      <c r="D1471" s="63">
        <v>13</v>
      </c>
      <c r="E1471" s="63">
        <v>10</v>
      </c>
      <c r="F1471" s="63">
        <v>4</v>
      </c>
      <c r="G1471" s="64">
        <f t="shared" si="88"/>
        <v>0.76923076923076927</v>
      </c>
      <c r="H1471" s="64">
        <f t="shared" si="89"/>
        <v>0.30769230769230771</v>
      </c>
      <c r="I1471" s="63">
        <v>2</v>
      </c>
      <c r="J1471" s="65">
        <v>96.063050000000004</v>
      </c>
      <c r="K1471" s="65">
        <v>93.88</v>
      </c>
      <c r="L1471" s="62" t="s">
        <v>825</v>
      </c>
      <c r="M1471" s="63">
        <v>0</v>
      </c>
      <c r="N1471" s="66">
        <f t="shared" si="90"/>
        <v>0.95699999999999996</v>
      </c>
      <c r="O1471" s="62" t="str">
        <f t="shared" si="91"/>
        <v>4: Engaged Early</v>
      </c>
    </row>
    <row r="1472" spans="1:15" ht="15" customHeight="1" x14ac:dyDescent="0.4">
      <c r="A1472" s="62" t="s">
        <v>824</v>
      </c>
      <c r="B1472" s="62" t="s">
        <v>2015</v>
      </c>
      <c r="C1472" s="62" t="s">
        <v>826</v>
      </c>
      <c r="D1472" s="63">
        <v>13</v>
      </c>
      <c r="E1472" s="63">
        <v>11</v>
      </c>
      <c r="F1472" s="63">
        <v>1</v>
      </c>
      <c r="G1472" s="64">
        <f t="shared" si="88"/>
        <v>0.84615384615384615</v>
      </c>
      <c r="H1472" s="64">
        <f t="shared" si="89"/>
        <v>7.6923076923076927E-2</v>
      </c>
      <c r="I1472" s="63">
        <v>2</v>
      </c>
      <c r="J1472" s="65">
        <v>92.64</v>
      </c>
      <c r="K1472" s="65">
        <v>100</v>
      </c>
      <c r="L1472" s="62" t="s">
        <v>825</v>
      </c>
      <c r="M1472" s="63">
        <v>0</v>
      </c>
      <c r="N1472" s="66">
        <f t="shared" si="90"/>
        <v>0.98899999999999999</v>
      </c>
      <c r="O1472" s="62" t="str">
        <f t="shared" si="91"/>
        <v>4: Engaged Early</v>
      </c>
    </row>
    <row r="1473" spans="1:15" ht="15" customHeight="1" x14ac:dyDescent="0.4">
      <c r="A1473" s="62" t="s">
        <v>824</v>
      </c>
      <c r="B1473" s="62" t="s">
        <v>2016</v>
      </c>
      <c r="C1473" s="62" t="s">
        <v>826</v>
      </c>
      <c r="D1473" s="63">
        <v>0</v>
      </c>
      <c r="E1473" s="63">
        <v>0</v>
      </c>
      <c r="F1473" s="63">
        <v>0</v>
      </c>
      <c r="G1473" s="64">
        <f t="shared" si="88"/>
        <v>0</v>
      </c>
      <c r="H1473" s="64">
        <f t="shared" si="89"/>
        <v>0</v>
      </c>
      <c r="I1473" s="63">
        <v>0</v>
      </c>
      <c r="J1473" s="65"/>
      <c r="K1473" s="65">
        <v>7.44</v>
      </c>
      <c r="L1473" s="62" t="s">
        <v>840</v>
      </c>
      <c r="M1473" s="63">
        <v>0</v>
      </c>
      <c r="N1473" s="66">
        <f t="shared" si="90"/>
        <v>0.12</v>
      </c>
      <c r="O1473" s="62" t="str">
        <f t="shared" si="91"/>
        <v>3: Elevated (No Wk0)</v>
      </c>
    </row>
    <row r="1474" spans="1:15" ht="15" customHeight="1" x14ac:dyDescent="0.4">
      <c r="A1474" s="62" t="s">
        <v>824</v>
      </c>
      <c r="B1474" s="62" t="s">
        <v>2017</v>
      </c>
      <c r="C1474" s="62" t="s">
        <v>826</v>
      </c>
      <c r="D1474" s="63">
        <v>17</v>
      </c>
      <c r="E1474" s="63">
        <v>6</v>
      </c>
      <c r="F1474" s="63">
        <v>2</v>
      </c>
      <c r="G1474" s="64">
        <f t="shared" ref="G1474:G1537" si="92">IFERROR(E1474/D1474,0)</f>
        <v>0.35294117647058826</v>
      </c>
      <c r="H1474" s="64">
        <f t="shared" ref="H1474:H1537" si="93">IFERROR(F1474/D1474,0)</f>
        <v>0.11764705882352941</v>
      </c>
      <c r="I1474" s="63">
        <v>2</v>
      </c>
      <c r="J1474" s="65">
        <v>98.687650000000005</v>
      </c>
      <c r="K1474" s="65">
        <v>100</v>
      </c>
      <c r="L1474" s="62" t="s">
        <v>825</v>
      </c>
      <c r="M1474" s="63">
        <v>2</v>
      </c>
      <c r="N1474" s="66">
        <f t="shared" ref="N1474:N1537" si="94">ROUND(IFERROR(K1474/100,0)*0.6 + IF(L1474="Yes",1,IF(L1474="No",0,0.3))*0.25 + IFERROR(J1474/100,0)*0.15,3)</f>
        <v>0.998</v>
      </c>
      <c r="O1474" s="62" t="str">
        <f t="shared" ref="O1474:O1537" si="95">IF(AND(L1474="No",I1474=0),"1: Critical (No DBWT + No Wk0)",IF(L1474="No","2: High (No DBWT)",IF(I1474=0,"3: Elevated (No Wk0)","4: Engaged Early")))</f>
        <v>4: Engaged Early</v>
      </c>
    </row>
    <row r="1475" spans="1:15" ht="15" customHeight="1" x14ac:dyDescent="0.4">
      <c r="A1475" s="62" t="s">
        <v>824</v>
      </c>
      <c r="B1475" s="62" t="s">
        <v>2018</v>
      </c>
      <c r="C1475" s="62" t="s">
        <v>826</v>
      </c>
      <c r="D1475" s="63">
        <v>26</v>
      </c>
      <c r="E1475" s="63">
        <v>7</v>
      </c>
      <c r="F1475" s="63">
        <v>2</v>
      </c>
      <c r="G1475" s="64">
        <f t="shared" si="92"/>
        <v>0.26923076923076922</v>
      </c>
      <c r="H1475" s="64">
        <f t="shared" si="93"/>
        <v>7.6923076923076927E-2</v>
      </c>
      <c r="I1475" s="63">
        <v>1</v>
      </c>
      <c r="J1475" s="65">
        <v>86.36</v>
      </c>
      <c r="K1475" s="65">
        <v>40.06</v>
      </c>
      <c r="L1475" s="62" t="s">
        <v>825</v>
      </c>
      <c r="M1475" s="63">
        <v>0</v>
      </c>
      <c r="N1475" s="66">
        <f t="shared" si="94"/>
        <v>0.62</v>
      </c>
      <c r="O1475" s="62" t="str">
        <f t="shared" si="95"/>
        <v>4: Engaged Early</v>
      </c>
    </row>
    <row r="1476" spans="1:15" ht="15" customHeight="1" x14ac:dyDescent="0.4">
      <c r="A1476" s="62" t="s">
        <v>824</v>
      </c>
      <c r="B1476" s="62" t="s">
        <v>2019</v>
      </c>
      <c r="C1476" s="62" t="s">
        <v>826</v>
      </c>
      <c r="D1476" s="63">
        <v>17</v>
      </c>
      <c r="E1476" s="63">
        <v>16</v>
      </c>
      <c r="F1476" s="63">
        <v>3</v>
      </c>
      <c r="G1476" s="64">
        <f t="shared" si="92"/>
        <v>0.94117647058823528</v>
      </c>
      <c r="H1476" s="64">
        <f t="shared" si="93"/>
        <v>0.17647058823529413</v>
      </c>
      <c r="I1476" s="63">
        <v>2</v>
      </c>
      <c r="J1476" s="65">
        <v>88.452449999999999</v>
      </c>
      <c r="K1476" s="65">
        <v>99.55</v>
      </c>
      <c r="L1476" s="62" t="s">
        <v>825</v>
      </c>
      <c r="M1476" s="63">
        <v>0</v>
      </c>
      <c r="N1476" s="66">
        <f t="shared" si="94"/>
        <v>0.98</v>
      </c>
      <c r="O1476" s="62" t="str">
        <f t="shared" si="95"/>
        <v>4: Engaged Early</v>
      </c>
    </row>
    <row r="1477" spans="1:15" ht="15" customHeight="1" x14ac:dyDescent="0.4">
      <c r="A1477" s="62" t="s">
        <v>824</v>
      </c>
      <c r="B1477" s="62" t="s">
        <v>2020</v>
      </c>
      <c r="C1477" s="62" t="s">
        <v>826</v>
      </c>
      <c r="D1477" s="63">
        <v>3</v>
      </c>
      <c r="E1477" s="63">
        <v>3</v>
      </c>
      <c r="F1477" s="63">
        <v>2</v>
      </c>
      <c r="G1477" s="64">
        <f t="shared" si="92"/>
        <v>1</v>
      </c>
      <c r="H1477" s="64">
        <f t="shared" si="93"/>
        <v>0.66666666666666663</v>
      </c>
      <c r="I1477" s="63">
        <v>2</v>
      </c>
      <c r="J1477" s="65">
        <v>99.61</v>
      </c>
      <c r="K1477" s="65">
        <v>87.5</v>
      </c>
      <c r="L1477" s="62" t="s">
        <v>825</v>
      </c>
      <c r="M1477" s="63">
        <v>0</v>
      </c>
      <c r="N1477" s="66">
        <f t="shared" si="94"/>
        <v>0.92400000000000004</v>
      </c>
      <c r="O1477" s="62" t="str">
        <f t="shared" si="95"/>
        <v>4: Engaged Early</v>
      </c>
    </row>
    <row r="1478" spans="1:15" ht="15" customHeight="1" x14ac:dyDescent="0.4">
      <c r="A1478" s="62" t="s">
        <v>824</v>
      </c>
      <c r="B1478" s="62" t="s">
        <v>2021</v>
      </c>
      <c r="C1478" s="62" t="s">
        <v>826</v>
      </c>
      <c r="D1478" s="63">
        <v>3</v>
      </c>
      <c r="E1478" s="63">
        <v>3</v>
      </c>
      <c r="F1478" s="63">
        <v>0</v>
      </c>
      <c r="G1478" s="64">
        <f t="shared" si="92"/>
        <v>1</v>
      </c>
      <c r="H1478" s="64">
        <f t="shared" si="93"/>
        <v>0</v>
      </c>
      <c r="I1478" s="63">
        <v>2</v>
      </c>
      <c r="J1478" s="65">
        <v>99.834999999999994</v>
      </c>
      <c r="K1478" s="65">
        <v>100</v>
      </c>
      <c r="L1478" s="62" t="s">
        <v>825</v>
      </c>
      <c r="M1478" s="63">
        <v>0</v>
      </c>
      <c r="N1478" s="66">
        <f t="shared" si="94"/>
        <v>1</v>
      </c>
      <c r="O1478" s="62" t="str">
        <f t="shared" si="95"/>
        <v>4: Engaged Early</v>
      </c>
    </row>
    <row r="1479" spans="1:15" ht="15" customHeight="1" x14ac:dyDescent="0.4">
      <c r="A1479" s="62" t="s">
        <v>824</v>
      </c>
      <c r="B1479" s="62" t="s">
        <v>2022</v>
      </c>
      <c r="C1479" s="62" t="s">
        <v>826</v>
      </c>
      <c r="D1479" s="63">
        <v>3</v>
      </c>
      <c r="E1479" s="63">
        <v>3</v>
      </c>
      <c r="F1479" s="63">
        <v>2</v>
      </c>
      <c r="G1479" s="64">
        <f t="shared" si="92"/>
        <v>1</v>
      </c>
      <c r="H1479" s="64">
        <f t="shared" si="93"/>
        <v>0.66666666666666663</v>
      </c>
      <c r="I1479" s="63">
        <v>2</v>
      </c>
      <c r="J1479" s="65">
        <v>97.952550000000002</v>
      </c>
      <c r="K1479" s="65">
        <v>100</v>
      </c>
      <c r="L1479" s="62" t="s">
        <v>825</v>
      </c>
      <c r="M1479" s="63">
        <v>0</v>
      </c>
      <c r="N1479" s="66">
        <f t="shared" si="94"/>
        <v>0.997</v>
      </c>
      <c r="O1479" s="62" t="str">
        <f t="shared" si="95"/>
        <v>4: Engaged Early</v>
      </c>
    </row>
    <row r="1480" spans="1:15" ht="15" customHeight="1" x14ac:dyDescent="0.4">
      <c r="A1480" s="62" t="s">
        <v>824</v>
      </c>
      <c r="B1480" s="62" t="s">
        <v>2023</v>
      </c>
      <c r="C1480" s="62" t="s">
        <v>826</v>
      </c>
      <c r="D1480" s="63">
        <v>23</v>
      </c>
      <c r="E1480" s="63">
        <v>16</v>
      </c>
      <c r="F1480" s="63">
        <v>1</v>
      </c>
      <c r="G1480" s="64">
        <f t="shared" si="92"/>
        <v>0.69565217391304346</v>
      </c>
      <c r="H1480" s="64">
        <f t="shared" si="93"/>
        <v>4.3478260869565216E-2</v>
      </c>
      <c r="I1480" s="63">
        <v>1</v>
      </c>
      <c r="J1480" s="65">
        <v>79.849999999999994</v>
      </c>
      <c r="K1480" s="65">
        <v>44.92</v>
      </c>
      <c r="L1480" s="62" t="s">
        <v>825</v>
      </c>
      <c r="M1480" s="63">
        <v>0</v>
      </c>
      <c r="N1480" s="66">
        <f t="shared" si="94"/>
        <v>0.63900000000000001</v>
      </c>
      <c r="O1480" s="62" t="str">
        <f t="shared" si="95"/>
        <v>4: Engaged Early</v>
      </c>
    </row>
    <row r="1481" spans="1:15" ht="15" customHeight="1" x14ac:dyDescent="0.4">
      <c r="A1481" s="62" t="s">
        <v>824</v>
      </c>
      <c r="B1481" s="62" t="s">
        <v>2024</v>
      </c>
      <c r="C1481" s="62" t="s">
        <v>826</v>
      </c>
      <c r="D1481" s="63">
        <v>0</v>
      </c>
      <c r="E1481" s="63">
        <v>0</v>
      </c>
      <c r="F1481" s="63">
        <v>0</v>
      </c>
      <c r="G1481" s="64">
        <f t="shared" si="92"/>
        <v>0</v>
      </c>
      <c r="H1481" s="64">
        <f t="shared" si="93"/>
        <v>0</v>
      </c>
      <c r="I1481" s="63">
        <v>2</v>
      </c>
      <c r="J1481" s="65">
        <v>92.21</v>
      </c>
      <c r="K1481" s="65">
        <v>100</v>
      </c>
      <c r="L1481" s="62" t="s">
        <v>825</v>
      </c>
      <c r="M1481" s="63">
        <v>0</v>
      </c>
      <c r="N1481" s="66">
        <f t="shared" si="94"/>
        <v>0.98799999999999999</v>
      </c>
      <c r="O1481" s="62" t="str">
        <f t="shared" si="95"/>
        <v>4: Engaged Early</v>
      </c>
    </row>
    <row r="1482" spans="1:15" ht="15" customHeight="1" x14ac:dyDescent="0.4">
      <c r="A1482" s="62" t="s">
        <v>824</v>
      </c>
      <c r="B1482" s="62" t="s">
        <v>782</v>
      </c>
      <c r="C1482" s="62" t="s">
        <v>825</v>
      </c>
      <c r="D1482" s="63">
        <v>3</v>
      </c>
      <c r="E1482" s="63">
        <v>3</v>
      </c>
      <c r="F1482" s="63">
        <v>0</v>
      </c>
      <c r="G1482" s="64">
        <f t="shared" si="92"/>
        <v>1</v>
      </c>
      <c r="H1482" s="64">
        <f t="shared" si="93"/>
        <v>0</v>
      </c>
      <c r="I1482" s="63">
        <v>2</v>
      </c>
      <c r="J1482" s="65">
        <v>88.650700000000001</v>
      </c>
      <c r="K1482" s="65">
        <v>47.54</v>
      </c>
      <c r="L1482" s="62" t="s">
        <v>825</v>
      </c>
      <c r="M1482" s="63">
        <v>0</v>
      </c>
      <c r="N1482" s="66">
        <f t="shared" si="94"/>
        <v>0.66800000000000004</v>
      </c>
      <c r="O1482" s="62" t="str">
        <f t="shared" si="95"/>
        <v>4: Engaged Early</v>
      </c>
    </row>
    <row r="1483" spans="1:15" ht="15" customHeight="1" x14ac:dyDescent="0.4">
      <c r="A1483" s="62" t="s">
        <v>824</v>
      </c>
      <c r="B1483" s="62" t="s">
        <v>2025</v>
      </c>
      <c r="C1483" s="62" t="s">
        <v>826</v>
      </c>
      <c r="D1483" s="63">
        <v>20</v>
      </c>
      <c r="E1483" s="63">
        <v>4</v>
      </c>
      <c r="F1483" s="63">
        <v>8</v>
      </c>
      <c r="G1483" s="64">
        <f t="shared" si="92"/>
        <v>0.2</v>
      </c>
      <c r="H1483" s="64">
        <f t="shared" si="93"/>
        <v>0.4</v>
      </c>
      <c r="I1483" s="63">
        <v>2</v>
      </c>
      <c r="J1483" s="65">
        <v>93.861050000000006</v>
      </c>
      <c r="K1483" s="65">
        <v>100</v>
      </c>
      <c r="L1483" s="62" t="s">
        <v>825</v>
      </c>
      <c r="M1483" s="63">
        <v>1</v>
      </c>
      <c r="N1483" s="66">
        <f t="shared" si="94"/>
        <v>0.99099999999999999</v>
      </c>
      <c r="O1483" s="62" t="str">
        <f t="shared" si="95"/>
        <v>4: Engaged Early</v>
      </c>
    </row>
    <row r="1484" spans="1:15" ht="15" customHeight="1" x14ac:dyDescent="0.4">
      <c r="A1484" s="62" t="s">
        <v>824</v>
      </c>
      <c r="B1484" s="62" t="s">
        <v>2026</v>
      </c>
      <c r="C1484" s="62" t="s">
        <v>826</v>
      </c>
      <c r="D1484" s="63">
        <v>17</v>
      </c>
      <c r="E1484" s="63">
        <v>10</v>
      </c>
      <c r="F1484" s="63">
        <v>0</v>
      </c>
      <c r="G1484" s="64">
        <f t="shared" si="92"/>
        <v>0.58823529411764708</v>
      </c>
      <c r="H1484" s="64">
        <f t="shared" si="93"/>
        <v>0</v>
      </c>
      <c r="I1484" s="63">
        <v>2</v>
      </c>
      <c r="J1484" s="65">
        <v>61.469450000000002</v>
      </c>
      <c r="K1484" s="65">
        <v>93.73</v>
      </c>
      <c r="L1484" s="62" t="s">
        <v>825</v>
      </c>
      <c r="M1484" s="63">
        <v>0</v>
      </c>
      <c r="N1484" s="66">
        <f t="shared" si="94"/>
        <v>0.90500000000000003</v>
      </c>
      <c r="O1484" s="62" t="str">
        <f t="shared" si="95"/>
        <v>4: Engaged Early</v>
      </c>
    </row>
    <row r="1485" spans="1:15" ht="15" customHeight="1" x14ac:dyDescent="0.4">
      <c r="A1485" s="62" t="s">
        <v>824</v>
      </c>
      <c r="B1485" s="62" t="s">
        <v>2027</v>
      </c>
      <c r="C1485" s="62" t="s">
        <v>826</v>
      </c>
      <c r="D1485" s="63">
        <v>20</v>
      </c>
      <c r="E1485" s="63">
        <v>19</v>
      </c>
      <c r="F1485" s="63">
        <v>7</v>
      </c>
      <c r="G1485" s="64">
        <f t="shared" si="92"/>
        <v>0.95</v>
      </c>
      <c r="H1485" s="64">
        <f t="shared" si="93"/>
        <v>0.35</v>
      </c>
      <c r="I1485" s="63">
        <v>2</v>
      </c>
      <c r="J1485" s="65">
        <v>99.608000000000004</v>
      </c>
      <c r="K1485" s="65">
        <v>100</v>
      </c>
      <c r="L1485" s="62" t="s">
        <v>825</v>
      </c>
      <c r="M1485" s="63">
        <v>0</v>
      </c>
      <c r="N1485" s="66">
        <f t="shared" si="94"/>
        <v>0.999</v>
      </c>
      <c r="O1485" s="62" t="str">
        <f t="shared" si="95"/>
        <v>4: Engaged Early</v>
      </c>
    </row>
    <row r="1486" spans="1:15" ht="15" customHeight="1" x14ac:dyDescent="0.4">
      <c r="A1486" s="62" t="s">
        <v>824</v>
      </c>
      <c r="B1486" s="62" t="s">
        <v>2028</v>
      </c>
      <c r="C1486" s="62" t="s">
        <v>826</v>
      </c>
      <c r="D1486" s="63">
        <v>5</v>
      </c>
      <c r="E1486" s="63">
        <v>2</v>
      </c>
      <c r="F1486" s="63">
        <v>0</v>
      </c>
      <c r="G1486" s="64">
        <f t="shared" si="92"/>
        <v>0.4</v>
      </c>
      <c r="H1486" s="64">
        <f t="shared" si="93"/>
        <v>0</v>
      </c>
      <c r="I1486" s="63">
        <v>2</v>
      </c>
      <c r="J1486" s="65">
        <v>82.773349999999994</v>
      </c>
      <c r="K1486" s="65">
        <v>100</v>
      </c>
      <c r="L1486" s="62" t="s">
        <v>825</v>
      </c>
      <c r="M1486" s="63">
        <v>0</v>
      </c>
      <c r="N1486" s="66">
        <f t="shared" si="94"/>
        <v>0.97399999999999998</v>
      </c>
      <c r="O1486" s="62" t="str">
        <f t="shared" si="95"/>
        <v>4: Engaged Early</v>
      </c>
    </row>
    <row r="1487" spans="1:15" ht="15" customHeight="1" x14ac:dyDescent="0.4">
      <c r="A1487" s="62" t="s">
        <v>824</v>
      </c>
      <c r="B1487" s="62" t="s">
        <v>2029</v>
      </c>
      <c r="C1487" s="62" t="s">
        <v>826</v>
      </c>
      <c r="D1487" s="63">
        <v>15</v>
      </c>
      <c r="E1487" s="63">
        <v>5</v>
      </c>
      <c r="F1487" s="63">
        <v>0</v>
      </c>
      <c r="G1487" s="64">
        <f t="shared" si="92"/>
        <v>0.33333333333333331</v>
      </c>
      <c r="H1487" s="64">
        <f t="shared" si="93"/>
        <v>0</v>
      </c>
      <c r="I1487" s="63">
        <v>2</v>
      </c>
      <c r="J1487" s="65">
        <v>99.240499999999997</v>
      </c>
      <c r="K1487" s="65">
        <v>100</v>
      </c>
      <c r="L1487" s="62" t="s">
        <v>826</v>
      </c>
      <c r="M1487" s="63">
        <v>0</v>
      </c>
      <c r="N1487" s="66">
        <f t="shared" si="94"/>
        <v>0.749</v>
      </c>
      <c r="O1487" s="62" t="str">
        <f t="shared" si="95"/>
        <v>2: High (No DBWT)</v>
      </c>
    </row>
    <row r="1488" spans="1:15" ht="15" customHeight="1" x14ac:dyDescent="0.4">
      <c r="A1488" s="62" t="s">
        <v>824</v>
      </c>
      <c r="B1488" s="62" t="s">
        <v>2030</v>
      </c>
      <c r="C1488" s="62" t="s">
        <v>826</v>
      </c>
      <c r="D1488" s="63">
        <v>23</v>
      </c>
      <c r="E1488" s="63">
        <v>21</v>
      </c>
      <c r="F1488" s="63">
        <v>2</v>
      </c>
      <c r="G1488" s="64">
        <f t="shared" si="92"/>
        <v>0.91304347826086951</v>
      </c>
      <c r="H1488" s="64">
        <f t="shared" si="93"/>
        <v>8.6956521739130432E-2</v>
      </c>
      <c r="I1488" s="63">
        <v>2</v>
      </c>
      <c r="J1488" s="65">
        <v>81.394499999999994</v>
      </c>
      <c r="K1488" s="65">
        <v>99.35</v>
      </c>
      <c r="L1488" s="62" t="s">
        <v>825</v>
      </c>
      <c r="M1488" s="63">
        <v>0</v>
      </c>
      <c r="N1488" s="66">
        <f t="shared" si="94"/>
        <v>0.96799999999999997</v>
      </c>
      <c r="O1488" s="62" t="str">
        <f t="shared" si="95"/>
        <v>4: Engaged Early</v>
      </c>
    </row>
    <row r="1489" spans="1:15" ht="15" customHeight="1" x14ac:dyDescent="0.4">
      <c r="A1489" s="62" t="s">
        <v>824</v>
      </c>
      <c r="B1489" s="62" t="s">
        <v>2031</v>
      </c>
      <c r="C1489" s="62" t="s">
        <v>826</v>
      </c>
      <c r="D1489" s="63">
        <v>17</v>
      </c>
      <c r="E1489" s="63">
        <v>11</v>
      </c>
      <c r="F1489" s="63">
        <v>2</v>
      </c>
      <c r="G1489" s="64">
        <f t="shared" si="92"/>
        <v>0.6470588235294118</v>
      </c>
      <c r="H1489" s="64">
        <f t="shared" si="93"/>
        <v>0.11764705882352941</v>
      </c>
      <c r="I1489" s="63">
        <v>2</v>
      </c>
      <c r="J1489" s="65">
        <v>99.671700000000001</v>
      </c>
      <c r="K1489" s="65">
        <v>100</v>
      </c>
      <c r="L1489" s="62" t="s">
        <v>825</v>
      </c>
      <c r="M1489" s="63">
        <v>0</v>
      </c>
      <c r="N1489" s="66">
        <f t="shared" si="94"/>
        <v>1</v>
      </c>
      <c r="O1489" s="62" t="str">
        <f t="shared" si="95"/>
        <v>4: Engaged Early</v>
      </c>
    </row>
    <row r="1490" spans="1:15" ht="15" customHeight="1" x14ac:dyDescent="0.4">
      <c r="A1490" s="62" t="s">
        <v>824</v>
      </c>
      <c r="B1490" s="62" t="s">
        <v>2032</v>
      </c>
      <c r="C1490" s="62" t="s">
        <v>826</v>
      </c>
      <c r="D1490" s="63">
        <v>5</v>
      </c>
      <c r="E1490" s="63">
        <v>4</v>
      </c>
      <c r="F1490" s="63">
        <v>2</v>
      </c>
      <c r="G1490" s="64">
        <f t="shared" si="92"/>
        <v>0.8</v>
      </c>
      <c r="H1490" s="64">
        <f t="shared" si="93"/>
        <v>0.4</v>
      </c>
      <c r="I1490" s="63">
        <v>2</v>
      </c>
      <c r="J1490" s="65">
        <v>89.293800000000005</v>
      </c>
      <c r="K1490" s="65">
        <v>99.9</v>
      </c>
      <c r="L1490" s="62" t="s">
        <v>825</v>
      </c>
      <c r="M1490" s="63">
        <v>0</v>
      </c>
      <c r="N1490" s="66">
        <f t="shared" si="94"/>
        <v>0.98299999999999998</v>
      </c>
      <c r="O1490" s="62" t="str">
        <f t="shared" si="95"/>
        <v>4: Engaged Early</v>
      </c>
    </row>
    <row r="1491" spans="1:15" ht="15" customHeight="1" x14ac:dyDescent="0.4">
      <c r="A1491" s="62" t="s">
        <v>824</v>
      </c>
      <c r="B1491" s="62" t="s">
        <v>2033</v>
      </c>
      <c r="C1491" s="62" t="s">
        <v>826</v>
      </c>
      <c r="D1491" s="63">
        <v>10</v>
      </c>
      <c r="E1491" s="63">
        <v>10</v>
      </c>
      <c r="F1491" s="63">
        <v>1</v>
      </c>
      <c r="G1491" s="64">
        <f t="shared" si="92"/>
        <v>1</v>
      </c>
      <c r="H1491" s="64">
        <f t="shared" si="93"/>
        <v>0.1</v>
      </c>
      <c r="I1491" s="63">
        <v>2</v>
      </c>
      <c r="J1491" s="65">
        <v>99.63</v>
      </c>
      <c r="K1491" s="65">
        <v>100</v>
      </c>
      <c r="L1491" s="62" t="s">
        <v>825</v>
      </c>
      <c r="M1491" s="63">
        <v>0</v>
      </c>
      <c r="N1491" s="66">
        <f t="shared" si="94"/>
        <v>0.999</v>
      </c>
      <c r="O1491" s="62" t="str">
        <f t="shared" si="95"/>
        <v>4: Engaged Early</v>
      </c>
    </row>
    <row r="1492" spans="1:15" ht="15" customHeight="1" x14ac:dyDescent="0.4">
      <c r="A1492" s="62" t="s">
        <v>824</v>
      </c>
      <c r="B1492" s="62" t="s">
        <v>2034</v>
      </c>
      <c r="C1492" s="62" t="s">
        <v>826</v>
      </c>
      <c r="D1492" s="63">
        <v>9</v>
      </c>
      <c r="E1492" s="63">
        <v>8</v>
      </c>
      <c r="F1492" s="63">
        <v>0</v>
      </c>
      <c r="G1492" s="64">
        <f t="shared" si="92"/>
        <v>0.88888888888888884</v>
      </c>
      <c r="H1492" s="64">
        <f t="shared" si="93"/>
        <v>0</v>
      </c>
      <c r="I1492" s="63">
        <v>1</v>
      </c>
      <c r="J1492" s="65">
        <v>85.04</v>
      </c>
      <c r="K1492" s="65">
        <v>87.5</v>
      </c>
      <c r="L1492" s="62" t="s">
        <v>825</v>
      </c>
      <c r="M1492" s="63">
        <v>0</v>
      </c>
      <c r="N1492" s="66">
        <f t="shared" si="94"/>
        <v>0.90300000000000002</v>
      </c>
      <c r="O1492" s="62" t="str">
        <f t="shared" si="95"/>
        <v>4: Engaged Early</v>
      </c>
    </row>
    <row r="1493" spans="1:15" ht="15" customHeight="1" x14ac:dyDescent="0.4">
      <c r="A1493" s="62" t="s">
        <v>824</v>
      </c>
      <c r="B1493" s="62" t="s">
        <v>2035</v>
      </c>
      <c r="C1493" s="62" t="s">
        <v>826</v>
      </c>
      <c r="D1493" s="63">
        <v>22</v>
      </c>
      <c r="E1493" s="63">
        <v>22</v>
      </c>
      <c r="F1493" s="63">
        <v>5</v>
      </c>
      <c r="G1493" s="64">
        <f t="shared" si="92"/>
        <v>1</v>
      </c>
      <c r="H1493" s="64">
        <f t="shared" si="93"/>
        <v>0.22727272727272727</v>
      </c>
      <c r="I1493" s="63">
        <v>2</v>
      </c>
      <c r="J1493" s="65">
        <v>85.441249999999997</v>
      </c>
      <c r="K1493" s="65">
        <v>69.349999999999994</v>
      </c>
      <c r="L1493" s="62" t="s">
        <v>825</v>
      </c>
      <c r="M1493" s="63">
        <v>0</v>
      </c>
      <c r="N1493" s="66">
        <f t="shared" si="94"/>
        <v>0.79400000000000004</v>
      </c>
      <c r="O1493" s="62" t="str">
        <f t="shared" si="95"/>
        <v>4: Engaged Early</v>
      </c>
    </row>
    <row r="1494" spans="1:15" ht="15" customHeight="1" x14ac:dyDescent="0.4">
      <c r="A1494" s="62" t="s">
        <v>824</v>
      </c>
      <c r="B1494" s="62" t="s">
        <v>2036</v>
      </c>
      <c r="C1494" s="62" t="s">
        <v>826</v>
      </c>
      <c r="D1494" s="63">
        <v>4</v>
      </c>
      <c r="E1494" s="63">
        <v>4</v>
      </c>
      <c r="F1494" s="63">
        <v>1</v>
      </c>
      <c r="G1494" s="64">
        <f t="shared" si="92"/>
        <v>1</v>
      </c>
      <c r="H1494" s="64">
        <f t="shared" si="93"/>
        <v>0.25</v>
      </c>
      <c r="I1494" s="63">
        <v>2</v>
      </c>
      <c r="J1494" s="65">
        <v>84.573350000000005</v>
      </c>
      <c r="K1494" s="65">
        <v>75</v>
      </c>
      <c r="L1494" s="62" t="s">
        <v>825</v>
      </c>
      <c r="M1494" s="63">
        <v>0</v>
      </c>
      <c r="N1494" s="66">
        <f t="shared" si="94"/>
        <v>0.82699999999999996</v>
      </c>
      <c r="O1494" s="62" t="str">
        <f t="shared" si="95"/>
        <v>4: Engaged Early</v>
      </c>
    </row>
    <row r="1495" spans="1:15" ht="15" customHeight="1" x14ac:dyDescent="0.4">
      <c r="A1495" s="62" t="s">
        <v>824</v>
      </c>
      <c r="B1495" s="62" t="s">
        <v>2037</v>
      </c>
      <c r="C1495" s="62" t="s">
        <v>826</v>
      </c>
      <c r="D1495" s="63">
        <v>16</v>
      </c>
      <c r="E1495" s="63">
        <v>9</v>
      </c>
      <c r="F1495" s="63">
        <v>1</v>
      </c>
      <c r="G1495" s="64">
        <f t="shared" si="92"/>
        <v>0.5625</v>
      </c>
      <c r="H1495" s="64">
        <f t="shared" si="93"/>
        <v>6.25E-2</v>
      </c>
      <c r="I1495" s="63">
        <v>2</v>
      </c>
      <c r="J1495" s="65">
        <v>92.490899999999996</v>
      </c>
      <c r="K1495" s="65">
        <v>100</v>
      </c>
      <c r="L1495" s="62" t="s">
        <v>825</v>
      </c>
      <c r="M1495" s="63">
        <v>0</v>
      </c>
      <c r="N1495" s="66">
        <f t="shared" si="94"/>
        <v>0.98899999999999999</v>
      </c>
      <c r="O1495" s="62" t="str">
        <f t="shared" si="95"/>
        <v>4: Engaged Early</v>
      </c>
    </row>
    <row r="1496" spans="1:15" ht="15" customHeight="1" x14ac:dyDescent="0.4">
      <c r="A1496" s="62" t="s">
        <v>824</v>
      </c>
      <c r="B1496" s="62" t="s">
        <v>2038</v>
      </c>
      <c r="C1496" s="62" t="s">
        <v>826</v>
      </c>
      <c r="D1496" s="63">
        <v>5</v>
      </c>
      <c r="E1496" s="63">
        <v>0</v>
      </c>
      <c r="F1496" s="63">
        <v>0</v>
      </c>
      <c r="G1496" s="64">
        <f t="shared" si="92"/>
        <v>0</v>
      </c>
      <c r="H1496" s="64">
        <f t="shared" si="93"/>
        <v>0</v>
      </c>
      <c r="I1496" s="63">
        <v>2</v>
      </c>
      <c r="J1496" s="65">
        <v>99.935000000000002</v>
      </c>
      <c r="K1496" s="65">
        <v>99.83</v>
      </c>
      <c r="L1496" s="62" t="s">
        <v>826</v>
      </c>
      <c r="M1496" s="63">
        <v>0</v>
      </c>
      <c r="N1496" s="66">
        <f t="shared" si="94"/>
        <v>0.749</v>
      </c>
      <c r="O1496" s="62" t="str">
        <f t="shared" si="95"/>
        <v>2: High (No DBWT)</v>
      </c>
    </row>
    <row r="1497" spans="1:15" ht="15" customHeight="1" x14ac:dyDescent="0.4">
      <c r="A1497" s="62" t="s">
        <v>824</v>
      </c>
      <c r="B1497" s="62" t="s">
        <v>2039</v>
      </c>
      <c r="C1497" s="62" t="s">
        <v>826</v>
      </c>
      <c r="D1497" s="63">
        <v>0</v>
      </c>
      <c r="E1497" s="63">
        <v>0</v>
      </c>
      <c r="F1497" s="63">
        <v>0</v>
      </c>
      <c r="G1497" s="64">
        <f t="shared" si="92"/>
        <v>0</v>
      </c>
      <c r="H1497" s="64">
        <f t="shared" si="93"/>
        <v>0</v>
      </c>
      <c r="I1497" s="63">
        <v>2</v>
      </c>
      <c r="J1497" s="65">
        <v>97.044499999999999</v>
      </c>
      <c r="K1497" s="65">
        <v>99.88</v>
      </c>
      <c r="L1497" s="62" t="s">
        <v>825</v>
      </c>
      <c r="M1497" s="63">
        <v>0</v>
      </c>
      <c r="N1497" s="66">
        <f t="shared" si="94"/>
        <v>0.995</v>
      </c>
      <c r="O1497" s="62" t="str">
        <f t="shared" si="95"/>
        <v>4: Engaged Early</v>
      </c>
    </row>
    <row r="1498" spans="1:15" ht="15" customHeight="1" x14ac:dyDescent="0.4">
      <c r="A1498" s="62" t="s">
        <v>824</v>
      </c>
      <c r="B1498" s="62" t="s">
        <v>2040</v>
      </c>
      <c r="C1498" s="62" t="s">
        <v>826</v>
      </c>
      <c r="D1498" s="63">
        <v>8</v>
      </c>
      <c r="E1498" s="63">
        <v>2</v>
      </c>
      <c r="F1498" s="63">
        <v>1</v>
      </c>
      <c r="G1498" s="64">
        <f t="shared" si="92"/>
        <v>0.25</v>
      </c>
      <c r="H1498" s="64">
        <f t="shared" si="93"/>
        <v>0.125</v>
      </c>
      <c r="I1498" s="63">
        <v>2</v>
      </c>
      <c r="J1498" s="65">
        <v>57.820599999999999</v>
      </c>
      <c r="K1498" s="65">
        <v>69.650000000000006</v>
      </c>
      <c r="L1498" s="62" t="s">
        <v>825</v>
      </c>
      <c r="M1498" s="63">
        <v>0</v>
      </c>
      <c r="N1498" s="66">
        <f t="shared" si="94"/>
        <v>0.755</v>
      </c>
      <c r="O1498" s="62" t="str">
        <f t="shared" si="95"/>
        <v>4: Engaged Early</v>
      </c>
    </row>
    <row r="1499" spans="1:15" ht="15" customHeight="1" x14ac:dyDescent="0.4">
      <c r="A1499" s="62" t="s">
        <v>824</v>
      </c>
      <c r="B1499" s="62" t="s">
        <v>2041</v>
      </c>
      <c r="C1499" s="62" t="s">
        <v>826</v>
      </c>
      <c r="D1499" s="63">
        <v>26</v>
      </c>
      <c r="E1499" s="63">
        <v>23</v>
      </c>
      <c r="F1499" s="63">
        <v>5</v>
      </c>
      <c r="G1499" s="64">
        <f t="shared" si="92"/>
        <v>0.88461538461538458</v>
      </c>
      <c r="H1499" s="64">
        <f t="shared" si="93"/>
        <v>0.19230769230769232</v>
      </c>
      <c r="I1499" s="63">
        <v>2</v>
      </c>
      <c r="J1499" s="65">
        <v>99.861649999999997</v>
      </c>
      <c r="K1499" s="65">
        <v>100</v>
      </c>
      <c r="L1499" s="62" t="s">
        <v>825</v>
      </c>
      <c r="M1499" s="63">
        <v>0</v>
      </c>
      <c r="N1499" s="66">
        <f t="shared" si="94"/>
        <v>1</v>
      </c>
      <c r="O1499" s="62" t="str">
        <f t="shared" si="95"/>
        <v>4: Engaged Early</v>
      </c>
    </row>
    <row r="1500" spans="1:15" ht="15" customHeight="1" x14ac:dyDescent="0.4">
      <c r="A1500" s="62" t="s">
        <v>824</v>
      </c>
      <c r="B1500" s="62" t="s">
        <v>2042</v>
      </c>
      <c r="C1500" s="62" t="s">
        <v>826</v>
      </c>
      <c r="D1500" s="63">
        <v>3</v>
      </c>
      <c r="E1500" s="63">
        <v>3</v>
      </c>
      <c r="F1500" s="63">
        <v>1</v>
      </c>
      <c r="G1500" s="64">
        <f t="shared" si="92"/>
        <v>1</v>
      </c>
      <c r="H1500" s="64">
        <f t="shared" si="93"/>
        <v>0.33333333333333331</v>
      </c>
      <c r="I1500" s="63">
        <v>2</v>
      </c>
      <c r="J1500" s="65">
        <v>83.549700000000001</v>
      </c>
      <c r="K1500" s="65">
        <v>99.71</v>
      </c>
      <c r="L1500" s="62" t="s">
        <v>825</v>
      </c>
      <c r="M1500" s="63">
        <v>0</v>
      </c>
      <c r="N1500" s="66">
        <f t="shared" si="94"/>
        <v>0.97399999999999998</v>
      </c>
      <c r="O1500" s="62" t="str">
        <f t="shared" si="95"/>
        <v>4: Engaged Early</v>
      </c>
    </row>
    <row r="1501" spans="1:15" ht="15" customHeight="1" x14ac:dyDescent="0.4">
      <c r="A1501" s="62" t="s">
        <v>824</v>
      </c>
      <c r="B1501" s="62" t="s">
        <v>2043</v>
      </c>
      <c r="C1501" s="62" t="s">
        <v>826</v>
      </c>
      <c r="D1501" s="63">
        <v>10</v>
      </c>
      <c r="E1501" s="63">
        <v>9</v>
      </c>
      <c r="F1501" s="63">
        <v>0</v>
      </c>
      <c r="G1501" s="64">
        <f t="shared" si="92"/>
        <v>0.9</v>
      </c>
      <c r="H1501" s="64">
        <f t="shared" si="93"/>
        <v>0</v>
      </c>
      <c r="I1501" s="63">
        <v>2</v>
      </c>
      <c r="J1501" s="65">
        <v>54.327649999999998</v>
      </c>
      <c r="K1501" s="65">
        <v>97.96</v>
      </c>
      <c r="L1501" s="62" t="s">
        <v>825</v>
      </c>
      <c r="M1501" s="63">
        <v>0</v>
      </c>
      <c r="N1501" s="66">
        <f t="shared" si="94"/>
        <v>0.91900000000000004</v>
      </c>
      <c r="O1501" s="62" t="str">
        <f t="shared" si="95"/>
        <v>4: Engaged Early</v>
      </c>
    </row>
    <row r="1502" spans="1:15" ht="15" customHeight="1" x14ac:dyDescent="0.4">
      <c r="A1502" s="62" t="s">
        <v>824</v>
      </c>
      <c r="B1502" s="62" t="s">
        <v>696</v>
      </c>
      <c r="C1502" s="62" t="s">
        <v>825</v>
      </c>
      <c r="D1502" s="63">
        <v>18</v>
      </c>
      <c r="E1502" s="63">
        <v>5</v>
      </c>
      <c r="F1502" s="63">
        <v>8</v>
      </c>
      <c r="G1502" s="64">
        <f t="shared" si="92"/>
        <v>0.27777777777777779</v>
      </c>
      <c r="H1502" s="64">
        <f t="shared" si="93"/>
        <v>0.44444444444444442</v>
      </c>
      <c r="I1502" s="63">
        <v>2</v>
      </c>
      <c r="J1502" s="65">
        <v>98.1036</v>
      </c>
      <c r="K1502" s="65">
        <v>62.39</v>
      </c>
      <c r="L1502" s="62" t="s">
        <v>825</v>
      </c>
      <c r="M1502" s="63">
        <v>0</v>
      </c>
      <c r="N1502" s="66">
        <f t="shared" si="94"/>
        <v>0.77100000000000002</v>
      </c>
      <c r="O1502" s="62" t="str">
        <f t="shared" si="95"/>
        <v>4: Engaged Early</v>
      </c>
    </row>
    <row r="1503" spans="1:15" ht="15" customHeight="1" x14ac:dyDescent="0.4">
      <c r="A1503" s="62" t="s">
        <v>824</v>
      </c>
      <c r="B1503" s="62" t="s">
        <v>2044</v>
      </c>
      <c r="C1503" s="62" t="s">
        <v>826</v>
      </c>
      <c r="D1503" s="63">
        <v>0</v>
      </c>
      <c r="E1503" s="63">
        <v>0</v>
      </c>
      <c r="F1503" s="63">
        <v>0</v>
      </c>
      <c r="G1503" s="64">
        <f t="shared" si="92"/>
        <v>0</v>
      </c>
      <c r="H1503" s="64">
        <f t="shared" si="93"/>
        <v>0</v>
      </c>
      <c r="I1503" s="63">
        <v>1</v>
      </c>
      <c r="J1503" s="65">
        <v>100</v>
      </c>
      <c r="K1503" s="65">
        <v>11.76</v>
      </c>
      <c r="L1503" s="62" t="s">
        <v>840</v>
      </c>
      <c r="M1503" s="63">
        <v>0</v>
      </c>
      <c r="N1503" s="66">
        <f t="shared" si="94"/>
        <v>0.29599999999999999</v>
      </c>
      <c r="O1503" s="62" t="str">
        <f t="shared" si="95"/>
        <v>4: Engaged Early</v>
      </c>
    </row>
    <row r="1504" spans="1:15" ht="15" customHeight="1" x14ac:dyDescent="0.4">
      <c r="A1504" s="62" t="s">
        <v>824</v>
      </c>
      <c r="B1504" s="62" t="s">
        <v>2045</v>
      </c>
      <c r="C1504" s="62" t="s">
        <v>826</v>
      </c>
      <c r="D1504" s="63">
        <v>3</v>
      </c>
      <c r="E1504" s="63">
        <v>3</v>
      </c>
      <c r="F1504" s="63">
        <v>2</v>
      </c>
      <c r="G1504" s="64">
        <f t="shared" si="92"/>
        <v>1</v>
      </c>
      <c r="H1504" s="64">
        <f t="shared" si="93"/>
        <v>0.66666666666666663</v>
      </c>
      <c r="I1504" s="63">
        <v>2</v>
      </c>
      <c r="J1504" s="65">
        <v>5.7144550000000001</v>
      </c>
      <c r="K1504" s="65">
        <v>41.3</v>
      </c>
      <c r="L1504" s="62" t="s">
        <v>825</v>
      </c>
      <c r="M1504" s="63">
        <v>0</v>
      </c>
      <c r="N1504" s="66">
        <f t="shared" si="94"/>
        <v>0.50600000000000001</v>
      </c>
      <c r="O1504" s="62" t="str">
        <f t="shared" si="95"/>
        <v>4: Engaged Early</v>
      </c>
    </row>
    <row r="1505" spans="1:15" ht="15" customHeight="1" x14ac:dyDescent="0.4">
      <c r="A1505" s="62" t="s">
        <v>824</v>
      </c>
      <c r="B1505" s="62" t="s">
        <v>2046</v>
      </c>
      <c r="C1505" s="62" t="s">
        <v>826</v>
      </c>
      <c r="D1505" s="63">
        <v>5</v>
      </c>
      <c r="E1505" s="63">
        <v>5</v>
      </c>
      <c r="F1505" s="63">
        <v>0</v>
      </c>
      <c r="G1505" s="64">
        <f t="shared" si="92"/>
        <v>1</v>
      </c>
      <c r="H1505" s="64">
        <f t="shared" si="93"/>
        <v>0</v>
      </c>
      <c r="I1505" s="63">
        <v>2</v>
      </c>
      <c r="J1505" s="65">
        <v>90.424599999999998</v>
      </c>
      <c r="K1505" s="65">
        <v>44.44</v>
      </c>
      <c r="L1505" s="62" t="s">
        <v>825</v>
      </c>
      <c r="M1505" s="63">
        <v>0</v>
      </c>
      <c r="N1505" s="66">
        <f t="shared" si="94"/>
        <v>0.65200000000000002</v>
      </c>
      <c r="O1505" s="62" t="str">
        <f t="shared" si="95"/>
        <v>4: Engaged Early</v>
      </c>
    </row>
    <row r="1506" spans="1:15" ht="15" customHeight="1" x14ac:dyDescent="0.4">
      <c r="A1506" s="62" t="s">
        <v>824</v>
      </c>
      <c r="B1506" s="62" t="s">
        <v>2047</v>
      </c>
      <c r="C1506" s="62" t="s">
        <v>826</v>
      </c>
      <c r="D1506" s="63">
        <v>7</v>
      </c>
      <c r="E1506" s="63">
        <v>6</v>
      </c>
      <c r="F1506" s="63">
        <v>0</v>
      </c>
      <c r="G1506" s="64">
        <f t="shared" si="92"/>
        <v>0.8571428571428571</v>
      </c>
      <c r="H1506" s="64">
        <f t="shared" si="93"/>
        <v>0</v>
      </c>
      <c r="I1506" s="63">
        <v>2</v>
      </c>
      <c r="J1506" s="65">
        <v>84.892150000000001</v>
      </c>
      <c r="K1506" s="65">
        <v>100</v>
      </c>
      <c r="L1506" s="62" t="s">
        <v>826</v>
      </c>
      <c r="M1506" s="63">
        <v>0</v>
      </c>
      <c r="N1506" s="66">
        <f t="shared" si="94"/>
        <v>0.72699999999999998</v>
      </c>
      <c r="O1506" s="62" t="str">
        <f t="shared" si="95"/>
        <v>2: High (No DBWT)</v>
      </c>
    </row>
    <row r="1507" spans="1:15" ht="15" customHeight="1" x14ac:dyDescent="0.4">
      <c r="A1507" s="62" t="s">
        <v>824</v>
      </c>
      <c r="B1507" s="62" t="s">
        <v>2048</v>
      </c>
      <c r="C1507" s="62" t="s">
        <v>826</v>
      </c>
      <c r="D1507" s="63">
        <v>13</v>
      </c>
      <c r="E1507" s="63">
        <v>11</v>
      </c>
      <c r="F1507" s="63">
        <v>1</v>
      </c>
      <c r="G1507" s="64">
        <f t="shared" si="92"/>
        <v>0.84615384615384615</v>
      </c>
      <c r="H1507" s="64">
        <f t="shared" si="93"/>
        <v>7.6923076923076927E-2</v>
      </c>
      <c r="I1507" s="63">
        <v>2</v>
      </c>
      <c r="J1507" s="65">
        <v>92.82</v>
      </c>
      <c r="K1507" s="65">
        <v>77.8</v>
      </c>
      <c r="L1507" s="62" t="s">
        <v>826</v>
      </c>
      <c r="M1507" s="63">
        <v>0</v>
      </c>
      <c r="N1507" s="66">
        <f t="shared" si="94"/>
        <v>0.60599999999999998</v>
      </c>
      <c r="O1507" s="62" t="str">
        <f t="shared" si="95"/>
        <v>2: High (No DBWT)</v>
      </c>
    </row>
    <row r="1508" spans="1:15" ht="15" customHeight="1" x14ac:dyDescent="0.4">
      <c r="A1508" s="62" t="s">
        <v>824</v>
      </c>
      <c r="B1508" s="62" t="s">
        <v>2049</v>
      </c>
      <c r="C1508" s="62" t="s">
        <v>826</v>
      </c>
      <c r="D1508" s="63">
        <v>21</v>
      </c>
      <c r="E1508" s="63">
        <v>18</v>
      </c>
      <c r="F1508" s="63">
        <v>3</v>
      </c>
      <c r="G1508" s="64">
        <f t="shared" si="92"/>
        <v>0.8571428571428571</v>
      </c>
      <c r="H1508" s="64">
        <f t="shared" si="93"/>
        <v>0.14285714285714285</v>
      </c>
      <c r="I1508" s="63">
        <v>2</v>
      </c>
      <c r="J1508" s="65">
        <v>93.173850000000002</v>
      </c>
      <c r="K1508" s="65">
        <v>98.36</v>
      </c>
      <c r="L1508" s="62" t="s">
        <v>825</v>
      </c>
      <c r="M1508" s="63">
        <v>0</v>
      </c>
      <c r="N1508" s="66">
        <f t="shared" si="94"/>
        <v>0.98</v>
      </c>
      <c r="O1508" s="62" t="str">
        <f t="shared" si="95"/>
        <v>4: Engaged Early</v>
      </c>
    </row>
    <row r="1509" spans="1:15" ht="15" customHeight="1" x14ac:dyDescent="0.4">
      <c r="A1509" s="62" t="s">
        <v>824</v>
      </c>
      <c r="B1509" s="62" t="s">
        <v>2050</v>
      </c>
      <c r="C1509" s="62" t="s">
        <v>826</v>
      </c>
      <c r="D1509" s="63">
        <v>10</v>
      </c>
      <c r="E1509" s="63">
        <v>8</v>
      </c>
      <c r="F1509" s="63">
        <v>0</v>
      </c>
      <c r="G1509" s="64">
        <f t="shared" si="92"/>
        <v>0.8</v>
      </c>
      <c r="H1509" s="64">
        <f t="shared" si="93"/>
        <v>0</v>
      </c>
      <c r="I1509" s="63">
        <v>2</v>
      </c>
      <c r="J1509" s="65">
        <v>85.764300000000006</v>
      </c>
      <c r="K1509" s="65">
        <v>52.15</v>
      </c>
      <c r="L1509" s="62" t="s">
        <v>825</v>
      </c>
      <c r="M1509" s="63">
        <v>0</v>
      </c>
      <c r="N1509" s="66">
        <f t="shared" si="94"/>
        <v>0.69199999999999995</v>
      </c>
      <c r="O1509" s="62" t="str">
        <f t="shared" si="95"/>
        <v>4: Engaged Early</v>
      </c>
    </row>
    <row r="1510" spans="1:15" ht="15" customHeight="1" x14ac:dyDescent="0.4">
      <c r="A1510" s="62" t="s">
        <v>824</v>
      </c>
      <c r="B1510" s="62" t="s">
        <v>2051</v>
      </c>
      <c r="C1510" s="62" t="s">
        <v>826</v>
      </c>
      <c r="D1510" s="63">
        <v>5</v>
      </c>
      <c r="E1510" s="63">
        <v>4</v>
      </c>
      <c r="F1510" s="63">
        <v>1</v>
      </c>
      <c r="G1510" s="64">
        <f t="shared" si="92"/>
        <v>0.8</v>
      </c>
      <c r="H1510" s="64">
        <f t="shared" si="93"/>
        <v>0.2</v>
      </c>
      <c r="I1510" s="63">
        <v>2</v>
      </c>
      <c r="J1510" s="65">
        <v>65.932950000000005</v>
      </c>
      <c r="K1510" s="65">
        <v>85.04</v>
      </c>
      <c r="L1510" s="62" t="s">
        <v>825</v>
      </c>
      <c r="M1510" s="63">
        <v>0</v>
      </c>
      <c r="N1510" s="66">
        <f t="shared" si="94"/>
        <v>0.85899999999999999</v>
      </c>
      <c r="O1510" s="62" t="str">
        <f t="shared" si="95"/>
        <v>4: Engaged Early</v>
      </c>
    </row>
    <row r="1511" spans="1:15" ht="15" customHeight="1" x14ac:dyDescent="0.4">
      <c r="A1511" s="62" t="s">
        <v>824</v>
      </c>
      <c r="B1511" s="62" t="s">
        <v>2052</v>
      </c>
      <c r="C1511" s="62" t="s">
        <v>826</v>
      </c>
      <c r="D1511" s="63">
        <v>23</v>
      </c>
      <c r="E1511" s="63">
        <v>6</v>
      </c>
      <c r="F1511" s="63">
        <v>0</v>
      </c>
      <c r="G1511" s="64">
        <f t="shared" si="92"/>
        <v>0.2608695652173913</v>
      </c>
      <c r="H1511" s="64">
        <f t="shared" si="93"/>
        <v>0</v>
      </c>
      <c r="I1511" s="63">
        <v>2</v>
      </c>
      <c r="J1511" s="65">
        <v>92.495500000000007</v>
      </c>
      <c r="K1511" s="65">
        <v>95.95</v>
      </c>
      <c r="L1511" s="62" t="s">
        <v>825</v>
      </c>
      <c r="M1511" s="63">
        <v>0</v>
      </c>
      <c r="N1511" s="66">
        <f t="shared" si="94"/>
        <v>0.96399999999999997</v>
      </c>
      <c r="O1511" s="62" t="str">
        <f t="shared" si="95"/>
        <v>4: Engaged Early</v>
      </c>
    </row>
    <row r="1512" spans="1:15" ht="15" customHeight="1" x14ac:dyDescent="0.4">
      <c r="A1512" s="62" t="s">
        <v>824</v>
      </c>
      <c r="B1512" s="62" t="s">
        <v>361</v>
      </c>
      <c r="C1512" s="62" t="s">
        <v>825</v>
      </c>
      <c r="D1512" s="63">
        <v>4</v>
      </c>
      <c r="E1512" s="63">
        <v>2</v>
      </c>
      <c r="F1512" s="63">
        <v>0</v>
      </c>
      <c r="G1512" s="64">
        <f t="shared" si="92"/>
        <v>0.5</v>
      </c>
      <c r="H1512" s="64">
        <f t="shared" si="93"/>
        <v>0</v>
      </c>
      <c r="I1512" s="63">
        <v>0</v>
      </c>
      <c r="J1512" s="65"/>
      <c r="K1512" s="65">
        <v>0</v>
      </c>
      <c r="L1512" s="62" t="s">
        <v>825</v>
      </c>
      <c r="M1512" s="63">
        <v>0</v>
      </c>
      <c r="N1512" s="66">
        <f t="shared" si="94"/>
        <v>0.25</v>
      </c>
      <c r="O1512" s="62" t="str">
        <f t="shared" si="95"/>
        <v>3: Elevated (No Wk0)</v>
      </c>
    </row>
    <row r="1513" spans="1:15" ht="15" customHeight="1" x14ac:dyDescent="0.4">
      <c r="A1513" s="62" t="s">
        <v>824</v>
      </c>
      <c r="B1513" s="62" t="s">
        <v>2053</v>
      </c>
      <c r="C1513" s="62" t="s">
        <v>826</v>
      </c>
      <c r="D1513" s="63">
        <v>17</v>
      </c>
      <c r="E1513" s="63">
        <v>10</v>
      </c>
      <c r="F1513" s="63">
        <v>0</v>
      </c>
      <c r="G1513" s="64">
        <f t="shared" si="92"/>
        <v>0.58823529411764708</v>
      </c>
      <c r="H1513" s="64">
        <f t="shared" si="93"/>
        <v>0</v>
      </c>
      <c r="I1513" s="63">
        <v>2</v>
      </c>
      <c r="J1513" s="65">
        <v>80.116849999999999</v>
      </c>
      <c r="K1513" s="65">
        <v>95.65</v>
      </c>
      <c r="L1513" s="62" t="s">
        <v>825</v>
      </c>
      <c r="M1513" s="63">
        <v>0</v>
      </c>
      <c r="N1513" s="66">
        <f t="shared" si="94"/>
        <v>0.94399999999999995</v>
      </c>
      <c r="O1513" s="62" t="str">
        <f t="shared" si="95"/>
        <v>4: Engaged Early</v>
      </c>
    </row>
    <row r="1514" spans="1:15" ht="15" customHeight="1" x14ac:dyDescent="0.4">
      <c r="A1514" s="62" t="s">
        <v>824</v>
      </c>
      <c r="B1514" s="62" t="s">
        <v>2054</v>
      </c>
      <c r="C1514" s="62" t="s">
        <v>826</v>
      </c>
      <c r="D1514" s="63">
        <v>21</v>
      </c>
      <c r="E1514" s="63">
        <v>7</v>
      </c>
      <c r="F1514" s="63">
        <v>0</v>
      </c>
      <c r="G1514" s="64">
        <f t="shared" si="92"/>
        <v>0.33333333333333331</v>
      </c>
      <c r="H1514" s="64">
        <f t="shared" si="93"/>
        <v>0</v>
      </c>
      <c r="I1514" s="63">
        <v>2</v>
      </c>
      <c r="J1514" s="65">
        <v>78.965199999999996</v>
      </c>
      <c r="K1514" s="65">
        <v>93.88</v>
      </c>
      <c r="L1514" s="62" t="s">
        <v>825</v>
      </c>
      <c r="M1514" s="63">
        <v>0</v>
      </c>
      <c r="N1514" s="66">
        <f t="shared" si="94"/>
        <v>0.93200000000000005</v>
      </c>
      <c r="O1514" s="62" t="str">
        <f t="shared" si="95"/>
        <v>4: Engaged Early</v>
      </c>
    </row>
    <row r="1515" spans="1:15" ht="15" customHeight="1" x14ac:dyDescent="0.4">
      <c r="A1515" s="62" t="s">
        <v>824</v>
      </c>
      <c r="B1515" s="62" t="s">
        <v>2055</v>
      </c>
      <c r="C1515" s="62" t="s">
        <v>826</v>
      </c>
      <c r="D1515" s="63">
        <v>16</v>
      </c>
      <c r="E1515" s="63">
        <v>11</v>
      </c>
      <c r="F1515" s="63">
        <v>5</v>
      </c>
      <c r="G1515" s="64">
        <f t="shared" si="92"/>
        <v>0.6875</v>
      </c>
      <c r="H1515" s="64">
        <f t="shared" si="93"/>
        <v>0.3125</v>
      </c>
      <c r="I1515" s="63">
        <v>2</v>
      </c>
      <c r="J1515" s="65">
        <v>98.505250000000004</v>
      </c>
      <c r="K1515" s="65">
        <v>100</v>
      </c>
      <c r="L1515" s="62" t="s">
        <v>826</v>
      </c>
      <c r="M1515" s="63">
        <v>0</v>
      </c>
      <c r="N1515" s="66">
        <f t="shared" si="94"/>
        <v>0.748</v>
      </c>
      <c r="O1515" s="62" t="str">
        <f t="shared" si="95"/>
        <v>2: High (No DBWT)</v>
      </c>
    </row>
    <row r="1516" spans="1:15" ht="15" customHeight="1" x14ac:dyDescent="0.4">
      <c r="A1516" s="62" t="s">
        <v>824</v>
      </c>
      <c r="B1516" s="62" t="s">
        <v>2056</v>
      </c>
      <c r="C1516" s="62" t="s">
        <v>826</v>
      </c>
      <c r="D1516" s="63">
        <v>7</v>
      </c>
      <c r="E1516" s="63">
        <v>7</v>
      </c>
      <c r="F1516" s="63">
        <v>2</v>
      </c>
      <c r="G1516" s="64">
        <f t="shared" si="92"/>
        <v>1</v>
      </c>
      <c r="H1516" s="64">
        <f t="shared" si="93"/>
        <v>0.2857142857142857</v>
      </c>
      <c r="I1516" s="63">
        <v>2</v>
      </c>
      <c r="J1516" s="65">
        <v>55.920250000000003</v>
      </c>
      <c r="K1516" s="65">
        <v>92.44</v>
      </c>
      <c r="L1516" s="62" t="s">
        <v>825</v>
      </c>
      <c r="M1516" s="63">
        <v>0</v>
      </c>
      <c r="N1516" s="66">
        <f t="shared" si="94"/>
        <v>0.88900000000000001</v>
      </c>
      <c r="O1516" s="62" t="str">
        <f t="shared" si="95"/>
        <v>4: Engaged Early</v>
      </c>
    </row>
    <row r="1517" spans="1:15" ht="15" customHeight="1" x14ac:dyDescent="0.4">
      <c r="A1517" s="62" t="s">
        <v>824</v>
      </c>
      <c r="B1517" s="62" t="s">
        <v>2057</v>
      </c>
      <c r="C1517" s="62" t="s">
        <v>826</v>
      </c>
      <c r="D1517" s="63">
        <v>0</v>
      </c>
      <c r="E1517" s="63">
        <v>0</v>
      </c>
      <c r="F1517" s="63">
        <v>0</v>
      </c>
      <c r="G1517" s="64">
        <f t="shared" si="92"/>
        <v>0</v>
      </c>
      <c r="H1517" s="64">
        <f t="shared" si="93"/>
        <v>0</v>
      </c>
      <c r="I1517" s="63">
        <v>1</v>
      </c>
      <c r="J1517" s="65">
        <v>73.28</v>
      </c>
      <c r="K1517" s="65">
        <v>44.46</v>
      </c>
      <c r="L1517" s="62" t="s">
        <v>840</v>
      </c>
      <c r="M1517" s="63">
        <v>0</v>
      </c>
      <c r="N1517" s="66">
        <f t="shared" si="94"/>
        <v>0.45200000000000001</v>
      </c>
      <c r="O1517" s="62" t="str">
        <f t="shared" si="95"/>
        <v>4: Engaged Early</v>
      </c>
    </row>
    <row r="1518" spans="1:15" ht="15" customHeight="1" x14ac:dyDescent="0.4">
      <c r="A1518" s="62" t="s">
        <v>824</v>
      </c>
      <c r="B1518" s="62" t="s">
        <v>2058</v>
      </c>
      <c r="C1518" s="62" t="s">
        <v>826</v>
      </c>
      <c r="D1518" s="63">
        <v>15</v>
      </c>
      <c r="E1518" s="63">
        <v>14</v>
      </c>
      <c r="F1518" s="63">
        <v>1</v>
      </c>
      <c r="G1518" s="64">
        <f t="shared" si="92"/>
        <v>0.93333333333333335</v>
      </c>
      <c r="H1518" s="64">
        <f t="shared" si="93"/>
        <v>6.6666666666666666E-2</v>
      </c>
      <c r="I1518" s="63">
        <v>2</v>
      </c>
      <c r="J1518" s="65">
        <v>93.23115</v>
      </c>
      <c r="K1518" s="65">
        <v>89.08</v>
      </c>
      <c r="L1518" s="62" t="s">
        <v>825</v>
      </c>
      <c r="M1518" s="63">
        <v>0</v>
      </c>
      <c r="N1518" s="66">
        <f t="shared" si="94"/>
        <v>0.92400000000000004</v>
      </c>
      <c r="O1518" s="62" t="str">
        <f t="shared" si="95"/>
        <v>4: Engaged Early</v>
      </c>
    </row>
    <row r="1519" spans="1:15" ht="15" customHeight="1" x14ac:dyDescent="0.4">
      <c r="A1519" s="62" t="s">
        <v>824</v>
      </c>
      <c r="B1519" s="62" t="s">
        <v>2059</v>
      </c>
      <c r="C1519" s="62" t="s">
        <v>826</v>
      </c>
      <c r="D1519" s="63">
        <v>3</v>
      </c>
      <c r="E1519" s="63">
        <v>3</v>
      </c>
      <c r="F1519" s="63">
        <v>1</v>
      </c>
      <c r="G1519" s="64">
        <f t="shared" si="92"/>
        <v>1</v>
      </c>
      <c r="H1519" s="64">
        <f t="shared" si="93"/>
        <v>0.33333333333333331</v>
      </c>
      <c r="I1519" s="63">
        <v>2</v>
      </c>
      <c r="J1519" s="65">
        <v>50.989350000000002</v>
      </c>
      <c r="K1519" s="65">
        <v>91.94</v>
      </c>
      <c r="L1519" s="62" t="s">
        <v>826</v>
      </c>
      <c r="M1519" s="63">
        <v>0</v>
      </c>
      <c r="N1519" s="66">
        <f t="shared" si="94"/>
        <v>0.628</v>
      </c>
      <c r="O1519" s="62" t="str">
        <f t="shared" si="95"/>
        <v>2: High (No DBWT)</v>
      </c>
    </row>
    <row r="1520" spans="1:15" ht="15" customHeight="1" x14ac:dyDescent="0.4">
      <c r="A1520" s="62" t="s">
        <v>824</v>
      </c>
      <c r="B1520" s="62" t="s">
        <v>2060</v>
      </c>
      <c r="C1520" s="62" t="s">
        <v>826</v>
      </c>
      <c r="D1520" s="63">
        <v>23</v>
      </c>
      <c r="E1520" s="63">
        <v>6</v>
      </c>
      <c r="F1520" s="63">
        <v>1</v>
      </c>
      <c r="G1520" s="64">
        <f t="shared" si="92"/>
        <v>0.2608695652173913</v>
      </c>
      <c r="H1520" s="64">
        <f t="shared" si="93"/>
        <v>4.3478260869565216E-2</v>
      </c>
      <c r="I1520" s="63">
        <v>2</v>
      </c>
      <c r="J1520" s="65">
        <v>83.898700000000005</v>
      </c>
      <c r="K1520" s="65">
        <v>100</v>
      </c>
      <c r="L1520" s="62" t="s">
        <v>825</v>
      </c>
      <c r="M1520" s="63">
        <v>0</v>
      </c>
      <c r="N1520" s="66">
        <f t="shared" si="94"/>
        <v>0.97599999999999998</v>
      </c>
      <c r="O1520" s="62" t="str">
        <f t="shared" si="95"/>
        <v>4: Engaged Early</v>
      </c>
    </row>
    <row r="1521" spans="1:15" ht="15" customHeight="1" x14ac:dyDescent="0.4">
      <c r="A1521" s="62" t="s">
        <v>824</v>
      </c>
      <c r="B1521" s="62" t="s">
        <v>2061</v>
      </c>
      <c r="C1521" s="62" t="s">
        <v>826</v>
      </c>
      <c r="D1521" s="63">
        <v>20</v>
      </c>
      <c r="E1521" s="63">
        <v>17</v>
      </c>
      <c r="F1521" s="63">
        <v>2</v>
      </c>
      <c r="G1521" s="64">
        <f t="shared" si="92"/>
        <v>0.85</v>
      </c>
      <c r="H1521" s="64">
        <f t="shared" si="93"/>
        <v>0.1</v>
      </c>
      <c r="I1521" s="63">
        <v>2</v>
      </c>
      <c r="J1521" s="65">
        <v>79.778049999999993</v>
      </c>
      <c r="K1521" s="65">
        <v>99.25</v>
      </c>
      <c r="L1521" s="62" t="s">
        <v>825</v>
      </c>
      <c r="M1521" s="63">
        <v>0</v>
      </c>
      <c r="N1521" s="66">
        <f t="shared" si="94"/>
        <v>0.96499999999999997</v>
      </c>
      <c r="O1521" s="62" t="str">
        <f t="shared" si="95"/>
        <v>4: Engaged Early</v>
      </c>
    </row>
    <row r="1522" spans="1:15" ht="15" customHeight="1" x14ac:dyDescent="0.4">
      <c r="A1522" s="62" t="s">
        <v>824</v>
      </c>
      <c r="B1522" s="62" t="s">
        <v>2062</v>
      </c>
      <c r="C1522" s="62" t="s">
        <v>826</v>
      </c>
      <c r="D1522" s="63">
        <v>17</v>
      </c>
      <c r="E1522" s="63">
        <v>11</v>
      </c>
      <c r="F1522" s="63">
        <v>4</v>
      </c>
      <c r="G1522" s="64">
        <f t="shared" si="92"/>
        <v>0.6470588235294118</v>
      </c>
      <c r="H1522" s="64">
        <f t="shared" si="93"/>
        <v>0.23529411764705882</v>
      </c>
      <c r="I1522" s="63">
        <v>2</v>
      </c>
      <c r="J1522" s="65">
        <v>97.20205</v>
      </c>
      <c r="K1522" s="65">
        <v>100</v>
      </c>
      <c r="L1522" s="62" t="s">
        <v>825</v>
      </c>
      <c r="M1522" s="63">
        <v>0</v>
      </c>
      <c r="N1522" s="66">
        <f t="shared" si="94"/>
        <v>0.996</v>
      </c>
      <c r="O1522" s="62" t="str">
        <f t="shared" si="95"/>
        <v>4: Engaged Early</v>
      </c>
    </row>
    <row r="1523" spans="1:15" ht="15" customHeight="1" x14ac:dyDescent="0.4">
      <c r="A1523" s="62" t="s">
        <v>824</v>
      </c>
      <c r="B1523" s="62" t="s">
        <v>2063</v>
      </c>
      <c r="C1523" s="62" t="s">
        <v>826</v>
      </c>
      <c r="D1523" s="63">
        <v>16</v>
      </c>
      <c r="E1523" s="63">
        <v>14</v>
      </c>
      <c r="F1523" s="63">
        <v>0</v>
      </c>
      <c r="G1523" s="64">
        <f t="shared" si="92"/>
        <v>0.875</v>
      </c>
      <c r="H1523" s="64">
        <f t="shared" si="93"/>
        <v>0</v>
      </c>
      <c r="I1523" s="63">
        <v>2</v>
      </c>
      <c r="J1523" s="65">
        <v>54.935400000000001</v>
      </c>
      <c r="K1523" s="65">
        <v>92.21</v>
      </c>
      <c r="L1523" s="62" t="s">
        <v>825</v>
      </c>
      <c r="M1523" s="63">
        <v>0</v>
      </c>
      <c r="N1523" s="66">
        <f t="shared" si="94"/>
        <v>0.88600000000000001</v>
      </c>
      <c r="O1523" s="62" t="str">
        <f t="shared" si="95"/>
        <v>4: Engaged Early</v>
      </c>
    </row>
    <row r="1524" spans="1:15" ht="15" customHeight="1" x14ac:dyDescent="0.4">
      <c r="A1524" s="62" t="s">
        <v>824</v>
      </c>
      <c r="B1524" s="62" t="s">
        <v>2064</v>
      </c>
      <c r="C1524" s="62" t="s">
        <v>826</v>
      </c>
      <c r="D1524" s="63">
        <v>3</v>
      </c>
      <c r="E1524" s="63">
        <v>2</v>
      </c>
      <c r="F1524" s="63">
        <v>1</v>
      </c>
      <c r="G1524" s="64">
        <f t="shared" si="92"/>
        <v>0.66666666666666663</v>
      </c>
      <c r="H1524" s="64">
        <f t="shared" si="93"/>
        <v>0.33333333333333331</v>
      </c>
      <c r="I1524" s="63">
        <v>2</v>
      </c>
      <c r="J1524" s="65">
        <v>94.959599999999995</v>
      </c>
      <c r="K1524" s="65">
        <v>94.17</v>
      </c>
      <c r="L1524" s="62" t="s">
        <v>825</v>
      </c>
      <c r="M1524" s="63">
        <v>1</v>
      </c>
      <c r="N1524" s="66">
        <f t="shared" si="94"/>
        <v>0.95699999999999996</v>
      </c>
      <c r="O1524" s="62" t="str">
        <f t="shared" si="95"/>
        <v>4: Engaged Early</v>
      </c>
    </row>
    <row r="1525" spans="1:15" ht="15" customHeight="1" x14ac:dyDescent="0.4">
      <c r="A1525" s="62" t="s">
        <v>824</v>
      </c>
      <c r="B1525" s="62" t="s">
        <v>2065</v>
      </c>
      <c r="C1525" s="62" t="s">
        <v>826</v>
      </c>
      <c r="D1525" s="63">
        <v>22</v>
      </c>
      <c r="E1525" s="63">
        <v>3</v>
      </c>
      <c r="F1525" s="63">
        <v>0</v>
      </c>
      <c r="G1525" s="64">
        <f t="shared" si="92"/>
        <v>0.13636363636363635</v>
      </c>
      <c r="H1525" s="64">
        <f t="shared" si="93"/>
        <v>0</v>
      </c>
      <c r="I1525" s="63">
        <v>2</v>
      </c>
      <c r="J1525" s="65">
        <v>64.337950000000006</v>
      </c>
      <c r="K1525" s="65">
        <v>93.48</v>
      </c>
      <c r="L1525" s="62" t="s">
        <v>825</v>
      </c>
      <c r="M1525" s="63">
        <v>0</v>
      </c>
      <c r="N1525" s="66">
        <f t="shared" si="94"/>
        <v>0.90700000000000003</v>
      </c>
      <c r="O1525" s="62" t="str">
        <f t="shared" si="95"/>
        <v>4: Engaged Early</v>
      </c>
    </row>
    <row r="1526" spans="1:15" ht="15" customHeight="1" x14ac:dyDescent="0.4">
      <c r="A1526" s="62" t="s">
        <v>824</v>
      </c>
      <c r="B1526" s="62" t="s">
        <v>2066</v>
      </c>
      <c r="C1526" s="62" t="s">
        <v>826</v>
      </c>
      <c r="D1526" s="63">
        <v>17</v>
      </c>
      <c r="E1526" s="63">
        <v>15</v>
      </c>
      <c r="F1526" s="63">
        <v>1</v>
      </c>
      <c r="G1526" s="64">
        <f t="shared" si="92"/>
        <v>0.88235294117647056</v>
      </c>
      <c r="H1526" s="64">
        <f t="shared" si="93"/>
        <v>5.8823529411764705E-2</v>
      </c>
      <c r="I1526" s="63">
        <v>1</v>
      </c>
      <c r="J1526" s="65">
        <v>80.39</v>
      </c>
      <c r="K1526" s="65">
        <v>20.420000000000002</v>
      </c>
      <c r="L1526" s="62" t="s">
        <v>825</v>
      </c>
      <c r="M1526" s="63">
        <v>0</v>
      </c>
      <c r="N1526" s="66">
        <f t="shared" si="94"/>
        <v>0.49299999999999999</v>
      </c>
      <c r="O1526" s="62" t="str">
        <f t="shared" si="95"/>
        <v>4: Engaged Early</v>
      </c>
    </row>
    <row r="1527" spans="1:15" ht="15" customHeight="1" x14ac:dyDescent="0.4">
      <c r="A1527" s="62" t="s">
        <v>824</v>
      </c>
      <c r="B1527" s="62" t="s">
        <v>2067</v>
      </c>
      <c r="C1527" s="62" t="s">
        <v>826</v>
      </c>
      <c r="D1527" s="63">
        <v>9</v>
      </c>
      <c r="E1527" s="63">
        <v>4</v>
      </c>
      <c r="F1527" s="63">
        <v>1</v>
      </c>
      <c r="G1527" s="64">
        <f t="shared" si="92"/>
        <v>0.44444444444444442</v>
      </c>
      <c r="H1527" s="64">
        <f t="shared" si="93"/>
        <v>0.1111111111111111</v>
      </c>
      <c r="I1527" s="63">
        <v>2</v>
      </c>
      <c r="J1527" s="65">
        <v>99.261250000000004</v>
      </c>
      <c r="K1527" s="65">
        <v>100</v>
      </c>
      <c r="L1527" s="62" t="s">
        <v>825</v>
      </c>
      <c r="M1527" s="63">
        <v>0</v>
      </c>
      <c r="N1527" s="66">
        <f t="shared" si="94"/>
        <v>0.999</v>
      </c>
      <c r="O1527" s="62" t="str">
        <f t="shared" si="95"/>
        <v>4: Engaged Early</v>
      </c>
    </row>
    <row r="1528" spans="1:15" ht="15" customHeight="1" x14ac:dyDescent="0.4">
      <c r="A1528" s="62" t="s">
        <v>824</v>
      </c>
      <c r="B1528" s="62" t="s">
        <v>2068</v>
      </c>
      <c r="C1528" s="62" t="s">
        <v>826</v>
      </c>
      <c r="D1528" s="63">
        <v>5</v>
      </c>
      <c r="E1528" s="63">
        <v>5</v>
      </c>
      <c r="F1528" s="63">
        <v>1</v>
      </c>
      <c r="G1528" s="64">
        <f t="shared" si="92"/>
        <v>1</v>
      </c>
      <c r="H1528" s="64">
        <f t="shared" si="93"/>
        <v>0.2</v>
      </c>
      <c r="I1528" s="63">
        <v>2</v>
      </c>
      <c r="J1528" s="65">
        <v>99.98</v>
      </c>
      <c r="K1528" s="65">
        <v>88.89</v>
      </c>
      <c r="L1528" s="62" t="s">
        <v>826</v>
      </c>
      <c r="M1528" s="63">
        <v>0</v>
      </c>
      <c r="N1528" s="66">
        <f t="shared" si="94"/>
        <v>0.68300000000000005</v>
      </c>
      <c r="O1528" s="62" t="str">
        <f t="shared" si="95"/>
        <v>2: High (No DBWT)</v>
      </c>
    </row>
    <row r="1529" spans="1:15" ht="15" customHeight="1" x14ac:dyDescent="0.4">
      <c r="A1529" s="62" t="s">
        <v>824</v>
      </c>
      <c r="B1529" s="62" t="s">
        <v>2069</v>
      </c>
      <c r="C1529" s="62" t="s">
        <v>826</v>
      </c>
      <c r="D1529" s="63">
        <v>5</v>
      </c>
      <c r="E1529" s="63">
        <v>5</v>
      </c>
      <c r="F1529" s="63">
        <v>0</v>
      </c>
      <c r="G1529" s="64">
        <f t="shared" si="92"/>
        <v>1</v>
      </c>
      <c r="H1529" s="64">
        <f t="shared" si="93"/>
        <v>0</v>
      </c>
      <c r="I1529" s="63">
        <v>2</v>
      </c>
      <c r="J1529" s="65">
        <v>90.752700000000004</v>
      </c>
      <c r="K1529" s="65">
        <v>88.07</v>
      </c>
      <c r="L1529" s="62" t="s">
        <v>825</v>
      </c>
      <c r="M1529" s="63">
        <v>1</v>
      </c>
      <c r="N1529" s="66">
        <f t="shared" si="94"/>
        <v>0.91500000000000004</v>
      </c>
      <c r="O1529" s="62" t="str">
        <f t="shared" si="95"/>
        <v>4: Engaged Early</v>
      </c>
    </row>
    <row r="1530" spans="1:15" ht="15" customHeight="1" x14ac:dyDescent="0.4">
      <c r="A1530" s="62" t="s">
        <v>824</v>
      </c>
      <c r="B1530" s="62" t="s">
        <v>2070</v>
      </c>
      <c r="C1530" s="62" t="s">
        <v>826</v>
      </c>
      <c r="D1530" s="63">
        <v>13</v>
      </c>
      <c r="E1530" s="63">
        <v>3</v>
      </c>
      <c r="F1530" s="63">
        <v>1</v>
      </c>
      <c r="G1530" s="64">
        <f t="shared" si="92"/>
        <v>0.23076923076923078</v>
      </c>
      <c r="H1530" s="64">
        <f t="shared" si="93"/>
        <v>7.6923076923076927E-2</v>
      </c>
      <c r="I1530" s="63">
        <v>2</v>
      </c>
      <c r="J1530" s="65">
        <v>84.646900000000002</v>
      </c>
      <c r="K1530" s="65">
        <v>87.44</v>
      </c>
      <c r="L1530" s="62" t="s">
        <v>825</v>
      </c>
      <c r="M1530" s="63">
        <v>0</v>
      </c>
      <c r="N1530" s="66">
        <f t="shared" si="94"/>
        <v>0.90200000000000002</v>
      </c>
      <c r="O1530" s="62" t="str">
        <f t="shared" si="95"/>
        <v>4: Engaged Early</v>
      </c>
    </row>
    <row r="1531" spans="1:15" ht="15" customHeight="1" x14ac:dyDescent="0.4">
      <c r="A1531" s="62" t="s">
        <v>824</v>
      </c>
      <c r="B1531" s="62" t="s">
        <v>2071</v>
      </c>
      <c r="C1531" s="62" t="s">
        <v>826</v>
      </c>
      <c r="D1531" s="63">
        <v>1</v>
      </c>
      <c r="E1531" s="63">
        <v>1</v>
      </c>
      <c r="F1531" s="63">
        <v>0</v>
      </c>
      <c r="G1531" s="64">
        <f t="shared" si="92"/>
        <v>1</v>
      </c>
      <c r="H1531" s="64">
        <f t="shared" si="93"/>
        <v>0</v>
      </c>
      <c r="I1531" s="63">
        <v>2</v>
      </c>
      <c r="J1531" s="65">
        <v>85.584699999999998</v>
      </c>
      <c r="K1531" s="65">
        <v>100</v>
      </c>
      <c r="L1531" s="62" t="s">
        <v>825</v>
      </c>
      <c r="M1531" s="63">
        <v>0</v>
      </c>
      <c r="N1531" s="66">
        <f t="shared" si="94"/>
        <v>0.97799999999999998</v>
      </c>
      <c r="O1531" s="62" t="str">
        <f t="shared" si="95"/>
        <v>4: Engaged Early</v>
      </c>
    </row>
    <row r="1532" spans="1:15" ht="15" customHeight="1" x14ac:dyDescent="0.4">
      <c r="A1532" s="62" t="s">
        <v>824</v>
      </c>
      <c r="B1532" s="62" t="s">
        <v>2072</v>
      </c>
      <c r="C1532" s="62" t="s">
        <v>826</v>
      </c>
      <c r="D1532" s="63">
        <v>12</v>
      </c>
      <c r="E1532" s="63">
        <v>8</v>
      </c>
      <c r="F1532" s="63">
        <v>3</v>
      </c>
      <c r="G1532" s="64">
        <f t="shared" si="92"/>
        <v>0.66666666666666663</v>
      </c>
      <c r="H1532" s="64">
        <f t="shared" si="93"/>
        <v>0.25</v>
      </c>
      <c r="I1532" s="63">
        <v>2</v>
      </c>
      <c r="J1532" s="65">
        <v>98.654150000000001</v>
      </c>
      <c r="K1532" s="65">
        <v>96.07</v>
      </c>
      <c r="L1532" s="62" t="s">
        <v>825</v>
      </c>
      <c r="M1532" s="63">
        <v>0</v>
      </c>
      <c r="N1532" s="66">
        <f t="shared" si="94"/>
        <v>0.97399999999999998</v>
      </c>
      <c r="O1532" s="62" t="str">
        <f t="shared" si="95"/>
        <v>4: Engaged Early</v>
      </c>
    </row>
    <row r="1533" spans="1:15" ht="15" customHeight="1" x14ac:dyDescent="0.4">
      <c r="A1533" s="62" t="s">
        <v>824</v>
      </c>
      <c r="B1533" s="62" t="s">
        <v>563</v>
      </c>
      <c r="C1533" s="62" t="s">
        <v>825</v>
      </c>
      <c r="D1533" s="63">
        <v>23</v>
      </c>
      <c r="E1533" s="63">
        <v>3</v>
      </c>
      <c r="F1533" s="63">
        <v>1</v>
      </c>
      <c r="G1533" s="64">
        <f t="shared" si="92"/>
        <v>0.13043478260869565</v>
      </c>
      <c r="H1533" s="64">
        <f t="shared" si="93"/>
        <v>4.3478260869565216E-2</v>
      </c>
      <c r="I1533" s="63">
        <v>2</v>
      </c>
      <c r="J1533" s="65">
        <v>87.729249999999993</v>
      </c>
      <c r="K1533" s="65">
        <v>26.83</v>
      </c>
      <c r="L1533" s="62" t="s">
        <v>825</v>
      </c>
      <c r="M1533" s="63">
        <v>0</v>
      </c>
      <c r="N1533" s="66">
        <f t="shared" si="94"/>
        <v>0.54300000000000004</v>
      </c>
      <c r="O1533" s="62" t="str">
        <f t="shared" si="95"/>
        <v>4: Engaged Early</v>
      </c>
    </row>
    <row r="1534" spans="1:15" ht="15" customHeight="1" x14ac:dyDescent="0.4">
      <c r="A1534" s="62" t="s">
        <v>824</v>
      </c>
      <c r="B1534" s="62" t="s">
        <v>2073</v>
      </c>
      <c r="C1534" s="62" t="s">
        <v>826</v>
      </c>
      <c r="D1534" s="63">
        <v>23</v>
      </c>
      <c r="E1534" s="63">
        <v>22</v>
      </c>
      <c r="F1534" s="63">
        <v>0</v>
      </c>
      <c r="G1534" s="64">
        <f t="shared" si="92"/>
        <v>0.95652173913043481</v>
      </c>
      <c r="H1534" s="64">
        <f t="shared" si="93"/>
        <v>0</v>
      </c>
      <c r="I1534" s="63">
        <v>2</v>
      </c>
      <c r="J1534" s="65">
        <v>93.760199999999998</v>
      </c>
      <c r="K1534" s="65">
        <v>88.08</v>
      </c>
      <c r="L1534" s="62" t="s">
        <v>825</v>
      </c>
      <c r="M1534" s="63">
        <v>0</v>
      </c>
      <c r="N1534" s="66">
        <f t="shared" si="94"/>
        <v>0.91900000000000004</v>
      </c>
      <c r="O1534" s="62" t="str">
        <f t="shared" si="95"/>
        <v>4: Engaged Early</v>
      </c>
    </row>
    <row r="1535" spans="1:15" ht="15" customHeight="1" x14ac:dyDescent="0.4">
      <c r="A1535" s="62" t="s">
        <v>824</v>
      </c>
      <c r="B1535" s="62" t="s">
        <v>2074</v>
      </c>
      <c r="C1535" s="62" t="s">
        <v>826</v>
      </c>
      <c r="D1535" s="63">
        <v>15</v>
      </c>
      <c r="E1535" s="63">
        <v>14</v>
      </c>
      <c r="F1535" s="63">
        <v>4</v>
      </c>
      <c r="G1535" s="64">
        <f t="shared" si="92"/>
        <v>0.93333333333333335</v>
      </c>
      <c r="H1535" s="64">
        <f t="shared" si="93"/>
        <v>0.26666666666666666</v>
      </c>
      <c r="I1535" s="63">
        <v>2</v>
      </c>
      <c r="J1535" s="65">
        <v>64.315749999999994</v>
      </c>
      <c r="K1535" s="65">
        <v>92.99</v>
      </c>
      <c r="L1535" s="62" t="s">
        <v>825</v>
      </c>
      <c r="M1535" s="63">
        <v>0</v>
      </c>
      <c r="N1535" s="66">
        <f t="shared" si="94"/>
        <v>0.90400000000000003</v>
      </c>
      <c r="O1535" s="62" t="str">
        <f t="shared" si="95"/>
        <v>4: Engaged Early</v>
      </c>
    </row>
    <row r="1536" spans="1:15" ht="15" customHeight="1" x14ac:dyDescent="0.4">
      <c r="A1536" s="62" t="s">
        <v>824</v>
      </c>
      <c r="B1536" s="62" t="s">
        <v>2075</v>
      </c>
      <c r="C1536" s="62" t="s">
        <v>826</v>
      </c>
      <c r="D1536" s="63">
        <v>12</v>
      </c>
      <c r="E1536" s="63">
        <v>3</v>
      </c>
      <c r="F1536" s="63">
        <v>1</v>
      </c>
      <c r="G1536" s="64">
        <f t="shared" si="92"/>
        <v>0.25</v>
      </c>
      <c r="H1536" s="64">
        <f t="shared" si="93"/>
        <v>8.3333333333333329E-2</v>
      </c>
      <c r="I1536" s="63">
        <v>2</v>
      </c>
      <c r="J1536" s="65">
        <v>81.209900000000005</v>
      </c>
      <c r="K1536" s="65">
        <v>97.39</v>
      </c>
      <c r="L1536" s="62" t="s">
        <v>826</v>
      </c>
      <c r="M1536" s="63">
        <v>0</v>
      </c>
      <c r="N1536" s="66">
        <f t="shared" si="94"/>
        <v>0.70599999999999996</v>
      </c>
      <c r="O1536" s="62" t="str">
        <f t="shared" si="95"/>
        <v>2: High (No DBWT)</v>
      </c>
    </row>
    <row r="1537" spans="1:15" ht="15" customHeight="1" x14ac:dyDescent="0.4">
      <c r="A1537" s="62" t="s">
        <v>824</v>
      </c>
      <c r="B1537" s="62" t="s">
        <v>2076</v>
      </c>
      <c r="C1537" s="62" t="s">
        <v>826</v>
      </c>
      <c r="D1537" s="63">
        <v>8</v>
      </c>
      <c r="E1537" s="63">
        <v>7</v>
      </c>
      <c r="F1537" s="63">
        <v>2</v>
      </c>
      <c r="G1537" s="64">
        <f t="shared" si="92"/>
        <v>0.875</v>
      </c>
      <c r="H1537" s="64">
        <f t="shared" si="93"/>
        <v>0.25</v>
      </c>
      <c r="I1537" s="63">
        <v>2</v>
      </c>
      <c r="J1537" s="65">
        <v>95.566900000000004</v>
      </c>
      <c r="K1537" s="65">
        <v>100</v>
      </c>
      <c r="L1537" s="62" t="s">
        <v>825</v>
      </c>
      <c r="M1537" s="63">
        <v>1</v>
      </c>
      <c r="N1537" s="66">
        <f t="shared" si="94"/>
        <v>0.99299999999999999</v>
      </c>
      <c r="O1537" s="62" t="str">
        <f t="shared" si="95"/>
        <v>4: Engaged Early</v>
      </c>
    </row>
    <row r="1538" spans="1:15" ht="15" customHeight="1" x14ac:dyDescent="0.4">
      <c r="A1538" s="62" t="s">
        <v>824</v>
      </c>
      <c r="B1538" s="62" t="s">
        <v>2077</v>
      </c>
      <c r="C1538" s="62" t="s">
        <v>826</v>
      </c>
      <c r="D1538" s="63">
        <v>17</v>
      </c>
      <c r="E1538" s="63">
        <v>16</v>
      </c>
      <c r="F1538" s="63">
        <v>1</v>
      </c>
      <c r="G1538" s="64">
        <f t="shared" ref="G1538:G1601" si="96">IFERROR(E1538/D1538,0)</f>
        <v>0.94117647058823528</v>
      </c>
      <c r="H1538" s="64">
        <f t="shared" ref="H1538:H1601" si="97">IFERROR(F1538/D1538,0)</f>
        <v>5.8823529411764705E-2</v>
      </c>
      <c r="I1538" s="63">
        <v>1</v>
      </c>
      <c r="J1538" s="65">
        <v>99.92</v>
      </c>
      <c r="K1538" s="65">
        <v>88.89</v>
      </c>
      <c r="L1538" s="62" t="s">
        <v>825</v>
      </c>
      <c r="M1538" s="63">
        <v>0</v>
      </c>
      <c r="N1538" s="66">
        <f t="shared" ref="N1538:N1601" si="98">ROUND(IFERROR(K1538/100,0)*0.6 + IF(L1538="Yes",1,IF(L1538="No",0,0.3))*0.25 + IFERROR(J1538/100,0)*0.15,3)</f>
        <v>0.93300000000000005</v>
      </c>
      <c r="O1538" s="62" t="str">
        <f t="shared" ref="O1538:O1601" si="99">IF(AND(L1538="No",I1538=0),"1: Critical (No DBWT + No Wk0)",IF(L1538="No","2: High (No DBWT)",IF(I1538=0,"3: Elevated (No Wk0)","4: Engaged Early")))</f>
        <v>4: Engaged Early</v>
      </c>
    </row>
    <row r="1539" spans="1:15" ht="15" customHeight="1" x14ac:dyDescent="0.4">
      <c r="A1539" s="62" t="s">
        <v>824</v>
      </c>
      <c r="B1539" s="62" t="s">
        <v>2078</v>
      </c>
      <c r="C1539" s="62" t="s">
        <v>826</v>
      </c>
      <c r="D1539" s="63">
        <v>12</v>
      </c>
      <c r="E1539" s="63">
        <v>0</v>
      </c>
      <c r="F1539" s="63">
        <v>0</v>
      </c>
      <c r="G1539" s="64">
        <f t="shared" si="96"/>
        <v>0</v>
      </c>
      <c r="H1539" s="64">
        <f t="shared" si="97"/>
        <v>0</v>
      </c>
      <c r="I1539" s="63">
        <v>2</v>
      </c>
      <c r="J1539" s="65">
        <v>91.932450000000003</v>
      </c>
      <c r="K1539" s="65">
        <v>100</v>
      </c>
      <c r="L1539" s="62" t="s">
        <v>825</v>
      </c>
      <c r="M1539" s="63">
        <v>0</v>
      </c>
      <c r="N1539" s="66">
        <f t="shared" si="98"/>
        <v>0.98799999999999999</v>
      </c>
      <c r="O1539" s="62" t="str">
        <f t="shared" si="99"/>
        <v>4: Engaged Early</v>
      </c>
    </row>
    <row r="1540" spans="1:15" ht="15" customHeight="1" x14ac:dyDescent="0.4">
      <c r="A1540" s="62" t="s">
        <v>824</v>
      </c>
      <c r="B1540" s="62" t="s">
        <v>2079</v>
      </c>
      <c r="C1540" s="62" t="s">
        <v>826</v>
      </c>
      <c r="D1540" s="63">
        <v>18</v>
      </c>
      <c r="E1540" s="63">
        <v>14</v>
      </c>
      <c r="F1540" s="63">
        <v>4</v>
      </c>
      <c r="G1540" s="64">
        <f t="shared" si="96"/>
        <v>0.77777777777777779</v>
      </c>
      <c r="H1540" s="64">
        <f t="shared" si="97"/>
        <v>0.22222222222222221</v>
      </c>
      <c r="I1540" s="63">
        <v>2</v>
      </c>
      <c r="J1540" s="65">
        <v>99.884600000000006</v>
      </c>
      <c r="K1540" s="65">
        <v>100</v>
      </c>
      <c r="L1540" s="62" t="s">
        <v>825</v>
      </c>
      <c r="M1540" s="63">
        <v>0</v>
      </c>
      <c r="N1540" s="66">
        <f t="shared" si="98"/>
        <v>1</v>
      </c>
      <c r="O1540" s="62" t="str">
        <f t="shared" si="99"/>
        <v>4: Engaged Early</v>
      </c>
    </row>
    <row r="1541" spans="1:15" ht="15" customHeight="1" x14ac:dyDescent="0.4">
      <c r="A1541" s="62" t="s">
        <v>824</v>
      </c>
      <c r="B1541" s="62" t="s">
        <v>2080</v>
      </c>
      <c r="C1541" s="62" t="s">
        <v>826</v>
      </c>
      <c r="D1541" s="63">
        <v>17</v>
      </c>
      <c r="E1541" s="63">
        <v>12</v>
      </c>
      <c r="F1541" s="63">
        <v>2</v>
      </c>
      <c r="G1541" s="64">
        <f t="shared" si="96"/>
        <v>0.70588235294117652</v>
      </c>
      <c r="H1541" s="64">
        <f t="shared" si="97"/>
        <v>0.11764705882352941</v>
      </c>
      <c r="I1541" s="63">
        <v>2</v>
      </c>
      <c r="J1541" s="65">
        <v>90.757800000000003</v>
      </c>
      <c r="K1541" s="65">
        <v>73.11</v>
      </c>
      <c r="L1541" s="62" t="s">
        <v>825</v>
      </c>
      <c r="M1541" s="63">
        <v>0</v>
      </c>
      <c r="N1541" s="66">
        <f t="shared" si="98"/>
        <v>0.82499999999999996</v>
      </c>
      <c r="O1541" s="62" t="str">
        <f t="shared" si="99"/>
        <v>4: Engaged Early</v>
      </c>
    </row>
    <row r="1542" spans="1:15" ht="15" customHeight="1" x14ac:dyDescent="0.4">
      <c r="A1542" s="62" t="s">
        <v>824</v>
      </c>
      <c r="B1542" s="62" t="s">
        <v>231</v>
      </c>
      <c r="C1542" s="62" t="s">
        <v>826</v>
      </c>
      <c r="D1542" s="63">
        <v>7</v>
      </c>
      <c r="E1542" s="63">
        <v>4</v>
      </c>
      <c r="F1542" s="63">
        <v>0</v>
      </c>
      <c r="G1542" s="64">
        <f t="shared" si="96"/>
        <v>0.5714285714285714</v>
      </c>
      <c r="H1542" s="64">
        <f t="shared" si="97"/>
        <v>0</v>
      </c>
      <c r="I1542" s="63">
        <v>1</v>
      </c>
      <c r="J1542" s="65">
        <v>83.14</v>
      </c>
      <c r="K1542" s="65">
        <v>60.32</v>
      </c>
      <c r="L1542" s="62" t="s">
        <v>825</v>
      </c>
      <c r="M1542" s="63">
        <v>0</v>
      </c>
      <c r="N1542" s="66">
        <f t="shared" si="98"/>
        <v>0.73699999999999999</v>
      </c>
      <c r="O1542" s="62" t="str">
        <f t="shared" si="99"/>
        <v>4: Engaged Early</v>
      </c>
    </row>
    <row r="1543" spans="1:15" ht="15" customHeight="1" x14ac:dyDescent="0.4">
      <c r="A1543" s="62" t="s">
        <v>824</v>
      </c>
      <c r="B1543" s="62" t="s">
        <v>2081</v>
      </c>
      <c r="C1543" s="62" t="s">
        <v>826</v>
      </c>
      <c r="D1543" s="63">
        <v>21</v>
      </c>
      <c r="E1543" s="63">
        <v>16</v>
      </c>
      <c r="F1543" s="63">
        <v>9</v>
      </c>
      <c r="G1543" s="64">
        <f t="shared" si="96"/>
        <v>0.76190476190476186</v>
      </c>
      <c r="H1543" s="64">
        <f t="shared" si="97"/>
        <v>0.42857142857142855</v>
      </c>
      <c r="I1543" s="63">
        <v>2</v>
      </c>
      <c r="J1543" s="65">
        <v>94.592600000000004</v>
      </c>
      <c r="K1543" s="65">
        <v>59.48</v>
      </c>
      <c r="L1543" s="62" t="s">
        <v>825</v>
      </c>
      <c r="M1543" s="63">
        <v>0</v>
      </c>
      <c r="N1543" s="66">
        <f t="shared" si="98"/>
        <v>0.749</v>
      </c>
      <c r="O1543" s="62" t="str">
        <f t="shared" si="99"/>
        <v>4: Engaged Early</v>
      </c>
    </row>
    <row r="1544" spans="1:15" ht="15" customHeight="1" x14ac:dyDescent="0.4">
      <c r="A1544" s="62" t="s">
        <v>824</v>
      </c>
      <c r="B1544" s="62" t="s">
        <v>2082</v>
      </c>
      <c r="C1544" s="62" t="s">
        <v>826</v>
      </c>
      <c r="D1544" s="63">
        <v>3</v>
      </c>
      <c r="E1544" s="63">
        <v>1</v>
      </c>
      <c r="F1544" s="63">
        <v>0</v>
      </c>
      <c r="G1544" s="64">
        <f t="shared" si="96"/>
        <v>0.33333333333333331</v>
      </c>
      <c r="H1544" s="64">
        <f t="shared" si="97"/>
        <v>0</v>
      </c>
      <c r="I1544" s="63">
        <v>2</v>
      </c>
      <c r="J1544" s="65">
        <v>57.752800000000001</v>
      </c>
      <c r="K1544" s="65">
        <v>82.18</v>
      </c>
      <c r="L1544" s="62" t="s">
        <v>825</v>
      </c>
      <c r="M1544" s="63">
        <v>0</v>
      </c>
      <c r="N1544" s="66">
        <f t="shared" si="98"/>
        <v>0.83</v>
      </c>
      <c r="O1544" s="62" t="str">
        <f t="shared" si="99"/>
        <v>4: Engaged Early</v>
      </c>
    </row>
    <row r="1545" spans="1:15" ht="15" customHeight="1" x14ac:dyDescent="0.4">
      <c r="A1545" s="62" t="s">
        <v>824</v>
      </c>
      <c r="B1545" s="62" t="s">
        <v>249</v>
      </c>
      <c r="C1545" s="62" t="s">
        <v>825</v>
      </c>
      <c r="D1545" s="63">
        <v>19</v>
      </c>
      <c r="E1545" s="63">
        <v>18</v>
      </c>
      <c r="F1545" s="63">
        <v>11</v>
      </c>
      <c r="G1545" s="64">
        <f t="shared" si="96"/>
        <v>0.94736842105263153</v>
      </c>
      <c r="H1545" s="64">
        <f t="shared" si="97"/>
        <v>0.57894736842105265</v>
      </c>
      <c r="I1545" s="63">
        <v>2</v>
      </c>
      <c r="J1545" s="65">
        <v>39.614849999999997</v>
      </c>
      <c r="K1545" s="65">
        <v>33.25</v>
      </c>
      <c r="L1545" s="62" t="s">
        <v>826</v>
      </c>
      <c r="M1545" s="63">
        <v>0</v>
      </c>
      <c r="N1545" s="66">
        <f t="shared" si="98"/>
        <v>0.25900000000000001</v>
      </c>
      <c r="O1545" s="62" t="str">
        <f t="shared" si="99"/>
        <v>2: High (No DBWT)</v>
      </c>
    </row>
    <row r="1546" spans="1:15" ht="15" customHeight="1" x14ac:dyDescent="0.4">
      <c r="A1546" s="62" t="s">
        <v>824</v>
      </c>
      <c r="B1546" s="62" t="s">
        <v>2083</v>
      </c>
      <c r="C1546" s="62" t="s">
        <v>826</v>
      </c>
      <c r="D1546" s="63">
        <v>0</v>
      </c>
      <c r="E1546" s="63">
        <v>0</v>
      </c>
      <c r="F1546" s="63">
        <v>0</v>
      </c>
      <c r="G1546" s="64">
        <f t="shared" si="96"/>
        <v>0</v>
      </c>
      <c r="H1546" s="64">
        <f t="shared" si="97"/>
        <v>0</v>
      </c>
      <c r="I1546" s="63">
        <v>1</v>
      </c>
      <c r="J1546" s="65">
        <v>21.3</v>
      </c>
      <c r="K1546" s="65">
        <v>11.75</v>
      </c>
      <c r="L1546" s="62" t="s">
        <v>840</v>
      </c>
      <c r="M1546" s="63">
        <v>0</v>
      </c>
      <c r="N1546" s="66">
        <f t="shared" si="98"/>
        <v>0.17699999999999999</v>
      </c>
      <c r="O1546" s="62" t="str">
        <f t="shared" si="99"/>
        <v>4: Engaged Early</v>
      </c>
    </row>
    <row r="1547" spans="1:15" ht="15" customHeight="1" x14ac:dyDescent="0.4">
      <c r="A1547" s="62" t="s">
        <v>824</v>
      </c>
      <c r="B1547" s="62" t="s">
        <v>2084</v>
      </c>
      <c r="C1547" s="62" t="s">
        <v>826</v>
      </c>
      <c r="D1547" s="63">
        <v>4</v>
      </c>
      <c r="E1547" s="63">
        <v>3</v>
      </c>
      <c r="F1547" s="63">
        <v>2</v>
      </c>
      <c r="G1547" s="64">
        <f t="shared" si="96"/>
        <v>0.75</v>
      </c>
      <c r="H1547" s="64">
        <f t="shared" si="97"/>
        <v>0.5</v>
      </c>
      <c r="I1547" s="63">
        <v>2</v>
      </c>
      <c r="J1547" s="65">
        <v>96.248900000000006</v>
      </c>
      <c r="K1547" s="65">
        <v>88.89</v>
      </c>
      <c r="L1547" s="62" t="s">
        <v>825</v>
      </c>
      <c r="M1547" s="63">
        <v>0</v>
      </c>
      <c r="N1547" s="66">
        <f t="shared" si="98"/>
        <v>0.92800000000000005</v>
      </c>
      <c r="O1547" s="62" t="str">
        <f t="shared" si="99"/>
        <v>4: Engaged Early</v>
      </c>
    </row>
    <row r="1548" spans="1:15" ht="15" customHeight="1" x14ac:dyDescent="0.4">
      <c r="A1548" s="62" t="s">
        <v>824</v>
      </c>
      <c r="B1548" s="62" t="s">
        <v>272</v>
      </c>
      <c r="C1548" s="62" t="s">
        <v>825</v>
      </c>
      <c r="D1548" s="63">
        <v>23</v>
      </c>
      <c r="E1548" s="63">
        <v>12</v>
      </c>
      <c r="F1548" s="63">
        <v>4</v>
      </c>
      <c r="G1548" s="64">
        <f t="shared" si="96"/>
        <v>0.52173913043478259</v>
      </c>
      <c r="H1548" s="64">
        <f t="shared" si="97"/>
        <v>0.17391304347826086</v>
      </c>
      <c r="I1548" s="63">
        <v>2</v>
      </c>
      <c r="J1548" s="65">
        <v>82.011700000000005</v>
      </c>
      <c r="K1548" s="65">
        <v>42.42</v>
      </c>
      <c r="L1548" s="62" t="s">
        <v>826</v>
      </c>
      <c r="M1548" s="63">
        <v>0</v>
      </c>
      <c r="N1548" s="66">
        <f t="shared" si="98"/>
        <v>0.378</v>
      </c>
      <c r="O1548" s="62" t="str">
        <f t="shared" si="99"/>
        <v>2: High (No DBWT)</v>
      </c>
    </row>
    <row r="1549" spans="1:15" ht="15" customHeight="1" x14ac:dyDescent="0.4">
      <c r="A1549" s="62" t="s">
        <v>824</v>
      </c>
      <c r="B1549" s="62" t="s">
        <v>2085</v>
      </c>
      <c r="C1549" s="62" t="s">
        <v>826</v>
      </c>
      <c r="D1549" s="63">
        <v>4</v>
      </c>
      <c r="E1549" s="63">
        <v>4</v>
      </c>
      <c r="F1549" s="63">
        <v>4</v>
      </c>
      <c r="G1549" s="64">
        <f t="shared" si="96"/>
        <v>1</v>
      </c>
      <c r="H1549" s="64">
        <f t="shared" si="97"/>
        <v>1</v>
      </c>
      <c r="I1549" s="63">
        <v>2</v>
      </c>
      <c r="J1549" s="65">
        <v>85.661799999999999</v>
      </c>
      <c r="K1549" s="65">
        <v>99.08</v>
      </c>
      <c r="L1549" s="62" t="s">
        <v>825</v>
      </c>
      <c r="M1549" s="63">
        <v>0</v>
      </c>
      <c r="N1549" s="66">
        <f t="shared" si="98"/>
        <v>0.97299999999999998</v>
      </c>
      <c r="O1549" s="62" t="str">
        <f t="shared" si="99"/>
        <v>4: Engaged Early</v>
      </c>
    </row>
    <row r="1550" spans="1:15" ht="15" customHeight="1" x14ac:dyDescent="0.4">
      <c r="A1550" s="62" t="s">
        <v>824</v>
      </c>
      <c r="B1550" s="62" t="s">
        <v>220</v>
      </c>
      <c r="C1550" s="62" t="s">
        <v>826</v>
      </c>
      <c r="D1550" s="63">
        <v>8</v>
      </c>
      <c r="E1550" s="63">
        <v>6</v>
      </c>
      <c r="F1550" s="63">
        <v>0</v>
      </c>
      <c r="G1550" s="64">
        <f t="shared" si="96"/>
        <v>0.75</v>
      </c>
      <c r="H1550" s="64">
        <f t="shared" si="97"/>
        <v>0</v>
      </c>
      <c r="I1550" s="63">
        <v>2</v>
      </c>
      <c r="J1550" s="65">
        <v>93.775149999999996</v>
      </c>
      <c r="K1550" s="65">
        <v>77.78</v>
      </c>
      <c r="L1550" s="62" t="s">
        <v>825</v>
      </c>
      <c r="M1550" s="63">
        <v>1</v>
      </c>
      <c r="N1550" s="66">
        <f t="shared" si="98"/>
        <v>0.85699999999999998</v>
      </c>
      <c r="O1550" s="62" t="str">
        <f t="shared" si="99"/>
        <v>4: Engaged Early</v>
      </c>
    </row>
    <row r="1551" spans="1:15" ht="15" customHeight="1" x14ac:dyDescent="0.4">
      <c r="A1551" s="62" t="s">
        <v>824</v>
      </c>
      <c r="B1551" s="62" t="s">
        <v>2086</v>
      </c>
      <c r="C1551" s="62" t="s">
        <v>826</v>
      </c>
      <c r="D1551" s="63">
        <v>10</v>
      </c>
      <c r="E1551" s="63">
        <v>7</v>
      </c>
      <c r="F1551" s="63">
        <v>0</v>
      </c>
      <c r="G1551" s="64">
        <f t="shared" si="96"/>
        <v>0.7</v>
      </c>
      <c r="H1551" s="64">
        <f t="shared" si="97"/>
        <v>0</v>
      </c>
      <c r="I1551" s="63">
        <v>2</v>
      </c>
      <c r="J1551" s="65">
        <v>91.101550000000003</v>
      </c>
      <c r="K1551" s="65">
        <v>100</v>
      </c>
      <c r="L1551" s="62" t="s">
        <v>825</v>
      </c>
      <c r="M1551" s="63">
        <v>0</v>
      </c>
      <c r="N1551" s="66">
        <f t="shared" si="98"/>
        <v>0.98699999999999999</v>
      </c>
      <c r="O1551" s="62" t="str">
        <f t="shared" si="99"/>
        <v>4: Engaged Early</v>
      </c>
    </row>
    <row r="1552" spans="1:15" ht="15" customHeight="1" x14ac:dyDescent="0.4">
      <c r="A1552" s="62" t="s">
        <v>824</v>
      </c>
      <c r="B1552" s="62" t="s">
        <v>2087</v>
      </c>
      <c r="C1552" s="62" t="s">
        <v>826</v>
      </c>
      <c r="D1552" s="63">
        <v>0</v>
      </c>
      <c r="E1552" s="63">
        <v>0</v>
      </c>
      <c r="F1552" s="63">
        <v>0</v>
      </c>
      <c r="G1552" s="64">
        <f t="shared" si="96"/>
        <v>0</v>
      </c>
      <c r="H1552" s="64">
        <f t="shared" si="97"/>
        <v>0</v>
      </c>
      <c r="I1552" s="63">
        <v>1</v>
      </c>
      <c r="J1552" s="65">
        <v>89.82</v>
      </c>
      <c r="K1552" s="65">
        <v>53.47</v>
      </c>
      <c r="L1552" s="62" t="s">
        <v>840</v>
      </c>
      <c r="M1552" s="63">
        <v>0</v>
      </c>
      <c r="N1552" s="66">
        <f t="shared" si="98"/>
        <v>0.53100000000000003</v>
      </c>
      <c r="O1552" s="62" t="str">
        <f t="shared" si="99"/>
        <v>4: Engaged Early</v>
      </c>
    </row>
    <row r="1553" spans="1:15" ht="15" customHeight="1" x14ac:dyDescent="0.4">
      <c r="A1553" s="62" t="s">
        <v>824</v>
      </c>
      <c r="B1553" s="62" t="s">
        <v>2088</v>
      </c>
      <c r="C1553" s="62" t="s">
        <v>826</v>
      </c>
      <c r="D1553" s="63">
        <v>16</v>
      </c>
      <c r="E1553" s="63">
        <v>4</v>
      </c>
      <c r="F1553" s="63">
        <v>0</v>
      </c>
      <c r="G1553" s="64">
        <f t="shared" si="96"/>
        <v>0.25</v>
      </c>
      <c r="H1553" s="64">
        <f t="shared" si="97"/>
        <v>0</v>
      </c>
      <c r="I1553" s="63">
        <v>2</v>
      </c>
      <c r="J1553" s="65">
        <v>95.364500000000007</v>
      </c>
      <c r="K1553" s="65">
        <v>100</v>
      </c>
      <c r="L1553" s="62" t="s">
        <v>825</v>
      </c>
      <c r="M1553" s="63">
        <v>0</v>
      </c>
      <c r="N1553" s="66">
        <f t="shared" si="98"/>
        <v>0.99299999999999999</v>
      </c>
      <c r="O1553" s="62" t="str">
        <f t="shared" si="99"/>
        <v>4: Engaged Early</v>
      </c>
    </row>
    <row r="1554" spans="1:15" ht="15" customHeight="1" x14ac:dyDescent="0.4">
      <c r="A1554" s="62" t="s">
        <v>824</v>
      </c>
      <c r="B1554" s="62" t="s">
        <v>2089</v>
      </c>
      <c r="C1554" s="62" t="s">
        <v>826</v>
      </c>
      <c r="D1554" s="63">
        <v>22</v>
      </c>
      <c r="E1554" s="63">
        <v>16</v>
      </c>
      <c r="F1554" s="63">
        <v>0</v>
      </c>
      <c r="G1554" s="64">
        <f t="shared" si="96"/>
        <v>0.72727272727272729</v>
      </c>
      <c r="H1554" s="64">
        <f t="shared" si="97"/>
        <v>0</v>
      </c>
      <c r="I1554" s="63">
        <v>2</v>
      </c>
      <c r="J1554" s="65">
        <v>57.5105</v>
      </c>
      <c r="K1554" s="65">
        <v>92.68</v>
      </c>
      <c r="L1554" s="62" t="s">
        <v>825</v>
      </c>
      <c r="M1554" s="63">
        <v>0</v>
      </c>
      <c r="N1554" s="66">
        <f t="shared" si="98"/>
        <v>0.89200000000000002</v>
      </c>
      <c r="O1554" s="62" t="str">
        <f t="shared" si="99"/>
        <v>4: Engaged Early</v>
      </c>
    </row>
    <row r="1555" spans="1:15" ht="15" customHeight="1" x14ac:dyDescent="0.4">
      <c r="A1555" s="62" t="s">
        <v>824</v>
      </c>
      <c r="B1555" s="62" t="s">
        <v>2090</v>
      </c>
      <c r="C1555" s="62" t="s">
        <v>826</v>
      </c>
      <c r="D1555" s="63">
        <v>3</v>
      </c>
      <c r="E1555" s="63">
        <v>1</v>
      </c>
      <c r="F1555" s="63">
        <v>0</v>
      </c>
      <c r="G1555" s="64">
        <f t="shared" si="96"/>
        <v>0.33333333333333331</v>
      </c>
      <c r="H1555" s="64">
        <f t="shared" si="97"/>
        <v>0</v>
      </c>
      <c r="I1555" s="63">
        <v>1</v>
      </c>
      <c r="J1555" s="65">
        <v>45.28</v>
      </c>
      <c r="K1555" s="65">
        <v>17.22</v>
      </c>
      <c r="L1555" s="62" t="s">
        <v>825</v>
      </c>
      <c r="M1555" s="63">
        <v>0</v>
      </c>
      <c r="N1555" s="66">
        <f t="shared" si="98"/>
        <v>0.42099999999999999</v>
      </c>
      <c r="O1555" s="62" t="str">
        <f t="shared" si="99"/>
        <v>4: Engaged Early</v>
      </c>
    </row>
    <row r="1556" spans="1:15" ht="15" customHeight="1" x14ac:dyDescent="0.4">
      <c r="A1556" s="62" t="s">
        <v>824</v>
      </c>
      <c r="B1556" s="62" t="s">
        <v>2091</v>
      </c>
      <c r="C1556" s="62" t="s">
        <v>826</v>
      </c>
      <c r="D1556" s="63">
        <v>22</v>
      </c>
      <c r="E1556" s="63">
        <v>16</v>
      </c>
      <c r="F1556" s="63">
        <v>1</v>
      </c>
      <c r="G1556" s="64">
        <f t="shared" si="96"/>
        <v>0.72727272727272729</v>
      </c>
      <c r="H1556" s="64">
        <f t="shared" si="97"/>
        <v>4.5454545454545456E-2</v>
      </c>
      <c r="I1556" s="63">
        <v>2</v>
      </c>
      <c r="J1556" s="65">
        <v>43.111184999999999</v>
      </c>
      <c r="K1556" s="65">
        <v>81.96</v>
      </c>
      <c r="L1556" s="62" t="s">
        <v>825</v>
      </c>
      <c r="M1556" s="63">
        <v>0</v>
      </c>
      <c r="N1556" s="66">
        <f t="shared" si="98"/>
        <v>0.80600000000000005</v>
      </c>
      <c r="O1556" s="62" t="str">
        <f t="shared" si="99"/>
        <v>4: Engaged Early</v>
      </c>
    </row>
    <row r="1557" spans="1:15" ht="15" customHeight="1" x14ac:dyDescent="0.4">
      <c r="A1557" s="62" t="s">
        <v>824</v>
      </c>
      <c r="B1557" s="62" t="s">
        <v>2092</v>
      </c>
      <c r="C1557" s="62" t="s">
        <v>826</v>
      </c>
      <c r="D1557" s="63">
        <v>10</v>
      </c>
      <c r="E1557" s="63">
        <v>9</v>
      </c>
      <c r="F1557" s="63">
        <v>1</v>
      </c>
      <c r="G1557" s="64">
        <f t="shared" si="96"/>
        <v>0.9</v>
      </c>
      <c r="H1557" s="64">
        <f t="shared" si="97"/>
        <v>0.1</v>
      </c>
      <c r="I1557" s="63">
        <v>2</v>
      </c>
      <c r="J1557" s="65">
        <v>50.110585</v>
      </c>
      <c r="K1557" s="65">
        <v>67.87</v>
      </c>
      <c r="L1557" s="62" t="s">
        <v>825</v>
      </c>
      <c r="M1557" s="63">
        <v>0</v>
      </c>
      <c r="N1557" s="66">
        <f t="shared" si="98"/>
        <v>0.73199999999999998</v>
      </c>
      <c r="O1557" s="62" t="str">
        <f t="shared" si="99"/>
        <v>4: Engaged Early</v>
      </c>
    </row>
    <row r="1558" spans="1:15" ht="15" customHeight="1" x14ac:dyDescent="0.4">
      <c r="A1558" s="62" t="s">
        <v>824</v>
      </c>
      <c r="B1558" s="62" t="s">
        <v>2093</v>
      </c>
      <c r="C1558" s="62" t="s">
        <v>826</v>
      </c>
      <c r="D1558" s="63">
        <v>16</v>
      </c>
      <c r="E1558" s="63">
        <v>14</v>
      </c>
      <c r="F1558" s="63">
        <v>3</v>
      </c>
      <c r="G1558" s="64">
        <f t="shared" si="96"/>
        <v>0.875</v>
      </c>
      <c r="H1558" s="64">
        <f t="shared" si="97"/>
        <v>0.1875</v>
      </c>
      <c r="I1558" s="63">
        <v>2</v>
      </c>
      <c r="J1558" s="65">
        <v>99.76</v>
      </c>
      <c r="K1558" s="65">
        <v>100</v>
      </c>
      <c r="L1558" s="62" t="s">
        <v>825</v>
      </c>
      <c r="M1558" s="63">
        <v>0</v>
      </c>
      <c r="N1558" s="66">
        <f t="shared" si="98"/>
        <v>1</v>
      </c>
      <c r="O1558" s="62" t="str">
        <f t="shared" si="99"/>
        <v>4: Engaged Early</v>
      </c>
    </row>
    <row r="1559" spans="1:15" ht="15" customHeight="1" x14ac:dyDescent="0.4">
      <c r="A1559" s="62" t="s">
        <v>824</v>
      </c>
      <c r="B1559" s="62" t="s">
        <v>2094</v>
      </c>
      <c r="C1559" s="62" t="s">
        <v>826</v>
      </c>
      <c r="D1559" s="63">
        <v>23</v>
      </c>
      <c r="E1559" s="63">
        <v>18</v>
      </c>
      <c r="F1559" s="63">
        <v>0</v>
      </c>
      <c r="G1559" s="64">
        <f t="shared" si="96"/>
        <v>0.78260869565217395</v>
      </c>
      <c r="H1559" s="64">
        <f t="shared" si="97"/>
        <v>0</v>
      </c>
      <c r="I1559" s="63">
        <v>2</v>
      </c>
      <c r="J1559" s="65">
        <v>94.262649999999994</v>
      </c>
      <c r="K1559" s="65">
        <v>100</v>
      </c>
      <c r="L1559" s="62" t="s">
        <v>825</v>
      </c>
      <c r="M1559" s="63">
        <v>0</v>
      </c>
      <c r="N1559" s="66">
        <f t="shared" si="98"/>
        <v>0.99099999999999999</v>
      </c>
      <c r="O1559" s="62" t="str">
        <f t="shared" si="99"/>
        <v>4: Engaged Early</v>
      </c>
    </row>
    <row r="1560" spans="1:15" ht="15" customHeight="1" x14ac:dyDescent="0.4">
      <c r="A1560" s="62" t="s">
        <v>824</v>
      </c>
      <c r="B1560" s="62" t="s">
        <v>2095</v>
      </c>
      <c r="C1560" s="62" t="s">
        <v>826</v>
      </c>
      <c r="D1560" s="63">
        <v>10</v>
      </c>
      <c r="E1560" s="63">
        <v>10</v>
      </c>
      <c r="F1560" s="63">
        <v>3</v>
      </c>
      <c r="G1560" s="64">
        <f t="shared" si="96"/>
        <v>1</v>
      </c>
      <c r="H1560" s="64">
        <f t="shared" si="97"/>
        <v>0.3</v>
      </c>
      <c r="I1560" s="63">
        <v>2</v>
      </c>
      <c r="J1560" s="65">
        <v>71.223349999999996</v>
      </c>
      <c r="K1560" s="65">
        <v>71.150000000000006</v>
      </c>
      <c r="L1560" s="62" t="s">
        <v>825</v>
      </c>
      <c r="M1560" s="63">
        <v>0</v>
      </c>
      <c r="N1560" s="66">
        <f t="shared" si="98"/>
        <v>0.78400000000000003</v>
      </c>
      <c r="O1560" s="62" t="str">
        <f t="shared" si="99"/>
        <v>4: Engaged Early</v>
      </c>
    </row>
    <row r="1561" spans="1:15" ht="15" customHeight="1" x14ac:dyDescent="0.4">
      <c r="A1561" s="62" t="s">
        <v>824</v>
      </c>
      <c r="B1561" s="62" t="s">
        <v>2096</v>
      </c>
      <c r="C1561" s="62" t="s">
        <v>826</v>
      </c>
      <c r="D1561" s="63">
        <v>10</v>
      </c>
      <c r="E1561" s="63">
        <v>5</v>
      </c>
      <c r="F1561" s="63">
        <v>4</v>
      </c>
      <c r="G1561" s="64">
        <f t="shared" si="96"/>
        <v>0.5</v>
      </c>
      <c r="H1561" s="64">
        <f t="shared" si="97"/>
        <v>0.4</v>
      </c>
      <c r="I1561" s="63">
        <v>2</v>
      </c>
      <c r="J1561" s="65">
        <v>88.709850000000003</v>
      </c>
      <c r="K1561" s="65">
        <v>99.02</v>
      </c>
      <c r="L1561" s="62" t="s">
        <v>825</v>
      </c>
      <c r="M1561" s="63">
        <v>0</v>
      </c>
      <c r="N1561" s="66">
        <f t="shared" si="98"/>
        <v>0.97699999999999998</v>
      </c>
      <c r="O1561" s="62" t="str">
        <f t="shared" si="99"/>
        <v>4: Engaged Early</v>
      </c>
    </row>
    <row r="1562" spans="1:15" ht="15" customHeight="1" x14ac:dyDescent="0.4">
      <c r="A1562" s="62" t="s">
        <v>824</v>
      </c>
      <c r="B1562" s="62" t="s">
        <v>2097</v>
      </c>
      <c r="C1562" s="62" t="s">
        <v>826</v>
      </c>
      <c r="D1562" s="63">
        <v>10</v>
      </c>
      <c r="E1562" s="63">
        <v>8</v>
      </c>
      <c r="F1562" s="63">
        <v>2</v>
      </c>
      <c r="G1562" s="64">
        <f t="shared" si="96"/>
        <v>0.8</v>
      </c>
      <c r="H1562" s="64">
        <f t="shared" si="97"/>
        <v>0.2</v>
      </c>
      <c r="I1562" s="63">
        <v>2</v>
      </c>
      <c r="J1562" s="65">
        <v>98.293549999999996</v>
      </c>
      <c r="K1562" s="65">
        <v>96.39</v>
      </c>
      <c r="L1562" s="62" t="s">
        <v>825</v>
      </c>
      <c r="M1562" s="63">
        <v>0</v>
      </c>
      <c r="N1562" s="66">
        <f t="shared" si="98"/>
        <v>0.97599999999999998</v>
      </c>
      <c r="O1562" s="62" t="str">
        <f t="shared" si="99"/>
        <v>4: Engaged Early</v>
      </c>
    </row>
    <row r="1563" spans="1:15" ht="15" customHeight="1" x14ac:dyDescent="0.4">
      <c r="A1563" s="62" t="s">
        <v>824</v>
      </c>
      <c r="B1563" s="62" t="s">
        <v>2098</v>
      </c>
      <c r="C1563" s="62" t="s">
        <v>826</v>
      </c>
      <c r="D1563" s="63">
        <v>13</v>
      </c>
      <c r="E1563" s="63">
        <v>4</v>
      </c>
      <c r="F1563" s="63">
        <v>4</v>
      </c>
      <c r="G1563" s="64">
        <f t="shared" si="96"/>
        <v>0.30769230769230771</v>
      </c>
      <c r="H1563" s="64">
        <f t="shared" si="97"/>
        <v>0.30769230769230771</v>
      </c>
      <c r="I1563" s="63">
        <v>2</v>
      </c>
      <c r="J1563" s="65">
        <v>69.979900000000001</v>
      </c>
      <c r="K1563" s="65">
        <v>58.79</v>
      </c>
      <c r="L1563" s="62" t="s">
        <v>825</v>
      </c>
      <c r="M1563" s="63">
        <v>0</v>
      </c>
      <c r="N1563" s="66">
        <f t="shared" si="98"/>
        <v>0.70799999999999996</v>
      </c>
      <c r="O1563" s="62" t="str">
        <f t="shared" si="99"/>
        <v>4: Engaged Early</v>
      </c>
    </row>
    <row r="1564" spans="1:15" ht="15" customHeight="1" x14ac:dyDescent="0.4">
      <c r="A1564" s="62" t="s">
        <v>824</v>
      </c>
      <c r="B1564" s="62" t="s">
        <v>2099</v>
      </c>
      <c r="C1564" s="62" t="s">
        <v>826</v>
      </c>
      <c r="D1564" s="63">
        <v>10</v>
      </c>
      <c r="E1564" s="63">
        <v>7</v>
      </c>
      <c r="F1564" s="63">
        <v>2</v>
      </c>
      <c r="G1564" s="64">
        <f t="shared" si="96"/>
        <v>0.7</v>
      </c>
      <c r="H1564" s="64">
        <f t="shared" si="97"/>
        <v>0.2</v>
      </c>
      <c r="I1564" s="63">
        <v>2</v>
      </c>
      <c r="J1564" s="65">
        <v>97.29</v>
      </c>
      <c r="K1564" s="65">
        <v>100</v>
      </c>
      <c r="L1564" s="62" t="s">
        <v>825</v>
      </c>
      <c r="M1564" s="63">
        <v>0</v>
      </c>
      <c r="N1564" s="66">
        <f t="shared" si="98"/>
        <v>0.996</v>
      </c>
      <c r="O1564" s="62" t="str">
        <f t="shared" si="99"/>
        <v>4: Engaged Early</v>
      </c>
    </row>
    <row r="1565" spans="1:15" ht="15" customHeight="1" x14ac:dyDescent="0.4">
      <c r="A1565" s="62" t="s">
        <v>824</v>
      </c>
      <c r="B1565" s="62" t="s">
        <v>2100</v>
      </c>
      <c r="C1565" s="62" t="s">
        <v>826</v>
      </c>
      <c r="D1565" s="63">
        <v>23</v>
      </c>
      <c r="E1565" s="63">
        <v>18</v>
      </c>
      <c r="F1565" s="63">
        <v>6</v>
      </c>
      <c r="G1565" s="64">
        <f t="shared" si="96"/>
        <v>0.78260869565217395</v>
      </c>
      <c r="H1565" s="64">
        <f t="shared" si="97"/>
        <v>0.2608695652173913</v>
      </c>
      <c r="I1565" s="63">
        <v>2</v>
      </c>
      <c r="J1565" s="65">
        <v>95.332750000000004</v>
      </c>
      <c r="K1565" s="65">
        <v>100</v>
      </c>
      <c r="L1565" s="62" t="s">
        <v>825</v>
      </c>
      <c r="M1565" s="63">
        <v>0</v>
      </c>
      <c r="N1565" s="66">
        <f t="shared" si="98"/>
        <v>0.99299999999999999</v>
      </c>
      <c r="O1565" s="62" t="str">
        <f t="shared" si="99"/>
        <v>4: Engaged Early</v>
      </c>
    </row>
    <row r="1566" spans="1:15" ht="15" customHeight="1" x14ac:dyDescent="0.4">
      <c r="A1566" s="62" t="s">
        <v>824</v>
      </c>
      <c r="B1566" s="62" t="s">
        <v>2101</v>
      </c>
      <c r="C1566" s="62" t="s">
        <v>826</v>
      </c>
      <c r="D1566" s="63">
        <v>5</v>
      </c>
      <c r="E1566" s="63">
        <v>5</v>
      </c>
      <c r="F1566" s="63">
        <v>1</v>
      </c>
      <c r="G1566" s="64">
        <f t="shared" si="96"/>
        <v>1</v>
      </c>
      <c r="H1566" s="64">
        <f t="shared" si="97"/>
        <v>0.2</v>
      </c>
      <c r="I1566" s="63">
        <v>2</v>
      </c>
      <c r="J1566" s="65">
        <v>86.958650000000006</v>
      </c>
      <c r="K1566" s="65">
        <v>100</v>
      </c>
      <c r="L1566" s="62" t="s">
        <v>825</v>
      </c>
      <c r="M1566" s="63">
        <v>0</v>
      </c>
      <c r="N1566" s="66">
        <f t="shared" si="98"/>
        <v>0.98</v>
      </c>
      <c r="O1566" s="62" t="str">
        <f t="shared" si="99"/>
        <v>4: Engaged Early</v>
      </c>
    </row>
    <row r="1567" spans="1:15" ht="15" customHeight="1" x14ac:dyDescent="0.4">
      <c r="A1567" s="62" t="s">
        <v>824</v>
      </c>
      <c r="B1567" s="62" t="s">
        <v>2102</v>
      </c>
      <c r="C1567" s="62" t="s">
        <v>826</v>
      </c>
      <c r="D1567" s="63">
        <v>25</v>
      </c>
      <c r="E1567" s="63">
        <v>20</v>
      </c>
      <c r="F1567" s="63">
        <v>5</v>
      </c>
      <c r="G1567" s="64">
        <f t="shared" si="96"/>
        <v>0.8</v>
      </c>
      <c r="H1567" s="64">
        <f t="shared" si="97"/>
        <v>0.2</v>
      </c>
      <c r="I1567" s="63">
        <v>2</v>
      </c>
      <c r="J1567" s="65">
        <v>83.623649999999998</v>
      </c>
      <c r="K1567" s="65">
        <v>88.89</v>
      </c>
      <c r="L1567" s="62" t="s">
        <v>825</v>
      </c>
      <c r="M1567" s="63">
        <v>0</v>
      </c>
      <c r="N1567" s="66">
        <f t="shared" si="98"/>
        <v>0.90900000000000003</v>
      </c>
      <c r="O1567" s="62" t="str">
        <f t="shared" si="99"/>
        <v>4: Engaged Early</v>
      </c>
    </row>
    <row r="1568" spans="1:15" ht="15" customHeight="1" x14ac:dyDescent="0.4">
      <c r="A1568" s="62" t="s">
        <v>824</v>
      </c>
      <c r="B1568" s="62" t="s">
        <v>2103</v>
      </c>
      <c r="C1568" s="62" t="s">
        <v>826</v>
      </c>
      <c r="D1568" s="63">
        <v>25</v>
      </c>
      <c r="E1568" s="63">
        <v>16</v>
      </c>
      <c r="F1568" s="63">
        <v>1</v>
      </c>
      <c r="G1568" s="64">
        <f t="shared" si="96"/>
        <v>0.64</v>
      </c>
      <c r="H1568" s="64">
        <f t="shared" si="97"/>
        <v>0.04</v>
      </c>
      <c r="I1568" s="63">
        <v>2</v>
      </c>
      <c r="J1568" s="65">
        <v>47.257849999999998</v>
      </c>
      <c r="K1568" s="65">
        <v>15.51</v>
      </c>
      <c r="L1568" s="62" t="s">
        <v>825</v>
      </c>
      <c r="M1568" s="63">
        <v>0</v>
      </c>
      <c r="N1568" s="66">
        <f t="shared" si="98"/>
        <v>0.41399999999999998</v>
      </c>
      <c r="O1568" s="62" t="str">
        <f t="shared" si="99"/>
        <v>4: Engaged Early</v>
      </c>
    </row>
    <row r="1569" spans="1:15" ht="15" customHeight="1" x14ac:dyDescent="0.4">
      <c r="A1569" s="62" t="s">
        <v>824</v>
      </c>
      <c r="B1569" s="62" t="s">
        <v>2104</v>
      </c>
      <c r="C1569" s="62" t="s">
        <v>826</v>
      </c>
      <c r="D1569" s="63">
        <v>12</v>
      </c>
      <c r="E1569" s="63">
        <v>13</v>
      </c>
      <c r="F1569" s="63">
        <v>5</v>
      </c>
      <c r="G1569" s="64">
        <f t="shared" si="96"/>
        <v>1.0833333333333333</v>
      </c>
      <c r="H1569" s="64">
        <f t="shared" si="97"/>
        <v>0.41666666666666669</v>
      </c>
      <c r="I1569" s="63">
        <v>2</v>
      </c>
      <c r="J1569" s="65">
        <v>88.947800000000001</v>
      </c>
      <c r="K1569" s="65">
        <v>100</v>
      </c>
      <c r="L1569" s="62" t="s">
        <v>826</v>
      </c>
      <c r="M1569" s="63">
        <v>0</v>
      </c>
      <c r="N1569" s="66">
        <f t="shared" si="98"/>
        <v>0.73299999999999998</v>
      </c>
      <c r="O1569" s="62" t="str">
        <f t="shared" si="99"/>
        <v>2: High (No DBWT)</v>
      </c>
    </row>
    <row r="1570" spans="1:15" ht="15" customHeight="1" x14ac:dyDescent="0.4">
      <c r="A1570" s="62" t="s">
        <v>824</v>
      </c>
      <c r="B1570" s="62" t="s">
        <v>2105</v>
      </c>
      <c r="C1570" s="62" t="s">
        <v>826</v>
      </c>
      <c r="D1570" s="63">
        <v>10</v>
      </c>
      <c r="E1570" s="63">
        <v>8</v>
      </c>
      <c r="F1570" s="63">
        <v>2</v>
      </c>
      <c r="G1570" s="64">
        <f t="shared" si="96"/>
        <v>0.8</v>
      </c>
      <c r="H1570" s="64">
        <f t="shared" si="97"/>
        <v>0.2</v>
      </c>
      <c r="I1570" s="63">
        <v>2</v>
      </c>
      <c r="J1570" s="65">
        <v>56.408099999999997</v>
      </c>
      <c r="K1570" s="65">
        <v>29.13</v>
      </c>
      <c r="L1570" s="62" t="s">
        <v>825</v>
      </c>
      <c r="M1570" s="63">
        <v>0</v>
      </c>
      <c r="N1570" s="66">
        <f t="shared" si="98"/>
        <v>0.50900000000000001</v>
      </c>
      <c r="O1570" s="62" t="str">
        <f t="shared" si="99"/>
        <v>4: Engaged Early</v>
      </c>
    </row>
    <row r="1571" spans="1:15" ht="15" customHeight="1" x14ac:dyDescent="0.4">
      <c r="A1571" s="62" t="s">
        <v>824</v>
      </c>
      <c r="B1571" s="62" t="s">
        <v>2106</v>
      </c>
      <c r="C1571" s="62" t="s">
        <v>826</v>
      </c>
      <c r="D1571" s="63">
        <v>10</v>
      </c>
      <c r="E1571" s="63">
        <v>7</v>
      </c>
      <c r="F1571" s="63">
        <v>2</v>
      </c>
      <c r="G1571" s="64">
        <f t="shared" si="96"/>
        <v>0.7</v>
      </c>
      <c r="H1571" s="64">
        <f t="shared" si="97"/>
        <v>0.2</v>
      </c>
      <c r="I1571" s="63">
        <v>2</v>
      </c>
      <c r="J1571" s="65">
        <v>86.552149999999997</v>
      </c>
      <c r="K1571" s="65">
        <v>93.12</v>
      </c>
      <c r="L1571" s="62" t="s">
        <v>825</v>
      </c>
      <c r="M1571" s="63">
        <v>0</v>
      </c>
      <c r="N1571" s="66">
        <f t="shared" si="98"/>
        <v>0.93899999999999995</v>
      </c>
      <c r="O1571" s="62" t="str">
        <f t="shared" si="99"/>
        <v>4: Engaged Early</v>
      </c>
    </row>
    <row r="1572" spans="1:15" ht="15" customHeight="1" x14ac:dyDescent="0.4">
      <c r="A1572" s="62" t="s">
        <v>824</v>
      </c>
      <c r="B1572" s="62" t="s">
        <v>2107</v>
      </c>
      <c r="C1572" s="62" t="s">
        <v>826</v>
      </c>
      <c r="D1572" s="63">
        <v>23</v>
      </c>
      <c r="E1572" s="63">
        <v>12</v>
      </c>
      <c r="F1572" s="63">
        <v>1</v>
      </c>
      <c r="G1572" s="64">
        <f t="shared" si="96"/>
        <v>0.52173913043478259</v>
      </c>
      <c r="H1572" s="64">
        <f t="shared" si="97"/>
        <v>4.3478260869565216E-2</v>
      </c>
      <c r="I1572" s="63">
        <v>2</v>
      </c>
      <c r="J1572" s="65">
        <v>95.515349999999998</v>
      </c>
      <c r="K1572" s="65">
        <v>53.8</v>
      </c>
      <c r="L1572" s="62" t="s">
        <v>825</v>
      </c>
      <c r="M1572" s="63">
        <v>0</v>
      </c>
      <c r="N1572" s="66">
        <f t="shared" si="98"/>
        <v>0.71599999999999997</v>
      </c>
      <c r="O1572" s="62" t="str">
        <f t="shared" si="99"/>
        <v>4: Engaged Early</v>
      </c>
    </row>
    <row r="1573" spans="1:15" ht="15" customHeight="1" x14ac:dyDescent="0.4">
      <c r="A1573" s="62" t="s">
        <v>824</v>
      </c>
      <c r="B1573" s="62" t="s">
        <v>2108</v>
      </c>
      <c r="C1573" s="62" t="s">
        <v>826</v>
      </c>
      <c r="D1573" s="63">
        <v>13</v>
      </c>
      <c r="E1573" s="63">
        <v>13</v>
      </c>
      <c r="F1573" s="63">
        <v>4</v>
      </c>
      <c r="G1573" s="64">
        <f t="shared" si="96"/>
        <v>1</v>
      </c>
      <c r="H1573" s="64">
        <f t="shared" si="97"/>
        <v>0.30769230769230771</v>
      </c>
      <c r="I1573" s="63">
        <v>2</v>
      </c>
      <c r="J1573" s="65">
        <v>99.906700000000001</v>
      </c>
      <c r="K1573" s="65">
        <v>100</v>
      </c>
      <c r="L1573" s="62" t="s">
        <v>825</v>
      </c>
      <c r="M1573" s="63">
        <v>0</v>
      </c>
      <c r="N1573" s="66">
        <f t="shared" si="98"/>
        <v>1</v>
      </c>
      <c r="O1573" s="62" t="str">
        <f t="shared" si="99"/>
        <v>4: Engaged Early</v>
      </c>
    </row>
    <row r="1574" spans="1:15" ht="15" customHeight="1" x14ac:dyDescent="0.4">
      <c r="A1574" s="62" t="s">
        <v>824</v>
      </c>
      <c r="B1574" s="62" t="s">
        <v>2109</v>
      </c>
      <c r="C1574" s="62" t="s">
        <v>826</v>
      </c>
      <c r="D1574" s="63">
        <v>7</v>
      </c>
      <c r="E1574" s="63">
        <v>5</v>
      </c>
      <c r="F1574" s="63">
        <v>0</v>
      </c>
      <c r="G1574" s="64">
        <f t="shared" si="96"/>
        <v>0.7142857142857143</v>
      </c>
      <c r="H1574" s="64">
        <f t="shared" si="97"/>
        <v>0</v>
      </c>
      <c r="I1574" s="63">
        <v>2</v>
      </c>
      <c r="J1574" s="65">
        <v>88.505750000000006</v>
      </c>
      <c r="K1574" s="65">
        <v>97.44</v>
      </c>
      <c r="L1574" s="62" t="s">
        <v>825</v>
      </c>
      <c r="M1574" s="63">
        <v>0</v>
      </c>
      <c r="N1574" s="66">
        <f t="shared" si="98"/>
        <v>0.96699999999999997</v>
      </c>
      <c r="O1574" s="62" t="str">
        <f t="shared" si="99"/>
        <v>4: Engaged Early</v>
      </c>
    </row>
    <row r="1575" spans="1:15" ht="15" customHeight="1" x14ac:dyDescent="0.4">
      <c r="A1575" s="62" t="s">
        <v>824</v>
      </c>
      <c r="B1575" s="62" t="s">
        <v>2110</v>
      </c>
      <c r="C1575" s="62" t="s">
        <v>826</v>
      </c>
      <c r="D1575" s="63">
        <v>10</v>
      </c>
      <c r="E1575" s="63">
        <v>10</v>
      </c>
      <c r="F1575" s="63">
        <v>2</v>
      </c>
      <c r="G1575" s="64">
        <f t="shared" si="96"/>
        <v>1</v>
      </c>
      <c r="H1575" s="64">
        <f t="shared" si="97"/>
        <v>0.2</v>
      </c>
      <c r="I1575" s="63">
        <v>2</v>
      </c>
      <c r="J1575" s="65">
        <v>93.407550000000001</v>
      </c>
      <c r="K1575" s="65">
        <v>100</v>
      </c>
      <c r="L1575" s="62" t="s">
        <v>825</v>
      </c>
      <c r="M1575" s="63">
        <v>0</v>
      </c>
      <c r="N1575" s="66">
        <f t="shared" si="98"/>
        <v>0.99</v>
      </c>
      <c r="O1575" s="62" t="str">
        <f t="shared" si="99"/>
        <v>4: Engaged Early</v>
      </c>
    </row>
    <row r="1576" spans="1:15" ht="15" customHeight="1" x14ac:dyDescent="0.4">
      <c r="A1576" s="62" t="s">
        <v>824</v>
      </c>
      <c r="B1576" s="62" t="s">
        <v>2111</v>
      </c>
      <c r="C1576" s="62" t="s">
        <v>826</v>
      </c>
      <c r="D1576" s="63">
        <v>3</v>
      </c>
      <c r="E1576" s="63">
        <v>3</v>
      </c>
      <c r="F1576" s="63">
        <v>1</v>
      </c>
      <c r="G1576" s="64">
        <f t="shared" si="96"/>
        <v>1</v>
      </c>
      <c r="H1576" s="64">
        <f t="shared" si="97"/>
        <v>0.33333333333333331</v>
      </c>
      <c r="I1576" s="63">
        <v>2</v>
      </c>
      <c r="J1576" s="65">
        <v>73.147400000000005</v>
      </c>
      <c r="K1576" s="65">
        <v>71.98</v>
      </c>
      <c r="L1576" s="62" t="s">
        <v>825</v>
      </c>
      <c r="M1576" s="63">
        <v>0</v>
      </c>
      <c r="N1576" s="66">
        <f t="shared" si="98"/>
        <v>0.79200000000000004</v>
      </c>
      <c r="O1576" s="62" t="str">
        <f t="shared" si="99"/>
        <v>4: Engaged Early</v>
      </c>
    </row>
    <row r="1577" spans="1:15" ht="15" customHeight="1" x14ac:dyDescent="0.4">
      <c r="A1577" s="62" t="s">
        <v>824</v>
      </c>
      <c r="B1577" s="62" t="s">
        <v>2112</v>
      </c>
      <c r="C1577" s="62" t="s">
        <v>826</v>
      </c>
      <c r="D1577" s="63">
        <v>12</v>
      </c>
      <c r="E1577" s="63">
        <v>11</v>
      </c>
      <c r="F1577" s="63">
        <v>0</v>
      </c>
      <c r="G1577" s="64">
        <f t="shared" si="96"/>
        <v>0.91666666666666663</v>
      </c>
      <c r="H1577" s="64">
        <f t="shared" si="97"/>
        <v>0</v>
      </c>
      <c r="I1577" s="63">
        <v>2</v>
      </c>
      <c r="J1577" s="65">
        <v>99.621700000000004</v>
      </c>
      <c r="K1577" s="65">
        <v>100</v>
      </c>
      <c r="L1577" s="62" t="s">
        <v>825</v>
      </c>
      <c r="M1577" s="63">
        <v>0</v>
      </c>
      <c r="N1577" s="66">
        <f t="shared" si="98"/>
        <v>0.999</v>
      </c>
      <c r="O1577" s="62" t="str">
        <f t="shared" si="99"/>
        <v>4: Engaged Early</v>
      </c>
    </row>
    <row r="1578" spans="1:15" ht="15" customHeight="1" x14ac:dyDescent="0.4">
      <c r="A1578" s="62" t="s">
        <v>824</v>
      </c>
      <c r="B1578" s="62" t="s">
        <v>2113</v>
      </c>
      <c r="C1578" s="62" t="s">
        <v>826</v>
      </c>
      <c r="D1578" s="63">
        <v>10</v>
      </c>
      <c r="E1578" s="63">
        <v>10</v>
      </c>
      <c r="F1578" s="63">
        <v>0</v>
      </c>
      <c r="G1578" s="64">
        <f t="shared" si="96"/>
        <v>1</v>
      </c>
      <c r="H1578" s="64">
        <f t="shared" si="97"/>
        <v>0</v>
      </c>
      <c r="I1578" s="63">
        <v>2</v>
      </c>
      <c r="J1578" s="65">
        <v>95.275000000000006</v>
      </c>
      <c r="K1578" s="65">
        <v>100</v>
      </c>
      <c r="L1578" s="62" t="s">
        <v>825</v>
      </c>
      <c r="M1578" s="63">
        <v>0</v>
      </c>
      <c r="N1578" s="66">
        <f t="shared" si="98"/>
        <v>0.99299999999999999</v>
      </c>
      <c r="O1578" s="62" t="str">
        <f t="shared" si="99"/>
        <v>4: Engaged Early</v>
      </c>
    </row>
    <row r="1579" spans="1:15" ht="15" customHeight="1" x14ac:dyDescent="0.4">
      <c r="A1579" s="62" t="s">
        <v>824</v>
      </c>
      <c r="B1579" s="62" t="s">
        <v>2114</v>
      </c>
      <c r="C1579" s="62" t="s">
        <v>826</v>
      </c>
      <c r="D1579" s="63">
        <v>0</v>
      </c>
      <c r="E1579" s="63">
        <v>0</v>
      </c>
      <c r="F1579" s="63">
        <v>0</v>
      </c>
      <c r="G1579" s="64">
        <f t="shared" si="96"/>
        <v>0</v>
      </c>
      <c r="H1579" s="64">
        <f t="shared" si="97"/>
        <v>0</v>
      </c>
      <c r="I1579" s="63">
        <v>0</v>
      </c>
      <c r="J1579" s="65"/>
      <c r="K1579" s="65">
        <v>0</v>
      </c>
      <c r="L1579" s="62" t="s">
        <v>840</v>
      </c>
      <c r="M1579" s="63">
        <v>0</v>
      </c>
      <c r="N1579" s="66">
        <f t="shared" si="98"/>
        <v>7.4999999999999997E-2</v>
      </c>
      <c r="O1579" s="62" t="str">
        <f t="shared" si="99"/>
        <v>3: Elevated (No Wk0)</v>
      </c>
    </row>
    <row r="1580" spans="1:15" ht="15" customHeight="1" x14ac:dyDescent="0.4">
      <c r="A1580" s="62" t="s">
        <v>824</v>
      </c>
      <c r="B1580" s="62" t="s">
        <v>2115</v>
      </c>
      <c r="C1580" s="62" t="s">
        <v>826</v>
      </c>
      <c r="D1580" s="63">
        <v>25</v>
      </c>
      <c r="E1580" s="63">
        <v>19</v>
      </c>
      <c r="F1580" s="63">
        <v>5</v>
      </c>
      <c r="G1580" s="64">
        <f t="shared" si="96"/>
        <v>0.76</v>
      </c>
      <c r="H1580" s="64">
        <f t="shared" si="97"/>
        <v>0.2</v>
      </c>
      <c r="I1580" s="63">
        <v>2</v>
      </c>
      <c r="J1580" s="65">
        <v>97.504800000000003</v>
      </c>
      <c r="K1580" s="65">
        <v>100</v>
      </c>
      <c r="L1580" s="62" t="s">
        <v>825</v>
      </c>
      <c r="M1580" s="63">
        <v>0</v>
      </c>
      <c r="N1580" s="66">
        <f t="shared" si="98"/>
        <v>0.996</v>
      </c>
      <c r="O1580" s="62" t="str">
        <f t="shared" si="99"/>
        <v>4: Engaged Early</v>
      </c>
    </row>
    <row r="1581" spans="1:15" ht="15" customHeight="1" x14ac:dyDescent="0.4">
      <c r="A1581" s="62" t="s">
        <v>824</v>
      </c>
      <c r="B1581" s="62" t="s">
        <v>2116</v>
      </c>
      <c r="C1581" s="62" t="s">
        <v>826</v>
      </c>
      <c r="D1581" s="63">
        <v>23</v>
      </c>
      <c r="E1581" s="63">
        <v>10</v>
      </c>
      <c r="F1581" s="63">
        <v>1</v>
      </c>
      <c r="G1581" s="64">
        <f t="shared" si="96"/>
        <v>0.43478260869565216</v>
      </c>
      <c r="H1581" s="64">
        <f t="shared" si="97"/>
        <v>4.3478260869565216E-2</v>
      </c>
      <c r="I1581" s="63">
        <v>2</v>
      </c>
      <c r="J1581" s="65">
        <v>97.155000000000001</v>
      </c>
      <c r="K1581" s="65">
        <v>85.32</v>
      </c>
      <c r="L1581" s="62" t="s">
        <v>825</v>
      </c>
      <c r="M1581" s="63">
        <v>0</v>
      </c>
      <c r="N1581" s="66">
        <f t="shared" si="98"/>
        <v>0.90800000000000003</v>
      </c>
      <c r="O1581" s="62" t="str">
        <f t="shared" si="99"/>
        <v>4: Engaged Early</v>
      </c>
    </row>
    <row r="1582" spans="1:15" ht="15" customHeight="1" x14ac:dyDescent="0.4">
      <c r="A1582" s="62" t="s">
        <v>824</v>
      </c>
      <c r="B1582" s="62" t="s">
        <v>2117</v>
      </c>
      <c r="C1582" s="62" t="s">
        <v>826</v>
      </c>
      <c r="D1582" s="63">
        <v>0</v>
      </c>
      <c r="E1582" s="63">
        <v>0</v>
      </c>
      <c r="F1582" s="63">
        <v>0</v>
      </c>
      <c r="G1582" s="64">
        <f t="shared" si="96"/>
        <v>0</v>
      </c>
      <c r="H1582" s="64">
        <f t="shared" si="97"/>
        <v>0</v>
      </c>
      <c r="I1582" s="63">
        <v>0</v>
      </c>
      <c r="J1582" s="65"/>
      <c r="K1582" s="65">
        <v>79.87</v>
      </c>
      <c r="L1582" s="62" t="s">
        <v>840</v>
      </c>
      <c r="M1582" s="63">
        <v>3</v>
      </c>
      <c r="N1582" s="66">
        <f t="shared" si="98"/>
        <v>0.55400000000000005</v>
      </c>
      <c r="O1582" s="62" t="str">
        <f t="shared" si="99"/>
        <v>3: Elevated (No Wk0)</v>
      </c>
    </row>
    <row r="1583" spans="1:15" ht="15" customHeight="1" x14ac:dyDescent="0.4">
      <c r="A1583" s="62" t="s">
        <v>824</v>
      </c>
      <c r="B1583" s="62" t="s">
        <v>248</v>
      </c>
      <c r="C1583" s="62" t="s">
        <v>826</v>
      </c>
      <c r="D1583" s="63">
        <v>13</v>
      </c>
      <c r="E1583" s="63">
        <v>9</v>
      </c>
      <c r="F1583" s="63">
        <v>4</v>
      </c>
      <c r="G1583" s="64">
        <f t="shared" si="96"/>
        <v>0.69230769230769229</v>
      </c>
      <c r="H1583" s="64">
        <f t="shared" si="97"/>
        <v>0.30769230769230771</v>
      </c>
      <c r="I1583" s="63">
        <v>2</v>
      </c>
      <c r="J1583" s="65">
        <v>82.30735</v>
      </c>
      <c r="K1583" s="65">
        <v>86.97</v>
      </c>
      <c r="L1583" s="62" t="s">
        <v>826</v>
      </c>
      <c r="M1583" s="63">
        <v>0</v>
      </c>
      <c r="N1583" s="66">
        <f t="shared" si="98"/>
        <v>0.64500000000000002</v>
      </c>
      <c r="O1583" s="62" t="str">
        <f t="shared" si="99"/>
        <v>2: High (No DBWT)</v>
      </c>
    </row>
    <row r="1584" spans="1:15" ht="15" customHeight="1" x14ac:dyDescent="0.4">
      <c r="A1584" s="62" t="s">
        <v>824</v>
      </c>
      <c r="B1584" s="62" t="s">
        <v>2118</v>
      </c>
      <c r="C1584" s="62" t="s">
        <v>826</v>
      </c>
      <c r="D1584" s="63">
        <v>6</v>
      </c>
      <c r="E1584" s="63">
        <v>5</v>
      </c>
      <c r="F1584" s="63">
        <v>0</v>
      </c>
      <c r="G1584" s="64">
        <f t="shared" si="96"/>
        <v>0.83333333333333337</v>
      </c>
      <c r="H1584" s="64">
        <f t="shared" si="97"/>
        <v>0</v>
      </c>
      <c r="I1584" s="63">
        <v>2</v>
      </c>
      <c r="J1584" s="65">
        <v>88.934349999999995</v>
      </c>
      <c r="K1584" s="65">
        <v>100</v>
      </c>
      <c r="L1584" s="62" t="s">
        <v>825</v>
      </c>
      <c r="M1584" s="63">
        <v>1</v>
      </c>
      <c r="N1584" s="66">
        <f t="shared" si="98"/>
        <v>0.98299999999999998</v>
      </c>
      <c r="O1584" s="62" t="str">
        <f t="shared" si="99"/>
        <v>4: Engaged Early</v>
      </c>
    </row>
    <row r="1585" spans="1:15" ht="15" customHeight="1" x14ac:dyDescent="0.4">
      <c r="A1585" s="62" t="s">
        <v>824</v>
      </c>
      <c r="B1585" s="62" t="s">
        <v>2119</v>
      </c>
      <c r="C1585" s="62" t="s">
        <v>826</v>
      </c>
      <c r="D1585" s="63">
        <v>21</v>
      </c>
      <c r="E1585" s="63">
        <v>19</v>
      </c>
      <c r="F1585" s="63">
        <v>2</v>
      </c>
      <c r="G1585" s="64">
        <f t="shared" si="96"/>
        <v>0.90476190476190477</v>
      </c>
      <c r="H1585" s="64">
        <f t="shared" si="97"/>
        <v>9.5238095238095233E-2</v>
      </c>
      <c r="I1585" s="63">
        <v>2</v>
      </c>
      <c r="J1585" s="65">
        <v>90.711950000000002</v>
      </c>
      <c r="K1585" s="65">
        <v>100</v>
      </c>
      <c r="L1585" s="62" t="s">
        <v>825</v>
      </c>
      <c r="M1585" s="63">
        <v>0</v>
      </c>
      <c r="N1585" s="66">
        <f t="shared" si="98"/>
        <v>0.98599999999999999</v>
      </c>
      <c r="O1585" s="62" t="str">
        <f t="shared" si="99"/>
        <v>4: Engaged Early</v>
      </c>
    </row>
    <row r="1586" spans="1:15" ht="15" customHeight="1" x14ac:dyDescent="0.4">
      <c r="A1586" s="62" t="s">
        <v>824</v>
      </c>
      <c r="B1586" s="62" t="s">
        <v>2120</v>
      </c>
      <c r="C1586" s="62" t="s">
        <v>826</v>
      </c>
      <c r="D1586" s="63">
        <v>13</v>
      </c>
      <c r="E1586" s="63">
        <v>0</v>
      </c>
      <c r="F1586" s="63">
        <v>2</v>
      </c>
      <c r="G1586" s="64">
        <f t="shared" si="96"/>
        <v>0</v>
      </c>
      <c r="H1586" s="64">
        <f t="shared" si="97"/>
        <v>0.15384615384615385</v>
      </c>
      <c r="I1586" s="63">
        <v>2</v>
      </c>
      <c r="J1586" s="65">
        <v>96.992050000000006</v>
      </c>
      <c r="K1586" s="65">
        <v>52.42</v>
      </c>
      <c r="L1586" s="62" t="s">
        <v>826</v>
      </c>
      <c r="M1586" s="63">
        <v>0</v>
      </c>
      <c r="N1586" s="66">
        <f t="shared" si="98"/>
        <v>0.46</v>
      </c>
      <c r="O1586" s="62" t="str">
        <f t="shared" si="99"/>
        <v>2: High (No DBWT)</v>
      </c>
    </row>
    <row r="1587" spans="1:15" ht="15" customHeight="1" x14ac:dyDescent="0.4">
      <c r="A1587" s="62" t="s">
        <v>824</v>
      </c>
      <c r="B1587" s="62" t="s">
        <v>2121</v>
      </c>
      <c r="C1587" s="62" t="s">
        <v>826</v>
      </c>
      <c r="D1587" s="63">
        <v>17</v>
      </c>
      <c r="E1587" s="63">
        <v>14</v>
      </c>
      <c r="F1587" s="63">
        <v>1</v>
      </c>
      <c r="G1587" s="64">
        <f t="shared" si="96"/>
        <v>0.82352941176470584</v>
      </c>
      <c r="H1587" s="64">
        <f t="shared" si="97"/>
        <v>5.8823529411764705E-2</v>
      </c>
      <c r="I1587" s="63">
        <v>2</v>
      </c>
      <c r="J1587" s="65">
        <v>69.394450000000006</v>
      </c>
      <c r="K1587" s="65">
        <v>94.41</v>
      </c>
      <c r="L1587" s="62" t="s">
        <v>825</v>
      </c>
      <c r="M1587" s="63">
        <v>0</v>
      </c>
      <c r="N1587" s="66">
        <f t="shared" si="98"/>
        <v>0.92100000000000004</v>
      </c>
      <c r="O1587" s="62" t="str">
        <f t="shared" si="99"/>
        <v>4: Engaged Early</v>
      </c>
    </row>
    <row r="1588" spans="1:15" ht="15" customHeight="1" x14ac:dyDescent="0.4">
      <c r="A1588" s="62" t="s">
        <v>824</v>
      </c>
      <c r="B1588" s="62" t="s">
        <v>2122</v>
      </c>
      <c r="C1588" s="62" t="s">
        <v>826</v>
      </c>
      <c r="D1588" s="63">
        <v>17</v>
      </c>
      <c r="E1588" s="63">
        <v>12</v>
      </c>
      <c r="F1588" s="63">
        <v>1</v>
      </c>
      <c r="G1588" s="64">
        <f t="shared" si="96"/>
        <v>0.70588235294117652</v>
      </c>
      <c r="H1588" s="64">
        <f t="shared" si="97"/>
        <v>5.8823529411764705E-2</v>
      </c>
      <c r="I1588" s="63">
        <v>2</v>
      </c>
      <c r="J1588" s="65">
        <v>99.180300000000003</v>
      </c>
      <c r="K1588" s="65">
        <v>96.63</v>
      </c>
      <c r="L1588" s="62" t="s">
        <v>825</v>
      </c>
      <c r="M1588" s="63">
        <v>3</v>
      </c>
      <c r="N1588" s="66">
        <f t="shared" si="98"/>
        <v>0.97899999999999998</v>
      </c>
      <c r="O1588" s="62" t="str">
        <f t="shared" si="99"/>
        <v>4: Engaged Early</v>
      </c>
    </row>
    <row r="1589" spans="1:15" ht="15" customHeight="1" x14ac:dyDescent="0.4">
      <c r="A1589" s="62" t="s">
        <v>824</v>
      </c>
      <c r="B1589" s="62" t="s">
        <v>2123</v>
      </c>
      <c r="C1589" s="62" t="s">
        <v>826</v>
      </c>
      <c r="D1589" s="63">
        <v>26</v>
      </c>
      <c r="E1589" s="63">
        <v>23</v>
      </c>
      <c r="F1589" s="63">
        <v>3</v>
      </c>
      <c r="G1589" s="64">
        <f t="shared" si="96"/>
        <v>0.88461538461538458</v>
      </c>
      <c r="H1589" s="64">
        <f t="shared" si="97"/>
        <v>0.11538461538461539</v>
      </c>
      <c r="I1589" s="63">
        <v>2</v>
      </c>
      <c r="J1589" s="65">
        <v>89.312399999999997</v>
      </c>
      <c r="K1589" s="65">
        <v>41.49</v>
      </c>
      <c r="L1589" s="62" t="s">
        <v>825</v>
      </c>
      <c r="M1589" s="63">
        <v>0</v>
      </c>
      <c r="N1589" s="66">
        <f t="shared" si="98"/>
        <v>0.63300000000000001</v>
      </c>
      <c r="O1589" s="62" t="str">
        <f t="shared" si="99"/>
        <v>4: Engaged Early</v>
      </c>
    </row>
    <row r="1590" spans="1:15" ht="15" customHeight="1" x14ac:dyDescent="0.4">
      <c r="A1590" s="62" t="s">
        <v>824</v>
      </c>
      <c r="B1590" s="62" t="s">
        <v>2124</v>
      </c>
      <c r="C1590" s="62" t="s">
        <v>826</v>
      </c>
      <c r="D1590" s="63">
        <v>14</v>
      </c>
      <c r="E1590" s="63">
        <v>12</v>
      </c>
      <c r="F1590" s="63">
        <v>1</v>
      </c>
      <c r="G1590" s="64">
        <f t="shared" si="96"/>
        <v>0.8571428571428571</v>
      </c>
      <c r="H1590" s="64">
        <f t="shared" si="97"/>
        <v>7.1428571428571425E-2</v>
      </c>
      <c r="I1590" s="63">
        <v>2</v>
      </c>
      <c r="J1590" s="65">
        <v>94.841300000000004</v>
      </c>
      <c r="K1590" s="65">
        <v>100</v>
      </c>
      <c r="L1590" s="62" t="s">
        <v>825</v>
      </c>
      <c r="M1590" s="63">
        <v>0</v>
      </c>
      <c r="N1590" s="66">
        <f t="shared" si="98"/>
        <v>0.99199999999999999</v>
      </c>
      <c r="O1590" s="62" t="str">
        <f t="shared" si="99"/>
        <v>4: Engaged Early</v>
      </c>
    </row>
    <row r="1591" spans="1:15" ht="15" customHeight="1" x14ac:dyDescent="0.4">
      <c r="A1591" s="62" t="s">
        <v>824</v>
      </c>
      <c r="B1591" s="62" t="s">
        <v>2125</v>
      </c>
      <c r="C1591" s="62" t="s">
        <v>826</v>
      </c>
      <c r="D1591" s="63">
        <v>1</v>
      </c>
      <c r="E1591" s="63">
        <v>1</v>
      </c>
      <c r="F1591" s="63">
        <v>1</v>
      </c>
      <c r="G1591" s="64">
        <f t="shared" si="96"/>
        <v>1</v>
      </c>
      <c r="H1591" s="64">
        <f t="shared" si="97"/>
        <v>1</v>
      </c>
      <c r="I1591" s="63">
        <v>2</v>
      </c>
      <c r="J1591" s="65">
        <v>49.402200000000001</v>
      </c>
      <c r="K1591" s="65">
        <v>58.86</v>
      </c>
      <c r="L1591" s="62" t="s">
        <v>825</v>
      </c>
      <c r="M1591" s="63">
        <v>1</v>
      </c>
      <c r="N1591" s="66">
        <f t="shared" si="98"/>
        <v>0.67700000000000005</v>
      </c>
      <c r="O1591" s="62" t="str">
        <f t="shared" si="99"/>
        <v>4: Engaged Early</v>
      </c>
    </row>
    <row r="1592" spans="1:15" ht="15" customHeight="1" x14ac:dyDescent="0.4">
      <c r="A1592" s="62" t="s">
        <v>824</v>
      </c>
      <c r="B1592" s="62" t="s">
        <v>519</v>
      </c>
      <c r="C1592" s="62" t="s">
        <v>825</v>
      </c>
      <c r="D1592" s="63">
        <v>8</v>
      </c>
      <c r="E1592" s="63">
        <v>7</v>
      </c>
      <c r="F1592" s="63">
        <v>2</v>
      </c>
      <c r="G1592" s="64">
        <f t="shared" si="96"/>
        <v>0.875</v>
      </c>
      <c r="H1592" s="64">
        <f t="shared" si="97"/>
        <v>0.25</v>
      </c>
      <c r="I1592" s="63">
        <v>2</v>
      </c>
      <c r="J1592" s="65">
        <v>68.959500000000006</v>
      </c>
      <c r="K1592" s="65">
        <v>89.73</v>
      </c>
      <c r="L1592" s="62" t="s">
        <v>826</v>
      </c>
      <c r="M1592" s="63">
        <v>0</v>
      </c>
      <c r="N1592" s="66">
        <f t="shared" si="98"/>
        <v>0.64200000000000002</v>
      </c>
      <c r="O1592" s="62" t="str">
        <f t="shared" si="99"/>
        <v>2: High (No DBWT)</v>
      </c>
    </row>
    <row r="1593" spans="1:15" ht="15" customHeight="1" x14ac:dyDescent="0.4">
      <c r="A1593" s="62" t="s">
        <v>824</v>
      </c>
      <c r="B1593" s="62" t="s">
        <v>2126</v>
      </c>
      <c r="C1593" s="62" t="s">
        <v>826</v>
      </c>
      <c r="D1593" s="63">
        <v>13</v>
      </c>
      <c r="E1593" s="63">
        <v>8</v>
      </c>
      <c r="F1593" s="63">
        <v>2</v>
      </c>
      <c r="G1593" s="64">
        <f t="shared" si="96"/>
        <v>0.61538461538461542</v>
      </c>
      <c r="H1593" s="64">
        <f t="shared" si="97"/>
        <v>0.15384615384615385</v>
      </c>
      <c r="I1593" s="63">
        <v>2</v>
      </c>
      <c r="J1593" s="65">
        <v>90.7</v>
      </c>
      <c r="K1593" s="65">
        <v>92.58</v>
      </c>
      <c r="L1593" s="62" t="s">
        <v>825</v>
      </c>
      <c r="M1593" s="63">
        <v>0</v>
      </c>
      <c r="N1593" s="66">
        <f t="shared" si="98"/>
        <v>0.94199999999999995</v>
      </c>
      <c r="O1593" s="62" t="str">
        <f t="shared" si="99"/>
        <v>4: Engaged Early</v>
      </c>
    </row>
    <row r="1594" spans="1:15" ht="15" customHeight="1" x14ac:dyDescent="0.4">
      <c r="A1594" s="62" t="s">
        <v>824</v>
      </c>
      <c r="B1594" s="62" t="s">
        <v>2127</v>
      </c>
      <c r="C1594" s="62" t="s">
        <v>826</v>
      </c>
      <c r="D1594" s="63">
        <v>23</v>
      </c>
      <c r="E1594" s="63">
        <v>19</v>
      </c>
      <c r="F1594" s="63">
        <v>1</v>
      </c>
      <c r="G1594" s="64">
        <f t="shared" si="96"/>
        <v>0.82608695652173914</v>
      </c>
      <c r="H1594" s="64">
        <f t="shared" si="97"/>
        <v>4.3478260869565216E-2</v>
      </c>
      <c r="I1594" s="63">
        <v>2</v>
      </c>
      <c r="J1594" s="65">
        <v>99.935000000000002</v>
      </c>
      <c r="K1594" s="65">
        <v>100</v>
      </c>
      <c r="L1594" s="62" t="s">
        <v>825</v>
      </c>
      <c r="M1594" s="63">
        <v>0</v>
      </c>
      <c r="N1594" s="66">
        <f t="shared" si="98"/>
        <v>1</v>
      </c>
      <c r="O1594" s="62" t="str">
        <f t="shared" si="99"/>
        <v>4: Engaged Early</v>
      </c>
    </row>
    <row r="1595" spans="1:15" ht="15" customHeight="1" x14ac:dyDescent="0.4">
      <c r="A1595" s="62" t="s">
        <v>824</v>
      </c>
      <c r="B1595" s="62" t="s">
        <v>2128</v>
      </c>
      <c r="C1595" s="62" t="s">
        <v>826</v>
      </c>
      <c r="D1595" s="63">
        <v>10</v>
      </c>
      <c r="E1595" s="63">
        <v>8</v>
      </c>
      <c r="F1595" s="63">
        <v>0</v>
      </c>
      <c r="G1595" s="64">
        <f t="shared" si="96"/>
        <v>0.8</v>
      </c>
      <c r="H1595" s="64">
        <f t="shared" si="97"/>
        <v>0</v>
      </c>
      <c r="I1595" s="63">
        <v>2</v>
      </c>
      <c r="J1595" s="65">
        <v>90.585849999999994</v>
      </c>
      <c r="K1595" s="65">
        <v>100</v>
      </c>
      <c r="L1595" s="62" t="s">
        <v>825</v>
      </c>
      <c r="M1595" s="63">
        <v>0</v>
      </c>
      <c r="N1595" s="66">
        <f t="shared" si="98"/>
        <v>0.98599999999999999</v>
      </c>
      <c r="O1595" s="62" t="str">
        <f t="shared" si="99"/>
        <v>4: Engaged Early</v>
      </c>
    </row>
    <row r="1596" spans="1:15" ht="15" customHeight="1" x14ac:dyDescent="0.4">
      <c r="A1596" s="62" t="s">
        <v>824</v>
      </c>
      <c r="B1596" s="62" t="s">
        <v>2129</v>
      </c>
      <c r="C1596" s="62" t="s">
        <v>826</v>
      </c>
      <c r="D1596" s="63">
        <v>6</v>
      </c>
      <c r="E1596" s="63">
        <v>2</v>
      </c>
      <c r="F1596" s="63">
        <v>0</v>
      </c>
      <c r="G1596" s="64">
        <f t="shared" si="96"/>
        <v>0.33333333333333331</v>
      </c>
      <c r="H1596" s="64">
        <f t="shared" si="97"/>
        <v>0</v>
      </c>
      <c r="I1596" s="63">
        <v>2</v>
      </c>
      <c r="J1596" s="65">
        <v>93.064700000000002</v>
      </c>
      <c r="K1596" s="65">
        <v>82.1</v>
      </c>
      <c r="L1596" s="62" t="s">
        <v>825</v>
      </c>
      <c r="M1596" s="63">
        <v>0</v>
      </c>
      <c r="N1596" s="66">
        <f t="shared" si="98"/>
        <v>0.88200000000000001</v>
      </c>
      <c r="O1596" s="62" t="str">
        <f t="shared" si="99"/>
        <v>4: Engaged Early</v>
      </c>
    </row>
    <row r="1597" spans="1:15" ht="15" customHeight="1" x14ac:dyDescent="0.4">
      <c r="A1597" s="62" t="s">
        <v>824</v>
      </c>
      <c r="B1597" s="62" t="s">
        <v>2130</v>
      </c>
      <c r="C1597" s="62" t="s">
        <v>826</v>
      </c>
      <c r="D1597" s="63">
        <v>20</v>
      </c>
      <c r="E1597" s="63">
        <v>18</v>
      </c>
      <c r="F1597" s="63">
        <v>6</v>
      </c>
      <c r="G1597" s="64">
        <f t="shared" si="96"/>
        <v>0.9</v>
      </c>
      <c r="H1597" s="64">
        <f t="shared" si="97"/>
        <v>0.3</v>
      </c>
      <c r="I1597" s="63">
        <v>2</v>
      </c>
      <c r="J1597" s="65">
        <v>96.673900000000003</v>
      </c>
      <c r="K1597" s="65">
        <v>100</v>
      </c>
      <c r="L1597" s="62" t="s">
        <v>825</v>
      </c>
      <c r="M1597" s="63">
        <v>0</v>
      </c>
      <c r="N1597" s="66">
        <f t="shared" si="98"/>
        <v>0.995</v>
      </c>
      <c r="O1597" s="62" t="str">
        <f t="shared" si="99"/>
        <v>4: Engaged Early</v>
      </c>
    </row>
    <row r="1598" spans="1:15" ht="15" customHeight="1" x14ac:dyDescent="0.4">
      <c r="A1598" s="62" t="s">
        <v>824</v>
      </c>
      <c r="B1598" s="62" t="s">
        <v>2131</v>
      </c>
      <c r="C1598" s="62" t="s">
        <v>826</v>
      </c>
      <c r="D1598" s="63">
        <v>0</v>
      </c>
      <c r="E1598" s="63">
        <v>0</v>
      </c>
      <c r="F1598" s="63">
        <v>0</v>
      </c>
      <c r="G1598" s="64">
        <f t="shared" si="96"/>
        <v>0</v>
      </c>
      <c r="H1598" s="64">
        <f t="shared" si="97"/>
        <v>0</v>
      </c>
      <c r="I1598" s="63">
        <v>2</v>
      </c>
      <c r="J1598" s="65">
        <v>83.364400000000003</v>
      </c>
      <c r="K1598" s="65">
        <v>99.12</v>
      </c>
      <c r="L1598" s="62" t="s">
        <v>825</v>
      </c>
      <c r="M1598" s="63">
        <v>0</v>
      </c>
      <c r="N1598" s="66">
        <f t="shared" si="98"/>
        <v>0.97</v>
      </c>
      <c r="O1598" s="62" t="str">
        <f t="shared" si="99"/>
        <v>4: Engaged Early</v>
      </c>
    </row>
    <row r="1599" spans="1:15" ht="15" customHeight="1" x14ac:dyDescent="0.4">
      <c r="A1599" s="62" t="s">
        <v>824</v>
      </c>
      <c r="B1599" s="62" t="s">
        <v>2132</v>
      </c>
      <c r="C1599" s="62" t="s">
        <v>826</v>
      </c>
      <c r="D1599" s="63">
        <v>1</v>
      </c>
      <c r="E1599" s="63">
        <v>1</v>
      </c>
      <c r="F1599" s="63">
        <v>1</v>
      </c>
      <c r="G1599" s="64">
        <f t="shared" si="96"/>
        <v>1</v>
      </c>
      <c r="H1599" s="64">
        <f t="shared" si="97"/>
        <v>1</v>
      </c>
      <c r="I1599" s="63">
        <v>2</v>
      </c>
      <c r="J1599" s="65">
        <v>83.618250000000003</v>
      </c>
      <c r="K1599" s="65">
        <v>100</v>
      </c>
      <c r="L1599" s="62" t="s">
        <v>826</v>
      </c>
      <c r="M1599" s="63">
        <v>0</v>
      </c>
      <c r="N1599" s="66">
        <f t="shared" si="98"/>
        <v>0.72499999999999998</v>
      </c>
      <c r="O1599" s="62" t="str">
        <f t="shared" si="99"/>
        <v>2: High (No DBWT)</v>
      </c>
    </row>
    <row r="1600" spans="1:15" ht="15" customHeight="1" x14ac:dyDescent="0.4">
      <c r="A1600" s="62" t="s">
        <v>824</v>
      </c>
      <c r="B1600" s="62" t="s">
        <v>2133</v>
      </c>
      <c r="C1600" s="62" t="s">
        <v>826</v>
      </c>
      <c r="D1600" s="63">
        <v>6</v>
      </c>
      <c r="E1600" s="63">
        <v>6</v>
      </c>
      <c r="F1600" s="63">
        <v>1</v>
      </c>
      <c r="G1600" s="64">
        <f t="shared" si="96"/>
        <v>1</v>
      </c>
      <c r="H1600" s="64">
        <f t="shared" si="97"/>
        <v>0.16666666666666666</v>
      </c>
      <c r="I1600" s="63">
        <v>2</v>
      </c>
      <c r="J1600" s="65">
        <v>92.332949999999997</v>
      </c>
      <c r="K1600" s="65">
        <v>92.04</v>
      </c>
      <c r="L1600" s="62" t="s">
        <v>825</v>
      </c>
      <c r="M1600" s="63">
        <v>0</v>
      </c>
      <c r="N1600" s="66">
        <f t="shared" si="98"/>
        <v>0.94099999999999995</v>
      </c>
      <c r="O1600" s="62" t="str">
        <f t="shared" si="99"/>
        <v>4: Engaged Early</v>
      </c>
    </row>
    <row r="1601" spans="1:15" ht="15" customHeight="1" x14ac:dyDescent="0.4">
      <c r="A1601" s="62" t="s">
        <v>824</v>
      </c>
      <c r="B1601" s="62" t="s">
        <v>343</v>
      </c>
      <c r="C1601" s="62" t="s">
        <v>825</v>
      </c>
      <c r="D1601" s="63">
        <v>12</v>
      </c>
      <c r="E1601" s="63">
        <v>12</v>
      </c>
      <c r="F1601" s="63">
        <v>4</v>
      </c>
      <c r="G1601" s="64">
        <f t="shared" si="96"/>
        <v>1</v>
      </c>
      <c r="H1601" s="64">
        <f t="shared" si="97"/>
        <v>0.33333333333333331</v>
      </c>
      <c r="I1601" s="63">
        <v>2</v>
      </c>
      <c r="J1601" s="65">
        <v>47.998660000000001</v>
      </c>
      <c r="K1601" s="65">
        <v>37.9</v>
      </c>
      <c r="L1601" s="62" t="s">
        <v>825</v>
      </c>
      <c r="M1601" s="63">
        <v>0</v>
      </c>
      <c r="N1601" s="66">
        <f t="shared" si="98"/>
        <v>0.54900000000000004</v>
      </c>
      <c r="O1601" s="62" t="str">
        <f t="shared" si="99"/>
        <v>4: Engaged Early</v>
      </c>
    </row>
    <row r="1602" spans="1:15" ht="15" customHeight="1" x14ac:dyDescent="0.4">
      <c r="A1602" s="62" t="s">
        <v>824</v>
      </c>
      <c r="B1602" s="62" t="s">
        <v>2134</v>
      </c>
      <c r="C1602" s="62" t="s">
        <v>826</v>
      </c>
      <c r="D1602" s="63">
        <v>25</v>
      </c>
      <c r="E1602" s="63">
        <v>13</v>
      </c>
      <c r="F1602" s="63">
        <v>1</v>
      </c>
      <c r="G1602" s="64">
        <f t="shared" ref="G1602:G1650" si="100">IFERROR(E1602/D1602,0)</f>
        <v>0.52</v>
      </c>
      <c r="H1602" s="64">
        <f t="shared" ref="H1602:H1650" si="101">IFERROR(F1602/D1602,0)</f>
        <v>0.04</v>
      </c>
      <c r="I1602" s="63">
        <v>2</v>
      </c>
      <c r="J1602" s="65">
        <v>80.948800000000006</v>
      </c>
      <c r="K1602" s="65">
        <v>98.86</v>
      </c>
      <c r="L1602" s="62" t="s">
        <v>825</v>
      </c>
      <c r="M1602" s="63">
        <v>0</v>
      </c>
      <c r="N1602" s="66">
        <f t="shared" ref="N1602:N1650" si="102">ROUND(IFERROR(K1602/100,0)*0.6 + IF(L1602="Yes",1,IF(L1602="No",0,0.3))*0.25 + IFERROR(J1602/100,0)*0.15,3)</f>
        <v>0.96499999999999997</v>
      </c>
      <c r="O1602" s="62" t="str">
        <f t="shared" ref="O1602:O1650" si="103">IF(AND(L1602="No",I1602=0),"1: Critical (No DBWT + No Wk0)",IF(L1602="No","2: High (No DBWT)",IF(I1602=0,"3: Elevated (No Wk0)","4: Engaged Early")))</f>
        <v>4: Engaged Early</v>
      </c>
    </row>
    <row r="1603" spans="1:15" ht="15" customHeight="1" x14ac:dyDescent="0.4">
      <c r="A1603" s="62" t="s">
        <v>824</v>
      </c>
      <c r="B1603" s="62" t="s">
        <v>487</v>
      </c>
      <c r="C1603" s="62" t="s">
        <v>825</v>
      </c>
      <c r="D1603" s="63">
        <v>5</v>
      </c>
      <c r="E1603" s="63">
        <v>4</v>
      </c>
      <c r="F1603" s="63">
        <v>2</v>
      </c>
      <c r="G1603" s="64">
        <f t="shared" si="100"/>
        <v>0.8</v>
      </c>
      <c r="H1603" s="64">
        <f t="shared" si="101"/>
        <v>0.4</v>
      </c>
      <c r="I1603" s="63">
        <v>2</v>
      </c>
      <c r="J1603" s="65">
        <v>12.90889</v>
      </c>
      <c r="K1603" s="65">
        <v>17.920000000000002</v>
      </c>
      <c r="L1603" s="62" t="s">
        <v>826</v>
      </c>
      <c r="M1603" s="63">
        <v>1</v>
      </c>
      <c r="N1603" s="66">
        <f t="shared" si="102"/>
        <v>0.127</v>
      </c>
      <c r="O1603" s="62" t="str">
        <f t="shared" si="103"/>
        <v>2: High (No DBWT)</v>
      </c>
    </row>
    <row r="1604" spans="1:15" ht="15" customHeight="1" x14ac:dyDescent="0.4">
      <c r="A1604" s="62" t="s">
        <v>824</v>
      </c>
      <c r="B1604" s="62" t="s">
        <v>2135</v>
      </c>
      <c r="C1604" s="62" t="s">
        <v>826</v>
      </c>
      <c r="D1604" s="63">
        <v>21</v>
      </c>
      <c r="E1604" s="63">
        <v>20</v>
      </c>
      <c r="F1604" s="63">
        <v>1</v>
      </c>
      <c r="G1604" s="64">
        <f t="shared" si="100"/>
        <v>0.95238095238095233</v>
      </c>
      <c r="H1604" s="64">
        <f t="shared" si="101"/>
        <v>4.7619047619047616E-2</v>
      </c>
      <c r="I1604" s="63">
        <v>2</v>
      </c>
      <c r="J1604" s="65">
        <v>97.570800000000006</v>
      </c>
      <c r="K1604" s="65">
        <v>100</v>
      </c>
      <c r="L1604" s="62" t="s">
        <v>825</v>
      </c>
      <c r="M1604" s="63">
        <v>0</v>
      </c>
      <c r="N1604" s="66">
        <f t="shared" si="102"/>
        <v>0.996</v>
      </c>
      <c r="O1604" s="62" t="str">
        <f t="shared" si="103"/>
        <v>4: Engaged Early</v>
      </c>
    </row>
    <row r="1605" spans="1:15" ht="15" customHeight="1" x14ac:dyDescent="0.4">
      <c r="A1605" s="62" t="s">
        <v>824</v>
      </c>
      <c r="B1605" s="62" t="s">
        <v>2136</v>
      </c>
      <c r="C1605" s="62" t="s">
        <v>826</v>
      </c>
      <c r="D1605" s="63">
        <v>17</v>
      </c>
      <c r="E1605" s="63">
        <v>10</v>
      </c>
      <c r="F1605" s="63">
        <v>0</v>
      </c>
      <c r="G1605" s="64">
        <f t="shared" si="100"/>
        <v>0.58823529411764708</v>
      </c>
      <c r="H1605" s="64">
        <f t="shared" si="101"/>
        <v>0</v>
      </c>
      <c r="I1605" s="63">
        <v>2</v>
      </c>
      <c r="J1605" s="65">
        <v>50.143545000000003</v>
      </c>
      <c r="K1605" s="65">
        <v>89.21</v>
      </c>
      <c r="L1605" s="62" t="s">
        <v>825</v>
      </c>
      <c r="M1605" s="63">
        <v>0</v>
      </c>
      <c r="N1605" s="66">
        <f t="shared" si="102"/>
        <v>0.86</v>
      </c>
      <c r="O1605" s="62" t="str">
        <f t="shared" si="103"/>
        <v>4: Engaged Early</v>
      </c>
    </row>
    <row r="1606" spans="1:15" ht="15" customHeight="1" x14ac:dyDescent="0.4">
      <c r="A1606" s="62" t="s">
        <v>824</v>
      </c>
      <c r="B1606" s="62" t="s">
        <v>2137</v>
      </c>
      <c r="C1606" s="62" t="s">
        <v>826</v>
      </c>
      <c r="D1606" s="63">
        <v>8</v>
      </c>
      <c r="E1606" s="63">
        <v>6</v>
      </c>
      <c r="F1606" s="63">
        <v>0</v>
      </c>
      <c r="G1606" s="64">
        <f t="shared" si="100"/>
        <v>0.75</v>
      </c>
      <c r="H1606" s="64">
        <f t="shared" si="101"/>
        <v>0</v>
      </c>
      <c r="I1606" s="63">
        <v>2</v>
      </c>
      <c r="J1606" s="65">
        <v>93.552499999999995</v>
      </c>
      <c r="K1606" s="65">
        <v>99.62</v>
      </c>
      <c r="L1606" s="62" t="s">
        <v>825</v>
      </c>
      <c r="M1606" s="63">
        <v>0</v>
      </c>
      <c r="N1606" s="66">
        <f t="shared" si="102"/>
        <v>0.98799999999999999</v>
      </c>
      <c r="O1606" s="62" t="str">
        <f t="shared" si="103"/>
        <v>4: Engaged Early</v>
      </c>
    </row>
    <row r="1607" spans="1:15" ht="15" customHeight="1" x14ac:dyDescent="0.4">
      <c r="A1607" s="62" t="s">
        <v>824</v>
      </c>
      <c r="B1607" s="62" t="s">
        <v>2138</v>
      </c>
      <c r="C1607" s="62" t="s">
        <v>826</v>
      </c>
      <c r="D1607" s="63">
        <v>0</v>
      </c>
      <c r="E1607" s="63">
        <v>0</v>
      </c>
      <c r="F1607" s="63">
        <v>0</v>
      </c>
      <c r="G1607" s="64">
        <f t="shared" si="100"/>
        <v>0</v>
      </c>
      <c r="H1607" s="64">
        <f t="shared" si="101"/>
        <v>0</v>
      </c>
      <c r="I1607" s="63">
        <v>1</v>
      </c>
      <c r="J1607" s="65">
        <v>77.709999999999994</v>
      </c>
      <c r="K1607" s="65">
        <v>22.22</v>
      </c>
      <c r="L1607" s="62" t="s">
        <v>840</v>
      </c>
      <c r="M1607" s="63">
        <v>0</v>
      </c>
      <c r="N1607" s="66">
        <f t="shared" si="102"/>
        <v>0.32500000000000001</v>
      </c>
      <c r="O1607" s="62" t="str">
        <f t="shared" si="103"/>
        <v>4: Engaged Early</v>
      </c>
    </row>
    <row r="1608" spans="1:15" ht="15" customHeight="1" x14ac:dyDescent="0.4">
      <c r="A1608" s="62" t="s">
        <v>824</v>
      </c>
      <c r="B1608" s="62" t="s">
        <v>667</v>
      </c>
      <c r="C1608" s="62" t="s">
        <v>825</v>
      </c>
      <c r="D1608" s="63">
        <v>16</v>
      </c>
      <c r="E1608" s="63">
        <v>16</v>
      </c>
      <c r="F1608" s="63">
        <v>5</v>
      </c>
      <c r="G1608" s="64">
        <f t="shared" si="100"/>
        <v>1</v>
      </c>
      <c r="H1608" s="64">
        <f t="shared" si="101"/>
        <v>0.3125</v>
      </c>
      <c r="I1608" s="63">
        <v>2</v>
      </c>
      <c r="J1608" s="65">
        <v>42.072200000000002</v>
      </c>
      <c r="K1608" s="65">
        <v>26.02</v>
      </c>
      <c r="L1608" s="62" t="s">
        <v>826</v>
      </c>
      <c r="M1608" s="63">
        <v>0</v>
      </c>
      <c r="N1608" s="66">
        <f t="shared" si="102"/>
        <v>0.219</v>
      </c>
      <c r="O1608" s="62" t="str">
        <f t="shared" si="103"/>
        <v>2: High (No DBWT)</v>
      </c>
    </row>
    <row r="1609" spans="1:15" ht="15" customHeight="1" x14ac:dyDescent="0.4">
      <c r="A1609" s="62" t="s">
        <v>824</v>
      </c>
      <c r="B1609" s="62" t="s">
        <v>2139</v>
      </c>
      <c r="C1609" s="62" t="s">
        <v>826</v>
      </c>
      <c r="D1609" s="63">
        <v>5</v>
      </c>
      <c r="E1609" s="63">
        <v>0</v>
      </c>
      <c r="F1609" s="63">
        <v>0</v>
      </c>
      <c r="G1609" s="64">
        <f t="shared" si="100"/>
        <v>0</v>
      </c>
      <c r="H1609" s="64">
        <f t="shared" si="101"/>
        <v>0</v>
      </c>
      <c r="I1609" s="63">
        <v>2</v>
      </c>
      <c r="J1609" s="65">
        <v>86.779849999999996</v>
      </c>
      <c r="K1609" s="65">
        <v>100</v>
      </c>
      <c r="L1609" s="62" t="s">
        <v>826</v>
      </c>
      <c r="M1609" s="63">
        <v>0</v>
      </c>
      <c r="N1609" s="66">
        <f t="shared" si="102"/>
        <v>0.73</v>
      </c>
      <c r="O1609" s="62" t="str">
        <f t="shared" si="103"/>
        <v>2: High (No DBWT)</v>
      </c>
    </row>
    <row r="1610" spans="1:15" ht="15" customHeight="1" x14ac:dyDescent="0.4">
      <c r="A1610" s="62" t="s">
        <v>824</v>
      </c>
      <c r="B1610" s="62" t="s">
        <v>2140</v>
      </c>
      <c r="C1610" s="62" t="s">
        <v>826</v>
      </c>
      <c r="D1610" s="63">
        <v>17</v>
      </c>
      <c r="E1610" s="63">
        <v>10</v>
      </c>
      <c r="F1610" s="63">
        <v>3</v>
      </c>
      <c r="G1610" s="64">
        <f t="shared" si="100"/>
        <v>0.58823529411764708</v>
      </c>
      <c r="H1610" s="64">
        <f t="shared" si="101"/>
        <v>0.17647058823529413</v>
      </c>
      <c r="I1610" s="63">
        <v>2</v>
      </c>
      <c r="J1610" s="65">
        <v>86.831050000000005</v>
      </c>
      <c r="K1610" s="65">
        <v>100</v>
      </c>
      <c r="L1610" s="62" t="s">
        <v>825</v>
      </c>
      <c r="M1610" s="63">
        <v>0</v>
      </c>
      <c r="N1610" s="66">
        <f t="shared" si="102"/>
        <v>0.98</v>
      </c>
      <c r="O1610" s="62" t="str">
        <f t="shared" si="103"/>
        <v>4: Engaged Early</v>
      </c>
    </row>
    <row r="1611" spans="1:15" ht="15" customHeight="1" x14ac:dyDescent="0.4">
      <c r="A1611" s="62" t="s">
        <v>824</v>
      </c>
      <c r="B1611" s="62" t="s">
        <v>2141</v>
      </c>
      <c r="C1611" s="62" t="s">
        <v>826</v>
      </c>
      <c r="D1611" s="63">
        <v>8</v>
      </c>
      <c r="E1611" s="63">
        <v>7</v>
      </c>
      <c r="F1611" s="63">
        <v>0</v>
      </c>
      <c r="G1611" s="64">
        <f t="shared" si="100"/>
        <v>0.875</v>
      </c>
      <c r="H1611" s="64">
        <f t="shared" si="101"/>
        <v>0</v>
      </c>
      <c r="I1611" s="63">
        <v>3</v>
      </c>
      <c r="J1611" s="65">
        <v>64.973333333333301</v>
      </c>
      <c r="K1611" s="65">
        <v>100</v>
      </c>
      <c r="L1611" s="62" t="s">
        <v>826</v>
      </c>
      <c r="M1611" s="63">
        <v>1</v>
      </c>
      <c r="N1611" s="66">
        <f t="shared" si="102"/>
        <v>0.69699999999999995</v>
      </c>
      <c r="O1611" s="62" t="str">
        <f t="shared" si="103"/>
        <v>2: High (No DBWT)</v>
      </c>
    </row>
    <row r="1612" spans="1:15" ht="15" customHeight="1" x14ac:dyDescent="0.4">
      <c r="A1612" s="62" t="s">
        <v>824</v>
      </c>
      <c r="B1612" s="62" t="s">
        <v>2142</v>
      </c>
      <c r="C1612" s="62" t="s">
        <v>826</v>
      </c>
      <c r="D1612" s="63">
        <v>3</v>
      </c>
      <c r="E1612" s="63">
        <v>3</v>
      </c>
      <c r="F1612" s="63">
        <v>0</v>
      </c>
      <c r="G1612" s="64">
        <f t="shared" si="100"/>
        <v>1</v>
      </c>
      <c r="H1612" s="64">
        <f t="shared" si="101"/>
        <v>0</v>
      </c>
      <c r="I1612" s="63">
        <v>2</v>
      </c>
      <c r="J1612" s="65">
        <v>70.665099999999995</v>
      </c>
      <c r="K1612" s="65">
        <v>100</v>
      </c>
      <c r="L1612" s="62" t="s">
        <v>825</v>
      </c>
      <c r="M1612" s="63">
        <v>0</v>
      </c>
      <c r="N1612" s="66">
        <f t="shared" si="102"/>
        <v>0.95599999999999996</v>
      </c>
      <c r="O1612" s="62" t="str">
        <f t="shared" si="103"/>
        <v>4: Engaged Early</v>
      </c>
    </row>
    <row r="1613" spans="1:15" ht="15" customHeight="1" x14ac:dyDescent="0.4">
      <c r="A1613" s="62" t="s">
        <v>824</v>
      </c>
      <c r="B1613" s="62" t="s">
        <v>2143</v>
      </c>
      <c r="C1613" s="62" t="s">
        <v>826</v>
      </c>
      <c r="D1613" s="63">
        <v>8</v>
      </c>
      <c r="E1613" s="63">
        <v>7</v>
      </c>
      <c r="F1613" s="63">
        <v>1</v>
      </c>
      <c r="G1613" s="64">
        <f t="shared" si="100"/>
        <v>0.875</v>
      </c>
      <c r="H1613" s="64">
        <f t="shared" si="101"/>
        <v>0.125</v>
      </c>
      <c r="I1613" s="63">
        <v>2</v>
      </c>
      <c r="J1613" s="65">
        <v>83.182699999999997</v>
      </c>
      <c r="K1613" s="65">
        <v>99.69</v>
      </c>
      <c r="L1613" s="62" t="s">
        <v>825</v>
      </c>
      <c r="M1613" s="63">
        <v>0</v>
      </c>
      <c r="N1613" s="66">
        <f t="shared" si="102"/>
        <v>0.97299999999999998</v>
      </c>
      <c r="O1613" s="62" t="str">
        <f t="shared" si="103"/>
        <v>4: Engaged Early</v>
      </c>
    </row>
    <row r="1614" spans="1:15" ht="15" customHeight="1" x14ac:dyDescent="0.4">
      <c r="A1614" s="62" t="s">
        <v>824</v>
      </c>
      <c r="B1614" s="62" t="s">
        <v>2144</v>
      </c>
      <c r="C1614" s="62" t="s">
        <v>826</v>
      </c>
      <c r="D1614" s="63">
        <v>12</v>
      </c>
      <c r="E1614" s="63">
        <v>11</v>
      </c>
      <c r="F1614" s="63">
        <v>2</v>
      </c>
      <c r="G1614" s="64">
        <f t="shared" si="100"/>
        <v>0.91666666666666663</v>
      </c>
      <c r="H1614" s="64">
        <f t="shared" si="101"/>
        <v>0.16666666666666666</v>
      </c>
      <c r="I1614" s="63">
        <v>2</v>
      </c>
      <c r="J1614" s="65">
        <v>91.267300000000006</v>
      </c>
      <c r="K1614" s="65">
        <v>94.48</v>
      </c>
      <c r="L1614" s="62" t="s">
        <v>825</v>
      </c>
      <c r="M1614" s="63">
        <v>0</v>
      </c>
      <c r="N1614" s="66">
        <f t="shared" si="102"/>
        <v>0.95399999999999996</v>
      </c>
      <c r="O1614" s="62" t="str">
        <f t="shared" si="103"/>
        <v>4: Engaged Early</v>
      </c>
    </row>
    <row r="1615" spans="1:15" ht="15" customHeight="1" x14ac:dyDescent="0.4">
      <c r="A1615" s="62" t="s">
        <v>824</v>
      </c>
      <c r="B1615" s="62" t="s">
        <v>2145</v>
      </c>
      <c r="C1615" s="62" t="s">
        <v>826</v>
      </c>
      <c r="D1615" s="63">
        <v>23</v>
      </c>
      <c r="E1615" s="63">
        <v>17</v>
      </c>
      <c r="F1615" s="63">
        <v>3</v>
      </c>
      <c r="G1615" s="64">
        <f t="shared" si="100"/>
        <v>0.73913043478260865</v>
      </c>
      <c r="H1615" s="64">
        <f t="shared" si="101"/>
        <v>0.13043478260869565</v>
      </c>
      <c r="I1615" s="63">
        <v>2</v>
      </c>
      <c r="J1615" s="65">
        <v>85.942049999999995</v>
      </c>
      <c r="K1615" s="65">
        <v>62.56</v>
      </c>
      <c r="L1615" s="62" t="s">
        <v>825</v>
      </c>
      <c r="M1615" s="63">
        <v>0</v>
      </c>
      <c r="N1615" s="66">
        <f t="shared" si="102"/>
        <v>0.754</v>
      </c>
      <c r="O1615" s="62" t="str">
        <f t="shared" si="103"/>
        <v>4: Engaged Early</v>
      </c>
    </row>
    <row r="1616" spans="1:15" ht="15" customHeight="1" x14ac:dyDescent="0.4">
      <c r="A1616" s="62" t="s">
        <v>824</v>
      </c>
      <c r="B1616" s="62" t="s">
        <v>2146</v>
      </c>
      <c r="C1616" s="62" t="s">
        <v>826</v>
      </c>
      <c r="D1616" s="63">
        <v>13</v>
      </c>
      <c r="E1616" s="63">
        <v>6</v>
      </c>
      <c r="F1616" s="63">
        <v>0</v>
      </c>
      <c r="G1616" s="64">
        <f t="shared" si="100"/>
        <v>0.46153846153846156</v>
      </c>
      <c r="H1616" s="64">
        <f t="shared" si="101"/>
        <v>0</v>
      </c>
      <c r="I1616" s="63">
        <v>1</v>
      </c>
      <c r="J1616" s="65">
        <v>72.2</v>
      </c>
      <c r="K1616" s="65">
        <v>16.97</v>
      </c>
      <c r="L1616" s="62" t="s">
        <v>825</v>
      </c>
      <c r="M1616" s="63">
        <v>0</v>
      </c>
      <c r="N1616" s="66">
        <f t="shared" si="102"/>
        <v>0.46</v>
      </c>
      <c r="O1616" s="62" t="str">
        <f t="shared" si="103"/>
        <v>4: Engaged Early</v>
      </c>
    </row>
    <row r="1617" spans="1:15" ht="15" customHeight="1" x14ac:dyDescent="0.4">
      <c r="A1617" s="62" t="s">
        <v>824</v>
      </c>
      <c r="B1617" s="62" t="s">
        <v>2147</v>
      </c>
      <c r="C1617" s="62" t="s">
        <v>826</v>
      </c>
      <c r="D1617" s="63">
        <v>26</v>
      </c>
      <c r="E1617" s="63">
        <v>24</v>
      </c>
      <c r="F1617" s="63">
        <v>4</v>
      </c>
      <c r="G1617" s="64">
        <f t="shared" si="100"/>
        <v>0.92307692307692313</v>
      </c>
      <c r="H1617" s="64">
        <f t="shared" si="101"/>
        <v>0.15384615384615385</v>
      </c>
      <c r="I1617" s="63">
        <v>2</v>
      </c>
      <c r="J1617" s="65">
        <v>87.442700000000002</v>
      </c>
      <c r="K1617" s="65">
        <v>100</v>
      </c>
      <c r="L1617" s="62" t="s">
        <v>825</v>
      </c>
      <c r="M1617" s="63">
        <v>0</v>
      </c>
      <c r="N1617" s="66">
        <f t="shared" si="102"/>
        <v>0.98099999999999998</v>
      </c>
      <c r="O1617" s="62" t="str">
        <f t="shared" si="103"/>
        <v>4: Engaged Early</v>
      </c>
    </row>
    <row r="1618" spans="1:15" ht="15" customHeight="1" x14ac:dyDescent="0.4">
      <c r="A1618" s="62" t="s">
        <v>824</v>
      </c>
      <c r="B1618" s="62" t="s">
        <v>2148</v>
      </c>
      <c r="C1618" s="62" t="s">
        <v>826</v>
      </c>
      <c r="D1618" s="63">
        <v>20</v>
      </c>
      <c r="E1618" s="63">
        <v>16</v>
      </c>
      <c r="F1618" s="63">
        <v>2</v>
      </c>
      <c r="G1618" s="64">
        <f t="shared" si="100"/>
        <v>0.8</v>
      </c>
      <c r="H1618" s="64">
        <f t="shared" si="101"/>
        <v>0.1</v>
      </c>
      <c r="I1618" s="63">
        <v>2</v>
      </c>
      <c r="J1618" s="65">
        <v>85.580500000000001</v>
      </c>
      <c r="K1618" s="65">
        <v>100</v>
      </c>
      <c r="L1618" s="62" t="s">
        <v>825</v>
      </c>
      <c r="M1618" s="63">
        <v>0</v>
      </c>
      <c r="N1618" s="66">
        <f t="shared" si="102"/>
        <v>0.97799999999999998</v>
      </c>
      <c r="O1618" s="62" t="str">
        <f t="shared" si="103"/>
        <v>4: Engaged Early</v>
      </c>
    </row>
    <row r="1619" spans="1:15" ht="15" customHeight="1" x14ac:dyDescent="0.4">
      <c r="A1619" s="62" t="s">
        <v>824</v>
      </c>
      <c r="B1619" s="62" t="s">
        <v>629</v>
      </c>
      <c r="C1619" s="62" t="s">
        <v>825</v>
      </c>
      <c r="D1619" s="63">
        <v>23</v>
      </c>
      <c r="E1619" s="63">
        <v>18</v>
      </c>
      <c r="F1619" s="63">
        <v>3</v>
      </c>
      <c r="G1619" s="64">
        <f t="shared" si="100"/>
        <v>0.78260869565217395</v>
      </c>
      <c r="H1619" s="64">
        <f t="shared" si="101"/>
        <v>0.13043478260869565</v>
      </c>
      <c r="I1619" s="63">
        <v>2</v>
      </c>
      <c r="J1619" s="65">
        <v>1.4524855000000001</v>
      </c>
      <c r="K1619" s="65">
        <v>0.63</v>
      </c>
      <c r="L1619" s="62" t="s">
        <v>825</v>
      </c>
      <c r="M1619" s="63">
        <v>0</v>
      </c>
      <c r="N1619" s="66">
        <f t="shared" si="102"/>
        <v>0.25600000000000001</v>
      </c>
      <c r="O1619" s="62" t="str">
        <f t="shared" si="103"/>
        <v>4: Engaged Early</v>
      </c>
    </row>
    <row r="1620" spans="1:15" ht="15" customHeight="1" x14ac:dyDescent="0.4">
      <c r="A1620" s="62" t="s">
        <v>824</v>
      </c>
      <c r="B1620" s="62" t="s">
        <v>244</v>
      </c>
      <c r="C1620" s="62" t="s">
        <v>825</v>
      </c>
      <c r="D1620" s="63">
        <v>8</v>
      </c>
      <c r="E1620" s="63">
        <v>8</v>
      </c>
      <c r="F1620" s="63">
        <v>0</v>
      </c>
      <c r="G1620" s="64">
        <f t="shared" si="100"/>
        <v>1</v>
      </c>
      <c r="H1620" s="64">
        <f t="shared" si="101"/>
        <v>0</v>
      </c>
      <c r="I1620" s="63">
        <v>0</v>
      </c>
      <c r="J1620" s="65"/>
      <c r="K1620" s="65">
        <v>20</v>
      </c>
      <c r="L1620" s="62" t="s">
        <v>826</v>
      </c>
      <c r="M1620" s="63">
        <v>1</v>
      </c>
      <c r="N1620" s="66">
        <f t="shared" si="102"/>
        <v>0.12</v>
      </c>
      <c r="O1620" s="62" t="str">
        <f t="shared" si="103"/>
        <v>1: Critical (No DBWT + No Wk0)</v>
      </c>
    </row>
    <row r="1621" spans="1:15" ht="15" customHeight="1" x14ac:dyDescent="0.4">
      <c r="A1621" s="62" t="s">
        <v>824</v>
      </c>
      <c r="B1621" s="62" t="s">
        <v>2149</v>
      </c>
      <c r="C1621" s="62" t="s">
        <v>826</v>
      </c>
      <c r="D1621" s="63">
        <v>12</v>
      </c>
      <c r="E1621" s="63">
        <v>8</v>
      </c>
      <c r="F1621" s="63">
        <v>3</v>
      </c>
      <c r="G1621" s="64">
        <f t="shared" si="100"/>
        <v>0.66666666666666663</v>
      </c>
      <c r="H1621" s="64">
        <f t="shared" si="101"/>
        <v>0.25</v>
      </c>
      <c r="I1621" s="63">
        <v>2</v>
      </c>
      <c r="J1621" s="65">
        <v>94.985349999999997</v>
      </c>
      <c r="K1621" s="65">
        <v>100</v>
      </c>
      <c r="L1621" s="62" t="s">
        <v>825</v>
      </c>
      <c r="M1621" s="63">
        <v>0</v>
      </c>
      <c r="N1621" s="66">
        <f t="shared" si="102"/>
        <v>0.99199999999999999</v>
      </c>
      <c r="O1621" s="62" t="str">
        <f t="shared" si="103"/>
        <v>4: Engaged Early</v>
      </c>
    </row>
    <row r="1622" spans="1:15" ht="15" customHeight="1" x14ac:dyDescent="0.4">
      <c r="A1622" s="62" t="s">
        <v>824</v>
      </c>
      <c r="B1622" s="62" t="s">
        <v>2150</v>
      </c>
      <c r="C1622" s="62" t="s">
        <v>826</v>
      </c>
      <c r="D1622" s="63">
        <v>19</v>
      </c>
      <c r="E1622" s="63">
        <v>15</v>
      </c>
      <c r="F1622" s="63">
        <v>1</v>
      </c>
      <c r="G1622" s="64">
        <f t="shared" si="100"/>
        <v>0.78947368421052633</v>
      </c>
      <c r="H1622" s="64">
        <f t="shared" si="101"/>
        <v>5.2631578947368418E-2</v>
      </c>
      <c r="I1622" s="63">
        <v>2</v>
      </c>
      <c r="J1622" s="65">
        <v>98.217699999999994</v>
      </c>
      <c r="K1622" s="65">
        <v>100</v>
      </c>
      <c r="L1622" s="62" t="s">
        <v>825</v>
      </c>
      <c r="M1622" s="63">
        <v>0</v>
      </c>
      <c r="N1622" s="66">
        <f t="shared" si="102"/>
        <v>0.997</v>
      </c>
      <c r="O1622" s="62" t="str">
        <f t="shared" si="103"/>
        <v>4: Engaged Early</v>
      </c>
    </row>
    <row r="1623" spans="1:15" ht="15" customHeight="1" x14ac:dyDescent="0.4">
      <c r="A1623" s="62" t="s">
        <v>824</v>
      </c>
      <c r="B1623" s="62" t="s">
        <v>2151</v>
      </c>
      <c r="C1623" s="62" t="s">
        <v>826</v>
      </c>
      <c r="D1623" s="63">
        <v>10</v>
      </c>
      <c r="E1623" s="63">
        <v>8</v>
      </c>
      <c r="F1623" s="63">
        <v>0</v>
      </c>
      <c r="G1623" s="64">
        <f t="shared" si="100"/>
        <v>0.8</v>
      </c>
      <c r="H1623" s="64">
        <f t="shared" si="101"/>
        <v>0</v>
      </c>
      <c r="I1623" s="63">
        <v>2</v>
      </c>
      <c r="J1623" s="65">
        <v>43.382339999999999</v>
      </c>
      <c r="K1623" s="65">
        <v>86.04</v>
      </c>
      <c r="L1623" s="62" t="s">
        <v>825</v>
      </c>
      <c r="M1623" s="63">
        <v>0</v>
      </c>
      <c r="N1623" s="66">
        <f t="shared" si="102"/>
        <v>0.83099999999999996</v>
      </c>
      <c r="O1623" s="62" t="str">
        <f t="shared" si="103"/>
        <v>4: Engaged Early</v>
      </c>
    </row>
    <row r="1624" spans="1:15" ht="15" customHeight="1" x14ac:dyDescent="0.4">
      <c r="A1624" s="62" t="s">
        <v>824</v>
      </c>
      <c r="B1624" s="62" t="s">
        <v>2152</v>
      </c>
      <c r="C1624" s="62" t="s">
        <v>826</v>
      </c>
      <c r="D1624" s="63">
        <v>10</v>
      </c>
      <c r="E1624" s="63">
        <v>3</v>
      </c>
      <c r="F1624" s="63">
        <v>2</v>
      </c>
      <c r="G1624" s="64">
        <f t="shared" si="100"/>
        <v>0.3</v>
      </c>
      <c r="H1624" s="64">
        <f t="shared" si="101"/>
        <v>0.2</v>
      </c>
      <c r="I1624" s="63">
        <v>2</v>
      </c>
      <c r="J1624" s="65">
        <v>64.749399999999994</v>
      </c>
      <c r="K1624" s="65">
        <v>93.73</v>
      </c>
      <c r="L1624" s="62" t="s">
        <v>826</v>
      </c>
      <c r="M1624" s="63">
        <v>0</v>
      </c>
      <c r="N1624" s="66">
        <f t="shared" si="102"/>
        <v>0.66</v>
      </c>
      <c r="O1624" s="62" t="str">
        <f t="shared" si="103"/>
        <v>2: High (No DBWT)</v>
      </c>
    </row>
    <row r="1625" spans="1:15" ht="15" customHeight="1" x14ac:dyDescent="0.4">
      <c r="A1625" s="62" t="s">
        <v>824</v>
      </c>
      <c r="B1625" s="62" t="s">
        <v>2153</v>
      </c>
      <c r="C1625" s="62" t="s">
        <v>826</v>
      </c>
      <c r="D1625" s="63">
        <v>13</v>
      </c>
      <c r="E1625" s="63">
        <v>10</v>
      </c>
      <c r="F1625" s="63">
        <v>2</v>
      </c>
      <c r="G1625" s="64">
        <f t="shared" si="100"/>
        <v>0.76923076923076927</v>
      </c>
      <c r="H1625" s="64">
        <f t="shared" si="101"/>
        <v>0.15384615384615385</v>
      </c>
      <c r="I1625" s="63">
        <v>2</v>
      </c>
      <c r="J1625" s="65">
        <v>99.977099999999993</v>
      </c>
      <c r="K1625" s="65">
        <v>100</v>
      </c>
      <c r="L1625" s="62" t="s">
        <v>825</v>
      </c>
      <c r="M1625" s="63">
        <v>0</v>
      </c>
      <c r="N1625" s="66">
        <f t="shared" si="102"/>
        <v>1</v>
      </c>
      <c r="O1625" s="62" t="str">
        <f t="shared" si="103"/>
        <v>4: Engaged Early</v>
      </c>
    </row>
    <row r="1626" spans="1:15" ht="15" customHeight="1" x14ac:dyDescent="0.4">
      <c r="A1626" s="62" t="s">
        <v>824</v>
      </c>
      <c r="B1626" s="62" t="s">
        <v>2154</v>
      </c>
      <c r="C1626" s="62" t="s">
        <v>826</v>
      </c>
      <c r="D1626" s="63">
        <v>15</v>
      </c>
      <c r="E1626" s="63">
        <v>2</v>
      </c>
      <c r="F1626" s="63">
        <v>1</v>
      </c>
      <c r="G1626" s="64">
        <f t="shared" si="100"/>
        <v>0.13333333333333333</v>
      </c>
      <c r="H1626" s="64">
        <f t="shared" si="101"/>
        <v>6.6666666666666666E-2</v>
      </c>
      <c r="I1626" s="63">
        <v>2</v>
      </c>
      <c r="J1626" s="65">
        <v>73.013000000000005</v>
      </c>
      <c r="K1626" s="65">
        <v>94.07</v>
      </c>
      <c r="L1626" s="62" t="s">
        <v>825</v>
      </c>
      <c r="M1626" s="63">
        <v>0</v>
      </c>
      <c r="N1626" s="66">
        <f t="shared" si="102"/>
        <v>0.92400000000000004</v>
      </c>
      <c r="O1626" s="62" t="str">
        <f t="shared" si="103"/>
        <v>4: Engaged Early</v>
      </c>
    </row>
    <row r="1627" spans="1:15" ht="15" customHeight="1" x14ac:dyDescent="0.4">
      <c r="A1627" s="62" t="s">
        <v>824</v>
      </c>
      <c r="B1627" s="62" t="s">
        <v>2155</v>
      </c>
      <c r="C1627" s="62" t="s">
        <v>826</v>
      </c>
      <c r="D1627" s="63">
        <v>19</v>
      </c>
      <c r="E1627" s="63">
        <v>13</v>
      </c>
      <c r="F1627" s="63">
        <v>5</v>
      </c>
      <c r="G1627" s="64">
        <f t="shared" si="100"/>
        <v>0.68421052631578949</v>
      </c>
      <c r="H1627" s="64">
        <f t="shared" si="101"/>
        <v>0.26315789473684209</v>
      </c>
      <c r="I1627" s="63">
        <v>2</v>
      </c>
      <c r="J1627" s="65">
        <v>99.493799999999993</v>
      </c>
      <c r="K1627" s="65">
        <v>100</v>
      </c>
      <c r="L1627" s="62" t="s">
        <v>825</v>
      </c>
      <c r="M1627" s="63">
        <v>0</v>
      </c>
      <c r="N1627" s="66">
        <f t="shared" si="102"/>
        <v>0.999</v>
      </c>
      <c r="O1627" s="62" t="str">
        <f t="shared" si="103"/>
        <v>4: Engaged Early</v>
      </c>
    </row>
    <row r="1628" spans="1:15" ht="15" customHeight="1" x14ac:dyDescent="0.4">
      <c r="A1628" s="62" t="s">
        <v>824</v>
      </c>
      <c r="B1628" s="62" t="s">
        <v>252</v>
      </c>
      <c r="C1628" s="62" t="s">
        <v>825</v>
      </c>
      <c r="D1628" s="63">
        <v>0</v>
      </c>
      <c r="E1628" s="63">
        <v>0</v>
      </c>
      <c r="F1628" s="63">
        <v>0</v>
      </c>
      <c r="G1628" s="64">
        <f t="shared" si="100"/>
        <v>0</v>
      </c>
      <c r="H1628" s="64">
        <f t="shared" si="101"/>
        <v>0</v>
      </c>
      <c r="I1628" s="63">
        <v>0</v>
      </c>
      <c r="J1628" s="65"/>
      <c r="K1628" s="65">
        <v>0</v>
      </c>
      <c r="L1628" s="62" t="s">
        <v>826</v>
      </c>
      <c r="M1628" s="63">
        <v>0</v>
      </c>
      <c r="N1628" s="66">
        <f t="shared" si="102"/>
        <v>0</v>
      </c>
      <c r="O1628" s="62" t="str">
        <f t="shared" si="103"/>
        <v>1: Critical (No DBWT + No Wk0)</v>
      </c>
    </row>
    <row r="1629" spans="1:15" ht="15" customHeight="1" x14ac:dyDescent="0.4">
      <c r="A1629" s="62" t="s">
        <v>824</v>
      </c>
      <c r="B1629" s="62" t="s">
        <v>772</v>
      </c>
      <c r="C1629" s="62" t="s">
        <v>825</v>
      </c>
      <c r="D1629" s="63">
        <v>23</v>
      </c>
      <c r="E1629" s="63">
        <v>23</v>
      </c>
      <c r="F1629" s="63">
        <v>4</v>
      </c>
      <c r="G1629" s="64">
        <f t="shared" si="100"/>
        <v>1</v>
      </c>
      <c r="H1629" s="64">
        <f t="shared" si="101"/>
        <v>0.17391304347826086</v>
      </c>
      <c r="I1629" s="63">
        <v>1</v>
      </c>
      <c r="J1629" s="65">
        <v>0.22</v>
      </c>
      <c r="K1629" s="65">
        <v>22.41</v>
      </c>
      <c r="L1629" s="62" t="s">
        <v>825</v>
      </c>
      <c r="M1629" s="63">
        <v>0</v>
      </c>
      <c r="N1629" s="66">
        <f t="shared" si="102"/>
        <v>0.38500000000000001</v>
      </c>
      <c r="O1629" s="62" t="str">
        <f t="shared" si="103"/>
        <v>4: Engaged Early</v>
      </c>
    </row>
    <row r="1630" spans="1:15" ht="15" customHeight="1" x14ac:dyDescent="0.4">
      <c r="A1630" s="62" t="s">
        <v>824</v>
      </c>
      <c r="B1630" s="62" t="s">
        <v>2156</v>
      </c>
      <c r="C1630" s="62" t="s">
        <v>826</v>
      </c>
      <c r="D1630" s="63">
        <v>22</v>
      </c>
      <c r="E1630" s="63">
        <v>13</v>
      </c>
      <c r="F1630" s="63">
        <v>0</v>
      </c>
      <c r="G1630" s="64">
        <f t="shared" si="100"/>
        <v>0.59090909090909094</v>
      </c>
      <c r="H1630" s="64">
        <f t="shared" si="101"/>
        <v>0</v>
      </c>
      <c r="I1630" s="63">
        <v>2</v>
      </c>
      <c r="J1630" s="65">
        <v>47.995114999999998</v>
      </c>
      <c r="K1630" s="65">
        <v>87.18</v>
      </c>
      <c r="L1630" s="62" t="s">
        <v>825</v>
      </c>
      <c r="M1630" s="63">
        <v>0</v>
      </c>
      <c r="N1630" s="66">
        <f t="shared" si="102"/>
        <v>0.84499999999999997</v>
      </c>
      <c r="O1630" s="62" t="str">
        <f t="shared" si="103"/>
        <v>4: Engaged Early</v>
      </c>
    </row>
    <row r="1631" spans="1:15" ht="15" customHeight="1" x14ac:dyDescent="0.4">
      <c r="A1631" s="62" t="s">
        <v>824</v>
      </c>
      <c r="B1631" s="62" t="s">
        <v>2157</v>
      </c>
      <c r="C1631" s="62" t="s">
        <v>826</v>
      </c>
      <c r="D1631" s="63">
        <v>23</v>
      </c>
      <c r="E1631" s="63">
        <v>10</v>
      </c>
      <c r="F1631" s="63">
        <v>1</v>
      </c>
      <c r="G1631" s="64">
        <f t="shared" si="100"/>
        <v>0.43478260869565216</v>
      </c>
      <c r="H1631" s="64">
        <f t="shared" si="101"/>
        <v>4.3478260869565216E-2</v>
      </c>
      <c r="I1631" s="63">
        <v>2</v>
      </c>
      <c r="J1631" s="65">
        <v>41.761450000000004</v>
      </c>
      <c r="K1631" s="65">
        <v>87.64</v>
      </c>
      <c r="L1631" s="62" t="s">
        <v>825</v>
      </c>
      <c r="M1631" s="63">
        <v>0</v>
      </c>
      <c r="N1631" s="66">
        <f t="shared" si="102"/>
        <v>0.83799999999999997</v>
      </c>
      <c r="O1631" s="62" t="str">
        <f t="shared" si="103"/>
        <v>4: Engaged Early</v>
      </c>
    </row>
    <row r="1632" spans="1:15" ht="15" customHeight="1" x14ac:dyDescent="0.4">
      <c r="A1632" s="62" t="s">
        <v>824</v>
      </c>
      <c r="B1632" s="62" t="s">
        <v>2158</v>
      </c>
      <c r="C1632" s="62" t="s">
        <v>826</v>
      </c>
      <c r="D1632" s="63">
        <v>4</v>
      </c>
      <c r="E1632" s="63">
        <v>4</v>
      </c>
      <c r="F1632" s="63">
        <v>2</v>
      </c>
      <c r="G1632" s="64">
        <f t="shared" si="100"/>
        <v>1</v>
      </c>
      <c r="H1632" s="64">
        <f t="shared" si="101"/>
        <v>0.5</v>
      </c>
      <c r="I1632" s="63">
        <v>2</v>
      </c>
      <c r="J1632" s="65">
        <v>76.109650000000002</v>
      </c>
      <c r="K1632" s="65">
        <v>95.77</v>
      </c>
      <c r="L1632" s="62" t="s">
        <v>825</v>
      </c>
      <c r="M1632" s="63">
        <v>1</v>
      </c>
      <c r="N1632" s="66">
        <f t="shared" si="102"/>
        <v>0.93899999999999995</v>
      </c>
      <c r="O1632" s="62" t="str">
        <f t="shared" si="103"/>
        <v>4: Engaged Early</v>
      </c>
    </row>
    <row r="1633" spans="1:15" ht="15" customHeight="1" x14ac:dyDescent="0.4">
      <c r="A1633" s="62" t="s">
        <v>824</v>
      </c>
      <c r="B1633" s="62" t="s">
        <v>2159</v>
      </c>
      <c r="C1633" s="62" t="s">
        <v>826</v>
      </c>
      <c r="D1633" s="63">
        <v>4</v>
      </c>
      <c r="E1633" s="63">
        <v>4</v>
      </c>
      <c r="F1633" s="63">
        <v>0</v>
      </c>
      <c r="G1633" s="64">
        <f t="shared" si="100"/>
        <v>1</v>
      </c>
      <c r="H1633" s="64">
        <f t="shared" si="101"/>
        <v>0</v>
      </c>
      <c r="I1633" s="63">
        <v>2</v>
      </c>
      <c r="J1633" s="65">
        <v>75.170249999999996</v>
      </c>
      <c r="K1633" s="65">
        <v>95.44</v>
      </c>
      <c r="L1633" s="62" t="s">
        <v>825</v>
      </c>
      <c r="M1633" s="63">
        <v>0</v>
      </c>
      <c r="N1633" s="66">
        <f t="shared" si="102"/>
        <v>0.93500000000000005</v>
      </c>
      <c r="O1633" s="62" t="str">
        <f t="shared" si="103"/>
        <v>4: Engaged Early</v>
      </c>
    </row>
    <row r="1634" spans="1:15" ht="15" customHeight="1" x14ac:dyDescent="0.4">
      <c r="A1634" s="62" t="s">
        <v>824</v>
      </c>
      <c r="B1634" s="62" t="s">
        <v>2160</v>
      </c>
      <c r="C1634" s="62" t="s">
        <v>826</v>
      </c>
      <c r="D1634" s="63">
        <v>10</v>
      </c>
      <c r="E1634" s="63">
        <v>2</v>
      </c>
      <c r="F1634" s="63">
        <v>1</v>
      </c>
      <c r="G1634" s="64">
        <f t="shared" si="100"/>
        <v>0.2</v>
      </c>
      <c r="H1634" s="64">
        <f t="shared" si="101"/>
        <v>0.1</v>
      </c>
      <c r="I1634" s="63">
        <v>2</v>
      </c>
      <c r="J1634" s="65">
        <v>99.040499999999994</v>
      </c>
      <c r="K1634" s="65">
        <v>100</v>
      </c>
      <c r="L1634" s="62" t="s">
        <v>825</v>
      </c>
      <c r="M1634" s="63">
        <v>1</v>
      </c>
      <c r="N1634" s="66">
        <f t="shared" si="102"/>
        <v>0.999</v>
      </c>
      <c r="O1634" s="62" t="str">
        <f t="shared" si="103"/>
        <v>4: Engaged Early</v>
      </c>
    </row>
    <row r="1635" spans="1:15" ht="15" customHeight="1" x14ac:dyDescent="0.4">
      <c r="A1635" s="62" t="s">
        <v>824</v>
      </c>
      <c r="B1635" s="62" t="s">
        <v>2161</v>
      </c>
      <c r="C1635" s="62" t="s">
        <v>826</v>
      </c>
      <c r="D1635" s="63">
        <v>5</v>
      </c>
      <c r="E1635" s="63">
        <v>0</v>
      </c>
      <c r="F1635" s="63">
        <v>0</v>
      </c>
      <c r="G1635" s="64">
        <f t="shared" si="100"/>
        <v>0</v>
      </c>
      <c r="H1635" s="64">
        <f t="shared" si="101"/>
        <v>0</v>
      </c>
      <c r="I1635" s="63">
        <v>2</v>
      </c>
      <c r="J1635" s="65">
        <v>88.158699999999996</v>
      </c>
      <c r="K1635" s="65">
        <v>71.55</v>
      </c>
      <c r="L1635" s="62" t="s">
        <v>825</v>
      </c>
      <c r="M1635" s="63">
        <v>0</v>
      </c>
      <c r="N1635" s="66">
        <f t="shared" si="102"/>
        <v>0.81200000000000006</v>
      </c>
      <c r="O1635" s="62" t="str">
        <f t="shared" si="103"/>
        <v>4: Engaged Early</v>
      </c>
    </row>
    <row r="1636" spans="1:15" ht="15" customHeight="1" x14ac:dyDescent="0.4">
      <c r="A1636" s="62" t="s">
        <v>824</v>
      </c>
      <c r="B1636" s="62" t="s">
        <v>2162</v>
      </c>
      <c r="C1636" s="62" t="s">
        <v>826</v>
      </c>
      <c r="D1636" s="63">
        <v>17</v>
      </c>
      <c r="E1636" s="63">
        <v>13</v>
      </c>
      <c r="F1636" s="63">
        <v>0</v>
      </c>
      <c r="G1636" s="64">
        <f t="shared" si="100"/>
        <v>0.76470588235294112</v>
      </c>
      <c r="H1636" s="64">
        <f t="shared" si="101"/>
        <v>0</v>
      </c>
      <c r="I1636" s="63">
        <v>0</v>
      </c>
      <c r="J1636" s="65"/>
      <c r="K1636" s="65">
        <v>15.57</v>
      </c>
      <c r="L1636" s="62" t="s">
        <v>825</v>
      </c>
      <c r="M1636" s="63">
        <v>0</v>
      </c>
      <c r="N1636" s="66">
        <f t="shared" si="102"/>
        <v>0.34300000000000003</v>
      </c>
      <c r="O1636" s="62" t="str">
        <f t="shared" si="103"/>
        <v>3: Elevated (No Wk0)</v>
      </c>
    </row>
    <row r="1637" spans="1:15" ht="15" customHeight="1" x14ac:dyDescent="0.4">
      <c r="A1637" s="62" t="s">
        <v>824</v>
      </c>
      <c r="B1637" s="62" t="s">
        <v>2163</v>
      </c>
      <c r="C1637" s="62" t="s">
        <v>826</v>
      </c>
      <c r="D1637" s="63">
        <v>10</v>
      </c>
      <c r="E1637" s="63">
        <v>4</v>
      </c>
      <c r="F1637" s="63">
        <v>0</v>
      </c>
      <c r="G1637" s="64">
        <f t="shared" si="100"/>
        <v>0.4</v>
      </c>
      <c r="H1637" s="64">
        <f t="shared" si="101"/>
        <v>0</v>
      </c>
      <c r="I1637" s="63">
        <v>2</v>
      </c>
      <c r="J1637" s="65">
        <v>90.873999999999995</v>
      </c>
      <c r="K1637" s="65">
        <v>100</v>
      </c>
      <c r="L1637" s="62" t="s">
        <v>825</v>
      </c>
      <c r="M1637" s="63">
        <v>0</v>
      </c>
      <c r="N1637" s="66">
        <f t="shared" si="102"/>
        <v>0.98599999999999999</v>
      </c>
      <c r="O1637" s="62" t="str">
        <f t="shared" si="103"/>
        <v>4: Engaged Early</v>
      </c>
    </row>
    <row r="1638" spans="1:15" ht="15" customHeight="1" x14ac:dyDescent="0.4">
      <c r="A1638" s="62" t="s">
        <v>824</v>
      </c>
      <c r="B1638" s="62" t="s">
        <v>2164</v>
      </c>
      <c r="C1638" s="62" t="s">
        <v>826</v>
      </c>
      <c r="D1638" s="63">
        <v>15</v>
      </c>
      <c r="E1638" s="63">
        <v>3</v>
      </c>
      <c r="F1638" s="63">
        <v>2</v>
      </c>
      <c r="G1638" s="64">
        <f t="shared" si="100"/>
        <v>0.2</v>
      </c>
      <c r="H1638" s="64">
        <f t="shared" si="101"/>
        <v>0.13333333333333333</v>
      </c>
      <c r="I1638" s="63">
        <v>2</v>
      </c>
      <c r="J1638" s="65">
        <v>39.479439999999997</v>
      </c>
      <c r="K1638" s="65">
        <v>85.53</v>
      </c>
      <c r="L1638" s="62" t="s">
        <v>825</v>
      </c>
      <c r="M1638" s="63">
        <v>0</v>
      </c>
      <c r="N1638" s="66">
        <f t="shared" si="102"/>
        <v>0.82199999999999995</v>
      </c>
      <c r="O1638" s="62" t="str">
        <f t="shared" si="103"/>
        <v>4: Engaged Early</v>
      </c>
    </row>
    <row r="1639" spans="1:15" ht="15" customHeight="1" x14ac:dyDescent="0.4">
      <c r="A1639" s="62" t="s">
        <v>824</v>
      </c>
      <c r="B1639" s="62" t="s">
        <v>2165</v>
      </c>
      <c r="C1639" s="62" t="s">
        <v>826</v>
      </c>
      <c r="D1639" s="63">
        <v>9</v>
      </c>
      <c r="E1639" s="63">
        <v>6</v>
      </c>
      <c r="F1639" s="63">
        <v>0</v>
      </c>
      <c r="G1639" s="64">
        <f t="shared" si="100"/>
        <v>0.66666666666666663</v>
      </c>
      <c r="H1639" s="64">
        <f t="shared" si="101"/>
        <v>0</v>
      </c>
      <c r="I1639" s="63">
        <v>2</v>
      </c>
      <c r="J1639" s="65">
        <v>98.841750000000005</v>
      </c>
      <c r="K1639" s="65">
        <v>100</v>
      </c>
      <c r="L1639" s="62" t="s">
        <v>825</v>
      </c>
      <c r="M1639" s="63">
        <v>0</v>
      </c>
      <c r="N1639" s="66">
        <f t="shared" si="102"/>
        <v>0.998</v>
      </c>
      <c r="O1639" s="62" t="str">
        <f t="shared" si="103"/>
        <v>4: Engaged Early</v>
      </c>
    </row>
    <row r="1640" spans="1:15" ht="15" customHeight="1" x14ac:dyDescent="0.4">
      <c r="A1640" s="62" t="s">
        <v>824</v>
      </c>
      <c r="B1640" s="62" t="s">
        <v>774</v>
      </c>
      <c r="C1640" s="62" t="s">
        <v>825</v>
      </c>
      <c r="D1640" s="63">
        <v>25</v>
      </c>
      <c r="E1640" s="63">
        <v>6</v>
      </c>
      <c r="F1640" s="63">
        <v>0</v>
      </c>
      <c r="G1640" s="64">
        <f t="shared" si="100"/>
        <v>0.24</v>
      </c>
      <c r="H1640" s="64">
        <f t="shared" si="101"/>
        <v>0</v>
      </c>
      <c r="I1640" s="63">
        <v>1</v>
      </c>
      <c r="J1640" s="65">
        <v>76.31</v>
      </c>
      <c r="K1640" s="65">
        <v>53.65</v>
      </c>
      <c r="L1640" s="62" t="s">
        <v>825</v>
      </c>
      <c r="M1640" s="63">
        <v>0</v>
      </c>
      <c r="N1640" s="66">
        <f t="shared" si="102"/>
        <v>0.68600000000000005</v>
      </c>
      <c r="O1640" s="62" t="str">
        <f t="shared" si="103"/>
        <v>4: Engaged Early</v>
      </c>
    </row>
    <row r="1641" spans="1:15" ht="15" customHeight="1" x14ac:dyDescent="0.4">
      <c r="A1641" s="62" t="s">
        <v>824</v>
      </c>
      <c r="B1641" s="62" t="s">
        <v>2166</v>
      </c>
      <c r="C1641" s="62" t="s">
        <v>826</v>
      </c>
      <c r="D1641" s="63">
        <v>0</v>
      </c>
      <c r="E1641" s="63">
        <v>0</v>
      </c>
      <c r="F1641" s="63">
        <v>0</v>
      </c>
      <c r="G1641" s="64">
        <f t="shared" si="100"/>
        <v>0</v>
      </c>
      <c r="H1641" s="64">
        <f t="shared" si="101"/>
        <v>0</v>
      </c>
      <c r="I1641" s="63">
        <v>0</v>
      </c>
      <c r="J1641" s="65"/>
      <c r="K1641" s="65">
        <v>99.61</v>
      </c>
      <c r="L1641" s="62" t="s">
        <v>840</v>
      </c>
      <c r="M1641" s="63">
        <v>0</v>
      </c>
      <c r="N1641" s="66">
        <f t="shared" si="102"/>
        <v>0.67300000000000004</v>
      </c>
      <c r="O1641" s="62" t="str">
        <f t="shared" si="103"/>
        <v>3: Elevated (No Wk0)</v>
      </c>
    </row>
    <row r="1642" spans="1:15" ht="15" customHeight="1" x14ac:dyDescent="0.4">
      <c r="A1642" s="62" t="s">
        <v>824</v>
      </c>
      <c r="B1642" s="62" t="s">
        <v>2167</v>
      </c>
      <c r="C1642" s="62" t="s">
        <v>826</v>
      </c>
      <c r="D1642" s="63">
        <v>13</v>
      </c>
      <c r="E1642" s="63">
        <v>11</v>
      </c>
      <c r="F1642" s="63">
        <v>3</v>
      </c>
      <c r="G1642" s="64">
        <f t="shared" si="100"/>
        <v>0.84615384615384615</v>
      </c>
      <c r="H1642" s="64">
        <f t="shared" si="101"/>
        <v>0.23076923076923078</v>
      </c>
      <c r="I1642" s="63">
        <v>2</v>
      </c>
      <c r="J1642" s="65">
        <v>95.069599999999994</v>
      </c>
      <c r="K1642" s="65">
        <v>100</v>
      </c>
      <c r="L1642" s="62" t="s">
        <v>825</v>
      </c>
      <c r="M1642" s="63">
        <v>1</v>
      </c>
      <c r="N1642" s="66">
        <f t="shared" si="102"/>
        <v>0.99299999999999999</v>
      </c>
      <c r="O1642" s="62" t="str">
        <f t="shared" si="103"/>
        <v>4: Engaged Early</v>
      </c>
    </row>
    <row r="1643" spans="1:15" ht="15" customHeight="1" x14ac:dyDescent="0.4">
      <c r="A1643" s="62" t="s">
        <v>824</v>
      </c>
      <c r="B1643" s="62" t="s">
        <v>2168</v>
      </c>
      <c r="C1643" s="62" t="s">
        <v>826</v>
      </c>
      <c r="D1643" s="63">
        <v>5</v>
      </c>
      <c r="E1643" s="63">
        <v>5</v>
      </c>
      <c r="F1643" s="63">
        <v>1</v>
      </c>
      <c r="G1643" s="64">
        <f t="shared" si="100"/>
        <v>1</v>
      </c>
      <c r="H1643" s="64">
        <f t="shared" si="101"/>
        <v>0.2</v>
      </c>
      <c r="I1643" s="63">
        <v>2</v>
      </c>
      <c r="J1643" s="65">
        <v>90.494799999999998</v>
      </c>
      <c r="K1643" s="65">
        <v>100</v>
      </c>
      <c r="L1643" s="62" t="s">
        <v>825</v>
      </c>
      <c r="M1643" s="63">
        <v>1</v>
      </c>
      <c r="N1643" s="66">
        <f t="shared" si="102"/>
        <v>0.98599999999999999</v>
      </c>
      <c r="O1643" s="62" t="str">
        <f t="shared" si="103"/>
        <v>4: Engaged Early</v>
      </c>
    </row>
    <row r="1644" spans="1:15" ht="15" customHeight="1" x14ac:dyDescent="0.4">
      <c r="A1644" s="62" t="s">
        <v>824</v>
      </c>
      <c r="B1644" s="62" t="s">
        <v>2169</v>
      </c>
      <c r="C1644" s="62" t="s">
        <v>826</v>
      </c>
      <c r="D1644" s="63">
        <v>15</v>
      </c>
      <c r="E1644" s="63">
        <v>5</v>
      </c>
      <c r="F1644" s="63">
        <v>1</v>
      </c>
      <c r="G1644" s="64">
        <f t="shared" si="100"/>
        <v>0.33333333333333331</v>
      </c>
      <c r="H1644" s="64">
        <f t="shared" si="101"/>
        <v>6.6666666666666666E-2</v>
      </c>
      <c r="I1644" s="63">
        <v>2</v>
      </c>
      <c r="J1644" s="65">
        <v>99.295000000000002</v>
      </c>
      <c r="K1644" s="65">
        <v>100</v>
      </c>
      <c r="L1644" s="62" t="s">
        <v>825</v>
      </c>
      <c r="M1644" s="63">
        <v>0</v>
      </c>
      <c r="N1644" s="66">
        <f t="shared" si="102"/>
        <v>0.999</v>
      </c>
      <c r="O1644" s="62" t="str">
        <f t="shared" si="103"/>
        <v>4: Engaged Early</v>
      </c>
    </row>
    <row r="1645" spans="1:15" ht="15" customHeight="1" x14ac:dyDescent="0.4">
      <c r="A1645" s="62" t="s">
        <v>824</v>
      </c>
      <c r="B1645" s="62" t="s">
        <v>2170</v>
      </c>
      <c r="C1645" s="62" t="s">
        <v>826</v>
      </c>
      <c r="D1645" s="63">
        <v>10</v>
      </c>
      <c r="E1645" s="63">
        <v>6</v>
      </c>
      <c r="F1645" s="63">
        <v>0</v>
      </c>
      <c r="G1645" s="64">
        <f t="shared" si="100"/>
        <v>0.6</v>
      </c>
      <c r="H1645" s="64">
        <f t="shared" si="101"/>
        <v>0</v>
      </c>
      <c r="I1645" s="63">
        <v>1</v>
      </c>
      <c r="J1645" s="65">
        <v>100</v>
      </c>
      <c r="K1645" s="65">
        <v>97.22</v>
      </c>
      <c r="L1645" s="62" t="s">
        <v>825</v>
      </c>
      <c r="M1645" s="63">
        <v>0</v>
      </c>
      <c r="N1645" s="66">
        <f t="shared" si="102"/>
        <v>0.98299999999999998</v>
      </c>
      <c r="O1645" s="62" t="str">
        <f t="shared" si="103"/>
        <v>4: Engaged Early</v>
      </c>
    </row>
    <row r="1646" spans="1:15" ht="15" customHeight="1" x14ac:dyDescent="0.4">
      <c r="A1646" s="62" t="s">
        <v>824</v>
      </c>
      <c r="B1646" s="62" t="s">
        <v>2171</v>
      </c>
      <c r="C1646" s="62" t="s">
        <v>826</v>
      </c>
      <c r="D1646" s="63">
        <v>17</v>
      </c>
      <c r="E1646" s="63">
        <v>13</v>
      </c>
      <c r="F1646" s="63">
        <v>6</v>
      </c>
      <c r="G1646" s="64">
        <f t="shared" si="100"/>
        <v>0.76470588235294112</v>
      </c>
      <c r="H1646" s="64">
        <f t="shared" si="101"/>
        <v>0.35294117647058826</v>
      </c>
      <c r="I1646" s="63">
        <v>2</v>
      </c>
      <c r="J1646" s="65">
        <v>85.697000000000003</v>
      </c>
      <c r="K1646" s="65">
        <v>100</v>
      </c>
      <c r="L1646" s="62" t="s">
        <v>825</v>
      </c>
      <c r="M1646" s="63">
        <v>1</v>
      </c>
      <c r="N1646" s="66">
        <f t="shared" si="102"/>
        <v>0.97899999999999998</v>
      </c>
      <c r="O1646" s="62" t="str">
        <f t="shared" si="103"/>
        <v>4: Engaged Early</v>
      </c>
    </row>
    <row r="1647" spans="1:15" ht="15" customHeight="1" x14ac:dyDescent="0.4">
      <c r="A1647" s="62" t="s">
        <v>824</v>
      </c>
      <c r="B1647" s="62" t="s">
        <v>2172</v>
      </c>
      <c r="C1647" s="62" t="s">
        <v>826</v>
      </c>
      <c r="D1647" s="63">
        <v>13</v>
      </c>
      <c r="E1647" s="63">
        <v>5</v>
      </c>
      <c r="F1647" s="63">
        <v>5</v>
      </c>
      <c r="G1647" s="64">
        <f t="shared" si="100"/>
        <v>0.38461538461538464</v>
      </c>
      <c r="H1647" s="64">
        <f t="shared" si="101"/>
        <v>0.38461538461538464</v>
      </c>
      <c r="I1647" s="63">
        <v>2</v>
      </c>
      <c r="J1647" s="65">
        <v>97.968599999999995</v>
      </c>
      <c r="K1647" s="65">
        <v>100</v>
      </c>
      <c r="L1647" s="62" t="s">
        <v>825</v>
      </c>
      <c r="M1647" s="63">
        <v>1</v>
      </c>
      <c r="N1647" s="66">
        <f t="shared" si="102"/>
        <v>0.997</v>
      </c>
      <c r="O1647" s="62" t="str">
        <f t="shared" si="103"/>
        <v>4: Engaged Early</v>
      </c>
    </row>
    <row r="1648" spans="1:15" ht="15" customHeight="1" x14ac:dyDescent="0.4">
      <c r="A1648" s="62" t="s">
        <v>824</v>
      </c>
      <c r="B1648" s="62" t="s">
        <v>234</v>
      </c>
      <c r="C1648" s="62" t="s">
        <v>826</v>
      </c>
      <c r="D1648" s="63">
        <v>6</v>
      </c>
      <c r="E1648" s="63">
        <v>5</v>
      </c>
      <c r="F1648" s="63">
        <v>2</v>
      </c>
      <c r="G1648" s="64">
        <f t="shared" si="100"/>
        <v>0.83333333333333337</v>
      </c>
      <c r="H1648" s="64">
        <f t="shared" si="101"/>
        <v>0.33333333333333331</v>
      </c>
      <c r="I1648" s="63">
        <v>2</v>
      </c>
      <c r="J1648" s="65">
        <v>93.344899999999996</v>
      </c>
      <c r="K1648" s="65">
        <v>100</v>
      </c>
      <c r="L1648" s="62" t="s">
        <v>825</v>
      </c>
      <c r="M1648" s="63">
        <v>0</v>
      </c>
      <c r="N1648" s="66">
        <f t="shared" si="102"/>
        <v>0.99</v>
      </c>
      <c r="O1648" s="62" t="str">
        <f t="shared" si="103"/>
        <v>4: Engaged Early</v>
      </c>
    </row>
    <row r="1649" spans="1:15" ht="15" customHeight="1" x14ac:dyDescent="0.4">
      <c r="A1649" s="62" t="s">
        <v>824</v>
      </c>
      <c r="B1649" s="62" t="s">
        <v>796</v>
      </c>
      <c r="C1649" s="62" t="s">
        <v>825</v>
      </c>
      <c r="D1649" s="63">
        <v>6</v>
      </c>
      <c r="E1649" s="63">
        <v>4</v>
      </c>
      <c r="F1649" s="63">
        <v>3</v>
      </c>
      <c r="G1649" s="64">
        <f t="shared" si="100"/>
        <v>0.66666666666666663</v>
      </c>
      <c r="H1649" s="64">
        <f t="shared" si="101"/>
        <v>0.5</v>
      </c>
      <c r="I1649" s="63">
        <v>0</v>
      </c>
      <c r="J1649" s="65"/>
      <c r="K1649" s="65">
        <v>0.05</v>
      </c>
      <c r="L1649" s="62" t="s">
        <v>825</v>
      </c>
      <c r="M1649" s="63">
        <v>0</v>
      </c>
      <c r="N1649" s="66">
        <f t="shared" si="102"/>
        <v>0.25</v>
      </c>
      <c r="O1649" s="62" t="str">
        <f t="shared" si="103"/>
        <v>3: Elevated (No Wk0)</v>
      </c>
    </row>
    <row r="1650" spans="1:15" ht="15" customHeight="1" x14ac:dyDescent="0.4">
      <c r="A1650" s="62" t="s">
        <v>824</v>
      </c>
      <c r="B1650" s="62" t="s">
        <v>2173</v>
      </c>
      <c r="C1650" s="62" t="s">
        <v>826</v>
      </c>
      <c r="D1650" s="63">
        <v>0</v>
      </c>
      <c r="E1650" s="63">
        <v>0</v>
      </c>
      <c r="F1650" s="63">
        <v>0</v>
      </c>
      <c r="G1650" s="64">
        <f t="shared" si="100"/>
        <v>0</v>
      </c>
      <c r="H1650" s="64">
        <f t="shared" si="101"/>
        <v>0</v>
      </c>
      <c r="I1650" s="63">
        <v>2</v>
      </c>
      <c r="J1650" s="65">
        <v>91.563500000000005</v>
      </c>
      <c r="K1650" s="65">
        <v>100</v>
      </c>
      <c r="L1650" s="62" t="s">
        <v>825</v>
      </c>
      <c r="M1650" s="63">
        <v>0</v>
      </c>
      <c r="N1650" s="66">
        <f t="shared" si="102"/>
        <v>0.98699999999999999</v>
      </c>
      <c r="O1650" s="62" t="str">
        <f t="shared" si="103"/>
        <v>4: Engaged Early</v>
      </c>
    </row>
  </sheetData>
  <autoFilter ref="A1:O1650" xr:uid="{00000000-0009-0000-0000-000006000000}"/>
  <conditionalFormatting sqref="K2:K1650">
    <cfRule type="colorScale" priority="2">
      <colorScale>
        <cfvo type="num" val="0"/>
        <cfvo type="num" val="50"/>
        <cfvo type="num" val="100"/>
        <color rgb="FFF8696B"/>
        <color rgb="FFFFEB84"/>
        <color rgb="FF63BE7B"/>
      </colorScale>
    </cfRule>
  </conditionalFormatting>
  <conditionalFormatting sqref="N2:N1650">
    <cfRule type="colorScale" priority="3">
      <colorScale>
        <cfvo type="num" val="0"/>
        <cfvo type="num" val="0.5"/>
        <cfvo type="num" val="1"/>
        <color rgb="FFF8696B"/>
        <color rgb="FFFFEB84"/>
        <color rgb="FF63BE7B"/>
      </colorScale>
    </cfRule>
  </conditionalFormatting>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650"/>
  <sheetViews>
    <sheetView zoomScaleNormal="100" workbookViewId="0"/>
  </sheetViews>
  <sheetFormatPr defaultColWidth="12.6328125" defaultRowHeight="14.5" x14ac:dyDescent="0.4"/>
  <cols>
    <col min="1" max="1" width="57.90625" customWidth="1"/>
    <col min="2" max="2" width="54.26953125" customWidth="1"/>
  </cols>
  <sheetData>
    <row r="1" spans="1:3" ht="15.75" customHeight="1" x14ac:dyDescent="0.4">
      <c r="A1" s="24" t="s">
        <v>811</v>
      </c>
      <c r="B1" s="24" t="s">
        <v>213</v>
      </c>
      <c r="C1" s="24" t="s">
        <v>812</v>
      </c>
    </row>
    <row r="2" spans="1:3" ht="15.75" customHeight="1" x14ac:dyDescent="0.4">
      <c r="A2" s="24" t="s">
        <v>824</v>
      </c>
      <c r="B2" s="24" t="s">
        <v>419</v>
      </c>
      <c r="C2" s="24" t="s">
        <v>825</v>
      </c>
    </row>
    <row r="3" spans="1:3" ht="15.75" customHeight="1" x14ac:dyDescent="0.4">
      <c r="A3" s="24" t="s">
        <v>824</v>
      </c>
      <c r="B3" s="24" t="s">
        <v>437</v>
      </c>
      <c r="C3" s="24" t="s">
        <v>825</v>
      </c>
    </row>
    <row r="4" spans="1:3" ht="15.75" customHeight="1" x14ac:dyDescent="0.4">
      <c r="A4" s="24" t="s">
        <v>824</v>
      </c>
      <c r="B4" s="24" t="s">
        <v>827</v>
      </c>
      <c r="C4" s="24" t="s">
        <v>826</v>
      </c>
    </row>
    <row r="5" spans="1:3" ht="15.75" customHeight="1" x14ac:dyDescent="0.4">
      <c r="A5" s="24" t="s">
        <v>824</v>
      </c>
      <c r="B5" s="24" t="s">
        <v>501</v>
      </c>
      <c r="C5" s="24" t="s">
        <v>825</v>
      </c>
    </row>
    <row r="6" spans="1:3" ht="15.75" customHeight="1" x14ac:dyDescent="0.4">
      <c r="A6" s="24" t="s">
        <v>824</v>
      </c>
      <c r="B6" s="24" t="s">
        <v>295</v>
      </c>
      <c r="C6" s="24" t="s">
        <v>825</v>
      </c>
    </row>
    <row r="7" spans="1:3" ht="15.75" customHeight="1" x14ac:dyDescent="0.4">
      <c r="A7" s="24" t="s">
        <v>824</v>
      </c>
      <c r="B7" s="24" t="s">
        <v>345</v>
      </c>
      <c r="C7" s="24" t="s">
        <v>825</v>
      </c>
    </row>
    <row r="8" spans="1:3" ht="15.75" customHeight="1" x14ac:dyDescent="0.4">
      <c r="A8" s="24" t="s">
        <v>824</v>
      </c>
      <c r="B8" s="24" t="s">
        <v>266</v>
      </c>
      <c r="C8" s="24" t="s">
        <v>825</v>
      </c>
    </row>
    <row r="9" spans="1:3" ht="15.75" customHeight="1" x14ac:dyDescent="0.4">
      <c r="A9" s="24" t="s">
        <v>824</v>
      </c>
      <c r="B9" s="24" t="s">
        <v>529</v>
      </c>
      <c r="C9" s="24" t="s">
        <v>825</v>
      </c>
    </row>
    <row r="10" spans="1:3" ht="15.75" customHeight="1" x14ac:dyDescent="0.4">
      <c r="A10" s="24" t="s">
        <v>824</v>
      </c>
      <c r="B10" s="24" t="s">
        <v>828</v>
      </c>
      <c r="C10" s="24" t="s">
        <v>826</v>
      </c>
    </row>
    <row r="11" spans="1:3" ht="15.75" customHeight="1" x14ac:dyDescent="0.4">
      <c r="A11" s="24" t="s">
        <v>824</v>
      </c>
      <c r="B11" s="24" t="s">
        <v>258</v>
      </c>
      <c r="C11" s="24" t="s">
        <v>825</v>
      </c>
    </row>
    <row r="12" spans="1:3" ht="15.75" customHeight="1" x14ac:dyDescent="0.4">
      <c r="A12" s="24" t="s">
        <v>824</v>
      </c>
      <c r="B12" s="24" t="s">
        <v>829</v>
      </c>
      <c r="C12" s="24" t="s">
        <v>826</v>
      </c>
    </row>
    <row r="13" spans="1:3" ht="15.75" customHeight="1" x14ac:dyDescent="0.4">
      <c r="A13" s="24" t="s">
        <v>824</v>
      </c>
      <c r="B13" s="24" t="s">
        <v>268</v>
      </c>
      <c r="C13" s="24" t="s">
        <v>825</v>
      </c>
    </row>
    <row r="14" spans="1:3" ht="15.75" customHeight="1" x14ac:dyDescent="0.4">
      <c r="A14" s="24" t="s">
        <v>824</v>
      </c>
      <c r="B14" s="24" t="s">
        <v>830</v>
      </c>
      <c r="C14" s="24" t="s">
        <v>826</v>
      </c>
    </row>
    <row r="15" spans="1:3" ht="15.75" customHeight="1" x14ac:dyDescent="0.4">
      <c r="A15" s="24" t="s">
        <v>824</v>
      </c>
      <c r="B15" s="24" t="s">
        <v>367</v>
      </c>
      <c r="C15" s="24" t="s">
        <v>825</v>
      </c>
    </row>
    <row r="16" spans="1:3" ht="15.75" customHeight="1" x14ac:dyDescent="0.4">
      <c r="A16" s="24" t="s">
        <v>824</v>
      </c>
      <c r="B16" s="24" t="s">
        <v>831</v>
      </c>
      <c r="C16" s="24" t="s">
        <v>826</v>
      </c>
    </row>
    <row r="17" spans="1:3" ht="15.75" customHeight="1" x14ac:dyDescent="0.4">
      <c r="A17" s="24" t="s">
        <v>824</v>
      </c>
      <c r="B17" s="24" t="s">
        <v>832</v>
      </c>
      <c r="C17" s="24" t="s">
        <v>826</v>
      </c>
    </row>
    <row r="18" spans="1:3" ht="15.75" customHeight="1" x14ac:dyDescent="0.4">
      <c r="A18" s="24" t="s">
        <v>824</v>
      </c>
      <c r="B18" s="24" t="s">
        <v>833</v>
      </c>
      <c r="C18" s="24" t="s">
        <v>826</v>
      </c>
    </row>
    <row r="19" spans="1:3" ht="15.75" customHeight="1" x14ac:dyDescent="0.4">
      <c r="A19" s="24" t="s">
        <v>824</v>
      </c>
      <c r="B19" s="24" t="s">
        <v>321</v>
      </c>
      <c r="C19" s="24" t="s">
        <v>825</v>
      </c>
    </row>
    <row r="20" spans="1:3" ht="15.75" customHeight="1" x14ac:dyDescent="0.4">
      <c r="A20" s="24" t="s">
        <v>824</v>
      </c>
      <c r="B20" s="24" t="s">
        <v>276</v>
      </c>
      <c r="C20" s="24" t="s">
        <v>825</v>
      </c>
    </row>
    <row r="21" spans="1:3" ht="15.75" customHeight="1" x14ac:dyDescent="0.4">
      <c r="A21" s="24" t="s">
        <v>824</v>
      </c>
      <c r="B21" s="24" t="s">
        <v>834</v>
      </c>
      <c r="C21" s="24" t="s">
        <v>826</v>
      </c>
    </row>
    <row r="22" spans="1:3" ht="15.75" customHeight="1" x14ac:dyDescent="0.4">
      <c r="A22" s="24" t="s">
        <v>824</v>
      </c>
      <c r="B22" s="24" t="s">
        <v>835</v>
      </c>
      <c r="C22" s="24" t="s">
        <v>826</v>
      </c>
    </row>
    <row r="23" spans="1:3" ht="15.75" customHeight="1" x14ac:dyDescent="0.4">
      <c r="A23" s="24" t="s">
        <v>824</v>
      </c>
      <c r="B23" s="24" t="s">
        <v>836</v>
      </c>
      <c r="C23" s="24" t="s">
        <v>826</v>
      </c>
    </row>
    <row r="24" spans="1:3" ht="15.75" customHeight="1" x14ac:dyDescent="0.4">
      <c r="A24" s="24" t="s">
        <v>824</v>
      </c>
      <c r="B24" s="24" t="s">
        <v>837</v>
      </c>
      <c r="C24" s="24" t="s">
        <v>826</v>
      </c>
    </row>
    <row r="25" spans="1:3" ht="15.75" customHeight="1" x14ac:dyDescent="0.4">
      <c r="A25" s="24" t="s">
        <v>824</v>
      </c>
      <c r="B25" s="24" t="s">
        <v>838</v>
      </c>
      <c r="C25" s="24" t="s">
        <v>826</v>
      </c>
    </row>
    <row r="26" spans="1:3" ht="15.75" customHeight="1" x14ac:dyDescent="0.4">
      <c r="A26" s="24" t="s">
        <v>824</v>
      </c>
      <c r="B26" s="24" t="s">
        <v>839</v>
      </c>
      <c r="C26" s="24" t="s">
        <v>826</v>
      </c>
    </row>
    <row r="27" spans="1:3" ht="15.75" customHeight="1" x14ac:dyDescent="0.4">
      <c r="A27" s="24" t="s">
        <v>824</v>
      </c>
      <c r="B27" s="24" t="s">
        <v>841</v>
      </c>
      <c r="C27" s="24" t="s">
        <v>826</v>
      </c>
    </row>
    <row r="28" spans="1:3" ht="15.75" customHeight="1" x14ac:dyDescent="0.4">
      <c r="A28" s="24" t="s">
        <v>824</v>
      </c>
      <c r="B28" s="24" t="s">
        <v>842</v>
      </c>
      <c r="C28" s="24" t="s">
        <v>826</v>
      </c>
    </row>
    <row r="29" spans="1:3" ht="15.75" customHeight="1" x14ac:dyDescent="0.4">
      <c r="A29" s="24" t="s">
        <v>824</v>
      </c>
      <c r="B29" s="24" t="s">
        <v>843</v>
      </c>
      <c r="C29" s="24" t="s">
        <v>826</v>
      </c>
    </row>
    <row r="30" spans="1:3" ht="15.75" customHeight="1" x14ac:dyDescent="0.4">
      <c r="A30" s="24" t="s">
        <v>824</v>
      </c>
      <c r="B30" s="24" t="s">
        <v>357</v>
      </c>
      <c r="C30" s="24" t="s">
        <v>825</v>
      </c>
    </row>
    <row r="31" spans="1:3" ht="15.75" customHeight="1" x14ac:dyDescent="0.4">
      <c r="A31" s="24" t="s">
        <v>824</v>
      </c>
      <c r="B31" s="24" t="s">
        <v>844</v>
      </c>
      <c r="C31" s="24" t="s">
        <v>826</v>
      </c>
    </row>
    <row r="32" spans="1:3" ht="15.75" customHeight="1" x14ac:dyDescent="0.4">
      <c r="A32" s="24" t="s">
        <v>824</v>
      </c>
      <c r="B32" s="24" t="s">
        <v>262</v>
      </c>
      <c r="C32" s="24" t="s">
        <v>825</v>
      </c>
    </row>
    <row r="33" spans="1:3" ht="15.75" customHeight="1" x14ac:dyDescent="0.4">
      <c r="A33" s="24" t="s">
        <v>824</v>
      </c>
      <c r="B33" s="24" t="s">
        <v>845</v>
      </c>
      <c r="C33" s="24" t="s">
        <v>826</v>
      </c>
    </row>
    <row r="34" spans="1:3" ht="15.75" customHeight="1" x14ac:dyDescent="0.4">
      <c r="A34" s="24" t="s">
        <v>824</v>
      </c>
      <c r="B34" s="24" t="s">
        <v>523</v>
      </c>
      <c r="C34" s="24" t="s">
        <v>825</v>
      </c>
    </row>
    <row r="35" spans="1:3" ht="15.75" customHeight="1" x14ac:dyDescent="0.4">
      <c r="A35" s="24" t="s">
        <v>824</v>
      </c>
      <c r="B35" s="24" t="s">
        <v>846</v>
      </c>
      <c r="C35" s="24" t="s">
        <v>826</v>
      </c>
    </row>
    <row r="36" spans="1:3" ht="15.75" customHeight="1" x14ac:dyDescent="0.4">
      <c r="A36" s="24" t="s">
        <v>824</v>
      </c>
      <c r="B36" s="24" t="s">
        <v>847</v>
      </c>
      <c r="C36" s="24" t="s">
        <v>826</v>
      </c>
    </row>
    <row r="37" spans="1:3" ht="15.75" customHeight="1" x14ac:dyDescent="0.4">
      <c r="A37" s="24" t="s">
        <v>824</v>
      </c>
      <c r="B37" s="24" t="s">
        <v>848</v>
      </c>
      <c r="C37" s="24" t="s">
        <v>826</v>
      </c>
    </row>
    <row r="38" spans="1:3" ht="15.75" customHeight="1" x14ac:dyDescent="0.4">
      <c r="A38" s="24" t="s">
        <v>824</v>
      </c>
      <c r="B38" s="24" t="s">
        <v>351</v>
      </c>
      <c r="C38" s="24" t="s">
        <v>825</v>
      </c>
    </row>
    <row r="39" spans="1:3" ht="15.75" customHeight="1" x14ac:dyDescent="0.4">
      <c r="A39" s="24" t="s">
        <v>824</v>
      </c>
      <c r="B39" s="24" t="s">
        <v>407</v>
      </c>
      <c r="C39" s="24" t="s">
        <v>825</v>
      </c>
    </row>
    <row r="40" spans="1:3" ht="15.75" customHeight="1" x14ac:dyDescent="0.4">
      <c r="A40" s="24" t="s">
        <v>824</v>
      </c>
      <c r="B40" s="24" t="s">
        <v>849</v>
      </c>
      <c r="C40" s="24" t="s">
        <v>826</v>
      </c>
    </row>
    <row r="41" spans="1:3" ht="15.75" customHeight="1" x14ac:dyDescent="0.4">
      <c r="A41" s="24" t="s">
        <v>824</v>
      </c>
      <c r="B41" s="24" t="s">
        <v>850</v>
      </c>
      <c r="C41" s="24" t="s">
        <v>826</v>
      </c>
    </row>
    <row r="42" spans="1:3" ht="15.75" customHeight="1" x14ac:dyDescent="0.4">
      <c r="A42" s="24" t="s">
        <v>824</v>
      </c>
      <c r="B42" s="24" t="s">
        <v>746</v>
      </c>
      <c r="C42" s="24" t="s">
        <v>825</v>
      </c>
    </row>
    <row r="43" spans="1:3" ht="15.75" customHeight="1" x14ac:dyDescent="0.4">
      <c r="A43" s="24" t="s">
        <v>824</v>
      </c>
      <c r="B43" s="24" t="s">
        <v>851</v>
      </c>
      <c r="C43" s="24" t="s">
        <v>826</v>
      </c>
    </row>
    <row r="44" spans="1:3" ht="15.75" customHeight="1" x14ac:dyDescent="0.4">
      <c r="A44" s="24" t="s">
        <v>824</v>
      </c>
      <c r="B44" s="24" t="s">
        <v>299</v>
      </c>
      <c r="C44" s="24" t="s">
        <v>825</v>
      </c>
    </row>
    <row r="45" spans="1:3" ht="15.75" customHeight="1" x14ac:dyDescent="0.4">
      <c r="A45" s="24" t="s">
        <v>824</v>
      </c>
      <c r="B45" s="24" t="s">
        <v>309</v>
      </c>
      <c r="C45" s="24" t="s">
        <v>825</v>
      </c>
    </row>
    <row r="46" spans="1:3" ht="15.75" customHeight="1" x14ac:dyDescent="0.4">
      <c r="A46" s="24" t="s">
        <v>824</v>
      </c>
      <c r="B46" s="24" t="s">
        <v>365</v>
      </c>
      <c r="C46" s="24" t="s">
        <v>825</v>
      </c>
    </row>
    <row r="47" spans="1:3" ht="15.75" customHeight="1" x14ac:dyDescent="0.4">
      <c r="A47" s="24" t="s">
        <v>824</v>
      </c>
      <c r="B47" s="24" t="s">
        <v>517</v>
      </c>
      <c r="C47" s="24" t="s">
        <v>825</v>
      </c>
    </row>
    <row r="48" spans="1:3" ht="15.75" customHeight="1" x14ac:dyDescent="0.4">
      <c r="A48" s="24" t="s">
        <v>824</v>
      </c>
      <c r="B48" s="24" t="s">
        <v>852</v>
      </c>
      <c r="C48" s="24" t="s">
        <v>826</v>
      </c>
    </row>
    <row r="49" spans="1:3" ht="15.75" customHeight="1" x14ac:dyDescent="0.4">
      <c r="A49" s="24" t="s">
        <v>824</v>
      </c>
      <c r="B49" s="24" t="s">
        <v>435</v>
      </c>
      <c r="C49" s="24" t="s">
        <v>825</v>
      </c>
    </row>
    <row r="50" spans="1:3" ht="15.75" customHeight="1" x14ac:dyDescent="0.4">
      <c r="A50" s="24" t="s">
        <v>824</v>
      </c>
      <c r="B50" s="24" t="s">
        <v>853</v>
      </c>
      <c r="C50" s="24" t="s">
        <v>826</v>
      </c>
    </row>
    <row r="51" spans="1:3" ht="15.75" customHeight="1" x14ac:dyDescent="0.4">
      <c r="A51" s="24" t="s">
        <v>824</v>
      </c>
      <c r="B51" s="24" t="s">
        <v>389</v>
      </c>
      <c r="C51" s="24" t="s">
        <v>825</v>
      </c>
    </row>
    <row r="52" spans="1:3" ht="15.75" customHeight="1" x14ac:dyDescent="0.4">
      <c r="A52" s="24" t="s">
        <v>824</v>
      </c>
      <c r="B52" s="24" t="s">
        <v>854</v>
      </c>
      <c r="C52" s="24" t="s">
        <v>826</v>
      </c>
    </row>
    <row r="53" spans="1:3" ht="15.75" customHeight="1" x14ac:dyDescent="0.4">
      <c r="A53" s="24" t="s">
        <v>824</v>
      </c>
      <c r="B53" s="24" t="s">
        <v>855</v>
      </c>
      <c r="C53" s="24" t="s">
        <v>826</v>
      </c>
    </row>
    <row r="54" spans="1:3" ht="15.75" customHeight="1" x14ac:dyDescent="0.4">
      <c r="A54" s="24" t="s">
        <v>824</v>
      </c>
      <c r="B54" s="24" t="s">
        <v>856</v>
      </c>
      <c r="C54" s="24" t="s">
        <v>826</v>
      </c>
    </row>
    <row r="55" spans="1:3" ht="15.75" customHeight="1" x14ac:dyDescent="0.4">
      <c r="A55" s="24" t="s">
        <v>824</v>
      </c>
      <c r="B55" s="24" t="s">
        <v>857</v>
      </c>
      <c r="C55" s="24" t="s">
        <v>826</v>
      </c>
    </row>
    <row r="56" spans="1:3" ht="15.75" customHeight="1" x14ac:dyDescent="0.4">
      <c r="A56" s="24" t="s">
        <v>824</v>
      </c>
      <c r="B56" s="24" t="s">
        <v>858</v>
      </c>
      <c r="C56" s="24" t="s">
        <v>826</v>
      </c>
    </row>
    <row r="57" spans="1:3" ht="15.75" customHeight="1" x14ac:dyDescent="0.4">
      <c r="A57" s="24" t="s">
        <v>824</v>
      </c>
      <c r="B57" s="24" t="s">
        <v>859</v>
      </c>
      <c r="C57" s="24" t="s">
        <v>826</v>
      </c>
    </row>
    <row r="58" spans="1:3" ht="15.75" customHeight="1" x14ac:dyDescent="0.4">
      <c r="A58" s="24" t="s">
        <v>824</v>
      </c>
      <c r="B58" s="24" t="s">
        <v>860</v>
      </c>
      <c r="C58" s="24" t="s">
        <v>826</v>
      </c>
    </row>
    <row r="59" spans="1:3" ht="15.75" customHeight="1" x14ac:dyDescent="0.4">
      <c r="A59" s="24" t="s">
        <v>824</v>
      </c>
      <c r="B59" s="24" t="s">
        <v>861</v>
      </c>
      <c r="C59" s="24" t="s">
        <v>826</v>
      </c>
    </row>
    <row r="60" spans="1:3" ht="15.75" customHeight="1" x14ac:dyDescent="0.4">
      <c r="A60" s="24" t="s">
        <v>824</v>
      </c>
      <c r="B60" s="24" t="s">
        <v>862</v>
      </c>
      <c r="C60" s="24" t="s">
        <v>826</v>
      </c>
    </row>
    <row r="61" spans="1:3" ht="15.75" customHeight="1" x14ac:dyDescent="0.4">
      <c r="A61" s="24" t="s">
        <v>824</v>
      </c>
      <c r="B61" s="24" t="s">
        <v>863</v>
      </c>
      <c r="C61" s="24" t="s">
        <v>826</v>
      </c>
    </row>
    <row r="62" spans="1:3" ht="15.75" customHeight="1" x14ac:dyDescent="0.4">
      <c r="A62" s="24" t="s">
        <v>824</v>
      </c>
      <c r="B62" s="24" t="s">
        <v>864</v>
      </c>
      <c r="C62" s="24" t="s">
        <v>826</v>
      </c>
    </row>
    <row r="63" spans="1:3" ht="15.75" customHeight="1" x14ac:dyDescent="0.4">
      <c r="A63" s="24" t="s">
        <v>824</v>
      </c>
      <c r="B63" s="24" t="s">
        <v>865</v>
      </c>
      <c r="C63" s="24" t="s">
        <v>826</v>
      </c>
    </row>
    <row r="64" spans="1:3" ht="15.75" customHeight="1" x14ac:dyDescent="0.4">
      <c r="A64" s="24" t="s">
        <v>824</v>
      </c>
      <c r="B64" s="24" t="s">
        <v>866</v>
      </c>
      <c r="C64" s="24" t="s">
        <v>826</v>
      </c>
    </row>
    <row r="65" spans="1:3" ht="15.75" customHeight="1" x14ac:dyDescent="0.4">
      <c r="A65" s="24" t="s">
        <v>824</v>
      </c>
      <c r="B65" s="24" t="s">
        <v>867</v>
      </c>
      <c r="C65" s="24" t="s">
        <v>826</v>
      </c>
    </row>
    <row r="66" spans="1:3" ht="15.75" customHeight="1" x14ac:dyDescent="0.4">
      <c r="A66" s="24" t="s">
        <v>824</v>
      </c>
      <c r="B66" s="24" t="s">
        <v>303</v>
      </c>
      <c r="C66" s="24" t="s">
        <v>825</v>
      </c>
    </row>
    <row r="67" spans="1:3" ht="15.75" customHeight="1" x14ac:dyDescent="0.4">
      <c r="A67" s="24" t="s">
        <v>824</v>
      </c>
      <c r="B67" s="24" t="s">
        <v>868</v>
      </c>
      <c r="C67" s="24" t="s">
        <v>826</v>
      </c>
    </row>
    <row r="68" spans="1:3" ht="15.75" customHeight="1" x14ac:dyDescent="0.4">
      <c r="A68" s="24" t="s">
        <v>824</v>
      </c>
      <c r="B68" s="24" t="s">
        <v>335</v>
      </c>
      <c r="C68" s="24" t="s">
        <v>825</v>
      </c>
    </row>
    <row r="69" spans="1:3" ht="15.75" customHeight="1" x14ac:dyDescent="0.4">
      <c r="A69" s="24" t="s">
        <v>824</v>
      </c>
      <c r="B69" s="24" t="s">
        <v>869</v>
      </c>
      <c r="C69" s="24" t="s">
        <v>826</v>
      </c>
    </row>
    <row r="70" spans="1:3" ht="15.75" customHeight="1" x14ac:dyDescent="0.4">
      <c r="A70" s="24" t="s">
        <v>824</v>
      </c>
      <c r="B70" s="24" t="s">
        <v>621</v>
      </c>
      <c r="C70" s="24" t="s">
        <v>825</v>
      </c>
    </row>
    <row r="71" spans="1:3" ht="15.75" customHeight="1" x14ac:dyDescent="0.4">
      <c r="A71" s="24" t="s">
        <v>824</v>
      </c>
      <c r="B71" s="24" t="s">
        <v>233</v>
      </c>
      <c r="C71" s="24" t="s">
        <v>826</v>
      </c>
    </row>
    <row r="72" spans="1:3" ht="15.75" customHeight="1" x14ac:dyDescent="0.4">
      <c r="A72" s="24" t="s">
        <v>824</v>
      </c>
      <c r="B72" s="24" t="s">
        <v>381</v>
      </c>
      <c r="C72" s="24" t="s">
        <v>825</v>
      </c>
    </row>
    <row r="73" spans="1:3" ht="15.75" customHeight="1" x14ac:dyDescent="0.4">
      <c r="A73" s="24" t="s">
        <v>824</v>
      </c>
      <c r="B73" s="24" t="s">
        <v>870</v>
      </c>
      <c r="C73" s="24" t="s">
        <v>826</v>
      </c>
    </row>
    <row r="74" spans="1:3" ht="15.75" customHeight="1" x14ac:dyDescent="0.4">
      <c r="A74" s="24" t="s">
        <v>824</v>
      </c>
      <c r="B74" s="24" t="s">
        <v>871</v>
      </c>
      <c r="C74" s="24" t="s">
        <v>826</v>
      </c>
    </row>
    <row r="75" spans="1:3" ht="15.75" customHeight="1" x14ac:dyDescent="0.4">
      <c r="A75" s="24" t="s">
        <v>824</v>
      </c>
      <c r="B75" s="24" t="s">
        <v>872</v>
      </c>
      <c r="C75" s="24" t="s">
        <v>826</v>
      </c>
    </row>
    <row r="76" spans="1:3" ht="15.75" customHeight="1" x14ac:dyDescent="0.4">
      <c r="A76" s="24" t="s">
        <v>824</v>
      </c>
      <c r="B76" s="24" t="s">
        <v>533</v>
      </c>
      <c r="C76" s="24" t="s">
        <v>825</v>
      </c>
    </row>
    <row r="77" spans="1:3" ht="15.75" customHeight="1" x14ac:dyDescent="0.4">
      <c r="A77" s="24" t="s">
        <v>824</v>
      </c>
      <c r="B77" s="24" t="s">
        <v>873</v>
      </c>
      <c r="C77" s="24" t="s">
        <v>826</v>
      </c>
    </row>
    <row r="78" spans="1:3" ht="15.75" customHeight="1" x14ac:dyDescent="0.4">
      <c r="A78" s="24" t="s">
        <v>824</v>
      </c>
      <c r="B78" s="24" t="s">
        <v>443</v>
      </c>
      <c r="C78" s="24" t="s">
        <v>825</v>
      </c>
    </row>
    <row r="79" spans="1:3" ht="15.75" customHeight="1" x14ac:dyDescent="0.4">
      <c r="A79" s="24" t="s">
        <v>824</v>
      </c>
      <c r="B79" s="24" t="s">
        <v>874</v>
      </c>
      <c r="C79" s="24" t="s">
        <v>826</v>
      </c>
    </row>
    <row r="80" spans="1:3" ht="15.75" customHeight="1" x14ac:dyDescent="0.4">
      <c r="A80" s="24" t="s">
        <v>824</v>
      </c>
      <c r="B80" s="24" t="s">
        <v>875</v>
      </c>
      <c r="C80" s="24" t="s">
        <v>826</v>
      </c>
    </row>
    <row r="81" spans="1:3" ht="15.75" customHeight="1" x14ac:dyDescent="0.4">
      <c r="A81" s="24" t="s">
        <v>824</v>
      </c>
      <c r="B81" s="24" t="s">
        <v>706</v>
      </c>
      <c r="C81" s="24" t="s">
        <v>825</v>
      </c>
    </row>
    <row r="82" spans="1:3" ht="15.75" customHeight="1" x14ac:dyDescent="0.4">
      <c r="A82" s="24" t="s">
        <v>824</v>
      </c>
      <c r="B82" s="24" t="s">
        <v>297</v>
      </c>
      <c r="C82" s="24" t="s">
        <v>825</v>
      </c>
    </row>
    <row r="83" spans="1:3" ht="15.75" customHeight="1" x14ac:dyDescent="0.4">
      <c r="A83" s="24" t="s">
        <v>824</v>
      </c>
      <c r="B83" s="24" t="s">
        <v>551</v>
      </c>
      <c r="C83" s="24" t="s">
        <v>825</v>
      </c>
    </row>
    <row r="84" spans="1:3" ht="15.75" customHeight="1" x14ac:dyDescent="0.4">
      <c r="A84" s="24" t="s">
        <v>824</v>
      </c>
      <c r="B84" s="24" t="s">
        <v>603</v>
      </c>
      <c r="C84" s="24" t="s">
        <v>825</v>
      </c>
    </row>
    <row r="85" spans="1:3" ht="15.75" customHeight="1" x14ac:dyDescent="0.4">
      <c r="A85" s="24" t="s">
        <v>824</v>
      </c>
      <c r="B85" s="24" t="s">
        <v>876</v>
      </c>
      <c r="C85" s="24" t="s">
        <v>826</v>
      </c>
    </row>
    <row r="86" spans="1:3" ht="15.75" customHeight="1" x14ac:dyDescent="0.4">
      <c r="A86" s="24" t="s">
        <v>824</v>
      </c>
      <c r="B86" s="24" t="s">
        <v>877</v>
      </c>
      <c r="C86" s="24" t="s">
        <v>826</v>
      </c>
    </row>
    <row r="87" spans="1:3" ht="15.75" customHeight="1" x14ac:dyDescent="0.4">
      <c r="A87" s="24" t="s">
        <v>824</v>
      </c>
      <c r="B87" s="24" t="s">
        <v>531</v>
      </c>
      <c r="C87" s="24" t="s">
        <v>825</v>
      </c>
    </row>
    <row r="88" spans="1:3" ht="15.75" customHeight="1" x14ac:dyDescent="0.4">
      <c r="A88" s="24" t="s">
        <v>824</v>
      </c>
      <c r="B88" s="24" t="s">
        <v>878</v>
      </c>
      <c r="C88" s="24" t="s">
        <v>826</v>
      </c>
    </row>
    <row r="89" spans="1:3" ht="15.75" customHeight="1" x14ac:dyDescent="0.4">
      <c r="A89" s="24" t="s">
        <v>824</v>
      </c>
      <c r="B89" s="24" t="s">
        <v>387</v>
      </c>
      <c r="C89" s="24" t="s">
        <v>825</v>
      </c>
    </row>
    <row r="90" spans="1:3" ht="15.75" customHeight="1" x14ac:dyDescent="0.4">
      <c r="A90" s="24" t="s">
        <v>824</v>
      </c>
      <c r="B90" s="24" t="s">
        <v>879</v>
      </c>
      <c r="C90" s="24" t="s">
        <v>826</v>
      </c>
    </row>
    <row r="91" spans="1:3" ht="15.75" customHeight="1" x14ac:dyDescent="0.4">
      <c r="A91" s="24" t="s">
        <v>824</v>
      </c>
      <c r="B91" s="24" t="s">
        <v>289</v>
      </c>
      <c r="C91" s="24" t="s">
        <v>825</v>
      </c>
    </row>
    <row r="92" spans="1:3" ht="15.75" customHeight="1" x14ac:dyDescent="0.4">
      <c r="A92" s="24" t="s">
        <v>824</v>
      </c>
      <c r="B92" s="24" t="s">
        <v>571</v>
      </c>
      <c r="C92" s="24" t="s">
        <v>825</v>
      </c>
    </row>
    <row r="93" spans="1:3" ht="15.75" customHeight="1" x14ac:dyDescent="0.4">
      <c r="A93" s="24" t="s">
        <v>824</v>
      </c>
      <c r="B93" s="24" t="s">
        <v>441</v>
      </c>
      <c r="C93" s="24" t="s">
        <v>825</v>
      </c>
    </row>
    <row r="94" spans="1:3" ht="15.75" customHeight="1" x14ac:dyDescent="0.4">
      <c r="A94" s="24" t="s">
        <v>824</v>
      </c>
      <c r="B94" s="24" t="s">
        <v>631</v>
      </c>
      <c r="C94" s="24" t="s">
        <v>825</v>
      </c>
    </row>
    <row r="95" spans="1:3" ht="15.75" customHeight="1" x14ac:dyDescent="0.4">
      <c r="A95" s="24" t="s">
        <v>824</v>
      </c>
      <c r="B95" s="24" t="s">
        <v>426</v>
      </c>
      <c r="C95" s="24" t="s">
        <v>825</v>
      </c>
    </row>
    <row r="96" spans="1:3" ht="15.75" customHeight="1" x14ac:dyDescent="0.4">
      <c r="A96" s="24" t="s">
        <v>824</v>
      </c>
      <c r="B96" s="24" t="s">
        <v>880</v>
      </c>
      <c r="C96" s="24" t="s">
        <v>826</v>
      </c>
    </row>
    <row r="97" spans="1:3" ht="15.75" customHeight="1" x14ac:dyDescent="0.4">
      <c r="A97" s="24" t="s">
        <v>824</v>
      </c>
      <c r="B97" s="24" t="s">
        <v>625</v>
      </c>
      <c r="C97" s="24" t="s">
        <v>825</v>
      </c>
    </row>
    <row r="98" spans="1:3" ht="15.75" customHeight="1" x14ac:dyDescent="0.4">
      <c r="A98" s="24" t="s">
        <v>824</v>
      </c>
      <c r="B98" s="24" t="s">
        <v>256</v>
      </c>
      <c r="C98" s="24" t="s">
        <v>825</v>
      </c>
    </row>
    <row r="99" spans="1:3" ht="15.75" customHeight="1" x14ac:dyDescent="0.4">
      <c r="A99" s="24" t="s">
        <v>824</v>
      </c>
      <c r="B99" s="24" t="s">
        <v>881</v>
      </c>
      <c r="C99" s="24" t="s">
        <v>826</v>
      </c>
    </row>
    <row r="100" spans="1:3" ht="15.75" customHeight="1" x14ac:dyDescent="0.4">
      <c r="A100" s="24" t="s">
        <v>824</v>
      </c>
      <c r="B100" s="24" t="s">
        <v>882</v>
      </c>
      <c r="C100" s="24" t="s">
        <v>826</v>
      </c>
    </row>
    <row r="101" spans="1:3" ht="15.75" customHeight="1" x14ac:dyDescent="0.4">
      <c r="A101" s="24" t="s">
        <v>824</v>
      </c>
      <c r="B101" s="24" t="s">
        <v>883</v>
      </c>
      <c r="C101" s="24" t="s">
        <v>826</v>
      </c>
    </row>
    <row r="102" spans="1:3" ht="15.75" customHeight="1" x14ac:dyDescent="0.4">
      <c r="A102" s="24" t="s">
        <v>824</v>
      </c>
      <c r="B102" s="24" t="s">
        <v>601</v>
      </c>
      <c r="C102" s="24" t="s">
        <v>825</v>
      </c>
    </row>
    <row r="103" spans="1:3" ht="15.75" customHeight="1" x14ac:dyDescent="0.4">
      <c r="A103" s="24" t="s">
        <v>824</v>
      </c>
      <c r="B103" s="24" t="s">
        <v>884</v>
      </c>
      <c r="C103" s="24" t="s">
        <v>826</v>
      </c>
    </row>
    <row r="104" spans="1:3" ht="15.75" customHeight="1" x14ac:dyDescent="0.4">
      <c r="A104" s="24" t="s">
        <v>824</v>
      </c>
      <c r="B104" s="24" t="s">
        <v>766</v>
      </c>
      <c r="C104" s="24" t="s">
        <v>825</v>
      </c>
    </row>
    <row r="105" spans="1:3" ht="15.75" customHeight="1" x14ac:dyDescent="0.4">
      <c r="A105" s="24" t="s">
        <v>824</v>
      </c>
      <c r="B105" s="24" t="s">
        <v>885</v>
      </c>
      <c r="C105" s="24" t="s">
        <v>826</v>
      </c>
    </row>
    <row r="106" spans="1:3" ht="15.75" customHeight="1" x14ac:dyDescent="0.4">
      <c r="A106" s="24" t="s">
        <v>824</v>
      </c>
      <c r="B106" s="24" t="s">
        <v>653</v>
      </c>
      <c r="C106" s="24" t="s">
        <v>825</v>
      </c>
    </row>
    <row r="107" spans="1:3" ht="15.75" customHeight="1" x14ac:dyDescent="0.4">
      <c r="A107" s="24" t="s">
        <v>824</v>
      </c>
      <c r="B107" s="24" t="s">
        <v>886</v>
      </c>
      <c r="C107" s="24" t="s">
        <v>826</v>
      </c>
    </row>
    <row r="108" spans="1:3" ht="15.75" customHeight="1" x14ac:dyDescent="0.4">
      <c r="A108" s="24" t="s">
        <v>824</v>
      </c>
      <c r="B108" s="24" t="s">
        <v>887</v>
      </c>
      <c r="C108" s="24" t="s">
        <v>826</v>
      </c>
    </row>
    <row r="109" spans="1:3" ht="15.75" customHeight="1" x14ac:dyDescent="0.4">
      <c r="A109" s="24" t="s">
        <v>824</v>
      </c>
      <c r="B109" s="24" t="s">
        <v>888</v>
      </c>
      <c r="C109" s="24" t="s">
        <v>826</v>
      </c>
    </row>
    <row r="110" spans="1:3" ht="15.75" customHeight="1" x14ac:dyDescent="0.4">
      <c r="A110" s="24" t="s">
        <v>824</v>
      </c>
      <c r="B110" s="24" t="s">
        <v>270</v>
      </c>
      <c r="C110" s="24" t="s">
        <v>825</v>
      </c>
    </row>
    <row r="111" spans="1:3" ht="15.75" customHeight="1" x14ac:dyDescent="0.4">
      <c r="A111" s="24" t="s">
        <v>824</v>
      </c>
      <c r="B111" s="24" t="s">
        <v>331</v>
      </c>
      <c r="C111" s="24" t="s">
        <v>825</v>
      </c>
    </row>
    <row r="112" spans="1:3" ht="15.75" customHeight="1" x14ac:dyDescent="0.4">
      <c r="A112" s="24" t="s">
        <v>824</v>
      </c>
      <c r="B112" s="24" t="s">
        <v>889</v>
      </c>
      <c r="C112" s="24" t="s">
        <v>826</v>
      </c>
    </row>
    <row r="113" spans="1:3" ht="15.75" customHeight="1" x14ac:dyDescent="0.4">
      <c r="A113" s="24" t="s">
        <v>824</v>
      </c>
      <c r="B113" s="24" t="s">
        <v>323</v>
      </c>
      <c r="C113" s="24" t="s">
        <v>825</v>
      </c>
    </row>
    <row r="114" spans="1:3" ht="15.75" customHeight="1" x14ac:dyDescent="0.4">
      <c r="A114" s="24" t="s">
        <v>824</v>
      </c>
      <c r="B114" s="24" t="s">
        <v>890</v>
      </c>
      <c r="C114" s="24" t="s">
        <v>826</v>
      </c>
    </row>
    <row r="115" spans="1:3" ht="15.75" customHeight="1" x14ac:dyDescent="0.4">
      <c r="A115" s="24" t="s">
        <v>824</v>
      </c>
      <c r="B115" s="24" t="s">
        <v>891</v>
      </c>
      <c r="C115" s="24" t="s">
        <v>826</v>
      </c>
    </row>
    <row r="116" spans="1:3" ht="15.75" customHeight="1" x14ac:dyDescent="0.4">
      <c r="A116" s="24" t="s">
        <v>824</v>
      </c>
      <c r="B116" s="24" t="s">
        <v>892</v>
      </c>
      <c r="C116" s="24" t="s">
        <v>826</v>
      </c>
    </row>
    <row r="117" spans="1:3" ht="15.75" customHeight="1" x14ac:dyDescent="0.4">
      <c r="A117" s="24" t="s">
        <v>824</v>
      </c>
      <c r="B117" s="24" t="s">
        <v>677</v>
      </c>
      <c r="C117" s="24" t="s">
        <v>825</v>
      </c>
    </row>
    <row r="118" spans="1:3" ht="15.75" customHeight="1" x14ac:dyDescent="0.4">
      <c r="A118" s="24" t="s">
        <v>824</v>
      </c>
      <c r="B118" s="24" t="s">
        <v>893</v>
      </c>
      <c r="C118" s="24" t="s">
        <v>826</v>
      </c>
    </row>
    <row r="119" spans="1:3" ht="15.75" customHeight="1" x14ac:dyDescent="0.4">
      <c r="A119" s="24" t="s">
        <v>824</v>
      </c>
      <c r="B119" s="24" t="s">
        <v>894</v>
      </c>
      <c r="C119" s="24" t="s">
        <v>826</v>
      </c>
    </row>
    <row r="120" spans="1:3" ht="15.75" customHeight="1" x14ac:dyDescent="0.4">
      <c r="A120" s="24" t="s">
        <v>824</v>
      </c>
      <c r="B120" s="24" t="s">
        <v>311</v>
      </c>
      <c r="C120" s="24" t="s">
        <v>825</v>
      </c>
    </row>
    <row r="121" spans="1:3" ht="15.75" customHeight="1" x14ac:dyDescent="0.4">
      <c r="A121" s="24" t="s">
        <v>824</v>
      </c>
      <c r="B121" s="24" t="s">
        <v>895</v>
      </c>
      <c r="C121" s="24" t="s">
        <v>826</v>
      </c>
    </row>
    <row r="122" spans="1:3" ht="15.75" customHeight="1" x14ac:dyDescent="0.4">
      <c r="A122" s="24" t="s">
        <v>824</v>
      </c>
      <c r="B122" s="24" t="s">
        <v>293</v>
      </c>
      <c r="C122" s="24" t="s">
        <v>825</v>
      </c>
    </row>
    <row r="123" spans="1:3" ht="15.75" customHeight="1" x14ac:dyDescent="0.4">
      <c r="A123" s="24" t="s">
        <v>824</v>
      </c>
      <c r="B123" s="24" t="s">
        <v>291</v>
      </c>
      <c r="C123" s="24" t="s">
        <v>825</v>
      </c>
    </row>
    <row r="124" spans="1:3" ht="15.75" customHeight="1" x14ac:dyDescent="0.4">
      <c r="A124" s="24" t="s">
        <v>824</v>
      </c>
      <c r="B124" s="24" t="s">
        <v>896</v>
      </c>
      <c r="C124" s="24" t="s">
        <v>826</v>
      </c>
    </row>
    <row r="125" spans="1:3" ht="15.75" customHeight="1" x14ac:dyDescent="0.4">
      <c r="A125" s="24" t="s">
        <v>824</v>
      </c>
      <c r="B125" s="24" t="s">
        <v>362</v>
      </c>
      <c r="C125" s="24" t="s">
        <v>825</v>
      </c>
    </row>
    <row r="126" spans="1:3" ht="15.75" customHeight="1" x14ac:dyDescent="0.4">
      <c r="A126" s="24" t="s">
        <v>824</v>
      </c>
      <c r="B126" s="24" t="s">
        <v>764</v>
      </c>
      <c r="C126" s="24" t="s">
        <v>825</v>
      </c>
    </row>
    <row r="127" spans="1:3" ht="15.75" customHeight="1" x14ac:dyDescent="0.4">
      <c r="A127" s="24" t="s">
        <v>824</v>
      </c>
      <c r="B127" s="24" t="s">
        <v>897</v>
      </c>
      <c r="C127" s="24" t="s">
        <v>826</v>
      </c>
    </row>
    <row r="128" spans="1:3" ht="15.75" customHeight="1" x14ac:dyDescent="0.4">
      <c r="A128" s="24" t="s">
        <v>824</v>
      </c>
      <c r="B128" s="24" t="s">
        <v>465</v>
      </c>
      <c r="C128" s="24" t="s">
        <v>825</v>
      </c>
    </row>
    <row r="129" spans="1:3" ht="15.75" customHeight="1" x14ac:dyDescent="0.4">
      <c r="A129" s="24" t="s">
        <v>824</v>
      </c>
      <c r="B129" s="24" t="s">
        <v>379</v>
      </c>
      <c r="C129" s="24" t="s">
        <v>825</v>
      </c>
    </row>
    <row r="130" spans="1:3" ht="15.75" customHeight="1" x14ac:dyDescent="0.4">
      <c r="A130" s="24" t="s">
        <v>824</v>
      </c>
      <c r="B130" s="24" t="s">
        <v>467</v>
      </c>
      <c r="C130" s="24" t="s">
        <v>825</v>
      </c>
    </row>
    <row r="131" spans="1:3" ht="15.75" customHeight="1" x14ac:dyDescent="0.4">
      <c r="A131" s="24" t="s">
        <v>824</v>
      </c>
      <c r="B131" s="24" t="s">
        <v>545</v>
      </c>
      <c r="C131" s="24" t="s">
        <v>825</v>
      </c>
    </row>
    <row r="132" spans="1:3" ht="15.75" customHeight="1" x14ac:dyDescent="0.4">
      <c r="A132" s="24" t="s">
        <v>824</v>
      </c>
      <c r="B132" s="24" t="s">
        <v>898</v>
      </c>
      <c r="C132" s="24" t="s">
        <v>826</v>
      </c>
    </row>
    <row r="133" spans="1:3" ht="15.75" customHeight="1" x14ac:dyDescent="0.4">
      <c r="A133" s="24" t="s">
        <v>824</v>
      </c>
      <c r="B133" s="24" t="s">
        <v>899</v>
      </c>
      <c r="C133" s="24" t="s">
        <v>826</v>
      </c>
    </row>
    <row r="134" spans="1:3" ht="15.75" customHeight="1" x14ac:dyDescent="0.4">
      <c r="A134" s="24" t="s">
        <v>824</v>
      </c>
      <c r="B134" s="24" t="s">
        <v>728</v>
      </c>
      <c r="C134" s="24" t="s">
        <v>825</v>
      </c>
    </row>
    <row r="135" spans="1:3" ht="15.75" customHeight="1" x14ac:dyDescent="0.4">
      <c r="A135" s="24" t="s">
        <v>824</v>
      </c>
      <c r="B135" s="24" t="s">
        <v>900</v>
      </c>
      <c r="C135" s="24" t="s">
        <v>826</v>
      </c>
    </row>
    <row r="136" spans="1:3" ht="15.75" customHeight="1" x14ac:dyDescent="0.4">
      <c r="A136" s="24" t="s">
        <v>824</v>
      </c>
      <c r="B136" s="24" t="s">
        <v>422</v>
      </c>
      <c r="C136" s="24" t="s">
        <v>825</v>
      </c>
    </row>
    <row r="137" spans="1:3" ht="15.75" customHeight="1" x14ac:dyDescent="0.4">
      <c r="A137" s="24" t="s">
        <v>824</v>
      </c>
      <c r="B137" s="24" t="s">
        <v>901</v>
      </c>
      <c r="C137" s="24" t="s">
        <v>826</v>
      </c>
    </row>
    <row r="138" spans="1:3" ht="15.75" customHeight="1" x14ac:dyDescent="0.4">
      <c r="A138" s="24" t="s">
        <v>824</v>
      </c>
      <c r="B138" s="24" t="s">
        <v>391</v>
      </c>
      <c r="C138" s="24" t="s">
        <v>825</v>
      </c>
    </row>
    <row r="139" spans="1:3" ht="15.75" customHeight="1" x14ac:dyDescent="0.4">
      <c r="A139" s="24" t="s">
        <v>824</v>
      </c>
      <c r="B139" s="24" t="s">
        <v>902</v>
      </c>
      <c r="C139" s="24" t="s">
        <v>826</v>
      </c>
    </row>
    <row r="140" spans="1:3" ht="15.75" customHeight="1" x14ac:dyDescent="0.4">
      <c r="A140" s="24" t="s">
        <v>824</v>
      </c>
      <c r="B140" s="24" t="s">
        <v>459</v>
      </c>
      <c r="C140" s="24" t="s">
        <v>825</v>
      </c>
    </row>
    <row r="141" spans="1:3" ht="15.75" customHeight="1" x14ac:dyDescent="0.4">
      <c r="A141" s="24" t="s">
        <v>824</v>
      </c>
      <c r="B141" s="24" t="s">
        <v>903</v>
      </c>
      <c r="C141" s="24" t="s">
        <v>826</v>
      </c>
    </row>
    <row r="142" spans="1:3" ht="15.75" customHeight="1" x14ac:dyDescent="0.4">
      <c r="A142" s="24" t="s">
        <v>824</v>
      </c>
      <c r="B142" s="24" t="s">
        <v>904</v>
      </c>
      <c r="C142" s="24" t="s">
        <v>826</v>
      </c>
    </row>
    <row r="143" spans="1:3" ht="15.75" customHeight="1" x14ac:dyDescent="0.4">
      <c r="A143" s="24" t="s">
        <v>824</v>
      </c>
      <c r="B143" s="24" t="s">
        <v>784</v>
      </c>
      <c r="C143" s="24" t="s">
        <v>825</v>
      </c>
    </row>
    <row r="144" spans="1:3" ht="15.75" customHeight="1" x14ac:dyDescent="0.4">
      <c r="A144" s="24" t="s">
        <v>824</v>
      </c>
      <c r="B144" s="24" t="s">
        <v>905</v>
      </c>
      <c r="C144" s="24" t="s">
        <v>826</v>
      </c>
    </row>
    <row r="145" spans="1:3" ht="15.75" customHeight="1" x14ac:dyDescent="0.4">
      <c r="A145" s="24" t="s">
        <v>824</v>
      </c>
      <c r="B145" s="24" t="s">
        <v>906</v>
      </c>
      <c r="C145" s="24" t="s">
        <v>826</v>
      </c>
    </row>
    <row r="146" spans="1:3" ht="15.75" customHeight="1" x14ac:dyDescent="0.4">
      <c r="A146" s="24" t="s">
        <v>824</v>
      </c>
      <c r="B146" s="24" t="s">
        <v>907</v>
      </c>
      <c r="C146" s="24" t="s">
        <v>826</v>
      </c>
    </row>
    <row r="147" spans="1:3" ht="15.75" customHeight="1" x14ac:dyDescent="0.4">
      <c r="A147" s="24" t="s">
        <v>824</v>
      </c>
      <c r="B147" s="24" t="s">
        <v>908</v>
      </c>
      <c r="C147" s="24" t="s">
        <v>826</v>
      </c>
    </row>
    <row r="148" spans="1:3" ht="15.75" customHeight="1" x14ac:dyDescent="0.4">
      <c r="A148" s="24" t="s">
        <v>824</v>
      </c>
      <c r="B148" s="24" t="s">
        <v>909</v>
      </c>
      <c r="C148" s="24" t="s">
        <v>826</v>
      </c>
    </row>
    <row r="149" spans="1:3" ht="15.75" customHeight="1" x14ac:dyDescent="0.4">
      <c r="A149" s="24" t="s">
        <v>824</v>
      </c>
      <c r="B149" s="24" t="s">
        <v>910</v>
      </c>
      <c r="C149" s="24" t="s">
        <v>826</v>
      </c>
    </row>
    <row r="150" spans="1:3" ht="15.75" customHeight="1" x14ac:dyDescent="0.4">
      <c r="A150" s="24" t="s">
        <v>824</v>
      </c>
      <c r="B150" s="24" t="s">
        <v>911</v>
      </c>
      <c r="C150" s="24" t="s">
        <v>826</v>
      </c>
    </row>
    <row r="151" spans="1:3" ht="15.75" customHeight="1" x14ac:dyDescent="0.4">
      <c r="A151" s="24" t="s">
        <v>824</v>
      </c>
      <c r="B151" s="24" t="s">
        <v>431</v>
      </c>
      <c r="C151" s="24" t="s">
        <v>825</v>
      </c>
    </row>
    <row r="152" spans="1:3" ht="15.75" customHeight="1" x14ac:dyDescent="0.4">
      <c r="A152" s="24" t="s">
        <v>824</v>
      </c>
      <c r="B152" s="24" t="s">
        <v>912</v>
      </c>
      <c r="C152" s="24" t="s">
        <v>826</v>
      </c>
    </row>
    <row r="153" spans="1:3" ht="15.75" customHeight="1" x14ac:dyDescent="0.4">
      <c r="A153" s="24" t="s">
        <v>824</v>
      </c>
      <c r="B153" s="24" t="s">
        <v>411</v>
      </c>
      <c r="C153" s="24" t="s">
        <v>825</v>
      </c>
    </row>
    <row r="154" spans="1:3" ht="15.75" customHeight="1" x14ac:dyDescent="0.4">
      <c r="A154" s="24" t="s">
        <v>824</v>
      </c>
      <c r="B154" s="24" t="s">
        <v>913</v>
      </c>
      <c r="C154" s="24" t="s">
        <v>826</v>
      </c>
    </row>
    <row r="155" spans="1:3" ht="15.75" customHeight="1" x14ac:dyDescent="0.4">
      <c r="A155" s="24" t="s">
        <v>824</v>
      </c>
      <c r="B155" s="24" t="s">
        <v>375</v>
      </c>
      <c r="C155" s="24" t="s">
        <v>825</v>
      </c>
    </row>
    <row r="156" spans="1:3" ht="15.75" customHeight="1" x14ac:dyDescent="0.4">
      <c r="A156" s="24" t="s">
        <v>824</v>
      </c>
      <c r="B156" s="24" t="s">
        <v>914</v>
      </c>
      <c r="C156" s="24" t="s">
        <v>826</v>
      </c>
    </row>
    <row r="157" spans="1:3" ht="15.75" customHeight="1" x14ac:dyDescent="0.4">
      <c r="A157" s="24" t="s">
        <v>824</v>
      </c>
      <c r="B157" s="24" t="s">
        <v>401</v>
      </c>
      <c r="C157" s="24" t="s">
        <v>825</v>
      </c>
    </row>
    <row r="158" spans="1:3" ht="15.75" customHeight="1" x14ac:dyDescent="0.4">
      <c r="A158" s="24" t="s">
        <v>824</v>
      </c>
      <c r="B158" s="24" t="s">
        <v>915</v>
      </c>
      <c r="C158" s="24" t="s">
        <v>826</v>
      </c>
    </row>
    <row r="159" spans="1:3" ht="15.75" customHeight="1" x14ac:dyDescent="0.4">
      <c r="A159" s="24" t="s">
        <v>824</v>
      </c>
      <c r="B159" s="24" t="s">
        <v>916</v>
      </c>
      <c r="C159" s="24" t="s">
        <v>826</v>
      </c>
    </row>
    <row r="160" spans="1:3" ht="15.75" customHeight="1" x14ac:dyDescent="0.4">
      <c r="A160" s="24" t="s">
        <v>824</v>
      </c>
      <c r="B160" s="24" t="s">
        <v>917</v>
      </c>
      <c r="C160" s="24" t="s">
        <v>826</v>
      </c>
    </row>
    <row r="161" spans="1:3" ht="15.75" customHeight="1" x14ac:dyDescent="0.4">
      <c r="A161" s="24" t="s">
        <v>824</v>
      </c>
      <c r="B161" s="24" t="s">
        <v>918</v>
      </c>
      <c r="C161" s="24" t="s">
        <v>826</v>
      </c>
    </row>
    <row r="162" spans="1:3" ht="15.75" customHeight="1" x14ac:dyDescent="0.4">
      <c r="A162" s="24" t="s">
        <v>824</v>
      </c>
      <c r="B162" s="24" t="s">
        <v>607</v>
      </c>
      <c r="C162" s="24" t="s">
        <v>825</v>
      </c>
    </row>
    <row r="163" spans="1:3" ht="15.75" customHeight="1" x14ac:dyDescent="0.4">
      <c r="A163" s="24" t="s">
        <v>824</v>
      </c>
      <c r="B163" s="24" t="s">
        <v>919</v>
      </c>
      <c r="C163" s="24" t="s">
        <v>826</v>
      </c>
    </row>
    <row r="164" spans="1:3" ht="15.75" customHeight="1" x14ac:dyDescent="0.4">
      <c r="A164" s="24" t="s">
        <v>824</v>
      </c>
      <c r="B164" s="24" t="s">
        <v>768</v>
      </c>
      <c r="C164" s="24" t="s">
        <v>825</v>
      </c>
    </row>
    <row r="165" spans="1:3" ht="15.75" customHeight="1" x14ac:dyDescent="0.4">
      <c r="A165" s="24" t="s">
        <v>824</v>
      </c>
      <c r="B165" s="24" t="s">
        <v>920</v>
      </c>
      <c r="C165" s="24" t="s">
        <v>826</v>
      </c>
    </row>
    <row r="166" spans="1:3" ht="15.75" customHeight="1" x14ac:dyDescent="0.4">
      <c r="A166" s="24" t="s">
        <v>824</v>
      </c>
      <c r="B166" s="24" t="s">
        <v>921</v>
      </c>
      <c r="C166" s="24" t="s">
        <v>826</v>
      </c>
    </row>
    <row r="167" spans="1:3" ht="15.75" customHeight="1" x14ac:dyDescent="0.4">
      <c r="A167" s="24" t="s">
        <v>824</v>
      </c>
      <c r="B167" s="24" t="s">
        <v>473</v>
      </c>
      <c r="C167" s="24" t="s">
        <v>825</v>
      </c>
    </row>
    <row r="168" spans="1:3" ht="15.75" customHeight="1" x14ac:dyDescent="0.4">
      <c r="A168" s="24" t="s">
        <v>824</v>
      </c>
      <c r="B168" s="24" t="s">
        <v>922</v>
      </c>
      <c r="C168" s="24" t="s">
        <v>826</v>
      </c>
    </row>
    <row r="169" spans="1:3" ht="15.75" customHeight="1" x14ac:dyDescent="0.4">
      <c r="A169" s="24" t="s">
        <v>824</v>
      </c>
      <c r="B169" s="24" t="s">
        <v>923</v>
      </c>
      <c r="C169" s="24" t="s">
        <v>826</v>
      </c>
    </row>
    <row r="170" spans="1:3" ht="15.75" customHeight="1" x14ac:dyDescent="0.4">
      <c r="A170" s="24" t="s">
        <v>824</v>
      </c>
      <c r="B170" s="24" t="s">
        <v>349</v>
      </c>
      <c r="C170" s="24" t="s">
        <v>825</v>
      </c>
    </row>
    <row r="171" spans="1:3" ht="15.75" customHeight="1" x14ac:dyDescent="0.4">
      <c r="A171" s="24" t="s">
        <v>824</v>
      </c>
      <c r="B171" s="24" t="s">
        <v>278</v>
      </c>
      <c r="C171" s="24" t="s">
        <v>825</v>
      </c>
    </row>
    <row r="172" spans="1:3" ht="15.75" customHeight="1" x14ac:dyDescent="0.4">
      <c r="A172" s="24" t="s">
        <v>824</v>
      </c>
      <c r="B172" s="24" t="s">
        <v>924</v>
      </c>
      <c r="C172" s="24" t="s">
        <v>826</v>
      </c>
    </row>
    <row r="173" spans="1:3" ht="15.75" customHeight="1" x14ac:dyDescent="0.4">
      <c r="A173" s="24" t="s">
        <v>824</v>
      </c>
      <c r="B173" s="24" t="s">
        <v>511</v>
      </c>
      <c r="C173" s="24" t="s">
        <v>825</v>
      </c>
    </row>
    <row r="174" spans="1:3" ht="15.75" customHeight="1" x14ac:dyDescent="0.4">
      <c r="A174" s="24" t="s">
        <v>824</v>
      </c>
      <c r="B174" s="24" t="s">
        <v>637</v>
      </c>
      <c r="C174" s="24" t="s">
        <v>825</v>
      </c>
    </row>
    <row r="175" spans="1:3" ht="15.75" customHeight="1" x14ac:dyDescent="0.4">
      <c r="A175" s="24" t="s">
        <v>824</v>
      </c>
      <c r="B175" s="24" t="s">
        <v>925</v>
      </c>
      <c r="C175" s="24" t="s">
        <v>826</v>
      </c>
    </row>
    <row r="176" spans="1:3" ht="15.75" customHeight="1" x14ac:dyDescent="0.4">
      <c r="A176" s="24" t="s">
        <v>824</v>
      </c>
      <c r="B176" s="24" t="s">
        <v>926</v>
      </c>
      <c r="C176" s="24" t="s">
        <v>826</v>
      </c>
    </row>
    <row r="177" spans="1:3" ht="15.75" customHeight="1" x14ac:dyDescent="0.4">
      <c r="A177" s="24" t="s">
        <v>824</v>
      </c>
      <c r="B177" s="24" t="s">
        <v>505</v>
      </c>
      <c r="C177" s="24" t="s">
        <v>825</v>
      </c>
    </row>
    <row r="178" spans="1:3" ht="15.75" customHeight="1" x14ac:dyDescent="0.4">
      <c r="A178" s="24" t="s">
        <v>824</v>
      </c>
      <c r="B178" s="24" t="s">
        <v>565</v>
      </c>
      <c r="C178" s="24" t="s">
        <v>825</v>
      </c>
    </row>
    <row r="179" spans="1:3" ht="15.75" customHeight="1" x14ac:dyDescent="0.4">
      <c r="A179" s="24" t="s">
        <v>824</v>
      </c>
      <c r="B179" s="24" t="s">
        <v>393</v>
      </c>
      <c r="C179" s="24" t="s">
        <v>825</v>
      </c>
    </row>
    <row r="180" spans="1:3" ht="15.75" customHeight="1" x14ac:dyDescent="0.4">
      <c r="A180" s="24" t="s">
        <v>824</v>
      </c>
      <c r="B180" s="24" t="s">
        <v>247</v>
      </c>
      <c r="C180" s="24" t="s">
        <v>826</v>
      </c>
    </row>
    <row r="181" spans="1:3" ht="15.75" customHeight="1" x14ac:dyDescent="0.4">
      <c r="A181" s="24" t="s">
        <v>824</v>
      </c>
      <c r="B181" s="24" t="s">
        <v>927</v>
      </c>
      <c r="C181" s="24" t="s">
        <v>826</v>
      </c>
    </row>
    <row r="182" spans="1:3" ht="15.75" customHeight="1" x14ac:dyDescent="0.4">
      <c r="A182" s="24" t="s">
        <v>824</v>
      </c>
      <c r="B182" s="24" t="s">
        <v>928</v>
      </c>
      <c r="C182" s="24" t="s">
        <v>826</v>
      </c>
    </row>
    <row r="183" spans="1:3" ht="15.75" customHeight="1" x14ac:dyDescent="0.4">
      <c r="A183" s="24" t="s">
        <v>824</v>
      </c>
      <c r="B183" s="24" t="s">
        <v>495</v>
      </c>
      <c r="C183" s="24" t="s">
        <v>825</v>
      </c>
    </row>
    <row r="184" spans="1:3" ht="15.75" customHeight="1" x14ac:dyDescent="0.4">
      <c r="A184" s="24" t="s">
        <v>824</v>
      </c>
      <c r="B184" s="24" t="s">
        <v>929</v>
      </c>
      <c r="C184" s="24" t="s">
        <v>826</v>
      </c>
    </row>
    <row r="185" spans="1:3" ht="15.75" customHeight="1" x14ac:dyDescent="0.4">
      <c r="A185" s="24" t="s">
        <v>824</v>
      </c>
      <c r="B185" s="24" t="s">
        <v>930</v>
      </c>
      <c r="C185" s="24" t="s">
        <v>826</v>
      </c>
    </row>
    <row r="186" spans="1:3" ht="15.75" customHeight="1" x14ac:dyDescent="0.4">
      <c r="A186" s="24" t="s">
        <v>824</v>
      </c>
      <c r="B186" s="24" t="s">
        <v>931</v>
      </c>
      <c r="C186" s="24" t="s">
        <v>826</v>
      </c>
    </row>
    <row r="187" spans="1:3" ht="15.75" customHeight="1" x14ac:dyDescent="0.4">
      <c r="A187" s="24" t="s">
        <v>824</v>
      </c>
      <c r="B187" s="24" t="s">
        <v>932</v>
      </c>
      <c r="C187" s="24" t="s">
        <v>826</v>
      </c>
    </row>
    <row r="188" spans="1:3" ht="15.75" customHeight="1" x14ac:dyDescent="0.4">
      <c r="A188" s="24" t="s">
        <v>824</v>
      </c>
      <c r="B188" s="24" t="s">
        <v>933</v>
      </c>
      <c r="C188" s="24" t="s">
        <v>826</v>
      </c>
    </row>
    <row r="189" spans="1:3" ht="15.75" customHeight="1" x14ac:dyDescent="0.4">
      <c r="A189" s="24" t="s">
        <v>824</v>
      </c>
      <c r="B189" s="24" t="s">
        <v>934</v>
      </c>
      <c r="C189" s="24" t="s">
        <v>826</v>
      </c>
    </row>
    <row r="190" spans="1:3" ht="15.75" customHeight="1" x14ac:dyDescent="0.4">
      <c r="A190" s="24" t="s">
        <v>824</v>
      </c>
      <c r="B190" s="24" t="s">
        <v>935</v>
      </c>
      <c r="C190" s="24" t="s">
        <v>826</v>
      </c>
    </row>
    <row r="191" spans="1:3" ht="15.75" customHeight="1" x14ac:dyDescent="0.4">
      <c r="A191" s="24" t="s">
        <v>824</v>
      </c>
      <c r="B191" s="24" t="s">
        <v>936</v>
      </c>
      <c r="C191" s="24" t="s">
        <v>826</v>
      </c>
    </row>
    <row r="192" spans="1:3" ht="15.75" customHeight="1" x14ac:dyDescent="0.4">
      <c r="A192" s="24" t="s">
        <v>824</v>
      </c>
      <c r="B192" s="24" t="s">
        <v>937</v>
      </c>
      <c r="C192" s="24" t="s">
        <v>826</v>
      </c>
    </row>
    <row r="193" spans="1:3" ht="15.75" customHeight="1" x14ac:dyDescent="0.4">
      <c r="A193" s="24" t="s">
        <v>824</v>
      </c>
      <c r="B193" s="24" t="s">
        <v>938</v>
      </c>
      <c r="C193" s="24" t="s">
        <v>826</v>
      </c>
    </row>
    <row r="194" spans="1:3" ht="15.75" customHeight="1" x14ac:dyDescent="0.4">
      <c r="A194" s="24" t="s">
        <v>824</v>
      </c>
      <c r="B194" s="24" t="s">
        <v>939</v>
      </c>
      <c r="C194" s="24" t="s">
        <v>826</v>
      </c>
    </row>
    <row r="195" spans="1:3" ht="15.75" customHeight="1" x14ac:dyDescent="0.4">
      <c r="A195" s="24" t="s">
        <v>824</v>
      </c>
      <c r="B195" s="24" t="s">
        <v>940</v>
      </c>
      <c r="C195" s="24" t="s">
        <v>826</v>
      </c>
    </row>
    <row r="196" spans="1:3" ht="15.75" customHeight="1" x14ac:dyDescent="0.4">
      <c r="A196" s="24" t="s">
        <v>824</v>
      </c>
      <c r="B196" s="24" t="s">
        <v>941</v>
      </c>
      <c r="C196" s="24" t="s">
        <v>826</v>
      </c>
    </row>
    <row r="197" spans="1:3" ht="15.75" customHeight="1" x14ac:dyDescent="0.4">
      <c r="A197" s="24" t="s">
        <v>824</v>
      </c>
      <c r="B197" s="24" t="s">
        <v>334</v>
      </c>
      <c r="C197" s="24" t="s">
        <v>825</v>
      </c>
    </row>
    <row r="198" spans="1:3" ht="15.75" customHeight="1" x14ac:dyDescent="0.4">
      <c r="A198" s="24" t="s">
        <v>824</v>
      </c>
      <c r="B198" s="24" t="s">
        <v>942</v>
      </c>
      <c r="C198" s="24" t="s">
        <v>826</v>
      </c>
    </row>
    <row r="199" spans="1:3" ht="15.75" customHeight="1" x14ac:dyDescent="0.4">
      <c r="A199" s="24" t="s">
        <v>824</v>
      </c>
      <c r="B199" s="24" t="s">
        <v>337</v>
      </c>
      <c r="C199" s="24" t="s">
        <v>825</v>
      </c>
    </row>
    <row r="200" spans="1:3" ht="15.75" customHeight="1" x14ac:dyDescent="0.4">
      <c r="A200" s="24" t="s">
        <v>824</v>
      </c>
      <c r="B200" s="24" t="s">
        <v>943</v>
      </c>
      <c r="C200" s="24" t="s">
        <v>826</v>
      </c>
    </row>
    <row r="201" spans="1:3" ht="15.75" customHeight="1" x14ac:dyDescent="0.4">
      <c r="A201" s="24" t="s">
        <v>824</v>
      </c>
      <c r="B201" s="24" t="s">
        <v>493</v>
      </c>
      <c r="C201" s="24" t="s">
        <v>825</v>
      </c>
    </row>
    <row r="202" spans="1:3" ht="15.75" customHeight="1" x14ac:dyDescent="0.4">
      <c r="A202" s="24" t="s">
        <v>824</v>
      </c>
      <c r="B202" s="24" t="s">
        <v>944</v>
      </c>
      <c r="C202" s="24" t="s">
        <v>826</v>
      </c>
    </row>
    <row r="203" spans="1:3" ht="15.75" customHeight="1" x14ac:dyDescent="0.4">
      <c r="A203" s="24" t="s">
        <v>824</v>
      </c>
      <c r="B203" s="24" t="s">
        <v>945</v>
      </c>
      <c r="C203" s="24" t="s">
        <v>826</v>
      </c>
    </row>
    <row r="204" spans="1:3" ht="15.75" customHeight="1" x14ac:dyDescent="0.4">
      <c r="A204" s="24" t="s">
        <v>824</v>
      </c>
      <c r="B204" s="24" t="s">
        <v>946</v>
      </c>
      <c r="C204" s="24" t="s">
        <v>826</v>
      </c>
    </row>
    <row r="205" spans="1:3" ht="15.75" customHeight="1" x14ac:dyDescent="0.4">
      <c r="A205" s="24" t="s">
        <v>824</v>
      </c>
      <c r="B205" s="24" t="s">
        <v>469</v>
      </c>
      <c r="C205" s="24" t="s">
        <v>825</v>
      </c>
    </row>
    <row r="206" spans="1:3" ht="15.75" customHeight="1" x14ac:dyDescent="0.4">
      <c r="A206" s="24" t="s">
        <v>824</v>
      </c>
      <c r="B206" s="24" t="s">
        <v>947</v>
      </c>
      <c r="C206" s="24" t="s">
        <v>826</v>
      </c>
    </row>
    <row r="207" spans="1:3" ht="15.75" customHeight="1" x14ac:dyDescent="0.4">
      <c r="A207" s="24" t="s">
        <v>824</v>
      </c>
      <c r="B207" s="24" t="s">
        <v>397</v>
      </c>
      <c r="C207" s="24" t="s">
        <v>825</v>
      </c>
    </row>
    <row r="208" spans="1:3" ht="15.75" customHeight="1" x14ac:dyDescent="0.4">
      <c r="A208" s="24" t="s">
        <v>824</v>
      </c>
      <c r="B208" s="24" t="s">
        <v>477</v>
      </c>
      <c r="C208" s="24" t="s">
        <v>825</v>
      </c>
    </row>
    <row r="209" spans="1:3" ht="15.75" customHeight="1" x14ac:dyDescent="0.4">
      <c r="A209" s="24" t="s">
        <v>824</v>
      </c>
      <c r="B209" s="24" t="s">
        <v>373</v>
      </c>
      <c r="C209" s="24" t="s">
        <v>825</v>
      </c>
    </row>
    <row r="210" spans="1:3" ht="15.75" customHeight="1" x14ac:dyDescent="0.4">
      <c r="A210" s="24" t="s">
        <v>824</v>
      </c>
      <c r="B210" s="24" t="s">
        <v>369</v>
      </c>
      <c r="C210" s="24" t="s">
        <v>825</v>
      </c>
    </row>
    <row r="211" spans="1:3" ht="15.75" customHeight="1" x14ac:dyDescent="0.4">
      <c r="A211" s="24" t="s">
        <v>824</v>
      </c>
      <c r="B211" s="24" t="s">
        <v>948</v>
      </c>
      <c r="C211" s="24" t="s">
        <v>826</v>
      </c>
    </row>
    <row r="212" spans="1:3" ht="15.75" customHeight="1" x14ac:dyDescent="0.4">
      <c r="A212" s="24" t="s">
        <v>824</v>
      </c>
      <c r="B212" s="24" t="s">
        <v>647</v>
      </c>
      <c r="C212" s="24" t="s">
        <v>825</v>
      </c>
    </row>
    <row r="213" spans="1:3" ht="15.75" customHeight="1" x14ac:dyDescent="0.4">
      <c r="A213" s="24" t="s">
        <v>824</v>
      </c>
      <c r="B213" s="24" t="s">
        <v>605</v>
      </c>
      <c r="C213" s="24" t="s">
        <v>825</v>
      </c>
    </row>
    <row r="214" spans="1:3" ht="15.75" customHeight="1" x14ac:dyDescent="0.4">
      <c r="A214" s="24" t="s">
        <v>824</v>
      </c>
      <c r="B214" s="24" t="s">
        <v>732</v>
      </c>
      <c r="C214" s="24" t="s">
        <v>825</v>
      </c>
    </row>
    <row r="215" spans="1:3" ht="15.75" customHeight="1" x14ac:dyDescent="0.4">
      <c r="A215" s="24" t="s">
        <v>824</v>
      </c>
      <c r="B215" s="24" t="s">
        <v>339</v>
      </c>
      <c r="C215" s="24" t="s">
        <v>825</v>
      </c>
    </row>
    <row r="216" spans="1:3" ht="15.75" customHeight="1" x14ac:dyDescent="0.4">
      <c r="A216" s="24" t="s">
        <v>824</v>
      </c>
      <c r="B216" s="24" t="s">
        <v>325</v>
      </c>
      <c r="C216" s="24" t="s">
        <v>825</v>
      </c>
    </row>
    <row r="217" spans="1:3" ht="15.75" customHeight="1" x14ac:dyDescent="0.4">
      <c r="A217" s="24" t="s">
        <v>824</v>
      </c>
      <c r="B217" s="24" t="s">
        <v>481</v>
      </c>
      <c r="C217" s="24" t="s">
        <v>825</v>
      </c>
    </row>
    <row r="218" spans="1:3" ht="15.75" customHeight="1" x14ac:dyDescent="0.4">
      <c r="A218" s="24" t="s">
        <v>824</v>
      </c>
      <c r="B218" s="24" t="s">
        <v>471</v>
      </c>
      <c r="C218" s="24" t="s">
        <v>825</v>
      </c>
    </row>
    <row r="219" spans="1:3" ht="15.75" customHeight="1" x14ac:dyDescent="0.4">
      <c r="A219" s="24" t="s">
        <v>824</v>
      </c>
      <c r="B219" s="24" t="s">
        <v>497</v>
      </c>
      <c r="C219" s="24" t="s">
        <v>825</v>
      </c>
    </row>
    <row r="220" spans="1:3" ht="15.75" customHeight="1" x14ac:dyDescent="0.4">
      <c r="A220" s="24" t="s">
        <v>824</v>
      </c>
      <c r="B220" s="24" t="s">
        <v>347</v>
      </c>
      <c r="C220" s="24" t="s">
        <v>825</v>
      </c>
    </row>
    <row r="221" spans="1:3" ht="15.75" customHeight="1" x14ac:dyDescent="0.4">
      <c r="A221" s="24" t="s">
        <v>824</v>
      </c>
      <c r="B221" s="24" t="s">
        <v>395</v>
      </c>
      <c r="C221" s="24" t="s">
        <v>825</v>
      </c>
    </row>
    <row r="222" spans="1:3" ht="15.75" customHeight="1" x14ac:dyDescent="0.4">
      <c r="A222" s="24" t="s">
        <v>824</v>
      </c>
      <c r="B222" s="24" t="s">
        <v>949</v>
      </c>
      <c r="C222" s="24" t="s">
        <v>826</v>
      </c>
    </row>
    <row r="223" spans="1:3" ht="15.75" customHeight="1" x14ac:dyDescent="0.4">
      <c r="A223" s="24" t="s">
        <v>824</v>
      </c>
      <c r="B223" s="24" t="s">
        <v>264</v>
      </c>
      <c r="C223" s="24" t="s">
        <v>825</v>
      </c>
    </row>
    <row r="224" spans="1:3" ht="15.75" customHeight="1" x14ac:dyDescent="0.4">
      <c r="A224" s="24" t="s">
        <v>824</v>
      </c>
      <c r="B224" s="24" t="s">
        <v>690</v>
      </c>
      <c r="C224" s="24" t="s">
        <v>825</v>
      </c>
    </row>
    <row r="225" spans="1:3" ht="15.75" customHeight="1" x14ac:dyDescent="0.4">
      <c r="A225" s="24" t="s">
        <v>824</v>
      </c>
      <c r="B225" s="24" t="s">
        <v>383</v>
      </c>
      <c r="C225" s="24" t="s">
        <v>825</v>
      </c>
    </row>
    <row r="226" spans="1:3" ht="15.75" customHeight="1" x14ac:dyDescent="0.4">
      <c r="A226" s="24" t="s">
        <v>824</v>
      </c>
      <c r="B226" s="24" t="s">
        <v>950</v>
      </c>
      <c r="C226" s="24" t="s">
        <v>826</v>
      </c>
    </row>
    <row r="227" spans="1:3" ht="15.75" customHeight="1" x14ac:dyDescent="0.4">
      <c r="A227" s="24" t="s">
        <v>824</v>
      </c>
      <c r="B227" s="24" t="s">
        <v>951</v>
      </c>
      <c r="C227" s="24" t="s">
        <v>826</v>
      </c>
    </row>
    <row r="228" spans="1:3" ht="15.75" customHeight="1" x14ac:dyDescent="0.4">
      <c r="A228" s="24" t="s">
        <v>824</v>
      </c>
      <c r="B228" s="24" t="s">
        <v>952</v>
      </c>
      <c r="C228" s="24" t="s">
        <v>826</v>
      </c>
    </row>
    <row r="229" spans="1:3" ht="15.75" customHeight="1" x14ac:dyDescent="0.4">
      <c r="A229" s="24" t="s">
        <v>824</v>
      </c>
      <c r="B229" s="24" t="s">
        <v>953</v>
      </c>
      <c r="C229" s="24" t="s">
        <v>826</v>
      </c>
    </row>
    <row r="230" spans="1:3" ht="15.75" customHeight="1" x14ac:dyDescent="0.4">
      <c r="A230" s="24" t="s">
        <v>824</v>
      </c>
      <c r="B230" s="24" t="s">
        <v>954</v>
      </c>
      <c r="C230" s="24" t="s">
        <v>826</v>
      </c>
    </row>
    <row r="231" spans="1:3" ht="15.75" customHeight="1" x14ac:dyDescent="0.4">
      <c r="A231" s="24" t="s">
        <v>824</v>
      </c>
      <c r="B231" s="24" t="s">
        <v>955</v>
      </c>
      <c r="C231" s="24" t="s">
        <v>826</v>
      </c>
    </row>
    <row r="232" spans="1:3" ht="15.75" customHeight="1" x14ac:dyDescent="0.4">
      <c r="A232" s="24" t="s">
        <v>824</v>
      </c>
      <c r="B232" s="24" t="s">
        <v>364</v>
      </c>
      <c r="C232" s="24" t="s">
        <v>825</v>
      </c>
    </row>
    <row r="233" spans="1:3" ht="15.75" customHeight="1" x14ac:dyDescent="0.4">
      <c r="A233" s="24" t="s">
        <v>824</v>
      </c>
      <c r="B233" s="24" t="s">
        <v>956</v>
      </c>
      <c r="C233" s="24" t="s">
        <v>826</v>
      </c>
    </row>
    <row r="234" spans="1:3" ht="15.75" customHeight="1" x14ac:dyDescent="0.4">
      <c r="A234" s="24" t="s">
        <v>824</v>
      </c>
      <c r="B234" s="24" t="s">
        <v>307</v>
      </c>
      <c r="C234" s="24" t="s">
        <v>825</v>
      </c>
    </row>
    <row r="235" spans="1:3" ht="15.75" customHeight="1" x14ac:dyDescent="0.4">
      <c r="A235" s="24" t="s">
        <v>824</v>
      </c>
      <c r="B235" s="24" t="s">
        <v>957</v>
      </c>
      <c r="C235" s="24" t="s">
        <v>826</v>
      </c>
    </row>
    <row r="236" spans="1:3" ht="15.75" customHeight="1" x14ac:dyDescent="0.4">
      <c r="A236" s="24" t="s">
        <v>824</v>
      </c>
      <c r="B236" s="24" t="s">
        <v>958</v>
      </c>
      <c r="C236" s="24" t="s">
        <v>826</v>
      </c>
    </row>
    <row r="237" spans="1:3" ht="15.75" customHeight="1" x14ac:dyDescent="0.4">
      <c r="A237" s="24" t="s">
        <v>824</v>
      </c>
      <c r="B237" s="24" t="s">
        <v>959</v>
      </c>
      <c r="C237" s="24" t="s">
        <v>826</v>
      </c>
    </row>
    <row r="238" spans="1:3" ht="15.75" customHeight="1" x14ac:dyDescent="0.4">
      <c r="A238" s="24" t="s">
        <v>824</v>
      </c>
      <c r="B238" s="24" t="s">
        <v>355</v>
      </c>
      <c r="C238" s="24" t="s">
        <v>825</v>
      </c>
    </row>
    <row r="239" spans="1:3" ht="15.75" customHeight="1" x14ac:dyDescent="0.4">
      <c r="A239" s="24" t="s">
        <v>824</v>
      </c>
      <c r="B239" s="24" t="s">
        <v>960</v>
      </c>
      <c r="C239" s="24" t="s">
        <v>826</v>
      </c>
    </row>
    <row r="240" spans="1:3" ht="15.75" customHeight="1" x14ac:dyDescent="0.4">
      <c r="A240" s="24" t="s">
        <v>824</v>
      </c>
      <c r="B240" s="24" t="s">
        <v>734</v>
      </c>
      <c r="C240" s="24" t="s">
        <v>825</v>
      </c>
    </row>
    <row r="241" spans="1:3" ht="15.75" customHeight="1" x14ac:dyDescent="0.4">
      <c r="A241" s="24" t="s">
        <v>824</v>
      </c>
      <c r="B241" s="24" t="s">
        <v>961</v>
      </c>
      <c r="C241" s="24" t="s">
        <v>826</v>
      </c>
    </row>
    <row r="242" spans="1:3" ht="15.75" customHeight="1" x14ac:dyDescent="0.4">
      <c r="A242" s="24" t="s">
        <v>824</v>
      </c>
      <c r="B242" s="24" t="s">
        <v>962</v>
      </c>
      <c r="C242" s="24" t="s">
        <v>826</v>
      </c>
    </row>
    <row r="243" spans="1:3" ht="15.75" customHeight="1" x14ac:dyDescent="0.4">
      <c r="A243" s="24" t="s">
        <v>824</v>
      </c>
      <c r="B243" s="24" t="s">
        <v>963</v>
      </c>
      <c r="C243" s="24" t="s">
        <v>826</v>
      </c>
    </row>
    <row r="244" spans="1:3" ht="15.75" customHeight="1" x14ac:dyDescent="0.4">
      <c r="A244" s="24" t="s">
        <v>824</v>
      </c>
      <c r="B244" s="24" t="s">
        <v>698</v>
      </c>
      <c r="C244" s="24" t="s">
        <v>825</v>
      </c>
    </row>
    <row r="245" spans="1:3" ht="15.75" customHeight="1" x14ac:dyDescent="0.4">
      <c r="A245" s="24" t="s">
        <v>824</v>
      </c>
      <c r="B245" s="24" t="s">
        <v>964</v>
      </c>
      <c r="C245" s="24" t="s">
        <v>826</v>
      </c>
    </row>
    <row r="246" spans="1:3" ht="15.75" customHeight="1" x14ac:dyDescent="0.4">
      <c r="A246" s="24" t="s">
        <v>824</v>
      </c>
      <c r="B246" s="24" t="s">
        <v>327</v>
      </c>
      <c r="C246" s="24" t="s">
        <v>825</v>
      </c>
    </row>
    <row r="247" spans="1:3" ht="15.75" customHeight="1" x14ac:dyDescent="0.4">
      <c r="A247" s="24" t="s">
        <v>824</v>
      </c>
      <c r="B247" s="24" t="s">
        <v>507</v>
      </c>
      <c r="C247" s="24" t="s">
        <v>825</v>
      </c>
    </row>
    <row r="248" spans="1:3" ht="15.75" customHeight="1" x14ac:dyDescent="0.4">
      <c r="A248" s="24" t="s">
        <v>824</v>
      </c>
      <c r="B248" s="24" t="s">
        <v>553</v>
      </c>
      <c r="C248" s="24" t="s">
        <v>825</v>
      </c>
    </row>
    <row r="249" spans="1:3" ht="15.75" customHeight="1" x14ac:dyDescent="0.4">
      <c r="A249" s="24" t="s">
        <v>824</v>
      </c>
      <c r="B249" s="24" t="s">
        <v>489</v>
      </c>
      <c r="C249" s="24" t="s">
        <v>825</v>
      </c>
    </row>
    <row r="250" spans="1:3" ht="15.75" customHeight="1" x14ac:dyDescent="0.4">
      <c r="A250" s="24" t="s">
        <v>824</v>
      </c>
      <c r="B250" s="24" t="s">
        <v>609</v>
      </c>
      <c r="C250" s="24" t="s">
        <v>825</v>
      </c>
    </row>
    <row r="251" spans="1:3" ht="15.75" customHeight="1" x14ac:dyDescent="0.4">
      <c r="A251" s="24" t="s">
        <v>824</v>
      </c>
      <c r="B251" s="24" t="s">
        <v>547</v>
      </c>
      <c r="C251" s="24" t="s">
        <v>825</v>
      </c>
    </row>
    <row r="252" spans="1:3" ht="15.75" customHeight="1" x14ac:dyDescent="0.4">
      <c r="A252" s="24" t="s">
        <v>824</v>
      </c>
      <c r="B252" s="24" t="s">
        <v>965</v>
      </c>
      <c r="C252" s="24" t="s">
        <v>826</v>
      </c>
    </row>
    <row r="253" spans="1:3" ht="15.75" customHeight="1" x14ac:dyDescent="0.4">
      <c r="A253" s="24" t="s">
        <v>824</v>
      </c>
      <c r="B253" s="24" t="s">
        <v>966</v>
      </c>
      <c r="C253" s="24" t="s">
        <v>826</v>
      </c>
    </row>
    <row r="254" spans="1:3" ht="15.75" customHeight="1" x14ac:dyDescent="0.4">
      <c r="A254" s="24" t="s">
        <v>824</v>
      </c>
      <c r="B254" s="24" t="s">
        <v>615</v>
      </c>
      <c r="C254" s="24" t="s">
        <v>825</v>
      </c>
    </row>
    <row r="255" spans="1:3" ht="15.75" customHeight="1" x14ac:dyDescent="0.4">
      <c r="A255" s="24" t="s">
        <v>824</v>
      </c>
      <c r="B255" s="24" t="s">
        <v>967</v>
      </c>
      <c r="C255" s="24" t="s">
        <v>826</v>
      </c>
    </row>
    <row r="256" spans="1:3" ht="15.75" customHeight="1" x14ac:dyDescent="0.4">
      <c r="A256" s="24" t="s">
        <v>824</v>
      </c>
      <c r="B256" s="24" t="s">
        <v>420</v>
      </c>
      <c r="C256" s="24" t="s">
        <v>825</v>
      </c>
    </row>
    <row r="257" spans="1:3" ht="15.75" customHeight="1" x14ac:dyDescent="0.4">
      <c r="A257" s="24" t="s">
        <v>824</v>
      </c>
      <c r="B257" s="24" t="s">
        <v>254</v>
      </c>
      <c r="C257" s="24" t="s">
        <v>825</v>
      </c>
    </row>
    <row r="258" spans="1:3" ht="15.75" customHeight="1" x14ac:dyDescent="0.4">
      <c r="A258" s="24" t="s">
        <v>824</v>
      </c>
      <c r="B258" s="24" t="s">
        <v>333</v>
      </c>
      <c r="C258" s="24" t="s">
        <v>825</v>
      </c>
    </row>
    <row r="259" spans="1:3" ht="15.75" customHeight="1" x14ac:dyDescent="0.4">
      <c r="A259" s="24" t="s">
        <v>824</v>
      </c>
      <c r="B259" s="24" t="s">
        <v>968</v>
      </c>
      <c r="C259" s="24" t="s">
        <v>826</v>
      </c>
    </row>
    <row r="260" spans="1:3" ht="15.75" customHeight="1" x14ac:dyDescent="0.4">
      <c r="A260" s="24" t="s">
        <v>824</v>
      </c>
      <c r="B260" s="24" t="s">
        <v>415</v>
      </c>
      <c r="C260" s="24" t="s">
        <v>825</v>
      </c>
    </row>
    <row r="261" spans="1:3" ht="15.75" customHeight="1" x14ac:dyDescent="0.4">
      <c r="A261" s="24" t="s">
        <v>824</v>
      </c>
      <c r="B261" s="24" t="s">
        <v>724</v>
      </c>
      <c r="C261" s="24" t="s">
        <v>825</v>
      </c>
    </row>
    <row r="262" spans="1:3" ht="15.75" customHeight="1" x14ac:dyDescent="0.4">
      <c r="A262" s="24" t="s">
        <v>824</v>
      </c>
      <c r="B262" s="24" t="s">
        <v>315</v>
      </c>
      <c r="C262" s="24" t="s">
        <v>825</v>
      </c>
    </row>
    <row r="263" spans="1:3" ht="15.75" customHeight="1" x14ac:dyDescent="0.4">
      <c r="A263" s="24" t="s">
        <v>824</v>
      </c>
      <c r="B263" s="24" t="s">
        <v>457</v>
      </c>
      <c r="C263" s="24" t="s">
        <v>825</v>
      </c>
    </row>
    <row r="264" spans="1:3" ht="15.75" customHeight="1" x14ac:dyDescent="0.4">
      <c r="A264" s="24" t="s">
        <v>824</v>
      </c>
      <c r="B264" s="24" t="s">
        <v>329</v>
      </c>
      <c r="C264" s="24" t="s">
        <v>825</v>
      </c>
    </row>
    <row r="265" spans="1:3" ht="15.75" customHeight="1" x14ac:dyDescent="0.4">
      <c r="A265" s="24" t="s">
        <v>824</v>
      </c>
      <c r="B265" s="24" t="s">
        <v>651</v>
      </c>
      <c r="C265" s="24" t="s">
        <v>825</v>
      </c>
    </row>
    <row r="266" spans="1:3" ht="15.75" customHeight="1" x14ac:dyDescent="0.4">
      <c r="A266" s="24" t="s">
        <v>824</v>
      </c>
      <c r="B266" s="24" t="s">
        <v>969</v>
      </c>
      <c r="C266" s="24" t="s">
        <v>826</v>
      </c>
    </row>
    <row r="267" spans="1:3" ht="15.75" customHeight="1" x14ac:dyDescent="0.4">
      <c r="A267" s="24" t="s">
        <v>824</v>
      </c>
      <c r="B267" s="24" t="s">
        <v>537</v>
      </c>
      <c r="C267" s="24" t="s">
        <v>825</v>
      </c>
    </row>
    <row r="268" spans="1:3" ht="15.75" customHeight="1" x14ac:dyDescent="0.4">
      <c r="A268" s="24" t="s">
        <v>824</v>
      </c>
      <c r="B268" s="24" t="s">
        <v>503</v>
      </c>
      <c r="C268" s="24" t="s">
        <v>825</v>
      </c>
    </row>
    <row r="269" spans="1:3" ht="15.75" customHeight="1" x14ac:dyDescent="0.4">
      <c r="A269" s="24" t="s">
        <v>824</v>
      </c>
      <c r="B269" s="24" t="s">
        <v>970</v>
      </c>
      <c r="C269" s="24" t="s">
        <v>826</v>
      </c>
    </row>
    <row r="270" spans="1:3" ht="15.75" customHeight="1" x14ac:dyDescent="0.4">
      <c r="A270" s="24" t="s">
        <v>824</v>
      </c>
      <c r="B270" s="24" t="s">
        <v>971</v>
      </c>
      <c r="C270" s="24" t="s">
        <v>826</v>
      </c>
    </row>
    <row r="271" spans="1:3" ht="15.75" customHeight="1" x14ac:dyDescent="0.4">
      <c r="A271" s="24" t="s">
        <v>824</v>
      </c>
      <c r="B271" s="24" t="s">
        <v>287</v>
      </c>
      <c r="C271" s="24" t="s">
        <v>825</v>
      </c>
    </row>
    <row r="272" spans="1:3" ht="15.75" customHeight="1" x14ac:dyDescent="0.4">
      <c r="A272" s="24" t="s">
        <v>824</v>
      </c>
      <c r="B272" s="24" t="s">
        <v>972</v>
      </c>
      <c r="C272" s="24" t="s">
        <v>826</v>
      </c>
    </row>
    <row r="273" spans="1:3" ht="15.75" customHeight="1" x14ac:dyDescent="0.4">
      <c r="A273" s="24" t="s">
        <v>824</v>
      </c>
      <c r="B273" s="24" t="s">
        <v>973</v>
      </c>
      <c r="C273" s="24" t="s">
        <v>826</v>
      </c>
    </row>
    <row r="274" spans="1:3" ht="15.75" customHeight="1" x14ac:dyDescent="0.4">
      <c r="A274" s="24" t="s">
        <v>824</v>
      </c>
      <c r="B274" s="24" t="s">
        <v>974</v>
      </c>
      <c r="C274" s="24" t="s">
        <v>826</v>
      </c>
    </row>
    <row r="275" spans="1:3" ht="15.75" customHeight="1" x14ac:dyDescent="0.4">
      <c r="A275" s="24" t="s">
        <v>824</v>
      </c>
      <c r="B275" s="24" t="s">
        <v>975</v>
      </c>
      <c r="C275" s="24" t="s">
        <v>826</v>
      </c>
    </row>
    <row r="276" spans="1:3" ht="15.75" customHeight="1" x14ac:dyDescent="0.4">
      <c r="A276" s="24" t="s">
        <v>824</v>
      </c>
      <c r="B276" s="24" t="s">
        <v>976</v>
      </c>
      <c r="C276" s="24" t="s">
        <v>826</v>
      </c>
    </row>
    <row r="277" spans="1:3" ht="15.75" customHeight="1" x14ac:dyDescent="0.4">
      <c r="A277" s="24" t="s">
        <v>824</v>
      </c>
      <c r="B277" s="24" t="s">
        <v>977</v>
      </c>
      <c r="C277" s="24" t="s">
        <v>826</v>
      </c>
    </row>
    <row r="278" spans="1:3" ht="15.75" customHeight="1" x14ac:dyDescent="0.4">
      <c r="A278" s="24" t="s">
        <v>824</v>
      </c>
      <c r="B278" s="24" t="s">
        <v>978</v>
      </c>
      <c r="C278" s="24" t="s">
        <v>826</v>
      </c>
    </row>
    <row r="279" spans="1:3" ht="15.75" customHeight="1" x14ac:dyDescent="0.4">
      <c r="A279" s="24" t="s">
        <v>824</v>
      </c>
      <c r="B279" s="24" t="s">
        <v>979</v>
      </c>
      <c r="C279" s="24" t="s">
        <v>826</v>
      </c>
    </row>
    <row r="280" spans="1:3" ht="15.75" customHeight="1" x14ac:dyDescent="0.4">
      <c r="A280" s="24" t="s">
        <v>824</v>
      </c>
      <c r="B280" s="24" t="s">
        <v>980</v>
      </c>
      <c r="C280" s="24" t="s">
        <v>826</v>
      </c>
    </row>
    <row r="281" spans="1:3" ht="15.75" customHeight="1" x14ac:dyDescent="0.4">
      <c r="A281" s="24" t="s">
        <v>824</v>
      </c>
      <c r="B281" s="24" t="s">
        <v>981</v>
      </c>
      <c r="C281" s="24" t="s">
        <v>826</v>
      </c>
    </row>
    <row r="282" spans="1:3" ht="15.75" customHeight="1" x14ac:dyDescent="0.4">
      <c r="A282" s="24" t="s">
        <v>824</v>
      </c>
      <c r="B282" s="24" t="s">
        <v>982</v>
      </c>
      <c r="C282" s="24" t="s">
        <v>826</v>
      </c>
    </row>
    <row r="283" spans="1:3" ht="15.75" customHeight="1" x14ac:dyDescent="0.4">
      <c r="A283" s="24" t="s">
        <v>824</v>
      </c>
      <c r="B283" s="24" t="s">
        <v>983</v>
      </c>
      <c r="C283" s="24" t="s">
        <v>826</v>
      </c>
    </row>
    <row r="284" spans="1:3" ht="15.75" customHeight="1" x14ac:dyDescent="0.4">
      <c r="A284" s="24" t="s">
        <v>824</v>
      </c>
      <c r="B284" s="24" t="s">
        <v>984</v>
      </c>
      <c r="C284" s="24" t="s">
        <v>826</v>
      </c>
    </row>
    <row r="285" spans="1:3" ht="15.75" customHeight="1" x14ac:dyDescent="0.4">
      <c r="A285" s="24" t="s">
        <v>824</v>
      </c>
      <c r="B285" s="24" t="s">
        <v>985</v>
      </c>
      <c r="C285" s="24" t="s">
        <v>826</v>
      </c>
    </row>
    <row r="286" spans="1:3" ht="15.75" customHeight="1" x14ac:dyDescent="0.4">
      <c r="A286" s="24" t="s">
        <v>824</v>
      </c>
      <c r="B286" s="24" t="s">
        <v>986</v>
      </c>
      <c r="C286" s="24" t="s">
        <v>826</v>
      </c>
    </row>
    <row r="287" spans="1:3" ht="15.75" customHeight="1" x14ac:dyDescent="0.4">
      <c r="A287" s="24" t="s">
        <v>824</v>
      </c>
      <c r="B287" s="24" t="s">
        <v>987</v>
      </c>
      <c r="C287" s="24" t="s">
        <v>826</v>
      </c>
    </row>
    <row r="288" spans="1:3" ht="15.75" customHeight="1" x14ac:dyDescent="0.4">
      <c r="A288" s="24" t="s">
        <v>824</v>
      </c>
      <c r="B288" s="24" t="s">
        <v>988</v>
      </c>
      <c r="C288" s="24" t="s">
        <v>826</v>
      </c>
    </row>
    <row r="289" spans="1:3" ht="15.75" customHeight="1" x14ac:dyDescent="0.4">
      <c r="A289" s="24" t="s">
        <v>824</v>
      </c>
      <c r="B289" s="24" t="s">
        <v>989</v>
      </c>
      <c r="C289" s="24" t="s">
        <v>826</v>
      </c>
    </row>
    <row r="290" spans="1:3" ht="15.75" customHeight="1" x14ac:dyDescent="0.4">
      <c r="A290" s="24" t="s">
        <v>824</v>
      </c>
      <c r="B290" s="24" t="s">
        <v>990</v>
      </c>
      <c r="C290" s="24" t="s">
        <v>826</v>
      </c>
    </row>
    <row r="291" spans="1:3" ht="15.75" customHeight="1" x14ac:dyDescent="0.4">
      <c r="A291" s="24" t="s">
        <v>824</v>
      </c>
      <c r="B291" s="24" t="s">
        <v>991</v>
      </c>
      <c r="C291" s="24" t="s">
        <v>826</v>
      </c>
    </row>
    <row r="292" spans="1:3" ht="15.75" customHeight="1" x14ac:dyDescent="0.4">
      <c r="A292" s="24" t="s">
        <v>824</v>
      </c>
      <c r="B292" s="24" t="s">
        <v>794</v>
      </c>
      <c r="C292" s="24" t="s">
        <v>825</v>
      </c>
    </row>
    <row r="293" spans="1:3" ht="15.75" customHeight="1" x14ac:dyDescent="0.4">
      <c r="A293" s="24" t="s">
        <v>824</v>
      </c>
      <c r="B293" s="24" t="s">
        <v>992</v>
      </c>
      <c r="C293" s="24" t="s">
        <v>826</v>
      </c>
    </row>
    <row r="294" spans="1:3" ht="15.75" customHeight="1" x14ac:dyDescent="0.4">
      <c r="A294" s="24" t="s">
        <v>824</v>
      </c>
      <c r="B294" s="24" t="s">
        <v>993</v>
      </c>
      <c r="C294" s="24" t="s">
        <v>826</v>
      </c>
    </row>
    <row r="295" spans="1:3" ht="15.75" customHeight="1" x14ac:dyDescent="0.4">
      <c r="A295" s="24" t="s">
        <v>824</v>
      </c>
      <c r="B295" s="24" t="s">
        <v>577</v>
      </c>
      <c r="C295" s="24" t="s">
        <v>825</v>
      </c>
    </row>
    <row r="296" spans="1:3" ht="15.75" customHeight="1" x14ac:dyDescent="0.4">
      <c r="A296" s="24" t="s">
        <v>824</v>
      </c>
      <c r="B296" s="24" t="s">
        <v>994</v>
      </c>
      <c r="C296" s="24" t="s">
        <v>826</v>
      </c>
    </row>
    <row r="297" spans="1:3" ht="15.75" customHeight="1" x14ac:dyDescent="0.4">
      <c r="A297" s="24" t="s">
        <v>824</v>
      </c>
      <c r="B297" s="24" t="s">
        <v>995</v>
      </c>
      <c r="C297" s="24" t="s">
        <v>826</v>
      </c>
    </row>
    <row r="298" spans="1:3" ht="15.75" customHeight="1" x14ac:dyDescent="0.4">
      <c r="A298" s="24" t="s">
        <v>824</v>
      </c>
      <c r="B298" s="24" t="s">
        <v>371</v>
      </c>
      <c r="C298" s="24" t="s">
        <v>825</v>
      </c>
    </row>
    <row r="299" spans="1:3" ht="15.75" customHeight="1" x14ac:dyDescent="0.4">
      <c r="A299" s="24" t="s">
        <v>824</v>
      </c>
      <c r="B299" s="24" t="s">
        <v>559</v>
      </c>
      <c r="C299" s="24" t="s">
        <v>825</v>
      </c>
    </row>
    <row r="300" spans="1:3" ht="15.75" customHeight="1" x14ac:dyDescent="0.4">
      <c r="A300" s="24" t="s">
        <v>824</v>
      </c>
      <c r="B300" s="24" t="s">
        <v>996</v>
      </c>
      <c r="C300" s="24" t="s">
        <v>826</v>
      </c>
    </row>
    <row r="301" spans="1:3" ht="15.75" customHeight="1" x14ac:dyDescent="0.4">
      <c r="A301" s="24" t="s">
        <v>824</v>
      </c>
      <c r="B301" s="24" t="s">
        <v>997</v>
      </c>
      <c r="C301" s="24" t="s">
        <v>826</v>
      </c>
    </row>
    <row r="302" spans="1:3" ht="15.75" customHeight="1" x14ac:dyDescent="0.4">
      <c r="A302" s="24" t="s">
        <v>824</v>
      </c>
      <c r="B302" s="24" t="s">
        <v>998</v>
      </c>
      <c r="C302" s="24" t="s">
        <v>826</v>
      </c>
    </row>
    <row r="303" spans="1:3" ht="15.75" customHeight="1" x14ac:dyDescent="0.4">
      <c r="A303" s="24" t="s">
        <v>824</v>
      </c>
      <c r="B303" s="24" t="s">
        <v>999</v>
      </c>
      <c r="C303" s="24" t="s">
        <v>826</v>
      </c>
    </row>
    <row r="304" spans="1:3" ht="15.75" customHeight="1" x14ac:dyDescent="0.4">
      <c r="A304" s="24" t="s">
        <v>824</v>
      </c>
      <c r="B304" s="24" t="s">
        <v>1000</v>
      </c>
      <c r="C304" s="24" t="s">
        <v>826</v>
      </c>
    </row>
    <row r="305" spans="1:3" ht="15.75" customHeight="1" x14ac:dyDescent="0.4">
      <c r="A305" s="24" t="s">
        <v>824</v>
      </c>
      <c r="B305" s="24" t="s">
        <v>1001</v>
      </c>
      <c r="C305" s="24" t="s">
        <v>826</v>
      </c>
    </row>
    <row r="306" spans="1:3" ht="15.75" customHeight="1" x14ac:dyDescent="0.4">
      <c r="A306" s="24" t="s">
        <v>824</v>
      </c>
      <c r="B306" s="24" t="s">
        <v>679</v>
      </c>
      <c r="C306" s="24" t="s">
        <v>825</v>
      </c>
    </row>
    <row r="307" spans="1:3" ht="15.75" customHeight="1" x14ac:dyDescent="0.4">
      <c r="A307" s="24" t="s">
        <v>824</v>
      </c>
      <c r="B307" s="24" t="s">
        <v>1002</v>
      </c>
      <c r="C307" s="24" t="s">
        <v>826</v>
      </c>
    </row>
    <row r="308" spans="1:3" ht="15.75" customHeight="1" x14ac:dyDescent="0.4">
      <c r="A308" s="24" t="s">
        <v>824</v>
      </c>
      <c r="B308" s="24" t="s">
        <v>597</v>
      </c>
      <c r="C308" s="24" t="s">
        <v>825</v>
      </c>
    </row>
    <row r="309" spans="1:3" ht="15.75" customHeight="1" x14ac:dyDescent="0.4">
      <c r="A309" s="24" t="s">
        <v>824</v>
      </c>
      <c r="B309" s="24" t="s">
        <v>708</v>
      </c>
      <c r="C309" s="24" t="s">
        <v>825</v>
      </c>
    </row>
    <row r="310" spans="1:3" ht="15.75" customHeight="1" x14ac:dyDescent="0.4">
      <c r="A310" s="24" t="s">
        <v>824</v>
      </c>
      <c r="B310" s="24" t="s">
        <v>1003</v>
      </c>
      <c r="C310" s="24" t="s">
        <v>826</v>
      </c>
    </row>
    <row r="311" spans="1:3" ht="15.75" customHeight="1" x14ac:dyDescent="0.4">
      <c r="A311" s="24" t="s">
        <v>824</v>
      </c>
      <c r="B311" s="24" t="s">
        <v>1004</v>
      </c>
      <c r="C311" s="24" t="s">
        <v>826</v>
      </c>
    </row>
    <row r="312" spans="1:3" ht="15.75" customHeight="1" x14ac:dyDescent="0.4">
      <c r="A312" s="24" t="s">
        <v>824</v>
      </c>
      <c r="B312" s="24" t="s">
        <v>1005</v>
      </c>
      <c r="C312" s="24" t="s">
        <v>826</v>
      </c>
    </row>
    <row r="313" spans="1:3" ht="15.75" customHeight="1" x14ac:dyDescent="0.4">
      <c r="A313" s="24" t="s">
        <v>824</v>
      </c>
      <c r="B313" s="24" t="s">
        <v>499</v>
      </c>
      <c r="C313" s="24" t="s">
        <v>825</v>
      </c>
    </row>
    <row r="314" spans="1:3" ht="15.75" customHeight="1" x14ac:dyDescent="0.4">
      <c r="A314" s="24" t="s">
        <v>824</v>
      </c>
      <c r="B314" s="24" t="s">
        <v>1006</v>
      </c>
      <c r="C314" s="24" t="s">
        <v>826</v>
      </c>
    </row>
    <row r="315" spans="1:3" ht="15.75" customHeight="1" x14ac:dyDescent="0.4">
      <c r="A315" s="24" t="s">
        <v>824</v>
      </c>
      <c r="B315" s="24" t="s">
        <v>1007</v>
      </c>
      <c r="C315" s="24" t="s">
        <v>826</v>
      </c>
    </row>
    <row r="316" spans="1:3" ht="15.75" customHeight="1" x14ac:dyDescent="0.4">
      <c r="A316" s="24" t="s">
        <v>824</v>
      </c>
      <c r="B316" s="24" t="s">
        <v>1008</v>
      </c>
      <c r="C316" s="24" t="s">
        <v>826</v>
      </c>
    </row>
    <row r="317" spans="1:3" ht="15.75" customHeight="1" x14ac:dyDescent="0.4">
      <c r="A317" s="24" t="s">
        <v>824</v>
      </c>
      <c r="B317" s="24" t="s">
        <v>1009</v>
      </c>
      <c r="C317" s="24" t="s">
        <v>826</v>
      </c>
    </row>
    <row r="318" spans="1:3" ht="15.75" customHeight="1" x14ac:dyDescent="0.4">
      <c r="A318" s="24" t="s">
        <v>824</v>
      </c>
      <c r="B318" s="24" t="s">
        <v>509</v>
      </c>
      <c r="C318" s="24" t="s">
        <v>825</v>
      </c>
    </row>
    <row r="319" spans="1:3" ht="15.75" customHeight="1" x14ac:dyDescent="0.4">
      <c r="A319" s="24" t="s">
        <v>824</v>
      </c>
      <c r="B319" s="24" t="s">
        <v>549</v>
      </c>
      <c r="C319" s="24" t="s">
        <v>825</v>
      </c>
    </row>
    <row r="320" spans="1:3" ht="15.75" customHeight="1" x14ac:dyDescent="0.4">
      <c r="A320" s="24" t="s">
        <v>824</v>
      </c>
      <c r="B320" s="24" t="s">
        <v>1010</v>
      </c>
      <c r="C320" s="24" t="s">
        <v>826</v>
      </c>
    </row>
    <row r="321" spans="1:3" ht="15.75" customHeight="1" x14ac:dyDescent="0.4">
      <c r="A321" s="24" t="s">
        <v>824</v>
      </c>
      <c r="B321" s="24" t="s">
        <v>1011</v>
      </c>
      <c r="C321" s="24" t="s">
        <v>826</v>
      </c>
    </row>
    <row r="322" spans="1:3" ht="15.75" customHeight="1" x14ac:dyDescent="0.4">
      <c r="A322" s="24" t="s">
        <v>824</v>
      </c>
      <c r="B322" s="24" t="s">
        <v>1012</v>
      </c>
      <c r="C322" s="24" t="s">
        <v>826</v>
      </c>
    </row>
    <row r="323" spans="1:3" ht="15.75" customHeight="1" x14ac:dyDescent="0.4">
      <c r="A323" s="24" t="s">
        <v>824</v>
      </c>
      <c r="B323" s="24" t="s">
        <v>1013</v>
      </c>
      <c r="C323" s="24" t="s">
        <v>826</v>
      </c>
    </row>
    <row r="324" spans="1:3" ht="15.75" customHeight="1" x14ac:dyDescent="0.4">
      <c r="A324" s="24" t="s">
        <v>824</v>
      </c>
      <c r="B324" s="24" t="s">
        <v>1014</v>
      </c>
      <c r="C324" s="24" t="s">
        <v>826</v>
      </c>
    </row>
    <row r="325" spans="1:3" ht="15.75" customHeight="1" x14ac:dyDescent="0.4">
      <c r="A325" s="24" t="s">
        <v>824</v>
      </c>
      <c r="B325" s="24" t="s">
        <v>1015</v>
      </c>
      <c r="C325" s="24" t="s">
        <v>826</v>
      </c>
    </row>
    <row r="326" spans="1:3" ht="15.75" customHeight="1" x14ac:dyDescent="0.4">
      <c r="A326" s="24" t="s">
        <v>824</v>
      </c>
      <c r="B326" s="24" t="s">
        <v>1016</v>
      </c>
      <c r="C326" s="24" t="s">
        <v>826</v>
      </c>
    </row>
    <row r="327" spans="1:3" ht="15.75" customHeight="1" x14ac:dyDescent="0.4">
      <c r="A327" s="24" t="s">
        <v>824</v>
      </c>
      <c r="B327" s="24" t="s">
        <v>1017</v>
      </c>
      <c r="C327" s="24" t="s">
        <v>826</v>
      </c>
    </row>
    <row r="328" spans="1:3" ht="15.75" customHeight="1" x14ac:dyDescent="0.4">
      <c r="A328" s="24" t="s">
        <v>824</v>
      </c>
      <c r="B328" s="24" t="s">
        <v>569</v>
      </c>
      <c r="C328" s="24" t="s">
        <v>825</v>
      </c>
    </row>
    <row r="329" spans="1:3" ht="15.75" customHeight="1" x14ac:dyDescent="0.4">
      <c r="A329" s="24" t="s">
        <v>824</v>
      </c>
      <c r="B329" s="24" t="s">
        <v>1018</v>
      </c>
      <c r="C329" s="24" t="s">
        <v>826</v>
      </c>
    </row>
    <row r="330" spans="1:3" ht="15.75" customHeight="1" x14ac:dyDescent="0.4">
      <c r="A330" s="24" t="s">
        <v>824</v>
      </c>
      <c r="B330" s="24" t="s">
        <v>1019</v>
      </c>
      <c r="C330" s="24" t="s">
        <v>826</v>
      </c>
    </row>
    <row r="331" spans="1:3" ht="15.75" customHeight="1" x14ac:dyDescent="0.4">
      <c r="A331" s="24" t="s">
        <v>824</v>
      </c>
      <c r="B331" s="24" t="s">
        <v>1020</v>
      </c>
      <c r="C331" s="24" t="s">
        <v>826</v>
      </c>
    </row>
    <row r="332" spans="1:3" ht="15.75" customHeight="1" x14ac:dyDescent="0.4">
      <c r="A332" s="24" t="s">
        <v>824</v>
      </c>
      <c r="B332" s="24" t="s">
        <v>613</v>
      </c>
      <c r="C332" s="24" t="s">
        <v>825</v>
      </c>
    </row>
    <row r="333" spans="1:3" ht="15.75" customHeight="1" x14ac:dyDescent="0.4">
      <c r="A333" s="24" t="s">
        <v>824</v>
      </c>
      <c r="B333" s="24" t="s">
        <v>1021</v>
      </c>
      <c r="C333" s="24" t="s">
        <v>826</v>
      </c>
    </row>
    <row r="334" spans="1:3" ht="15.75" customHeight="1" x14ac:dyDescent="0.4">
      <c r="A334" s="24" t="s">
        <v>824</v>
      </c>
      <c r="B334" s="24" t="s">
        <v>1022</v>
      </c>
      <c r="C334" s="24" t="s">
        <v>826</v>
      </c>
    </row>
    <row r="335" spans="1:3" ht="15.75" customHeight="1" x14ac:dyDescent="0.4">
      <c r="A335" s="24" t="s">
        <v>824</v>
      </c>
      <c r="B335" s="24" t="s">
        <v>1023</v>
      </c>
      <c r="C335" s="24" t="s">
        <v>826</v>
      </c>
    </row>
    <row r="336" spans="1:3" ht="15.75" customHeight="1" x14ac:dyDescent="0.4">
      <c r="A336" s="24" t="s">
        <v>824</v>
      </c>
      <c r="B336" s="24" t="s">
        <v>1024</v>
      </c>
      <c r="C336" s="24" t="s">
        <v>826</v>
      </c>
    </row>
    <row r="337" spans="1:3" ht="15.75" customHeight="1" x14ac:dyDescent="0.4">
      <c r="A337" s="24" t="s">
        <v>824</v>
      </c>
      <c r="B337" s="24" t="s">
        <v>521</v>
      </c>
      <c r="C337" s="24" t="s">
        <v>825</v>
      </c>
    </row>
    <row r="338" spans="1:3" ht="15.75" customHeight="1" x14ac:dyDescent="0.4">
      <c r="A338" s="24" t="s">
        <v>824</v>
      </c>
      <c r="B338" s="24" t="s">
        <v>1025</v>
      </c>
      <c r="C338" s="24" t="s">
        <v>826</v>
      </c>
    </row>
    <row r="339" spans="1:3" ht="15.75" customHeight="1" x14ac:dyDescent="0.4">
      <c r="A339" s="24" t="s">
        <v>824</v>
      </c>
      <c r="B339" s="24" t="s">
        <v>1026</v>
      </c>
      <c r="C339" s="24" t="s">
        <v>826</v>
      </c>
    </row>
    <row r="340" spans="1:3" ht="15.75" customHeight="1" x14ac:dyDescent="0.4">
      <c r="A340" s="24" t="s">
        <v>824</v>
      </c>
      <c r="B340" s="24" t="s">
        <v>1027</v>
      </c>
      <c r="C340" s="24" t="s">
        <v>826</v>
      </c>
    </row>
    <row r="341" spans="1:3" ht="15.75" customHeight="1" x14ac:dyDescent="0.4">
      <c r="A341" s="24" t="s">
        <v>824</v>
      </c>
      <c r="B341" s="24" t="s">
        <v>639</v>
      </c>
      <c r="C341" s="24" t="s">
        <v>825</v>
      </c>
    </row>
    <row r="342" spans="1:3" ht="15.75" customHeight="1" x14ac:dyDescent="0.4">
      <c r="A342" s="24" t="s">
        <v>824</v>
      </c>
      <c r="B342" s="24" t="s">
        <v>673</v>
      </c>
      <c r="C342" s="24" t="s">
        <v>825</v>
      </c>
    </row>
    <row r="343" spans="1:3" ht="15.75" customHeight="1" x14ac:dyDescent="0.4">
      <c r="A343" s="24" t="s">
        <v>824</v>
      </c>
      <c r="B343" s="24" t="s">
        <v>1028</v>
      </c>
      <c r="C343" s="24" t="s">
        <v>826</v>
      </c>
    </row>
    <row r="344" spans="1:3" ht="15.75" customHeight="1" x14ac:dyDescent="0.4">
      <c r="A344" s="24" t="s">
        <v>824</v>
      </c>
      <c r="B344" s="24" t="s">
        <v>1029</v>
      </c>
      <c r="C344" s="24" t="s">
        <v>826</v>
      </c>
    </row>
    <row r="345" spans="1:3" ht="15.75" customHeight="1" x14ac:dyDescent="0.4">
      <c r="A345" s="24" t="s">
        <v>824</v>
      </c>
      <c r="B345" s="24" t="s">
        <v>1030</v>
      </c>
      <c r="C345" s="24" t="s">
        <v>826</v>
      </c>
    </row>
    <row r="346" spans="1:3" ht="15.75" customHeight="1" x14ac:dyDescent="0.4">
      <c r="A346" s="24" t="s">
        <v>824</v>
      </c>
      <c r="B346" s="24" t="s">
        <v>1031</v>
      </c>
      <c r="C346" s="24" t="s">
        <v>826</v>
      </c>
    </row>
    <row r="347" spans="1:3" ht="15.75" customHeight="1" x14ac:dyDescent="0.4">
      <c r="A347" s="24" t="s">
        <v>824</v>
      </c>
      <c r="B347" s="24" t="s">
        <v>1032</v>
      </c>
      <c r="C347" s="24" t="s">
        <v>826</v>
      </c>
    </row>
    <row r="348" spans="1:3" ht="15.75" customHeight="1" x14ac:dyDescent="0.4">
      <c r="A348" s="24" t="s">
        <v>824</v>
      </c>
      <c r="B348" s="24" t="s">
        <v>1033</v>
      </c>
      <c r="C348" s="24" t="s">
        <v>826</v>
      </c>
    </row>
    <row r="349" spans="1:3" ht="15.75" customHeight="1" x14ac:dyDescent="0.4">
      <c r="A349" s="24" t="s">
        <v>824</v>
      </c>
      <c r="B349" s="24" t="s">
        <v>1034</v>
      </c>
      <c r="C349" s="24" t="s">
        <v>826</v>
      </c>
    </row>
    <row r="350" spans="1:3" ht="15.75" customHeight="1" x14ac:dyDescent="0.4">
      <c r="A350" s="24" t="s">
        <v>824</v>
      </c>
      <c r="B350" s="24" t="s">
        <v>1035</v>
      </c>
      <c r="C350" s="24" t="s">
        <v>826</v>
      </c>
    </row>
    <row r="351" spans="1:3" ht="15.75" customHeight="1" x14ac:dyDescent="0.4">
      <c r="A351" s="24" t="s">
        <v>824</v>
      </c>
      <c r="B351" s="24" t="s">
        <v>283</v>
      </c>
      <c r="C351" s="24" t="s">
        <v>825</v>
      </c>
    </row>
    <row r="352" spans="1:3" ht="15.75" customHeight="1" x14ac:dyDescent="0.4">
      <c r="A352" s="24" t="s">
        <v>824</v>
      </c>
      <c r="B352" s="24" t="s">
        <v>1036</v>
      </c>
      <c r="C352" s="24" t="s">
        <v>826</v>
      </c>
    </row>
    <row r="353" spans="1:3" ht="15.75" customHeight="1" x14ac:dyDescent="0.4">
      <c r="A353" s="24" t="s">
        <v>824</v>
      </c>
      <c r="B353" s="24" t="s">
        <v>1037</v>
      </c>
      <c r="C353" s="24" t="s">
        <v>826</v>
      </c>
    </row>
    <row r="354" spans="1:3" ht="15.75" customHeight="1" x14ac:dyDescent="0.4">
      <c r="A354" s="24" t="s">
        <v>824</v>
      </c>
      <c r="B354" s="24" t="s">
        <v>1038</v>
      </c>
      <c r="C354" s="24" t="s">
        <v>826</v>
      </c>
    </row>
    <row r="355" spans="1:3" ht="15.75" customHeight="1" x14ac:dyDescent="0.4">
      <c r="A355" s="24" t="s">
        <v>824</v>
      </c>
      <c r="B355" s="24" t="s">
        <v>1039</v>
      </c>
      <c r="C355" s="24" t="s">
        <v>826</v>
      </c>
    </row>
    <row r="356" spans="1:3" ht="15.75" customHeight="1" x14ac:dyDescent="0.4">
      <c r="A356" s="24" t="s">
        <v>824</v>
      </c>
      <c r="B356" s="24" t="s">
        <v>1040</v>
      </c>
      <c r="C356" s="24" t="s">
        <v>826</v>
      </c>
    </row>
    <row r="357" spans="1:3" ht="15.75" customHeight="1" x14ac:dyDescent="0.4">
      <c r="A357" s="24" t="s">
        <v>824</v>
      </c>
      <c r="B357" s="24" t="s">
        <v>1041</v>
      </c>
      <c r="C357" s="24" t="s">
        <v>826</v>
      </c>
    </row>
    <row r="358" spans="1:3" ht="15.75" customHeight="1" x14ac:dyDescent="0.4">
      <c r="A358" s="24" t="s">
        <v>824</v>
      </c>
      <c r="B358" s="24" t="s">
        <v>1042</v>
      </c>
      <c r="C358" s="24" t="s">
        <v>826</v>
      </c>
    </row>
    <row r="359" spans="1:3" ht="15.75" customHeight="1" x14ac:dyDescent="0.4">
      <c r="A359" s="24" t="s">
        <v>824</v>
      </c>
      <c r="B359" s="24" t="s">
        <v>1043</v>
      </c>
      <c r="C359" s="24" t="s">
        <v>826</v>
      </c>
    </row>
    <row r="360" spans="1:3" ht="15.75" customHeight="1" x14ac:dyDescent="0.4">
      <c r="A360" s="24" t="s">
        <v>824</v>
      </c>
      <c r="B360" s="24" t="s">
        <v>1044</v>
      </c>
      <c r="C360" s="24" t="s">
        <v>826</v>
      </c>
    </row>
    <row r="361" spans="1:3" ht="15.75" customHeight="1" x14ac:dyDescent="0.4">
      <c r="A361" s="24" t="s">
        <v>824</v>
      </c>
      <c r="B361" s="24" t="s">
        <v>1045</v>
      </c>
      <c r="C361" s="24" t="s">
        <v>826</v>
      </c>
    </row>
    <row r="362" spans="1:3" ht="15.75" customHeight="1" x14ac:dyDescent="0.4">
      <c r="A362" s="24" t="s">
        <v>824</v>
      </c>
      <c r="B362" s="24" t="s">
        <v>1046</v>
      </c>
      <c r="C362" s="24" t="s">
        <v>826</v>
      </c>
    </row>
    <row r="363" spans="1:3" ht="15.75" customHeight="1" x14ac:dyDescent="0.4">
      <c r="A363" s="24" t="s">
        <v>824</v>
      </c>
      <c r="B363" s="24" t="s">
        <v>1047</v>
      </c>
      <c r="C363" s="24" t="s">
        <v>826</v>
      </c>
    </row>
    <row r="364" spans="1:3" ht="15.75" customHeight="1" x14ac:dyDescent="0.4">
      <c r="A364" s="24" t="s">
        <v>824</v>
      </c>
      <c r="B364" s="24" t="s">
        <v>1048</v>
      </c>
      <c r="C364" s="24" t="s">
        <v>826</v>
      </c>
    </row>
    <row r="365" spans="1:3" ht="15.75" customHeight="1" x14ac:dyDescent="0.4">
      <c r="A365" s="24" t="s">
        <v>824</v>
      </c>
      <c r="B365" s="24" t="s">
        <v>1049</v>
      </c>
      <c r="C365" s="24" t="s">
        <v>826</v>
      </c>
    </row>
    <row r="366" spans="1:3" ht="15.75" customHeight="1" x14ac:dyDescent="0.4">
      <c r="A366" s="24" t="s">
        <v>824</v>
      </c>
      <c r="B366" s="24" t="s">
        <v>1050</v>
      </c>
      <c r="C366" s="24" t="s">
        <v>826</v>
      </c>
    </row>
    <row r="367" spans="1:3" ht="15.75" customHeight="1" x14ac:dyDescent="0.4">
      <c r="A367" s="24" t="s">
        <v>824</v>
      </c>
      <c r="B367" s="24" t="s">
        <v>1051</v>
      </c>
      <c r="C367" s="24" t="s">
        <v>826</v>
      </c>
    </row>
    <row r="368" spans="1:3" ht="15.75" customHeight="1" x14ac:dyDescent="0.4">
      <c r="A368" s="24" t="s">
        <v>824</v>
      </c>
      <c r="B368" s="24" t="s">
        <v>555</v>
      </c>
      <c r="C368" s="24" t="s">
        <v>825</v>
      </c>
    </row>
    <row r="369" spans="1:3" ht="15.75" customHeight="1" x14ac:dyDescent="0.4">
      <c r="A369" s="24" t="s">
        <v>824</v>
      </c>
      <c r="B369" s="24" t="s">
        <v>1052</v>
      </c>
      <c r="C369" s="24" t="s">
        <v>826</v>
      </c>
    </row>
    <row r="370" spans="1:3" ht="15.75" customHeight="1" x14ac:dyDescent="0.4">
      <c r="A370" s="24" t="s">
        <v>824</v>
      </c>
      <c r="B370" s="24" t="s">
        <v>1053</v>
      </c>
      <c r="C370" s="24" t="s">
        <v>826</v>
      </c>
    </row>
    <row r="371" spans="1:3" ht="15.75" customHeight="1" x14ac:dyDescent="0.4">
      <c r="A371" s="24" t="s">
        <v>824</v>
      </c>
      <c r="B371" s="24" t="s">
        <v>1054</v>
      </c>
      <c r="C371" s="24" t="s">
        <v>826</v>
      </c>
    </row>
    <row r="372" spans="1:3" ht="15.75" customHeight="1" x14ac:dyDescent="0.4">
      <c r="A372" s="24" t="s">
        <v>824</v>
      </c>
      <c r="B372" s="24" t="s">
        <v>1055</v>
      </c>
      <c r="C372" s="24" t="s">
        <v>826</v>
      </c>
    </row>
    <row r="373" spans="1:3" ht="15.75" customHeight="1" x14ac:dyDescent="0.4">
      <c r="A373" s="24" t="s">
        <v>824</v>
      </c>
      <c r="B373" s="24" t="s">
        <v>1056</v>
      </c>
      <c r="C373" s="24" t="s">
        <v>826</v>
      </c>
    </row>
    <row r="374" spans="1:3" ht="15.75" customHeight="1" x14ac:dyDescent="0.4">
      <c r="A374" s="24" t="s">
        <v>824</v>
      </c>
      <c r="B374" s="24" t="s">
        <v>1057</v>
      </c>
      <c r="C374" s="24" t="s">
        <v>826</v>
      </c>
    </row>
    <row r="375" spans="1:3" ht="15.75" customHeight="1" x14ac:dyDescent="0.4">
      <c r="A375" s="24" t="s">
        <v>824</v>
      </c>
      <c r="B375" s="24" t="s">
        <v>1058</v>
      </c>
      <c r="C375" s="24" t="s">
        <v>826</v>
      </c>
    </row>
    <row r="376" spans="1:3" ht="15.75" customHeight="1" x14ac:dyDescent="0.4">
      <c r="A376" s="24" t="s">
        <v>824</v>
      </c>
      <c r="B376" s="24" t="s">
        <v>1059</v>
      </c>
      <c r="C376" s="24" t="s">
        <v>826</v>
      </c>
    </row>
    <row r="377" spans="1:3" ht="15.75" customHeight="1" x14ac:dyDescent="0.4">
      <c r="A377" s="24" t="s">
        <v>824</v>
      </c>
      <c r="B377" s="24" t="s">
        <v>1060</v>
      </c>
      <c r="C377" s="24" t="s">
        <v>826</v>
      </c>
    </row>
    <row r="378" spans="1:3" ht="15.75" customHeight="1" x14ac:dyDescent="0.4">
      <c r="A378" s="24" t="s">
        <v>824</v>
      </c>
      <c r="B378" s="24" t="s">
        <v>439</v>
      </c>
      <c r="C378" s="24" t="s">
        <v>825</v>
      </c>
    </row>
    <row r="379" spans="1:3" ht="15.75" customHeight="1" x14ac:dyDescent="0.4">
      <c r="A379" s="24" t="s">
        <v>824</v>
      </c>
      <c r="B379" s="24" t="s">
        <v>1061</v>
      </c>
      <c r="C379" s="24" t="s">
        <v>826</v>
      </c>
    </row>
    <row r="380" spans="1:3" ht="15.75" customHeight="1" x14ac:dyDescent="0.4">
      <c r="A380" s="24" t="s">
        <v>824</v>
      </c>
      <c r="B380" s="24" t="s">
        <v>1062</v>
      </c>
      <c r="C380" s="24" t="s">
        <v>826</v>
      </c>
    </row>
    <row r="381" spans="1:3" ht="15.75" customHeight="1" x14ac:dyDescent="0.4">
      <c r="A381" s="24" t="s">
        <v>824</v>
      </c>
      <c r="B381" s="24" t="s">
        <v>449</v>
      </c>
      <c r="C381" s="24" t="s">
        <v>825</v>
      </c>
    </row>
    <row r="382" spans="1:3" ht="15.75" customHeight="1" x14ac:dyDescent="0.4">
      <c r="A382" s="24" t="s">
        <v>824</v>
      </c>
      <c r="B382" s="24" t="s">
        <v>1063</v>
      </c>
      <c r="C382" s="24" t="s">
        <v>826</v>
      </c>
    </row>
    <row r="383" spans="1:3" ht="15.75" customHeight="1" x14ac:dyDescent="0.4">
      <c r="A383" s="24" t="s">
        <v>824</v>
      </c>
      <c r="B383" s="24" t="s">
        <v>1064</v>
      </c>
      <c r="C383" s="24" t="s">
        <v>826</v>
      </c>
    </row>
    <row r="384" spans="1:3" ht="15.75" customHeight="1" x14ac:dyDescent="0.4">
      <c r="A384" s="24" t="s">
        <v>824</v>
      </c>
      <c r="B384" s="24" t="s">
        <v>1065</v>
      </c>
      <c r="C384" s="24" t="s">
        <v>826</v>
      </c>
    </row>
    <row r="385" spans="1:3" ht="15.75" customHeight="1" x14ac:dyDescent="0.4">
      <c r="A385" s="24" t="s">
        <v>824</v>
      </c>
      <c r="B385" s="24" t="s">
        <v>1066</v>
      </c>
      <c r="C385" s="24" t="s">
        <v>826</v>
      </c>
    </row>
    <row r="386" spans="1:3" ht="15.75" customHeight="1" x14ac:dyDescent="0.4">
      <c r="A386" s="24" t="s">
        <v>824</v>
      </c>
      <c r="B386" s="24" t="s">
        <v>1067</v>
      </c>
      <c r="C386" s="24" t="s">
        <v>826</v>
      </c>
    </row>
    <row r="387" spans="1:3" ht="15.75" customHeight="1" x14ac:dyDescent="0.4">
      <c r="A387" s="24" t="s">
        <v>824</v>
      </c>
      <c r="B387" s="24" t="s">
        <v>1068</v>
      </c>
      <c r="C387" s="24" t="s">
        <v>826</v>
      </c>
    </row>
    <row r="388" spans="1:3" ht="15.75" customHeight="1" x14ac:dyDescent="0.4">
      <c r="A388" s="24" t="s">
        <v>824</v>
      </c>
      <c r="B388" s="24" t="s">
        <v>1069</v>
      </c>
      <c r="C388" s="24" t="s">
        <v>826</v>
      </c>
    </row>
    <row r="389" spans="1:3" ht="15.75" customHeight="1" x14ac:dyDescent="0.4">
      <c r="A389" s="24" t="s">
        <v>824</v>
      </c>
      <c r="B389" s="24" t="s">
        <v>543</v>
      </c>
      <c r="C389" s="24" t="s">
        <v>825</v>
      </c>
    </row>
    <row r="390" spans="1:3" ht="15.75" customHeight="1" x14ac:dyDescent="0.4">
      <c r="A390" s="24" t="s">
        <v>824</v>
      </c>
      <c r="B390" s="24" t="s">
        <v>1070</v>
      </c>
      <c r="C390" s="24" t="s">
        <v>826</v>
      </c>
    </row>
    <row r="391" spans="1:3" ht="15.75" customHeight="1" x14ac:dyDescent="0.4">
      <c r="A391" s="24" t="s">
        <v>824</v>
      </c>
      <c r="B391" s="24" t="s">
        <v>1071</v>
      </c>
      <c r="C391" s="24" t="s">
        <v>826</v>
      </c>
    </row>
    <row r="392" spans="1:3" ht="15.75" customHeight="1" x14ac:dyDescent="0.4">
      <c r="A392" s="24" t="s">
        <v>824</v>
      </c>
      <c r="B392" s="24" t="s">
        <v>1072</v>
      </c>
      <c r="C392" s="24" t="s">
        <v>826</v>
      </c>
    </row>
    <row r="393" spans="1:3" ht="15.75" customHeight="1" x14ac:dyDescent="0.4">
      <c r="A393" s="24" t="s">
        <v>824</v>
      </c>
      <c r="B393" s="24" t="s">
        <v>1073</v>
      </c>
      <c r="C393" s="24" t="s">
        <v>826</v>
      </c>
    </row>
    <row r="394" spans="1:3" ht="15.75" customHeight="1" x14ac:dyDescent="0.4">
      <c r="A394" s="24" t="s">
        <v>824</v>
      </c>
      <c r="B394" s="24" t="s">
        <v>1074</v>
      </c>
      <c r="C394" s="24" t="s">
        <v>826</v>
      </c>
    </row>
    <row r="395" spans="1:3" ht="15.75" customHeight="1" x14ac:dyDescent="0.4">
      <c r="A395" s="24" t="s">
        <v>824</v>
      </c>
      <c r="B395" s="24" t="s">
        <v>1075</v>
      </c>
      <c r="C395" s="24" t="s">
        <v>826</v>
      </c>
    </row>
    <row r="396" spans="1:3" ht="15.75" customHeight="1" x14ac:dyDescent="0.4">
      <c r="A396" s="24" t="s">
        <v>824</v>
      </c>
      <c r="B396" s="24" t="s">
        <v>1076</v>
      </c>
      <c r="C396" s="24" t="s">
        <v>826</v>
      </c>
    </row>
    <row r="397" spans="1:3" ht="15.75" customHeight="1" x14ac:dyDescent="0.4">
      <c r="A397" s="24" t="s">
        <v>824</v>
      </c>
      <c r="B397" s="24" t="s">
        <v>1077</v>
      </c>
      <c r="C397" s="24" t="s">
        <v>826</v>
      </c>
    </row>
    <row r="398" spans="1:3" ht="15.75" customHeight="1" x14ac:dyDescent="0.4">
      <c r="A398" s="24" t="s">
        <v>824</v>
      </c>
      <c r="B398" s="24" t="s">
        <v>235</v>
      </c>
      <c r="C398" s="24" t="s">
        <v>826</v>
      </c>
    </row>
    <row r="399" spans="1:3" ht="15.75" customHeight="1" x14ac:dyDescent="0.4">
      <c r="A399" s="24" t="s">
        <v>824</v>
      </c>
      <c r="B399" s="24" t="s">
        <v>1078</v>
      </c>
      <c r="C399" s="24" t="s">
        <v>826</v>
      </c>
    </row>
    <row r="400" spans="1:3" ht="15.75" customHeight="1" x14ac:dyDescent="0.4">
      <c r="A400" s="24" t="s">
        <v>824</v>
      </c>
      <c r="B400" s="24" t="s">
        <v>1079</v>
      </c>
      <c r="C400" s="24" t="s">
        <v>826</v>
      </c>
    </row>
    <row r="401" spans="1:3" ht="15.75" customHeight="1" x14ac:dyDescent="0.4">
      <c r="A401" s="24" t="s">
        <v>824</v>
      </c>
      <c r="B401" s="24" t="s">
        <v>1080</v>
      </c>
      <c r="C401" s="24" t="s">
        <v>826</v>
      </c>
    </row>
    <row r="402" spans="1:3" ht="15.75" customHeight="1" x14ac:dyDescent="0.4">
      <c r="A402" s="24" t="s">
        <v>824</v>
      </c>
      <c r="B402" s="24" t="s">
        <v>1081</v>
      </c>
      <c r="C402" s="24" t="s">
        <v>826</v>
      </c>
    </row>
    <row r="403" spans="1:3" ht="15.75" customHeight="1" x14ac:dyDescent="0.4">
      <c r="A403" s="24" t="s">
        <v>824</v>
      </c>
      <c r="B403" s="24" t="s">
        <v>1082</v>
      </c>
      <c r="C403" s="24" t="s">
        <v>826</v>
      </c>
    </row>
    <row r="404" spans="1:3" ht="15.75" customHeight="1" x14ac:dyDescent="0.4">
      <c r="A404" s="24" t="s">
        <v>824</v>
      </c>
      <c r="B404" s="24" t="s">
        <v>1083</v>
      </c>
      <c r="C404" s="24" t="s">
        <v>826</v>
      </c>
    </row>
    <row r="405" spans="1:3" ht="15.75" customHeight="1" x14ac:dyDescent="0.4">
      <c r="A405" s="24" t="s">
        <v>824</v>
      </c>
      <c r="B405" s="24" t="s">
        <v>1084</v>
      </c>
      <c r="C405" s="24" t="s">
        <v>826</v>
      </c>
    </row>
    <row r="406" spans="1:3" ht="15.75" customHeight="1" x14ac:dyDescent="0.4">
      <c r="A406" s="24" t="s">
        <v>824</v>
      </c>
      <c r="B406" s="24" t="s">
        <v>736</v>
      </c>
      <c r="C406" s="24" t="s">
        <v>825</v>
      </c>
    </row>
    <row r="407" spans="1:3" ht="15.75" customHeight="1" x14ac:dyDescent="0.4">
      <c r="A407" s="24" t="s">
        <v>824</v>
      </c>
      <c r="B407" s="24" t="s">
        <v>1085</v>
      </c>
      <c r="C407" s="24" t="s">
        <v>826</v>
      </c>
    </row>
    <row r="408" spans="1:3" ht="15.75" customHeight="1" x14ac:dyDescent="0.4">
      <c r="A408" s="24" t="s">
        <v>824</v>
      </c>
      <c r="B408" s="24" t="s">
        <v>1086</v>
      </c>
      <c r="C408" s="24" t="s">
        <v>826</v>
      </c>
    </row>
    <row r="409" spans="1:3" ht="15.75" customHeight="1" x14ac:dyDescent="0.4">
      <c r="A409" s="24" t="s">
        <v>824</v>
      </c>
      <c r="B409" s="24" t="s">
        <v>744</v>
      </c>
      <c r="C409" s="24" t="s">
        <v>825</v>
      </c>
    </row>
    <row r="410" spans="1:3" ht="15.75" customHeight="1" x14ac:dyDescent="0.4">
      <c r="A410" s="24" t="s">
        <v>824</v>
      </c>
      <c r="B410" s="24" t="s">
        <v>1087</v>
      </c>
      <c r="C410" s="24" t="s">
        <v>826</v>
      </c>
    </row>
    <row r="411" spans="1:3" ht="15.75" customHeight="1" x14ac:dyDescent="0.4">
      <c r="A411" s="24" t="s">
        <v>824</v>
      </c>
      <c r="B411" s="24" t="s">
        <v>752</v>
      </c>
      <c r="C411" s="24" t="s">
        <v>825</v>
      </c>
    </row>
    <row r="412" spans="1:3" ht="15.75" customHeight="1" x14ac:dyDescent="0.4">
      <c r="A412" s="24" t="s">
        <v>824</v>
      </c>
      <c r="B412" s="24" t="s">
        <v>455</v>
      </c>
      <c r="C412" s="24" t="s">
        <v>825</v>
      </c>
    </row>
    <row r="413" spans="1:3" ht="15.75" customHeight="1" x14ac:dyDescent="0.4">
      <c r="A413" s="24" t="s">
        <v>824</v>
      </c>
      <c r="B413" s="24" t="s">
        <v>799</v>
      </c>
      <c r="C413" s="24" t="s">
        <v>825</v>
      </c>
    </row>
    <row r="414" spans="1:3" ht="15.75" customHeight="1" x14ac:dyDescent="0.4">
      <c r="A414" s="24" t="s">
        <v>824</v>
      </c>
      <c r="B414" s="24" t="s">
        <v>227</v>
      </c>
      <c r="C414" s="24" t="s">
        <v>826</v>
      </c>
    </row>
    <row r="415" spans="1:3" ht="15.75" customHeight="1" x14ac:dyDescent="0.4">
      <c r="A415" s="24" t="s">
        <v>824</v>
      </c>
      <c r="B415" s="24" t="s">
        <v>1088</v>
      </c>
      <c r="C415" s="24" t="s">
        <v>826</v>
      </c>
    </row>
    <row r="416" spans="1:3" ht="15.75" customHeight="1" x14ac:dyDescent="0.4">
      <c r="A416" s="24" t="s">
        <v>824</v>
      </c>
      <c r="B416" s="24" t="s">
        <v>1089</v>
      </c>
      <c r="C416" s="24" t="s">
        <v>826</v>
      </c>
    </row>
    <row r="417" spans="1:3" ht="15.75" customHeight="1" x14ac:dyDescent="0.4">
      <c r="A417" s="24" t="s">
        <v>824</v>
      </c>
      <c r="B417" s="24" t="s">
        <v>1090</v>
      </c>
      <c r="C417" s="24" t="s">
        <v>826</v>
      </c>
    </row>
    <row r="418" spans="1:3" ht="15.75" customHeight="1" x14ac:dyDescent="0.4">
      <c r="A418" s="24" t="s">
        <v>824</v>
      </c>
      <c r="B418" s="24" t="s">
        <v>1091</v>
      </c>
      <c r="C418" s="24" t="s">
        <v>826</v>
      </c>
    </row>
    <row r="419" spans="1:3" ht="15.75" customHeight="1" x14ac:dyDescent="0.4">
      <c r="A419" s="24" t="s">
        <v>824</v>
      </c>
      <c r="B419" s="24" t="s">
        <v>1092</v>
      </c>
      <c r="C419" s="24" t="s">
        <v>826</v>
      </c>
    </row>
    <row r="420" spans="1:3" ht="15.75" customHeight="1" x14ac:dyDescent="0.4">
      <c r="A420" s="24" t="s">
        <v>824</v>
      </c>
      <c r="B420" s="24" t="s">
        <v>359</v>
      </c>
      <c r="C420" s="24" t="s">
        <v>825</v>
      </c>
    </row>
    <row r="421" spans="1:3" ht="15.75" customHeight="1" x14ac:dyDescent="0.4">
      <c r="A421" s="24" t="s">
        <v>824</v>
      </c>
      <c r="B421" s="24" t="s">
        <v>1093</v>
      </c>
      <c r="C421" s="24" t="s">
        <v>826</v>
      </c>
    </row>
    <row r="422" spans="1:3" ht="15.75" customHeight="1" x14ac:dyDescent="0.4">
      <c r="A422" s="24" t="s">
        <v>824</v>
      </c>
      <c r="B422" s="24" t="s">
        <v>1094</v>
      </c>
      <c r="C422" s="24" t="s">
        <v>826</v>
      </c>
    </row>
    <row r="423" spans="1:3" ht="15.75" customHeight="1" x14ac:dyDescent="0.4">
      <c r="A423" s="24" t="s">
        <v>824</v>
      </c>
      <c r="B423" s="24" t="s">
        <v>1095</v>
      </c>
      <c r="C423" s="24" t="s">
        <v>826</v>
      </c>
    </row>
    <row r="424" spans="1:3" ht="15.75" customHeight="1" x14ac:dyDescent="0.4">
      <c r="A424" s="24" t="s">
        <v>824</v>
      </c>
      <c r="B424" s="24" t="s">
        <v>1096</v>
      </c>
      <c r="C424" s="24" t="s">
        <v>826</v>
      </c>
    </row>
    <row r="425" spans="1:3" ht="15.75" customHeight="1" x14ac:dyDescent="0.4">
      <c r="A425" s="24" t="s">
        <v>824</v>
      </c>
      <c r="B425" s="24" t="s">
        <v>453</v>
      </c>
      <c r="C425" s="24" t="s">
        <v>825</v>
      </c>
    </row>
    <row r="426" spans="1:3" ht="15.75" customHeight="1" x14ac:dyDescent="0.4">
      <c r="A426" s="24" t="s">
        <v>824</v>
      </c>
      <c r="B426" s="24" t="s">
        <v>1097</v>
      </c>
      <c r="C426" s="24" t="s">
        <v>826</v>
      </c>
    </row>
    <row r="427" spans="1:3" ht="15.75" customHeight="1" x14ac:dyDescent="0.4">
      <c r="A427" s="24" t="s">
        <v>824</v>
      </c>
      <c r="B427" s="24" t="s">
        <v>1098</v>
      </c>
      <c r="C427" s="24" t="s">
        <v>826</v>
      </c>
    </row>
    <row r="428" spans="1:3" ht="15.75" customHeight="1" x14ac:dyDescent="0.4">
      <c r="A428" s="24" t="s">
        <v>824</v>
      </c>
      <c r="B428" s="24" t="s">
        <v>1099</v>
      </c>
      <c r="C428" s="24" t="s">
        <v>826</v>
      </c>
    </row>
    <row r="429" spans="1:3" ht="15.75" customHeight="1" x14ac:dyDescent="0.4">
      <c r="A429" s="24" t="s">
        <v>824</v>
      </c>
      <c r="B429" s="24" t="s">
        <v>1100</v>
      </c>
      <c r="C429" s="24" t="s">
        <v>826</v>
      </c>
    </row>
    <row r="430" spans="1:3" ht="15.75" customHeight="1" x14ac:dyDescent="0.4">
      <c r="A430" s="24" t="s">
        <v>824</v>
      </c>
      <c r="B430" s="24" t="s">
        <v>1101</v>
      </c>
      <c r="C430" s="24" t="s">
        <v>826</v>
      </c>
    </row>
    <row r="431" spans="1:3" ht="15.75" customHeight="1" x14ac:dyDescent="0.4">
      <c r="A431" s="24" t="s">
        <v>824</v>
      </c>
      <c r="B431" s="24" t="s">
        <v>1102</v>
      </c>
      <c r="C431" s="24" t="s">
        <v>826</v>
      </c>
    </row>
    <row r="432" spans="1:3" ht="15.75" customHeight="1" x14ac:dyDescent="0.4">
      <c r="A432" s="24" t="s">
        <v>824</v>
      </c>
      <c r="B432" s="24" t="s">
        <v>1103</v>
      </c>
      <c r="C432" s="24" t="s">
        <v>826</v>
      </c>
    </row>
    <row r="433" spans="1:3" ht="15.75" customHeight="1" x14ac:dyDescent="0.4">
      <c r="A433" s="24" t="s">
        <v>824</v>
      </c>
      <c r="B433" s="24" t="s">
        <v>579</v>
      </c>
      <c r="C433" s="24" t="s">
        <v>825</v>
      </c>
    </row>
    <row r="434" spans="1:3" ht="15.75" customHeight="1" x14ac:dyDescent="0.4">
      <c r="A434" s="24" t="s">
        <v>824</v>
      </c>
      <c r="B434" s="24" t="s">
        <v>1104</v>
      </c>
      <c r="C434" s="24" t="s">
        <v>826</v>
      </c>
    </row>
    <row r="435" spans="1:3" ht="15.75" customHeight="1" x14ac:dyDescent="0.4">
      <c r="A435" s="24" t="s">
        <v>824</v>
      </c>
      <c r="B435" s="24" t="s">
        <v>1105</v>
      </c>
      <c r="C435" s="24" t="s">
        <v>826</v>
      </c>
    </row>
    <row r="436" spans="1:3" ht="15.75" customHeight="1" x14ac:dyDescent="0.4">
      <c r="A436" s="24" t="s">
        <v>824</v>
      </c>
      <c r="B436" s="24" t="s">
        <v>1106</v>
      </c>
      <c r="C436" s="24" t="s">
        <v>826</v>
      </c>
    </row>
    <row r="437" spans="1:3" ht="15.75" customHeight="1" x14ac:dyDescent="0.4">
      <c r="A437" s="24" t="s">
        <v>824</v>
      </c>
      <c r="B437" s="24" t="s">
        <v>1107</v>
      </c>
      <c r="C437" s="24" t="s">
        <v>826</v>
      </c>
    </row>
    <row r="438" spans="1:3" ht="15.75" customHeight="1" x14ac:dyDescent="0.4">
      <c r="A438" s="24" t="s">
        <v>824</v>
      </c>
      <c r="B438" s="24" t="s">
        <v>1108</v>
      </c>
      <c r="C438" s="24" t="s">
        <v>826</v>
      </c>
    </row>
    <row r="439" spans="1:3" ht="15.75" customHeight="1" x14ac:dyDescent="0.4">
      <c r="A439" s="24" t="s">
        <v>824</v>
      </c>
      <c r="B439" s="24" t="s">
        <v>1109</v>
      </c>
      <c r="C439" s="24" t="s">
        <v>826</v>
      </c>
    </row>
    <row r="440" spans="1:3" ht="15.75" customHeight="1" x14ac:dyDescent="0.4">
      <c r="A440" s="24" t="s">
        <v>824</v>
      </c>
      <c r="B440" s="24" t="s">
        <v>539</v>
      </c>
      <c r="C440" s="24" t="s">
        <v>825</v>
      </c>
    </row>
    <row r="441" spans="1:3" ht="15.75" customHeight="1" x14ac:dyDescent="0.4">
      <c r="A441" s="24" t="s">
        <v>824</v>
      </c>
      <c r="B441" s="24" t="s">
        <v>691</v>
      </c>
      <c r="C441" s="24" t="s">
        <v>825</v>
      </c>
    </row>
    <row r="442" spans="1:3" ht="15.75" customHeight="1" x14ac:dyDescent="0.4">
      <c r="A442" s="24" t="s">
        <v>824</v>
      </c>
      <c r="B442" s="24" t="s">
        <v>1110</v>
      </c>
      <c r="C442" s="24" t="s">
        <v>826</v>
      </c>
    </row>
    <row r="443" spans="1:3" ht="15.75" customHeight="1" x14ac:dyDescent="0.4">
      <c r="A443" s="24" t="s">
        <v>824</v>
      </c>
      <c r="B443" s="24" t="s">
        <v>399</v>
      </c>
      <c r="C443" s="24" t="s">
        <v>825</v>
      </c>
    </row>
    <row r="444" spans="1:3" ht="15.75" customHeight="1" x14ac:dyDescent="0.4">
      <c r="A444" s="24" t="s">
        <v>824</v>
      </c>
      <c r="B444" s="24" t="s">
        <v>1111</v>
      </c>
      <c r="C444" s="24" t="s">
        <v>826</v>
      </c>
    </row>
    <row r="445" spans="1:3" ht="15.75" customHeight="1" x14ac:dyDescent="0.4">
      <c r="A445" s="24" t="s">
        <v>824</v>
      </c>
      <c r="B445" s="24" t="s">
        <v>1112</v>
      </c>
      <c r="C445" s="24" t="s">
        <v>826</v>
      </c>
    </row>
    <row r="446" spans="1:3" ht="15.75" customHeight="1" x14ac:dyDescent="0.4">
      <c r="A446" s="24" t="s">
        <v>824</v>
      </c>
      <c r="B446" s="24" t="s">
        <v>1113</v>
      </c>
      <c r="C446" s="24" t="s">
        <v>826</v>
      </c>
    </row>
    <row r="447" spans="1:3" ht="15.75" customHeight="1" x14ac:dyDescent="0.4">
      <c r="A447" s="24" t="s">
        <v>824</v>
      </c>
      <c r="B447" s="24" t="s">
        <v>1114</v>
      </c>
      <c r="C447" s="24" t="s">
        <v>826</v>
      </c>
    </row>
    <row r="448" spans="1:3" ht="15.75" customHeight="1" x14ac:dyDescent="0.4">
      <c r="A448" s="24" t="s">
        <v>824</v>
      </c>
      <c r="B448" s="24" t="s">
        <v>1115</v>
      </c>
      <c r="C448" s="24" t="s">
        <v>826</v>
      </c>
    </row>
    <row r="449" spans="1:3" ht="15.75" customHeight="1" x14ac:dyDescent="0.4">
      <c r="A449" s="24" t="s">
        <v>824</v>
      </c>
      <c r="B449" s="24" t="s">
        <v>1116</v>
      </c>
      <c r="C449" s="24" t="s">
        <v>826</v>
      </c>
    </row>
    <row r="450" spans="1:3" ht="15.75" customHeight="1" x14ac:dyDescent="0.4">
      <c r="A450" s="24" t="s">
        <v>824</v>
      </c>
      <c r="B450" s="24" t="s">
        <v>1117</v>
      </c>
      <c r="C450" s="24" t="s">
        <v>826</v>
      </c>
    </row>
    <row r="451" spans="1:3" ht="15.75" customHeight="1" x14ac:dyDescent="0.4">
      <c r="A451" s="24" t="s">
        <v>824</v>
      </c>
      <c r="B451" s="24" t="s">
        <v>1118</v>
      </c>
      <c r="C451" s="24" t="s">
        <v>826</v>
      </c>
    </row>
    <row r="452" spans="1:3" ht="15.75" customHeight="1" x14ac:dyDescent="0.4">
      <c r="A452" s="24" t="s">
        <v>824</v>
      </c>
      <c r="B452" s="24" t="s">
        <v>1119</v>
      </c>
      <c r="C452" s="24" t="s">
        <v>826</v>
      </c>
    </row>
    <row r="453" spans="1:3" ht="15.75" customHeight="1" x14ac:dyDescent="0.4">
      <c r="A453" s="24" t="s">
        <v>824</v>
      </c>
      <c r="B453" s="24" t="s">
        <v>1120</v>
      </c>
      <c r="C453" s="24" t="s">
        <v>826</v>
      </c>
    </row>
    <row r="454" spans="1:3" ht="15.75" customHeight="1" x14ac:dyDescent="0.4">
      <c r="A454" s="24" t="s">
        <v>824</v>
      </c>
      <c r="B454" s="24" t="s">
        <v>305</v>
      </c>
      <c r="C454" s="24" t="s">
        <v>825</v>
      </c>
    </row>
    <row r="455" spans="1:3" ht="15.75" customHeight="1" x14ac:dyDescent="0.4">
      <c r="A455" s="24" t="s">
        <v>824</v>
      </c>
      <c r="B455" s="24" t="s">
        <v>1121</v>
      </c>
      <c r="C455" s="24" t="s">
        <v>826</v>
      </c>
    </row>
    <row r="456" spans="1:3" ht="15.75" customHeight="1" x14ac:dyDescent="0.4">
      <c r="A456" s="24" t="s">
        <v>824</v>
      </c>
      <c r="B456" s="24" t="s">
        <v>1122</v>
      </c>
      <c r="C456" s="24" t="s">
        <v>826</v>
      </c>
    </row>
    <row r="457" spans="1:3" ht="15.75" customHeight="1" x14ac:dyDescent="0.4">
      <c r="A457" s="24" t="s">
        <v>824</v>
      </c>
      <c r="B457" s="24" t="s">
        <v>1123</v>
      </c>
      <c r="C457" s="24" t="s">
        <v>826</v>
      </c>
    </row>
    <row r="458" spans="1:3" ht="15.75" customHeight="1" x14ac:dyDescent="0.4">
      <c r="A458" s="24" t="s">
        <v>824</v>
      </c>
      <c r="B458" s="24" t="s">
        <v>424</v>
      </c>
      <c r="C458" s="24" t="s">
        <v>825</v>
      </c>
    </row>
    <row r="459" spans="1:3" ht="15.75" customHeight="1" x14ac:dyDescent="0.4">
      <c r="A459" s="24" t="s">
        <v>824</v>
      </c>
      <c r="B459" s="24" t="s">
        <v>1124</v>
      </c>
      <c r="C459" s="24" t="s">
        <v>826</v>
      </c>
    </row>
    <row r="460" spans="1:3" ht="15.75" customHeight="1" x14ac:dyDescent="0.4">
      <c r="A460" s="24" t="s">
        <v>824</v>
      </c>
      <c r="B460" s="24" t="s">
        <v>1125</v>
      </c>
      <c r="C460" s="24" t="s">
        <v>826</v>
      </c>
    </row>
    <row r="461" spans="1:3" ht="15.75" customHeight="1" x14ac:dyDescent="0.4">
      <c r="A461" s="24" t="s">
        <v>824</v>
      </c>
      <c r="B461" s="24" t="s">
        <v>1126</v>
      </c>
      <c r="C461" s="24" t="s">
        <v>826</v>
      </c>
    </row>
    <row r="462" spans="1:3" ht="15.75" customHeight="1" x14ac:dyDescent="0.4">
      <c r="A462" s="24" t="s">
        <v>824</v>
      </c>
      <c r="B462" s="24" t="s">
        <v>1127</v>
      </c>
      <c r="C462" s="24" t="s">
        <v>826</v>
      </c>
    </row>
    <row r="463" spans="1:3" ht="15.75" customHeight="1" x14ac:dyDescent="0.4">
      <c r="A463" s="24" t="s">
        <v>824</v>
      </c>
      <c r="B463" s="24" t="s">
        <v>1128</v>
      </c>
      <c r="C463" s="24" t="s">
        <v>826</v>
      </c>
    </row>
    <row r="464" spans="1:3" ht="15.75" customHeight="1" x14ac:dyDescent="0.4">
      <c r="A464" s="24" t="s">
        <v>824</v>
      </c>
      <c r="B464" s="24" t="s">
        <v>1129</v>
      </c>
      <c r="C464" s="24" t="s">
        <v>826</v>
      </c>
    </row>
    <row r="465" spans="1:3" ht="15.75" customHeight="1" x14ac:dyDescent="0.4">
      <c r="A465" s="24" t="s">
        <v>824</v>
      </c>
      <c r="B465" s="24" t="s">
        <v>1130</v>
      </c>
      <c r="C465" s="24" t="s">
        <v>826</v>
      </c>
    </row>
    <row r="466" spans="1:3" ht="15.75" customHeight="1" x14ac:dyDescent="0.4">
      <c r="A466" s="24" t="s">
        <v>824</v>
      </c>
      <c r="B466" s="24" t="s">
        <v>1131</v>
      </c>
      <c r="C466" s="24" t="s">
        <v>826</v>
      </c>
    </row>
    <row r="467" spans="1:3" ht="15.75" customHeight="1" x14ac:dyDescent="0.4">
      <c r="A467" s="24" t="s">
        <v>824</v>
      </c>
      <c r="B467" s="24" t="s">
        <v>1132</v>
      </c>
      <c r="C467" s="24" t="s">
        <v>826</v>
      </c>
    </row>
    <row r="468" spans="1:3" ht="15.75" customHeight="1" x14ac:dyDescent="0.4">
      <c r="A468" s="24" t="s">
        <v>824</v>
      </c>
      <c r="B468" s="24" t="s">
        <v>1133</v>
      </c>
      <c r="C468" s="24" t="s">
        <v>826</v>
      </c>
    </row>
    <row r="469" spans="1:3" ht="15.75" customHeight="1" x14ac:dyDescent="0.4">
      <c r="A469" s="24" t="s">
        <v>824</v>
      </c>
      <c r="B469" s="24" t="s">
        <v>1134</v>
      </c>
      <c r="C469" s="24" t="s">
        <v>826</v>
      </c>
    </row>
    <row r="470" spans="1:3" ht="15.75" customHeight="1" x14ac:dyDescent="0.4">
      <c r="A470" s="24" t="s">
        <v>824</v>
      </c>
      <c r="B470" s="24" t="s">
        <v>1135</v>
      </c>
      <c r="C470" s="24" t="s">
        <v>826</v>
      </c>
    </row>
    <row r="471" spans="1:3" ht="15.75" customHeight="1" x14ac:dyDescent="0.4">
      <c r="A471" s="24" t="s">
        <v>824</v>
      </c>
      <c r="B471" s="24" t="s">
        <v>1136</v>
      </c>
      <c r="C471" s="24" t="s">
        <v>826</v>
      </c>
    </row>
    <row r="472" spans="1:3" ht="15.75" customHeight="1" x14ac:dyDescent="0.4">
      <c r="A472" s="24" t="s">
        <v>824</v>
      </c>
      <c r="B472" s="24" t="s">
        <v>301</v>
      </c>
      <c r="C472" s="24" t="s">
        <v>825</v>
      </c>
    </row>
    <row r="473" spans="1:3" ht="15.75" customHeight="1" x14ac:dyDescent="0.4">
      <c r="A473" s="24" t="s">
        <v>824</v>
      </c>
      <c r="B473" s="24" t="s">
        <v>1137</v>
      </c>
      <c r="C473" s="24" t="s">
        <v>826</v>
      </c>
    </row>
    <row r="474" spans="1:3" ht="15.75" customHeight="1" x14ac:dyDescent="0.4">
      <c r="A474" s="24" t="s">
        <v>824</v>
      </c>
      <c r="B474" s="24" t="s">
        <v>1138</v>
      </c>
      <c r="C474" s="24" t="s">
        <v>826</v>
      </c>
    </row>
    <row r="475" spans="1:3" ht="15.75" customHeight="1" x14ac:dyDescent="0.4">
      <c r="A475" s="24" t="s">
        <v>824</v>
      </c>
      <c r="B475" s="24" t="s">
        <v>1139</v>
      </c>
      <c r="C475" s="24" t="s">
        <v>826</v>
      </c>
    </row>
    <row r="476" spans="1:3" ht="15.75" customHeight="1" x14ac:dyDescent="0.4">
      <c r="A476" s="24" t="s">
        <v>824</v>
      </c>
      <c r="B476" s="24" t="s">
        <v>1140</v>
      </c>
      <c r="C476" s="24" t="s">
        <v>826</v>
      </c>
    </row>
    <row r="477" spans="1:3" ht="15.75" customHeight="1" x14ac:dyDescent="0.4">
      <c r="A477" s="24" t="s">
        <v>824</v>
      </c>
      <c r="B477" s="24" t="s">
        <v>683</v>
      </c>
      <c r="C477" s="24" t="s">
        <v>825</v>
      </c>
    </row>
    <row r="478" spans="1:3" ht="15.75" customHeight="1" x14ac:dyDescent="0.4">
      <c r="A478" s="24" t="s">
        <v>824</v>
      </c>
      <c r="B478" s="24" t="s">
        <v>1141</v>
      </c>
      <c r="C478" s="24" t="s">
        <v>826</v>
      </c>
    </row>
    <row r="479" spans="1:3" ht="15.75" customHeight="1" x14ac:dyDescent="0.4">
      <c r="A479" s="24" t="s">
        <v>824</v>
      </c>
      <c r="B479" s="24" t="s">
        <v>1142</v>
      </c>
      <c r="C479" s="24" t="s">
        <v>826</v>
      </c>
    </row>
    <row r="480" spans="1:3" ht="15.75" customHeight="1" x14ac:dyDescent="0.4">
      <c r="A480" s="24" t="s">
        <v>824</v>
      </c>
      <c r="B480" s="24" t="s">
        <v>1143</v>
      </c>
      <c r="C480" s="24" t="s">
        <v>826</v>
      </c>
    </row>
    <row r="481" spans="1:3" ht="15.75" customHeight="1" x14ac:dyDescent="0.4">
      <c r="A481" s="24" t="s">
        <v>824</v>
      </c>
      <c r="B481" s="24" t="s">
        <v>1144</v>
      </c>
      <c r="C481" s="24" t="s">
        <v>826</v>
      </c>
    </row>
    <row r="482" spans="1:3" ht="15.75" customHeight="1" x14ac:dyDescent="0.4">
      <c r="A482" s="24" t="s">
        <v>824</v>
      </c>
      <c r="B482" s="24" t="s">
        <v>1145</v>
      </c>
      <c r="C482" s="24" t="s">
        <v>826</v>
      </c>
    </row>
    <row r="483" spans="1:3" ht="15.75" customHeight="1" x14ac:dyDescent="0.4">
      <c r="A483" s="24" t="s">
        <v>824</v>
      </c>
      <c r="B483" s="24" t="s">
        <v>1146</v>
      </c>
      <c r="C483" s="24" t="s">
        <v>826</v>
      </c>
    </row>
    <row r="484" spans="1:3" ht="15.75" customHeight="1" x14ac:dyDescent="0.4">
      <c r="A484" s="24" t="s">
        <v>824</v>
      </c>
      <c r="B484" s="24" t="s">
        <v>1147</v>
      </c>
      <c r="C484" s="24" t="s">
        <v>826</v>
      </c>
    </row>
    <row r="485" spans="1:3" ht="15.75" customHeight="1" x14ac:dyDescent="0.4">
      <c r="A485" s="24" t="s">
        <v>824</v>
      </c>
      <c r="B485" s="24" t="s">
        <v>1148</v>
      </c>
      <c r="C485" s="24" t="s">
        <v>826</v>
      </c>
    </row>
    <row r="486" spans="1:3" ht="15.75" customHeight="1" x14ac:dyDescent="0.4">
      <c r="A486" s="24" t="s">
        <v>824</v>
      </c>
      <c r="B486" s="24" t="s">
        <v>595</v>
      </c>
      <c r="C486" s="24" t="s">
        <v>825</v>
      </c>
    </row>
    <row r="487" spans="1:3" ht="15.75" customHeight="1" x14ac:dyDescent="0.4">
      <c r="A487" s="24" t="s">
        <v>824</v>
      </c>
      <c r="B487" s="24" t="s">
        <v>1149</v>
      </c>
      <c r="C487" s="24" t="s">
        <v>826</v>
      </c>
    </row>
    <row r="488" spans="1:3" ht="15.75" customHeight="1" x14ac:dyDescent="0.4">
      <c r="A488" s="24" t="s">
        <v>824</v>
      </c>
      <c r="B488" s="24" t="s">
        <v>483</v>
      </c>
      <c r="C488" s="24" t="s">
        <v>825</v>
      </c>
    </row>
    <row r="489" spans="1:3" ht="15.75" customHeight="1" x14ac:dyDescent="0.4">
      <c r="A489" s="24" t="s">
        <v>824</v>
      </c>
      <c r="B489" s="24" t="s">
        <v>1150</v>
      </c>
      <c r="C489" s="24" t="s">
        <v>826</v>
      </c>
    </row>
    <row r="490" spans="1:3" ht="15.75" customHeight="1" x14ac:dyDescent="0.4">
      <c r="A490" s="24" t="s">
        <v>824</v>
      </c>
      <c r="B490" s="24" t="s">
        <v>641</v>
      </c>
      <c r="C490" s="24" t="s">
        <v>825</v>
      </c>
    </row>
    <row r="491" spans="1:3" ht="15.75" customHeight="1" x14ac:dyDescent="0.4">
      <c r="A491" s="24" t="s">
        <v>824</v>
      </c>
      <c r="B491" s="24" t="s">
        <v>561</v>
      </c>
      <c r="C491" s="24" t="s">
        <v>825</v>
      </c>
    </row>
    <row r="492" spans="1:3" ht="15.75" customHeight="1" x14ac:dyDescent="0.4">
      <c r="A492" s="24" t="s">
        <v>824</v>
      </c>
      <c r="B492" s="24" t="s">
        <v>1151</v>
      </c>
      <c r="C492" s="24" t="s">
        <v>826</v>
      </c>
    </row>
    <row r="493" spans="1:3" ht="15.75" customHeight="1" x14ac:dyDescent="0.4">
      <c r="A493" s="24" t="s">
        <v>824</v>
      </c>
      <c r="B493" s="24" t="s">
        <v>1152</v>
      </c>
      <c r="C493" s="24" t="s">
        <v>826</v>
      </c>
    </row>
    <row r="494" spans="1:3" ht="15.75" customHeight="1" x14ac:dyDescent="0.4">
      <c r="A494" s="24" t="s">
        <v>824</v>
      </c>
      <c r="B494" s="24" t="s">
        <v>1153</v>
      </c>
      <c r="C494" s="24" t="s">
        <v>826</v>
      </c>
    </row>
    <row r="495" spans="1:3" ht="15.75" customHeight="1" x14ac:dyDescent="0.4">
      <c r="A495" s="24" t="s">
        <v>824</v>
      </c>
      <c r="B495" s="24" t="s">
        <v>1154</v>
      </c>
      <c r="C495" s="24" t="s">
        <v>826</v>
      </c>
    </row>
    <row r="496" spans="1:3" ht="15.75" customHeight="1" x14ac:dyDescent="0.4">
      <c r="A496" s="24" t="s">
        <v>824</v>
      </c>
      <c r="B496" s="24" t="s">
        <v>1155</v>
      </c>
      <c r="C496" s="24" t="s">
        <v>826</v>
      </c>
    </row>
    <row r="497" spans="1:3" ht="15.75" customHeight="1" x14ac:dyDescent="0.4">
      <c r="A497" s="24" t="s">
        <v>824</v>
      </c>
      <c r="B497" s="24" t="s">
        <v>557</v>
      </c>
      <c r="C497" s="24" t="s">
        <v>825</v>
      </c>
    </row>
    <row r="498" spans="1:3" ht="15.75" customHeight="1" x14ac:dyDescent="0.4">
      <c r="A498" s="24" t="s">
        <v>824</v>
      </c>
      <c r="B498" s="24" t="s">
        <v>1156</v>
      </c>
      <c r="C498" s="24" t="s">
        <v>826</v>
      </c>
    </row>
    <row r="499" spans="1:3" ht="15.75" customHeight="1" x14ac:dyDescent="0.4">
      <c r="A499" s="24" t="s">
        <v>824</v>
      </c>
      <c r="B499" s="24" t="s">
        <v>541</v>
      </c>
      <c r="C499" s="24" t="s">
        <v>825</v>
      </c>
    </row>
    <row r="500" spans="1:3" ht="15.75" customHeight="1" x14ac:dyDescent="0.4">
      <c r="A500" s="24" t="s">
        <v>824</v>
      </c>
      <c r="B500" s="24" t="s">
        <v>1157</v>
      </c>
      <c r="C500" s="24" t="s">
        <v>826</v>
      </c>
    </row>
    <row r="501" spans="1:3" ht="15.75" customHeight="1" x14ac:dyDescent="0.4">
      <c r="A501" s="24" t="s">
        <v>824</v>
      </c>
      <c r="B501" s="24" t="s">
        <v>1158</v>
      </c>
      <c r="C501" s="24" t="s">
        <v>826</v>
      </c>
    </row>
    <row r="502" spans="1:3" ht="15.75" customHeight="1" x14ac:dyDescent="0.4">
      <c r="A502" s="24" t="s">
        <v>824</v>
      </c>
      <c r="B502" s="24" t="s">
        <v>1159</v>
      </c>
      <c r="C502" s="24" t="s">
        <v>826</v>
      </c>
    </row>
    <row r="503" spans="1:3" ht="15.75" customHeight="1" x14ac:dyDescent="0.4">
      <c r="A503" s="24" t="s">
        <v>824</v>
      </c>
      <c r="B503" s="24" t="s">
        <v>1160</v>
      </c>
      <c r="C503" s="24" t="s">
        <v>826</v>
      </c>
    </row>
    <row r="504" spans="1:3" ht="15.75" customHeight="1" x14ac:dyDescent="0.4">
      <c r="A504" s="24" t="s">
        <v>824</v>
      </c>
      <c r="B504" s="24" t="s">
        <v>1161</v>
      </c>
      <c r="C504" s="24" t="s">
        <v>826</v>
      </c>
    </row>
    <row r="505" spans="1:3" ht="15.75" customHeight="1" x14ac:dyDescent="0.4">
      <c r="A505" s="24" t="s">
        <v>824</v>
      </c>
      <c r="B505" s="24" t="s">
        <v>1162</v>
      </c>
      <c r="C505" s="24" t="s">
        <v>826</v>
      </c>
    </row>
    <row r="506" spans="1:3" ht="15.75" customHeight="1" x14ac:dyDescent="0.4">
      <c r="A506" s="24" t="s">
        <v>824</v>
      </c>
      <c r="B506" s="24" t="s">
        <v>1163</v>
      </c>
      <c r="C506" s="24" t="s">
        <v>826</v>
      </c>
    </row>
    <row r="507" spans="1:3" ht="15.75" customHeight="1" x14ac:dyDescent="0.4">
      <c r="A507" s="24" t="s">
        <v>824</v>
      </c>
      <c r="B507" s="24" t="s">
        <v>1164</v>
      </c>
      <c r="C507" s="24" t="s">
        <v>826</v>
      </c>
    </row>
    <row r="508" spans="1:3" ht="15.75" customHeight="1" x14ac:dyDescent="0.4">
      <c r="A508" s="24" t="s">
        <v>824</v>
      </c>
      <c r="B508" s="24" t="s">
        <v>1165</v>
      </c>
      <c r="C508" s="24" t="s">
        <v>826</v>
      </c>
    </row>
    <row r="509" spans="1:3" ht="15.75" customHeight="1" x14ac:dyDescent="0.4">
      <c r="A509" s="24" t="s">
        <v>824</v>
      </c>
      <c r="B509" s="24" t="s">
        <v>1166</v>
      </c>
      <c r="C509" s="24" t="s">
        <v>826</v>
      </c>
    </row>
    <row r="510" spans="1:3" ht="15.75" customHeight="1" x14ac:dyDescent="0.4">
      <c r="A510" s="24" t="s">
        <v>824</v>
      </c>
      <c r="B510" s="24" t="s">
        <v>1167</v>
      </c>
      <c r="C510" s="24" t="s">
        <v>826</v>
      </c>
    </row>
    <row r="511" spans="1:3" ht="15.75" customHeight="1" x14ac:dyDescent="0.4">
      <c r="A511" s="24" t="s">
        <v>824</v>
      </c>
      <c r="B511" s="24" t="s">
        <v>669</v>
      </c>
      <c r="C511" s="24" t="s">
        <v>825</v>
      </c>
    </row>
    <row r="512" spans="1:3" ht="15.75" customHeight="1" x14ac:dyDescent="0.4">
      <c r="A512" s="24" t="s">
        <v>824</v>
      </c>
      <c r="B512" s="24" t="s">
        <v>1168</v>
      </c>
      <c r="C512" s="24" t="s">
        <v>826</v>
      </c>
    </row>
    <row r="513" spans="1:3" ht="15.75" customHeight="1" x14ac:dyDescent="0.4">
      <c r="A513" s="24" t="s">
        <v>824</v>
      </c>
      <c r="B513" s="24" t="s">
        <v>1169</v>
      </c>
      <c r="C513" s="24" t="s">
        <v>826</v>
      </c>
    </row>
    <row r="514" spans="1:3" ht="15.75" customHeight="1" x14ac:dyDescent="0.4">
      <c r="A514" s="24" t="s">
        <v>824</v>
      </c>
      <c r="B514" s="24" t="s">
        <v>1170</v>
      </c>
      <c r="C514" s="24" t="s">
        <v>826</v>
      </c>
    </row>
    <row r="515" spans="1:3" ht="15.75" customHeight="1" x14ac:dyDescent="0.4">
      <c r="A515" s="24" t="s">
        <v>824</v>
      </c>
      <c r="B515" s="24" t="s">
        <v>1171</v>
      </c>
      <c r="C515" s="24" t="s">
        <v>826</v>
      </c>
    </row>
    <row r="516" spans="1:3" ht="15.75" customHeight="1" x14ac:dyDescent="0.4">
      <c r="A516" s="24" t="s">
        <v>824</v>
      </c>
      <c r="B516" s="24" t="s">
        <v>730</v>
      </c>
      <c r="C516" s="24" t="s">
        <v>825</v>
      </c>
    </row>
    <row r="517" spans="1:3" ht="15.75" customHeight="1" x14ac:dyDescent="0.4">
      <c r="A517" s="24" t="s">
        <v>824</v>
      </c>
      <c r="B517" s="24" t="s">
        <v>1172</v>
      </c>
      <c r="C517" s="24" t="s">
        <v>826</v>
      </c>
    </row>
    <row r="518" spans="1:3" ht="15.75" customHeight="1" x14ac:dyDescent="0.4">
      <c r="A518" s="24" t="s">
        <v>824</v>
      </c>
      <c r="B518" s="24" t="s">
        <v>567</v>
      </c>
      <c r="C518" s="24" t="s">
        <v>825</v>
      </c>
    </row>
    <row r="519" spans="1:3" ht="15.75" customHeight="1" x14ac:dyDescent="0.4">
      <c r="A519" s="24" t="s">
        <v>824</v>
      </c>
      <c r="B519" s="24" t="s">
        <v>1173</v>
      </c>
      <c r="C519" s="24" t="s">
        <v>826</v>
      </c>
    </row>
    <row r="520" spans="1:3" ht="15.75" customHeight="1" x14ac:dyDescent="0.4">
      <c r="A520" s="24" t="s">
        <v>824</v>
      </c>
      <c r="B520" s="24" t="s">
        <v>1174</v>
      </c>
      <c r="C520" s="24" t="s">
        <v>826</v>
      </c>
    </row>
    <row r="521" spans="1:3" ht="15.75" customHeight="1" x14ac:dyDescent="0.4">
      <c r="A521" s="24" t="s">
        <v>824</v>
      </c>
      <c r="B521" s="24" t="s">
        <v>1175</v>
      </c>
      <c r="C521" s="24" t="s">
        <v>826</v>
      </c>
    </row>
    <row r="522" spans="1:3" ht="15.75" customHeight="1" x14ac:dyDescent="0.4">
      <c r="A522" s="24" t="s">
        <v>824</v>
      </c>
      <c r="B522" s="24" t="s">
        <v>1176</v>
      </c>
      <c r="C522" s="24" t="s">
        <v>826</v>
      </c>
    </row>
    <row r="523" spans="1:3" ht="15.75" customHeight="1" x14ac:dyDescent="0.4">
      <c r="A523" s="24" t="s">
        <v>824</v>
      </c>
      <c r="B523" s="24" t="s">
        <v>1177</v>
      </c>
      <c r="C523" s="24" t="s">
        <v>826</v>
      </c>
    </row>
    <row r="524" spans="1:3" ht="15.75" customHeight="1" x14ac:dyDescent="0.4">
      <c r="A524" s="24" t="s">
        <v>824</v>
      </c>
      <c r="B524" s="24" t="s">
        <v>1178</v>
      </c>
      <c r="C524" s="24" t="s">
        <v>826</v>
      </c>
    </row>
    <row r="525" spans="1:3" ht="15.75" customHeight="1" x14ac:dyDescent="0.4">
      <c r="A525" s="24" t="s">
        <v>824</v>
      </c>
      <c r="B525" s="24" t="s">
        <v>1179</v>
      </c>
      <c r="C525" s="24" t="s">
        <v>826</v>
      </c>
    </row>
    <row r="526" spans="1:3" ht="15.75" customHeight="1" x14ac:dyDescent="0.4">
      <c r="A526" s="24" t="s">
        <v>824</v>
      </c>
      <c r="B526" s="24" t="s">
        <v>1180</v>
      </c>
      <c r="C526" s="24" t="s">
        <v>826</v>
      </c>
    </row>
    <row r="527" spans="1:3" ht="15.75" customHeight="1" x14ac:dyDescent="0.4">
      <c r="A527" s="24" t="s">
        <v>824</v>
      </c>
      <c r="B527" s="24" t="s">
        <v>1181</v>
      </c>
      <c r="C527" s="24" t="s">
        <v>826</v>
      </c>
    </row>
    <row r="528" spans="1:3" ht="15.75" customHeight="1" x14ac:dyDescent="0.4">
      <c r="A528" s="24" t="s">
        <v>824</v>
      </c>
      <c r="B528" s="24" t="s">
        <v>591</v>
      </c>
      <c r="C528" s="24" t="s">
        <v>825</v>
      </c>
    </row>
    <row r="529" spans="1:3" ht="15.75" customHeight="1" x14ac:dyDescent="0.4">
      <c r="A529" s="24" t="s">
        <v>824</v>
      </c>
      <c r="B529" s="24" t="s">
        <v>1182</v>
      </c>
      <c r="C529" s="24" t="s">
        <v>826</v>
      </c>
    </row>
    <row r="530" spans="1:3" ht="15.75" customHeight="1" x14ac:dyDescent="0.4">
      <c r="A530" s="24" t="s">
        <v>824</v>
      </c>
      <c r="B530" s="24" t="s">
        <v>1183</v>
      </c>
      <c r="C530" s="24" t="s">
        <v>826</v>
      </c>
    </row>
    <row r="531" spans="1:3" ht="15.75" customHeight="1" x14ac:dyDescent="0.4">
      <c r="A531" s="24" t="s">
        <v>824</v>
      </c>
      <c r="B531" s="24" t="s">
        <v>1184</v>
      </c>
      <c r="C531" s="24" t="s">
        <v>826</v>
      </c>
    </row>
    <row r="532" spans="1:3" ht="15.75" customHeight="1" x14ac:dyDescent="0.4">
      <c r="A532" s="24" t="s">
        <v>824</v>
      </c>
      <c r="B532" s="24" t="s">
        <v>1185</v>
      </c>
      <c r="C532" s="24" t="s">
        <v>826</v>
      </c>
    </row>
    <row r="533" spans="1:3" ht="15.75" customHeight="1" x14ac:dyDescent="0.4">
      <c r="A533" s="24" t="s">
        <v>824</v>
      </c>
      <c r="B533" s="24" t="s">
        <v>1186</v>
      </c>
      <c r="C533" s="24" t="s">
        <v>826</v>
      </c>
    </row>
    <row r="534" spans="1:3" ht="15.75" customHeight="1" x14ac:dyDescent="0.4">
      <c r="A534" s="24" t="s">
        <v>824</v>
      </c>
      <c r="B534" s="24" t="s">
        <v>1187</v>
      </c>
      <c r="C534" s="24" t="s">
        <v>826</v>
      </c>
    </row>
    <row r="535" spans="1:3" ht="15.75" customHeight="1" x14ac:dyDescent="0.4">
      <c r="A535" s="24" t="s">
        <v>824</v>
      </c>
      <c r="B535" s="24" t="s">
        <v>1188</v>
      </c>
      <c r="C535" s="24" t="s">
        <v>826</v>
      </c>
    </row>
    <row r="536" spans="1:3" ht="15.75" customHeight="1" x14ac:dyDescent="0.4">
      <c r="A536" s="24" t="s">
        <v>824</v>
      </c>
      <c r="B536" s="24" t="s">
        <v>1189</v>
      </c>
      <c r="C536" s="24" t="s">
        <v>826</v>
      </c>
    </row>
    <row r="537" spans="1:3" ht="15.75" customHeight="1" x14ac:dyDescent="0.4">
      <c r="A537" s="24" t="s">
        <v>824</v>
      </c>
      <c r="B537" s="24" t="s">
        <v>1190</v>
      </c>
      <c r="C537" s="24" t="s">
        <v>826</v>
      </c>
    </row>
    <row r="538" spans="1:3" ht="15.75" customHeight="1" x14ac:dyDescent="0.4">
      <c r="A538" s="24" t="s">
        <v>824</v>
      </c>
      <c r="B538" s="24" t="s">
        <v>1191</v>
      </c>
      <c r="C538" s="24" t="s">
        <v>826</v>
      </c>
    </row>
    <row r="539" spans="1:3" ht="15.75" customHeight="1" x14ac:dyDescent="0.4">
      <c r="A539" s="24" t="s">
        <v>824</v>
      </c>
      <c r="B539" s="24" t="s">
        <v>1192</v>
      </c>
      <c r="C539" s="24" t="s">
        <v>826</v>
      </c>
    </row>
    <row r="540" spans="1:3" ht="15.75" customHeight="1" x14ac:dyDescent="0.4">
      <c r="A540" s="24" t="s">
        <v>824</v>
      </c>
      <c r="B540" s="24" t="s">
        <v>1193</v>
      </c>
      <c r="C540" s="24" t="s">
        <v>826</v>
      </c>
    </row>
    <row r="541" spans="1:3" ht="15.75" customHeight="1" x14ac:dyDescent="0.4">
      <c r="A541" s="24" t="s">
        <v>824</v>
      </c>
      <c r="B541" s="24" t="s">
        <v>1194</v>
      </c>
      <c r="C541" s="24" t="s">
        <v>826</v>
      </c>
    </row>
    <row r="542" spans="1:3" ht="15.75" customHeight="1" x14ac:dyDescent="0.4">
      <c r="A542" s="24" t="s">
        <v>824</v>
      </c>
      <c r="B542" s="24" t="s">
        <v>1195</v>
      </c>
      <c r="C542" s="24" t="s">
        <v>826</v>
      </c>
    </row>
    <row r="543" spans="1:3" ht="15.75" customHeight="1" x14ac:dyDescent="0.4">
      <c r="A543" s="24" t="s">
        <v>824</v>
      </c>
      <c r="B543" s="24" t="s">
        <v>1196</v>
      </c>
      <c r="C543" s="24" t="s">
        <v>826</v>
      </c>
    </row>
    <row r="544" spans="1:3" ht="15.75" customHeight="1" x14ac:dyDescent="0.4">
      <c r="A544" s="24" t="s">
        <v>824</v>
      </c>
      <c r="B544" s="24" t="s">
        <v>1197</v>
      </c>
      <c r="C544" s="24" t="s">
        <v>826</v>
      </c>
    </row>
    <row r="545" spans="1:3" ht="15.75" customHeight="1" x14ac:dyDescent="0.4">
      <c r="A545" s="24" t="s">
        <v>824</v>
      </c>
      <c r="B545" s="24" t="s">
        <v>1198</v>
      </c>
      <c r="C545" s="24" t="s">
        <v>826</v>
      </c>
    </row>
    <row r="546" spans="1:3" ht="15.75" customHeight="1" x14ac:dyDescent="0.4">
      <c r="A546" s="24" t="s">
        <v>824</v>
      </c>
      <c r="B546" s="24" t="s">
        <v>1199</v>
      </c>
      <c r="C546" s="24" t="s">
        <v>826</v>
      </c>
    </row>
    <row r="547" spans="1:3" ht="15.75" customHeight="1" x14ac:dyDescent="0.4">
      <c r="A547" s="24" t="s">
        <v>824</v>
      </c>
      <c r="B547" s="24" t="s">
        <v>1200</v>
      </c>
      <c r="C547" s="24" t="s">
        <v>826</v>
      </c>
    </row>
    <row r="548" spans="1:3" ht="15.75" customHeight="1" x14ac:dyDescent="0.4">
      <c r="A548" s="24" t="s">
        <v>824</v>
      </c>
      <c r="B548" s="24" t="s">
        <v>1201</v>
      </c>
      <c r="C548" s="24" t="s">
        <v>826</v>
      </c>
    </row>
    <row r="549" spans="1:3" ht="15.75" customHeight="1" x14ac:dyDescent="0.4">
      <c r="A549" s="24" t="s">
        <v>824</v>
      </c>
      <c r="B549" s="24" t="s">
        <v>1202</v>
      </c>
      <c r="C549" s="24" t="s">
        <v>826</v>
      </c>
    </row>
    <row r="550" spans="1:3" ht="15.75" customHeight="1" x14ac:dyDescent="0.4">
      <c r="A550" s="24" t="s">
        <v>824</v>
      </c>
      <c r="B550" s="24" t="s">
        <v>1203</v>
      </c>
      <c r="C550" s="24" t="s">
        <v>826</v>
      </c>
    </row>
    <row r="551" spans="1:3" ht="15.75" customHeight="1" x14ac:dyDescent="0.4">
      <c r="A551" s="24" t="s">
        <v>824</v>
      </c>
      <c r="B551" s="24" t="s">
        <v>1204</v>
      </c>
      <c r="C551" s="24" t="s">
        <v>826</v>
      </c>
    </row>
    <row r="552" spans="1:3" ht="15.75" customHeight="1" x14ac:dyDescent="0.4">
      <c r="A552" s="24" t="s">
        <v>824</v>
      </c>
      <c r="B552" s="24" t="s">
        <v>1205</v>
      </c>
      <c r="C552" s="24" t="s">
        <v>826</v>
      </c>
    </row>
    <row r="553" spans="1:3" ht="15.75" customHeight="1" x14ac:dyDescent="0.4">
      <c r="A553" s="24" t="s">
        <v>824</v>
      </c>
      <c r="B553" s="24" t="s">
        <v>1206</v>
      </c>
      <c r="C553" s="24" t="s">
        <v>826</v>
      </c>
    </row>
    <row r="554" spans="1:3" ht="15.75" customHeight="1" x14ac:dyDescent="0.4">
      <c r="A554" s="24" t="s">
        <v>824</v>
      </c>
      <c r="B554" s="24" t="s">
        <v>1207</v>
      </c>
      <c r="C554" s="24" t="s">
        <v>826</v>
      </c>
    </row>
    <row r="555" spans="1:3" ht="15.75" customHeight="1" x14ac:dyDescent="0.4">
      <c r="A555" s="24" t="s">
        <v>824</v>
      </c>
      <c r="B555" s="24" t="s">
        <v>611</v>
      </c>
      <c r="C555" s="24" t="s">
        <v>825</v>
      </c>
    </row>
    <row r="556" spans="1:3" ht="15.75" customHeight="1" x14ac:dyDescent="0.4">
      <c r="A556" s="24" t="s">
        <v>824</v>
      </c>
      <c r="B556" s="24" t="s">
        <v>1208</v>
      </c>
      <c r="C556" s="24" t="s">
        <v>826</v>
      </c>
    </row>
    <row r="557" spans="1:3" ht="15.75" customHeight="1" x14ac:dyDescent="0.4">
      <c r="A557" s="24" t="s">
        <v>824</v>
      </c>
      <c r="B557" s="24" t="s">
        <v>1209</v>
      </c>
      <c r="C557" s="24" t="s">
        <v>826</v>
      </c>
    </row>
    <row r="558" spans="1:3" ht="15.75" customHeight="1" x14ac:dyDescent="0.4">
      <c r="A558" s="24" t="s">
        <v>824</v>
      </c>
      <c r="B558" s="24" t="s">
        <v>1210</v>
      </c>
      <c r="C558" s="24" t="s">
        <v>826</v>
      </c>
    </row>
    <row r="559" spans="1:3" ht="15.75" customHeight="1" x14ac:dyDescent="0.4">
      <c r="A559" s="24" t="s">
        <v>824</v>
      </c>
      <c r="B559" s="24" t="s">
        <v>1211</v>
      </c>
      <c r="C559" s="24" t="s">
        <v>826</v>
      </c>
    </row>
    <row r="560" spans="1:3" ht="15.75" customHeight="1" x14ac:dyDescent="0.4">
      <c r="A560" s="24" t="s">
        <v>824</v>
      </c>
      <c r="B560" s="24" t="s">
        <v>1212</v>
      </c>
      <c r="C560" s="24" t="s">
        <v>826</v>
      </c>
    </row>
    <row r="561" spans="1:3" ht="15.75" customHeight="1" x14ac:dyDescent="0.4">
      <c r="A561" s="24" t="s">
        <v>824</v>
      </c>
      <c r="B561" s="24" t="s">
        <v>1213</v>
      </c>
      <c r="C561" s="24" t="s">
        <v>826</v>
      </c>
    </row>
    <row r="562" spans="1:3" ht="15.75" customHeight="1" x14ac:dyDescent="0.4">
      <c r="A562" s="24" t="s">
        <v>824</v>
      </c>
      <c r="B562" s="24" t="s">
        <v>1214</v>
      </c>
      <c r="C562" s="24" t="s">
        <v>826</v>
      </c>
    </row>
    <row r="563" spans="1:3" ht="15.75" customHeight="1" x14ac:dyDescent="0.4">
      <c r="A563" s="24" t="s">
        <v>824</v>
      </c>
      <c r="B563" s="24" t="s">
        <v>1215</v>
      </c>
      <c r="C563" s="24" t="s">
        <v>826</v>
      </c>
    </row>
    <row r="564" spans="1:3" ht="15.75" customHeight="1" x14ac:dyDescent="0.4">
      <c r="A564" s="24" t="s">
        <v>824</v>
      </c>
      <c r="B564" s="24" t="s">
        <v>1216</v>
      </c>
      <c r="C564" s="24" t="s">
        <v>826</v>
      </c>
    </row>
    <row r="565" spans="1:3" ht="15.75" customHeight="1" x14ac:dyDescent="0.4">
      <c r="A565" s="24" t="s">
        <v>824</v>
      </c>
      <c r="B565" s="24" t="s">
        <v>1217</v>
      </c>
      <c r="C565" s="24" t="s">
        <v>826</v>
      </c>
    </row>
    <row r="566" spans="1:3" ht="15.75" customHeight="1" x14ac:dyDescent="0.4">
      <c r="A566" s="24" t="s">
        <v>824</v>
      </c>
      <c r="B566" s="24" t="s">
        <v>1218</v>
      </c>
      <c r="C566" s="24" t="s">
        <v>826</v>
      </c>
    </row>
    <row r="567" spans="1:3" ht="15.75" customHeight="1" x14ac:dyDescent="0.4">
      <c r="A567" s="24" t="s">
        <v>824</v>
      </c>
      <c r="B567" s="24" t="s">
        <v>1219</v>
      </c>
      <c r="C567" s="24" t="s">
        <v>826</v>
      </c>
    </row>
    <row r="568" spans="1:3" ht="15.75" customHeight="1" x14ac:dyDescent="0.4">
      <c r="A568" s="24" t="s">
        <v>824</v>
      </c>
      <c r="B568" s="24" t="s">
        <v>1220</v>
      </c>
      <c r="C568" s="24" t="s">
        <v>826</v>
      </c>
    </row>
    <row r="569" spans="1:3" ht="15.75" customHeight="1" x14ac:dyDescent="0.4">
      <c r="A569" s="24" t="s">
        <v>824</v>
      </c>
      <c r="B569" s="24" t="s">
        <v>1221</v>
      </c>
      <c r="C569" s="24" t="s">
        <v>826</v>
      </c>
    </row>
    <row r="570" spans="1:3" ht="15.75" customHeight="1" x14ac:dyDescent="0.4">
      <c r="A570" s="24" t="s">
        <v>824</v>
      </c>
      <c r="B570" s="24" t="s">
        <v>433</v>
      </c>
      <c r="C570" s="24" t="s">
        <v>825</v>
      </c>
    </row>
    <row r="571" spans="1:3" ht="15.75" customHeight="1" x14ac:dyDescent="0.4">
      <c r="A571" s="24" t="s">
        <v>824</v>
      </c>
      <c r="B571" s="24" t="s">
        <v>1222</v>
      </c>
      <c r="C571" s="24" t="s">
        <v>826</v>
      </c>
    </row>
    <row r="572" spans="1:3" ht="15.75" customHeight="1" x14ac:dyDescent="0.4">
      <c r="A572" s="24" t="s">
        <v>824</v>
      </c>
      <c r="B572" s="24" t="s">
        <v>627</v>
      </c>
      <c r="C572" s="24" t="s">
        <v>825</v>
      </c>
    </row>
    <row r="573" spans="1:3" ht="15.75" customHeight="1" x14ac:dyDescent="0.4">
      <c r="A573" s="24" t="s">
        <v>824</v>
      </c>
      <c r="B573" s="24" t="s">
        <v>1223</v>
      </c>
      <c r="C573" s="24" t="s">
        <v>826</v>
      </c>
    </row>
    <row r="574" spans="1:3" ht="15.75" customHeight="1" x14ac:dyDescent="0.4">
      <c r="A574" s="24" t="s">
        <v>824</v>
      </c>
      <c r="B574" s="24" t="s">
        <v>428</v>
      </c>
      <c r="C574" s="24" t="s">
        <v>825</v>
      </c>
    </row>
    <row r="575" spans="1:3" ht="15.75" customHeight="1" x14ac:dyDescent="0.4">
      <c r="A575" s="24" t="s">
        <v>824</v>
      </c>
      <c r="B575" s="24" t="s">
        <v>1224</v>
      </c>
      <c r="C575" s="24" t="s">
        <v>826</v>
      </c>
    </row>
    <row r="576" spans="1:3" ht="15.75" customHeight="1" x14ac:dyDescent="0.4">
      <c r="A576" s="24" t="s">
        <v>824</v>
      </c>
      <c r="B576" s="24" t="s">
        <v>1225</v>
      </c>
      <c r="C576" s="24" t="s">
        <v>826</v>
      </c>
    </row>
    <row r="577" spans="1:3" ht="15.75" customHeight="1" x14ac:dyDescent="0.4">
      <c r="A577" s="24" t="s">
        <v>824</v>
      </c>
      <c r="B577" s="24" t="s">
        <v>1226</v>
      </c>
      <c r="C577" s="24" t="s">
        <v>826</v>
      </c>
    </row>
    <row r="578" spans="1:3" ht="15.75" customHeight="1" x14ac:dyDescent="0.4">
      <c r="A578" s="24" t="s">
        <v>824</v>
      </c>
      <c r="B578" s="24" t="s">
        <v>770</v>
      </c>
      <c r="C578" s="24" t="s">
        <v>825</v>
      </c>
    </row>
    <row r="579" spans="1:3" ht="15.75" customHeight="1" x14ac:dyDescent="0.4">
      <c r="A579" s="24" t="s">
        <v>824</v>
      </c>
      <c r="B579" s="24" t="s">
        <v>1227</v>
      </c>
      <c r="C579" s="24" t="s">
        <v>826</v>
      </c>
    </row>
    <row r="580" spans="1:3" ht="15.75" customHeight="1" x14ac:dyDescent="0.4">
      <c r="A580" s="24" t="s">
        <v>824</v>
      </c>
      <c r="B580" s="24" t="s">
        <v>1228</v>
      </c>
      <c r="C580" s="24" t="s">
        <v>826</v>
      </c>
    </row>
    <row r="581" spans="1:3" ht="15.75" customHeight="1" x14ac:dyDescent="0.4">
      <c r="A581" s="24" t="s">
        <v>824</v>
      </c>
      <c r="B581" s="24" t="s">
        <v>1229</v>
      </c>
      <c r="C581" s="24" t="s">
        <v>826</v>
      </c>
    </row>
    <row r="582" spans="1:3" ht="15.75" customHeight="1" x14ac:dyDescent="0.4">
      <c r="A582" s="24" t="s">
        <v>824</v>
      </c>
      <c r="B582" s="24" t="s">
        <v>1230</v>
      </c>
      <c r="C582" s="24" t="s">
        <v>826</v>
      </c>
    </row>
    <row r="583" spans="1:3" ht="15.75" customHeight="1" x14ac:dyDescent="0.4">
      <c r="A583" s="24" t="s">
        <v>824</v>
      </c>
      <c r="B583" s="24" t="s">
        <v>1231</v>
      </c>
      <c r="C583" s="24" t="s">
        <v>826</v>
      </c>
    </row>
    <row r="584" spans="1:3" ht="15.75" customHeight="1" x14ac:dyDescent="0.4">
      <c r="A584" s="24" t="s">
        <v>824</v>
      </c>
      <c r="B584" s="24" t="s">
        <v>1232</v>
      </c>
      <c r="C584" s="24" t="s">
        <v>826</v>
      </c>
    </row>
    <row r="585" spans="1:3" ht="15.75" customHeight="1" x14ac:dyDescent="0.4">
      <c r="A585" s="24" t="s">
        <v>824</v>
      </c>
      <c r="B585" s="24" t="s">
        <v>1233</v>
      </c>
      <c r="C585" s="24" t="s">
        <v>826</v>
      </c>
    </row>
    <row r="586" spans="1:3" ht="15.75" customHeight="1" x14ac:dyDescent="0.4">
      <c r="A586" s="24" t="s">
        <v>824</v>
      </c>
      <c r="B586" s="24" t="s">
        <v>1234</v>
      </c>
      <c r="C586" s="24" t="s">
        <v>826</v>
      </c>
    </row>
    <row r="587" spans="1:3" ht="15.75" customHeight="1" x14ac:dyDescent="0.4">
      <c r="A587" s="24" t="s">
        <v>824</v>
      </c>
      <c r="B587" s="24" t="s">
        <v>718</v>
      </c>
      <c r="C587" s="24" t="s">
        <v>825</v>
      </c>
    </row>
    <row r="588" spans="1:3" ht="15.75" customHeight="1" x14ac:dyDescent="0.4">
      <c r="A588" s="24" t="s">
        <v>824</v>
      </c>
      <c r="B588" s="24" t="s">
        <v>1235</v>
      </c>
      <c r="C588" s="24" t="s">
        <v>826</v>
      </c>
    </row>
    <row r="589" spans="1:3" ht="15.75" customHeight="1" x14ac:dyDescent="0.4">
      <c r="A589" s="24" t="s">
        <v>824</v>
      </c>
      <c r="B589" s="24" t="s">
        <v>447</v>
      </c>
      <c r="C589" s="24" t="s">
        <v>825</v>
      </c>
    </row>
    <row r="590" spans="1:3" ht="15.75" customHeight="1" x14ac:dyDescent="0.4">
      <c r="A590" s="24" t="s">
        <v>824</v>
      </c>
      <c r="B590" s="24" t="s">
        <v>1236</v>
      </c>
      <c r="C590" s="24" t="s">
        <v>826</v>
      </c>
    </row>
    <row r="591" spans="1:3" ht="15.75" customHeight="1" x14ac:dyDescent="0.4">
      <c r="A591" s="24" t="s">
        <v>824</v>
      </c>
      <c r="B591" s="24" t="s">
        <v>1237</v>
      </c>
      <c r="C591" s="24" t="s">
        <v>826</v>
      </c>
    </row>
    <row r="592" spans="1:3" ht="15.75" customHeight="1" x14ac:dyDescent="0.4">
      <c r="A592" s="24" t="s">
        <v>824</v>
      </c>
      <c r="B592" s="24" t="s">
        <v>1238</v>
      </c>
      <c r="C592" s="24" t="s">
        <v>826</v>
      </c>
    </row>
    <row r="593" spans="1:3" ht="15.75" customHeight="1" x14ac:dyDescent="0.4">
      <c r="A593" s="24" t="s">
        <v>824</v>
      </c>
      <c r="B593" s="24" t="s">
        <v>1239</v>
      </c>
      <c r="C593" s="24" t="s">
        <v>826</v>
      </c>
    </row>
    <row r="594" spans="1:3" ht="15.75" customHeight="1" x14ac:dyDescent="0.4">
      <c r="A594" s="24" t="s">
        <v>824</v>
      </c>
      <c r="B594" s="24" t="s">
        <v>1240</v>
      </c>
      <c r="C594" s="24" t="s">
        <v>826</v>
      </c>
    </row>
    <row r="595" spans="1:3" ht="15.75" customHeight="1" x14ac:dyDescent="0.4">
      <c r="A595" s="24" t="s">
        <v>824</v>
      </c>
      <c r="B595" s="24" t="s">
        <v>1241</v>
      </c>
      <c r="C595" s="24" t="s">
        <v>826</v>
      </c>
    </row>
    <row r="596" spans="1:3" ht="15.75" customHeight="1" x14ac:dyDescent="0.4">
      <c r="A596" s="24" t="s">
        <v>824</v>
      </c>
      <c r="B596" s="24" t="s">
        <v>1242</v>
      </c>
      <c r="C596" s="24" t="s">
        <v>826</v>
      </c>
    </row>
    <row r="597" spans="1:3" ht="15.75" customHeight="1" x14ac:dyDescent="0.4">
      <c r="A597" s="24" t="s">
        <v>824</v>
      </c>
      <c r="B597" s="24" t="s">
        <v>1243</v>
      </c>
      <c r="C597" s="24" t="s">
        <v>826</v>
      </c>
    </row>
    <row r="598" spans="1:3" ht="15.75" customHeight="1" x14ac:dyDescent="0.4">
      <c r="A598" s="24" t="s">
        <v>824</v>
      </c>
      <c r="B598" s="24" t="s">
        <v>1244</v>
      </c>
      <c r="C598" s="24" t="s">
        <v>826</v>
      </c>
    </row>
    <row r="599" spans="1:3" ht="15.75" customHeight="1" x14ac:dyDescent="0.4">
      <c r="A599" s="24" t="s">
        <v>824</v>
      </c>
      <c r="B599" s="24" t="s">
        <v>1245</v>
      </c>
      <c r="C599" s="24" t="s">
        <v>826</v>
      </c>
    </row>
    <row r="600" spans="1:3" ht="15.75" customHeight="1" x14ac:dyDescent="0.4">
      <c r="A600" s="24" t="s">
        <v>824</v>
      </c>
      <c r="B600" s="24" t="s">
        <v>1246</v>
      </c>
      <c r="C600" s="24" t="s">
        <v>826</v>
      </c>
    </row>
    <row r="601" spans="1:3" ht="15.75" customHeight="1" x14ac:dyDescent="0.4">
      <c r="A601" s="24" t="s">
        <v>824</v>
      </c>
      <c r="B601" s="24" t="s">
        <v>513</v>
      </c>
      <c r="C601" s="24" t="s">
        <v>825</v>
      </c>
    </row>
    <row r="602" spans="1:3" ht="15.75" customHeight="1" x14ac:dyDescent="0.4">
      <c r="A602" s="24" t="s">
        <v>824</v>
      </c>
      <c r="B602" s="24" t="s">
        <v>1247</v>
      </c>
      <c r="C602" s="24" t="s">
        <v>826</v>
      </c>
    </row>
    <row r="603" spans="1:3" ht="15.75" customHeight="1" x14ac:dyDescent="0.4">
      <c r="A603" s="24" t="s">
        <v>824</v>
      </c>
      <c r="B603" s="24" t="s">
        <v>1248</v>
      </c>
      <c r="C603" s="24" t="s">
        <v>826</v>
      </c>
    </row>
    <row r="604" spans="1:3" ht="15.75" customHeight="1" x14ac:dyDescent="0.4">
      <c r="A604" s="24" t="s">
        <v>824</v>
      </c>
      <c r="B604" s="24" t="s">
        <v>1249</v>
      </c>
      <c r="C604" s="24" t="s">
        <v>826</v>
      </c>
    </row>
    <row r="605" spans="1:3" ht="15.75" customHeight="1" x14ac:dyDescent="0.4">
      <c r="A605" s="24" t="s">
        <v>824</v>
      </c>
      <c r="B605" s="24" t="s">
        <v>1250</v>
      </c>
      <c r="C605" s="24" t="s">
        <v>826</v>
      </c>
    </row>
    <row r="606" spans="1:3" ht="15.75" customHeight="1" x14ac:dyDescent="0.4">
      <c r="A606" s="24" t="s">
        <v>824</v>
      </c>
      <c r="B606" s="24" t="s">
        <v>738</v>
      </c>
      <c r="C606" s="24" t="s">
        <v>825</v>
      </c>
    </row>
    <row r="607" spans="1:3" ht="15.75" customHeight="1" x14ac:dyDescent="0.4">
      <c r="A607" s="24" t="s">
        <v>824</v>
      </c>
      <c r="B607" s="24" t="s">
        <v>1251</v>
      </c>
      <c r="C607" s="24" t="s">
        <v>826</v>
      </c>
    </row>
    <row r="608" spans="1:3" ht="15.75" customHeight="1" x14ac:dyDescent="0.4">
      <c r="A608" s="24" t="s">
        <v>824</v>
      </c>
      <c r="B608" s="24" t="s">
        <v>1252</v>
      </c>
      <c r="C608" s="24" t="s">
        <v>826</v>
      </c>
    </row>
    <row r="609" spans="1:3" ht="15.75" customHeight="1" x14ac:dyDescent="0.4">
      <c r="A609" s="24" t="s">
        <v>824</v>
      </c>
      <c r="B609" s="24" t="s">
        <v>1253</v>
      </c>
      <c r="C609" s="24" t="s">
        <v>826</v>
      </c>
    </row>
    <row r="610" spans="1:3" ht="15.75" customHeight="1" x14ac:dyDescent="0.4">
      <c r="A610" s="24" t="s">
        <v>824</v>
      </c>
      <c r="B610" s="24" t="s">
        <v>1254</v>
      </c>
      <c r="C610" s="24" t="s">
        <v>826</v>
      </c>
    </row>
    <row r="611" spans="1:3" ht="15.75" customHeight="1" x14ac:dyDescent="0.4">
      <c r="A611" s="24" t="s">
        <v>824</v>
      </c>
      <c r="B611" s="24" t="s">
        <v>1255</v>
      </c>
      <c r="C611" s="24" t="s">
        <v>826</v>
      </c>
    </row>
    <row r="612" spans="1:3" ht="15.75" customHeight="1" x14ac:dyDescent="0.4">
      <c r="A612" s="24" t="s">
        <v>824</v>
      </c>
      <c r="B612" s="24" t="s">
        <v>1256</v>
      </c>
      <c r="C612" s="24" t="s">
        <v>826</v>
      </c>
    </row>
    <row r="613" spans="1:3" ht="15.75" customHeight="1" x14ac:dyDescent="0.4">
      <c r="A613" s="24" t="s">
        <v>824</v>
      </c>
      <c r="B613" s="24" t="s">
        <v>1257</v>
      </c>
      <c r="C613" s="24" t="s">
        <v>826</v>
      </c>
    </row>
    <row r="614" spans="1:3" ht="15.75" customHeight="1" x14ac:dyDescent="0.4">
      <c r="A614" s="24" t="s">
        <v>824</v>
      </c>
      <c r="B614" s="24" t="s">
        <v>1258</v>
      </c>
      <c r="C614" s="24" t="s">
        <v>826</v>
      </c>
    </row>
    <row r="615" spans="1:3" ht="15.75" customHeight="1" x14ac:dyDescent="0.4">
      <c r="A615" s="24" t="s">
        <v>824</v>
      </c>
      <c r="B615" s="24" t="s">
        <v>1259</v>
      </c>
      <c r="C615" s="24" t="s">
        <v>826</v>
      </c>
    </row>
    <row r="616" spans="1:3" ht="15.75" customHeight="1" x14ac:dyDescent="0.4">
      <c r="A616" s="24" t="s">
        <v>824</v>
      </c>
      <c r="B616" s="24" t="s">
        <v>1260</v>
      </c>
      <c r="C616" s="24" t="s">
        <v>826</v>
      </c>
    </row>
    <row r="617" spans="1:3" ht="15.75" customHeight="1" x14ac:dyDescent="0.4">
      <c r="A617" s="24" t="s">
        <v>824</v>
      </c>
      <c r="B617" s="24" t="s">
        <v>1261</v>
      </c>
      <c r="C617" s="24" t="s">
        <v>826</v>
      </c>
    </row>
    <row r="618" spans="1:3" ht="15.75" customHeight="1" x14ac:dyDescent="0.4">
      <c r="A618" s="24" t="s">
        <v>824</v>
      </c>
      <c r="B618" s="24" t="s">
        <v>1262</v>
      </c>
      <c r="C618" s="24" t="s">
        <v>826</v>
      </c>
    </row>
    <row r="619" spans="1:3" ht="15.75" customHeight="1" x14ac:dyDescent="0.4">
      <c r="A619" s="24" t="s">
        <v>824</v>
      </c>
      <c r="B619" s="24" t="s">
        <v>1263</v>
      </c>
      <c r="C619" s="24" t="s">
        <v>826</v>
      </c>
    </row>
    <row r="620" spans="1:3" ht="15.75" customHeight="1" x14ac:dyDescent="0.4">
      <c r="A620" s="24" t="s">
        <v>824</v>
      </c>
      <c r="B620" s="24" t="s">
        <v>1264</v>
      </c>
      <c r="C620" s="24" t="s">
        <v>826</v>
      </c>
    </row>
    <row r="621" spans="1:3" ht="15.75" customHeight="1" x14ac:dyDescent="0.4">
      <c r="A621" s="24" t="s">
        <v>824</v>
      </c>
      <c r="B621" s="24" t="s">
        <v>1265</v>
      </c>
      <c r="C621" s="24" t="s">
        <v>826</v>
      </c>
    </row>
    <row r="622" spans="1:3" ht="15.75" customHeight="1" x14ac:dyDescent="0.4">
      <c r="A622" s="24" t="s">
        <v>824</v>
      </c>
      <c r="B622" s="24" t="s">
        <v>1266</v>
      </c>
      <c r="C622" s="24" t="s">
        <v>826</v>
      </c>
    </row>
    <row r="623" spans="1:3" ht="15.75" customHeight="1" x14ac:dyDescent="0.4">
      <c r="A623" s="24" t="s">
        <v>824</v>
      </c>
      <c r="B623" s="24" t="s">
        <v>409</v>
      </c>
      <c r="C623" s="24" t="s">
        <v>825</v>
      </c>
    </row>
    <row r="624" spans="1:3" ht="15.75" customHeight="1" x14ac:dyDescent="0.4">
      <c r="A624" s="24" t="s">
        <v>824</v>
      </c>
      <c r="B624" s="24" t="s">
        <v>1267</v>
      </c>
      <c r="C624" s="24" t="s">
        <v>826</v>
      </c>
    </row>
    <row r="625" spans="1:3" ht="15.75" customHeight="1" x14ac:dyDescent="0.4">
      <c r="A625" s="24" t="s">
        <v>824</v>
      </c>
      <c r="B625" s="24" t="s">
        <v>1268</v>
      </c>
      <c r="C625" s="24" t="s">
        <v>826</v>
      </c>
    </row>
    <row r="626" spans="1:3" ht="15.75" customHeight="1" x14ac:dyDescent="0.4">
      <c r="A626" s="24" t="s">
        <v>824</v>
      </c>
      <c r="B626" s="24" t="s">
        <v>1269</v>
      </c>
      <c r="C626" s="24" t="s">
        <v>826</v>
      </c>
    </row>
    <row r="627" spans="1:3" ht="15.75" customHeight="1" x14ac:dyDescent="0.4">
      <c r="A627" s="24" t="s">
        <v>824</v>
      </c>
      <c r="B627" s="24" t="s">
        <v>742</v>
      </c>
      <c r="C627" s="24" t="s">
        <v>825</v>
      </c>
    </row>
    <row r="628" spans="1:3" ht="15.75" customHeight="1" x14ac:dyDescent="0.4">
      <c r="A628" s="24" t="s">
        <v>824</v>
      </c>
      <c r="B628" s="24" t="s">
        <v>1270</v>
      </c>
      <c r="C628" s="24" t="s">
        <v>826</v>
      </c>
    </row>
    <row r="629" spans="1:3" ht="15.75" customHeight="1" x14ac:dyDescent="0.4">
      <c r="A629" s="24" t="s">
        <v>824</v>
      </c>
      <c r="B629" s="24" t="s">
        <v>1271</v>
      </c>
      <c r="C629" s="24" t="s">
        <v>826</v>
      </c>
    </row>
    <row r="630" spans="1:3" ht="15.75" customHeight="1" x14ac:dyDescent="0.4">
      <c r="A630" s="24" t="s">
        <v>824</v>
      </c>
      <c r="B630" s="24" t="s">
        <v>1272</v>
      </c>
      <c r="C630" s="24" t="s">
        <v>826</v>
      </c>
    </row>
    <row r="631" spans="1:3" ht="15.75" customHeight="1" x14ac:dyDescent="0.4">
      <c r="A631" s="24" t="s">
        <v>824</v>
      </c>
      <c r="B631" s="24" t="s">
        <v>1273</v>
      </c>
      <c r="C631" s="24" t="s">
        <v>826</v>
      </c>
    </row>
    <row r="632" spans="1:3" ht="15.75" customHeight="1" x14ac:dyDescent="0.4">
      <c r="A632" s="24" t="s">
        <v>824</v>
      </c>
      <c r="B632" s="24" t="s">
        <v>1274</v>
      </c>
      <c r="C632" s="24" t="s">
        <v>826</v>
      </c>
    </row>
    <row r="633" spans="1:3" ht="15.75" customHeight="1" x14ac:dyDescent="0.4">
      <c r="A633" s="24" t="s">
        <v>824</v>
      </c>
      <c r="B633" s="24" t="s">
        <v>1275</v>
      </c>
      <c r="C633" s="24" t="s">
        <v>826</v>
      </c>
    </row>
    <row r="634" spans="1:3" ht="15.75" customHeight="1" x14ac:dyDescent="0.4">
      <c r="A634" s="24" t="s">
        <v>824</v>
      </c>
      <c r="B634" s="24" t="s">
        <v>1276</v>
      </c>
      <c r="C634" s="24" t="s">
        <v>826</v>
      </c>
    </row>
    <row r="635" spans="1:3" ht="15.75" customHeight="1" x14ac:dyDescent="0.4">
      <c r="A635" s="24" t="s">
        <v>824</v>
      </c>
      <c r="B635" s="24" t="s">
        <v>1277</v>
      </c>
      <c r="C635" s="24" t="s">
        <v>826</v>
      </c>
    </row>
    <row r="636" spans="1:3" ht="15.75" customHeight="1" x14ac:dyDescent="0.4">
      <c r="A636" s="24" t="s">
        <v>824</v>
      </c>
      <c r="B636" s="24" t="s">
        <v>1278</v>
      </c>
      <c r="C636" s="24" t="s">
        <v>826</v>
      </c>
    </row>
    <row r="637" spans="1:3" ht="15.75" customHeight="1" x14ac:dyDescent="0.4">
      <c r="A637" s="24" t="s">
        <v>824</v>
      </c>
      <c r="B637" s="24" t="s">
        <v>1279</v>
      </c>
      <c r="C637" s="24" t="s">
        <v>826</v>
      </c>
    </row>
    <row r="638" spans="1:3" ht="15.75" customHeight="1" x14ac:dyDescent="0.4">
      <c r="A638" s="24" t="s">
        <v>824</v>
      </c>
      <c r="B638" s="24" t="s">
        <v>1280</v>
      </c>
      <c r="C638" s="24" t="s">
        <v>826</v>
      </c>
    </row>
    <row r="639" spans="1:3" ht="15.75" customHeight="1" x14ac:dyDescent="0.4">
      <c r="A639" s="24" t="s">
        <v>824</v>
      </c>
      <c r="B639" s="24" t="s">
        <v>1281</v>
      </c>
      <c r="C639" s="24" t="s">
        <v>826</v>
      </c>
    </row>
    <row r="640" spans="1:3" ht="15.75" customHeight="1" x14ac:dyDescent="0.4">
      <c r="A640" s="24" t="s">
        <v>824</v>
      </c>
      <c r="B640" s="24" t="s">
        <v>1282</v>
      </c>
      <c r="C640" s="24" t="s">
        <v>826</v>
      </c>
    </row>
    <row r="641" spans="1:3" ht="15.75" customHeight="1" x14ac:dyDescent="0.4">
      <c r="A641" s="24" t="s">
        <v>824</v>
      </c>
      <c r="B641" s="24" t="s">
        <v>1283</v>
      </c>
      <c r="C641" s="24" t="s">
        <v>826</v>
      </c>
    </row>
    <row r="642" spans="1:3" ht="15.75" customHeight="1" x14ac:dyDescent="0.4">
      <c r="A642" s="24" t="s">
        <v>824</v>
      </c>
      <c r="B642" s="24" t="s">
        <v>1284</v>
      </c>
      <c r="C642" s="24" t="s">
        <v>826</v>
      </c>
    </row>
    <row r="643" spans="1:3" ht="15.75" customHeight="1" x14ac:dyDescent="0.4">
      <c r="A643" s="24" t="s">
        <v>824</v>
      </c>
      <c r="B643" s="24" t="s">
        <v>1285</v>
      </c>
      <c r="C643" s="24" t="s">
        <v>826</v>
      </c>
    </row>
    <row r="644" spans="1:3" ht="15.75" customHeight="1" x14ac:dyDescent="0.4">
      <c r="A644" s="24" t="s">
        <v>824</v>
      </c>
      <c r="B644" s="24" t="s">
        <v>1286</v>
      </c>
      <c r="C644" s="24" t="s">
        <v>826</v>
      </c>
    </row>
    <row r="645" spans="1:3" ht="15.75" customHeight="1" x14ac:dyDescent="0.4">
      <c r="A645" s="24" t="s">
        <v>824</v>
      </c>
      <c r="B645" s="24" t="s">
        <v>623</v>
      </c>
      <c r="C645" s="24" t="s">
        <v>825</v>
      </c>
    </row>
    <row r="646" spans="1:3" ht="15.75" customHeight="1" x14ac:dyDescent="0.4">
      <c r="A646" s="24" t="s">
        <v>824</v>
      </c>
      <c r="B646" s="24" t="s">
        <v>1287</v>
      </c>
      <c r="C646" s="24" t="s">
        <v>826</v>
      </c>
    </row>
    <row r="647" spans="1:3" ht="15.75" customHeight="1" x14ac:dyDescent="0.4">
      <c r="A647" s="24" t="s">
        <v>824</v>
      </c>
      <c r="B647" s="24" t="s">
        <v>1288</v>
      </c>
      <c r="C647" s="24" t="s">
        <v>826</v>
      </c>
    </row>
    <row r="648" spans="1:3" ht="15.75" customHeight="1" x14ac:dyDescent="0.4">
      <c r="A648" s="24" t="s">
        <v>824</v>
      </c>
      <c r="B648" s="24" t="s">
        <v>1289</v>
      </c>
      <c r="C648" s="24" t="s">
        <v>826</v>
      </c>
    </row>
    <row r="649" spans="1:3" ht="15.75" customHeight="1" x14ac:dyDescent="0.4">
      <c r="A649" s="24" t="s">
        <v>824</v>
      </c>
      <c r="B649" s="24" t="s">
        <v>535</v>
      </c>
      <c r="C649" s="24" t="s">
        <v>825</v>
      </c>
    </row>
    <row r="650" spans="1:3" ht="15.75" customHeight="1" x14ac:dyDescent="0.4">
      <c r="A650" s="24" t="s">
        <v>824</v>
      </c>
      <c r="B650" s="24" t="s">
        <v>1290</v>
      </c>
      <c r="C650" s="24" t="s">
        <v>826</v>
      </c>
    </row>
    <row r="651" spans="1:3" ht="15.75" customHeight="1" x14ac:dyDescent="0.4">
      <c r="A651" s="24" t="s">
        <v>824</v>
      </c>
      <c r="B651" s="24" t="s">
        <v>649</v>
      </c>
      <c r="C651" s="24" t="s">
        <v>825</v>
      </c>
    </row>
    <row r="652" spans="1:3" ht="15.75" customHeight="1" x14ac:dyDescent="0.4">
      <c r="A652" s="24" t="s">
        <v>824</v>
      </c>
      <c r="B652" s="24" t="s">
        <v>1291</v>
      </c>
      <c r="C652" s="24" t="s">
        <v>826</v>
      </c>
    </row>
    <row r="653" spans="1:3" ht="15.75" customHeight="1" x14ac:dyDescent="0.4">
      <c r="A653" s="24" t="s">
        <v>824</v>
      </c>
      <c r="B653" s="24" t="s">
        <v>1292</v>
      </c>
      <c r="C653" s="24" t="s">
        <v>826</v>
      </c>
    </row>
    <row r="654" spans="1:3" ht="15.75" customHeight="1" x14ac:dyDescent="0.4">
      <c r="A654" s="24" t="s">
        <v>824</v>
      </c>
      <c r="B654" s="24" t="s">
        <v>1293</v>
      </c>
      <c r="C654" s="24" t="s">
        <v>826</v>
      </c>
    </row>
    <row r="655" spans="1:3" ht="15.75" customHeight="1" x14ac:dyDescent="0.4">
      <c r="A655" s="24" t="s">
        <v>824</v>
      </c>
      <c r="B655" s="24" t="s">
        <v>1294</v>
      </c>
      <c r="C655" s="24" t="s">
        <v>826</v>
      </c>
    </row>
    <row r="656" spans="1:3" ht="15.75" customHeight="1" x14ac:dyDescent="0.4">
      <c r="A656" s="24" t="s">
        <v>824</v>
      </c>
      <c r="B656" s="24" t="s">
        <v>1295</v>
      </c>
      <c r="C656" s="24" t="s">
        <v>826</v>
      </c>
    </row>
    <row r="657" spans="1:3" ht="15.75" customHeight="1" x14ac:dyDescent="0.4">
      <c r="A657" s="24" t="s">
        <v>824</v>
      </c>
      <c r="B657" s="24" t="s">
        <v>1296</v>
      </c>
      <c r="C657" s="24" t="s">
        <v>826</v>
      </c>
    </row>
    <row r="658" spans="1:3" ht="15.75" customHeight="1" x14ac:dyDescent="0.4">
      <c r="A658" s="24" t="s">
        <v>824</v>
      </c>
      <c r="B658" s="24" t="s">
        <v>1297</v>
      </c>
      <c r="C658" s="24" t="s">
        <v>826</v>
      </c>
    </row>
    <row r="659" spans="1:3" ht="15.75" customHeight="1" x14ac:dyDescent="0.4">
      <c r="A659" s="24" t="s">
        <v>824</v>
      </c>
      <c r="B659" s="24" t="s">
        <v>1298</v>
      </c>
      <c r="C659" s="24" t="s">
        <v>826</v>
      </c>
    </row>
    <row r="660" spans="1:3" ht="15.75" customHeight="1" x14ac:dyDescent="0.4">
      <c r="A660" s="24" t="s">
        <v>824</v>
      </c>
      <c r="B660" s="24" t="s">
        <v>645</v>
      </c>
      <c r="C660" s="24" t="s">
        <v>825</v>
      </c>
    </row>
    <row r="661" spans="1:3" ht="15.75" customHeight="1" x14ac:dyDescent="0.4">
      <c r="A661" s="24" t="s">
        <v>824</v>
      </c>
      <c r="B661" s="24" t="s">
        <v>1299</v>
      </c>
      <c r="C661" s="24" t="s">
        <v>826</v>
      </c>
    </row>
    <row r="662" spans="1:3" ht="15.75" customHeight="1" x14ac:dyDescent="0.4">
      <c r="A662" s="24" t="s">
        <v>824</v>
      </c>
      <c r="B662" s="24" t="s">
        <v>1300</v>
      </c>
      <c r="C662" s="24" t="s">
        <v>826</v>
      </c>
    </row>
    <row r="663" spans="1:3" ht="15.75" customHeight="1" x14ac:dyDescent="0.4">
      <c r="A663" s="24" t="s">
        <v>824</v>
      </c>
      <c r="B663" s="24" t="s">
        <v>1301</v>
      </c>
      <c r="C663" s="24" t="s">
        <v>826</v>
      </c>
    </row>
    <row r="664" spans="1:3" ht="15.75" customHeight="1" x14ac:dyDescent="0.4">
      <c r="A664" s="24" t="s">
        <v>824</v>
      </c>
      <c r="B664" s="24" t="s">
        <v>1302</v>
      </c>
      <c r="C664" s="24" t="s">
        <v>826</v>
      </c>
    </row>
    <row r="665" spans="1:3" ht="15.75" customHeight="1" x14ac:dyDescent="0.4">
      <c r="A665" s="24" t="s">
        <v>824</v>
      </c>
      <c r="B665" s="24" t="s">
        <v>1303</v>
      </c>
      <c r="C665" s="24" t="s">
        <v>826</v>
      </c>
    </row>
    <row r="666" spans="1:3" ht="15.75" customHeight="1" x14ac:dyDescent="0.4">
      <c r="A666" s="24" t="s">
        <v>824</v>
      </c>
      <c r="B666" s="24" t="s">
        <v>260</v>
      </c>
      <c r="C666" s="24" t="s">
        <v>825</v>
      </c>
    </row>
    <row r="667" spans="1:3" ht="15.75" customHeight="1" x14ac:dyDescent="0.4">
      <c r="A667" s="24" t="s">
        <v>824</v>
      </c>
      <c r="B667" s="24" t="s">
        <v>1304</v>
      </c>
      <c r="C667" s="24" t="s">
        <v>826</v>
      </c>
    </row>
    <row r="668" spans="1:3" ht="15.75" customHeight="1" x14ac:dyDescent="0.4">
      <c r="A668" s="24" t="s">
        <v>824</v>
      </c>
      <c r="B668" s="24" t="s">
        <v>1305</v>
      </c>
      <c r="C668" s="24" t="s">
        <v>826</v>
      </c>
    </row>
    <row r="669" spans="1:3" ht="15.75" customHeight="1" x14ac:dyDescent="0.4">
      <c r="A669" s="24" t="s">
        <v>824</v>
      </c>
      <c r="B669" s="24" t="s">
        <v>1306</v>
      </c>
      <c r="C669" s="24" t="s">
        <v>826</v>
      </c>
    </row>
    <row r="670" spans="1:3" ht="15.75" customHeight="1" x14ac:dyDescent="0.4">
      <c r="A670" s="24" t="s">
        <v>824</v>
      </c>
      <c r="B670" s="24" t="s">
        <v>1307</v>
      </c>
      <c r="C670" s="24" t="s">
        <v>826</v>
      </c>
    </row>
    <row r="671" spans="1:3" ht="15.75" customHeight="1" x14ac:dyDescent="0.4">
      <c r="A671" s="24" t="s">
        <v>824</v>
      </c>
      <c r="B671" s="24" t="s">
        <v>1308</v>
      </c>
      <c r="C671" s="24" t="s">
        <v>826</v>
      </c>
    </row>
    <row r="672" spans="1:3" ht="15.75" customHeight="1" x14ac:dyDescent="0.4">
      <c r="A672" s="24" t="s">
        <v>824</v>
      </c>
      <c r="B672" s="24" t="s">
        <v>1309</v>
      </c>
      <c r="C672" s="24" t="s">
        <v>826</v>
      </c>
    </row>
    <row r="673" spans="1:3" ht="15.75" customHeight="1" x14ac:dyDescent="0.4">
      <c r="A673" s="24" t="s">
        <v>824</v>
      </c>
      <c r="B673" s="24" t="s">
        <v>1310</v>
      </c>
      <c r="C673" s="24" t="s">
        <v>826</v>
      </c>
    </row>
    <row r="674" spans="1:3" ht="15.75" customHeight="1" x14ac:dyDescent="0.4">
      <c r="A674" s="24" t="s">
        <v>824</v>
      </c>
      <c r="B674" s="24" t="s">
        <v>1311</v>
      </c>
      <c r="C674" s="24" t="s">
        <v>826</v>
      </c>
    </row>
    <row r="675" spans="1:3" ht="15.75" customHeight="1" x14ac:dyDescent="0.4">
      <c r="A675" s="24" t="s">
        <v>824</v>
      </c>
      <c r="B675" s="24" t="s">
        <v>1312</v>
      </c>
      <c r="C675" s="24" t="s">
        <v>826</v>
      </c>
    </row>
    <row r="676" spans="1:3" ht="15.75" customHeight="1" x14ac:dyDescent="0.4">
      <c r="A676" s="24" t="s">
        <v>824</v>
      </c>
      <c r="B676" s="24" t="s">
        <v>274</v>
      </c>
      <c r="C676" s="24" t="s">
        <v>825</v>
      </c>
    </row>
    <row r="677" spans="1:3" ht="15.75" customHeight="1" x14ac:dyDescent="0.4">
      <c r="A677" s="24" t="s">
        <v>824</v>
      </c>
      <c r="B677" s="24" t="s">
        <v>1313</v>
      </c>
      <c r="C677" s="24" t="s">
        <v>826</v>
      </c>
    </row>
    <row r="678" spans="1:3" ht="15.75" customHeight="1" x14ac:dyDescent="0.4">
      <c r="A678" s="24" t="s">
        <v>824</v>
      </c>
      <c r="B678" s="24" t="s">
        <v>1314</v>
      </c>
      <c r="C678" s="24" t="s">
        <v>826</v>
      </c>
    </row>
    <row r="679" spans="1:3" ht="15.75" customHeight="1" x14ac:dyDescent="0.4">
      <c r="A679" s="24" t="s">
        <v>824</v>
      </c>
      <c r="B679" s="24" t="s">
        <v>1315</v>
      </c>
      <c r="C679" s="24" t="s">
        <v>826</v>
      </c>
    </row>
    <row r="680" spans="1:3" ht="15.75" customHeight="1" x14ac:dyDescent="0.4">
      <c r="A680" s="24" t="s">
        <v>824</v>
      </c>
      <c r="B680" s="24" t="s">
        <v>1316</v>
      </c>
      <c r="C680" s="24" t="s">
        <v>826</v>
      </c>
    </row>
    <row r="681" spans="1:3" ht="15.75" customHeight="1" x14ac:dyDescent="0.4">
      <c r="A681" s="24" t="s">
        <v>824</v>
      </c>
      <c r="B681" s="24" t="s">
        <v>1317</v>
      </c>
      <c r="C681" s="24" t="s">
        <v>826</v>
      </c>
    </row>
    <row r="682" spans="1:3" ht="15.75" customHeight="1" x14ac:dyDescent="0.4">
      <c r="A682" s="24" t="s">
        <v>824</v>
      </c>
      <c r="B682" s="24" t="s">
        <v>1318</v>
      </c>
      <c r="C682" s="24" t="s">
        <v>826</v>
      </c>
    </row>
    <row r="683" spans="1:3" ht="15.75" customHeight="1" x14ac:dyDescent="0.4">
      <c r="A683" s="24" t="s">
        <v>824</v>
      </c>
      <c r="B683" s="24" t="s">
        <v>1319</v>
      </c>
      <c r="C683" s="24" t="s">
        <v>826</v>
      </c>
    </row>
    <row r="684" spans="1:3" ht="15.75" customHeight="1" x14ac:dyDescent="0.4">
      <c r="A684" s="24" t="s">
        <v>824</v>
      </c>
      <c r="B684" s="24" t="s">
        <v>748</v>
      </c>
      <c r="C684" s="24" t="s">
        <v>825</v>
      </c>
    </row>
    <row r="685" spans="1:3" ht="15.75" customHeight="1" x14ac:dyDescent="0.4">
      <c r="A685" s="24" t="s">
        <v>824</v>
      </c>
      <c r="B685" s="24" t="s">
        <v>1320</v>
      </c>
      <c r="C685" s="24" t="s">
        <v>826</v>
      </c>
    </row>
    <row r="686" spans="1:3" ht="15.75" customHeight="1" x14ac:dyDescent="0.4">
      <c r="A686" s="24" t="s">
        <v>824</v>
      </c>
      <c r="B686" s="24" t="s">
        <v>1321</v>
      </c>
      <c r="C686" s="24" t="s">
        <v>826</v>
      </c>
    </row>
    <row r="687" spans="1:3" ht="15.75" customHeight="1" x14ac:dyDescent="0.4">
      <c r="A687" s="24" t="s">
        <v>824</v>
      </c>
      <c r="B687" s="24" t="s">
        <v>1322</v>
      </c>
      <c r="C687" s="24" t="s">
        <v>826</v>
      </c>
    </row>
    <row r="688" spans="1:3" ht="15.75" customHeight="1" x14ac:dyDescent="0.4">
      <c r="A688" s="24" t="s">
        <v>824</v>
      </c>
      <c r="B688" s="24" t="s">
        <v>1323</v>
      </c>
      <c r="C688" s="24" t="s">
        <v>826</v>
      </c>
    </row>
    <row r="689" spans="1:3" ht="15.75" customHeight="1" x14ac:dyDescent="0.4">
      <c r="A689" s="24" t="s">
        <v>824</v>
      </c>
      <c r="B689" s="24" t="s">
        <v>1324</v>
      </c>
      <c r="C689" s="24" t="s">
        <v>826</v>
      </c>
    </row>
    <row r="690" spans="1:3" ht="15.75" customHeight="1" x14ac:dyDescent="0.4">
      <c r="A690" s="24" t="s">
        <v>824</v>
      </c>
      <c r="B690" s="24" t="s">
        <v>1325</v>
      </c>
      <c r="C690" s="24" t="s">
        <v>826</v>
      </c>
    </row>
    <row r="691" spans="1:3" ht="15.75" customHeight="1" x14ac:dyDescent="0.4">
      <c r="A691" s="24" t="s">
        <v>824</v>
      </c>
      <c r="B691" s="24" t="s">
        <v>1326</v>
      </c>
      <c r="C691" s="24" t="s">
        <v>826</v>
      </c>
    </row>
    <row r="692" spans="1:3" ht="15.75" customHeight="1" x14ac:dyDescent="0.4">
      <c r="A692" s="24" t="s">
        <v>824</v>
      </c>
      <c r="B692" s="24" t="s">
        <v>1327</v>
      </c>
      <c r="C692" s="24" t="s">
        <v>826</v>
      </c>
    </row>
    <row r="693" spans="1:3" ht="15.75" customHeight="1" x14ac:dyDescent="0.4">
      <c r="A693" s="24" t="s">
        <v>824</v>
      </c>
      <c r="B693" s="24" t="s">
        <v>1328</v>
      </c>
      <c r="C693" s="24" t="s">
        <v>826</v>
      </c>
    </row>
    <row r="694" spans="1:3" ht="15.75" customHeight="1" x14ac:dyDescent="0.4">
      <c r="A694" s="24" t="s">
        <v>824</v>
      </c>
      <c r="B694" s="24" t="s">
        <v>1329</v>
      </c>
      <c r="C694" s="24" t="s">
        <v>826</v>
      </c>
    </row>
    <row r="695" spans="1:3" ht="15.75" customHeight="1" x14ac:dyDescent="0.4">
      <c r="A695" s="24" t="s">
        <v>824</v>
      </c>
      <c r="B695" s="24" t="s">
        <v>1330</v>
      </c>
      <c r="C695" s="24" t="s">
        <v>826</v>
      </c>
    </row>
    <row r="696" spans="1:3" ht="15.75" customHeight="1" x14ac:dyDescent="0.4">
      <c r="A696" s="24" t="s">
        <v>824</v>
      </c>
      <c r="B696" s="24" t="s">
        <v>1331</v>
      </c>
      <c r="C696" s="24" t="s">
        <v>826</v>
      </c>
    </row>
    <row r="697" spans="1:3" ht="15.75" customHeight="1" x14ac:dyDescent="0.4">
      <c r="A697" s="24" t="s">
        <v>824</v>
      </c>
      <c r="B697" s="24" t="s">
        <v>1332</v>
      </c>
      <c r="C697" s="24" t="s">
        <v>826</v>
      </c>
    </row>
    <row r="698" spans="1:3" ht="15.75" customHeight="1" x14ac:dyDescent="0.4">
      <c r="A698" s="24" t="s">
        <v>824</v>
      </c>
      <c r="B698" s="24" t="s">
        <v>1333</v>
      </c>
      <c r="C698" s="24" t="s">
        <v>826</v>
      </c>
    </row>
    <row r="699" spans="1:3" ht="15.75" customHeight="1" x14ac:dyDescent="0.4">
      <c r="A699" s="24" t="s">
        <v>824</v>
      </c>
      <c r="B699" s="24" t="s">
        <v>1334</v>
      </c>
      <c r="C699" s="24" t="s">
        <v>826</v>
      </c>
    </row>
    <row r="700" spans="1:3" ht="15.75" customHeight="1" x14ac:dyDescent="0.4">
      <c r="A700" s="24" t="s">
        <v>824</v>
      </c>
      <c r="B700" s="24" t="s">
        <v>1335</v>
      </c>
      <c r="C700" s="24" t="s">
        <v>826</v>
      </c>
    </row>
    <row r="701" spans="1:3" ht="15.75" customHeight="1" x14ac:dyDescent="0.4">
      <c r="A701" s="24" t="s">
        <v>824</v>
      </c>
      <c r="B701" s="24" t="s">
        <v>1336</v>
      </c>
      <c r="C701" s="24" t="s">
        <v>826</v>
      </c>
    </row>
    <row r="702" spans="1:3" ht="15.75" customHeight="1" x14ac:dyDescent="0.4">
      <c r="A702" s="24" t="s">
        <v>824</v>
      </c>
      <c r="B702" s="24" t="s">
        <v>1337</v>
      </c>
      <c r="C702" s="24" t="s">
        <v>826</v>
      </c>
    </row>
    <row r="703" spans="1:3" ht="15.75" customHeight="1" x14ac:dyDescent="0.4">
      <c r="A703" s="24" t="s">
        <v>824</v>
      </c>
      <c r="B703" s="24" t="s">
        <v>593</v>
      </c>
      <c r="C703" s="24" t="s">
        <v>825</v>
      </c>
    </row>
    <row r="704" spans="1:3" ht="15.75" customHeight="1" x14ac:dyDescent="0.4">
      <c r="A704" s="24" t="s">
        <v>824</v>
      </c>
      <c r="B704" s="24" t="s">
        <v>1338</v>
      </c>
      <c r="C704" s="24" t="s">
        <v>826</v>
      </c>
    </row>
    <row r="705" spans="1:3" ht="15.75" customHeight="1" x14ac:dyDescent="0.4">
      <c r="A705" s="24" t="s">
        <v>824</v>
      </c>
      <c r="B705" s="24" t="s">
        <v>1339</v>
      </c>
      <c r="C705" s="24" t="s">
        <v>826</v>
      </c>
    </row>
    <row r="706" spans="1:3" ht="15.75" customHeight="1" x14ac:dyDescent="0.4">
      <c r="A706" s="24" t="s">
        <v>824</v>
      </c>
      <c r="B706" s="24" t="s">
        <v>750</v>
      </c>
      <c r="C706" s="24" t="s">
        <v>825</v>
      </c>
    </row>
    <row r="707" spans="1:3" ht="15.75" customHeight="1" x14ac:dyDescent="0.4">
      <c r="A707" s="24" t="s">
        <v>824</v>
      </c>
      <c r="B707" s="24" t="s">
        <v>1340</v>
      </c>
      <c r="C707" s="24" t="s">
        <v>826</v>
      </c>
    </row>
    <row r="708" spans="1:3" ht="15.75" customHeight="1" x14ac:dyDescent="0.4">
      <c r="A708" s="24" t="s">
        <v>824</v>
      </c>
      <c r="B708" s="24" t="s">
        <v>1341</v>
      </c>
      <c r="C708" s="24" t="s">
        <v>826</v>
      </c>
    </row>
    <row r="709" spans="1:3" ht="15.75" customHeight="1" x14ac:dyDescent="0.4">
      <c r="A709" s="24" t="s">
        <v>824</v>
      </c>
      <c r="B709" s="24" t="s">
        <v>1342</v>
      </c>
      <c r="C709" s="24" t="s">
        <v>826</v>
      </c>
    </row>
    <row r="710" spans="1:3" ht="15.75" customHeight="1" x14ac:dyDescent="0.4">
      <c r="A710" s="24" t="s">
        <v>824</v>
      </c>
      <c r="B710" s="24" t="s">
        <v>1343</v>
      </c>
      <c r="C710" s="24" t="s">
        <v>826</v>
      </c>
    </row>
    <row r="711" spans="1:3" ht="15.75" customHeight="1" x14ac:dyDescent="0.4">
      <c r="A711" s="24" t="s">
        <v>824</v>
      </c>
      <c r="B711" s="24" t="s">
        <v>1344</v>
      </c>
      <c r="C711" s="24" t="s">
        <v>826</v>
      </c>
    </row>
    <row r="712" spans="1:3" ht="15.75" customHeight="1" x14ac:dyDescent="0.4">
      <c r="A712" s="24" t="s">
        <v>824</v>
      </c>
      <c r="B712" s="24" t="s">
        <v>1345</v>
      </c>
      <c r="C712" s="24" t="s">
        <v>826</v>
      </c>
    </row>
    <row r="713" spans="1:3" ht="15.75" customHeight="1" x14ac:dyDescent="0.4">
      <c r="A713" s="24" t="s">
        <v>824</v>
      </c>
      <c r="B713" s="24" t="s">
        <v>1346</v>
      </c>
      <c r="C713" s="24" t="s">
        <v>826</v>
      </c>
    </row>
    <row r="714" spans="1:3" ht="15.75" customHeight="1" x14ac:dyDescent="0.4">
      <c r="A714" s="24" t="s">
        <v>824</v>
      </c>
      <c r="B714" s="24" t="s">
        <v>1347</v>
      </c>
      <c r="C714" s="24" t="s">
        <v>826</v>
      </c>
    </row>
    <row r="715" spans="1:3" ht="15.75" customHeight="1" x14ac:dyDescent="0.4">
      <c r="A715" s="24" t="s">
        <v>824</v>
      </c>
      <c r="B715" s="24" t="s">
        <v>1348</v>
      </c>
      <c r="C715" s="24" t="s">
        <v>826</v>
      </c>
    </row>
    <row r="716" spans="1:3" ht="15.75" customHeight="1" x14ac:dyDescent="0.4">
      <c r="A716" s="24" t="s">
        <v>824</v>
      </c>
      <c r="B716" s="24" t="s">
        <v>1349</v>
      </c>
      <c r="C716" s="24" t="s">
        <v>826</v>
      </c>
    </row>
    <row r="717" spans="1:3" ht="15.75" customHeight="1" x14ac:dyDescent="0.4">
      <c r="A717" s="24" t="s">
        <v>824</v>
      </c>
      <c r="B717" s="24" t="s">
        <v>1350</v>
      </c>
      <c r="C717" s="24" t="s">
        <v>826</v>
      </c>
    </row>
    <row r="718" spans="1:3" ht="15.75" customHeight="1" x14ac:dyDescent="0.4">
      <c r="A718" s="24" t="s">
        <v>824</v>
      </c>
      <c r="B718" s="24" t="s">
        <v>1351</v>
      </c>
      <c r="C718" s="24" t="s">
        <v>826</v>
      </c>
    </row>
    <row r="719" spans="1:3" ht="15.75" customHeight="1" x14ac:dyDescent="0.4">
      <c r="A719" s="24" t="s">
        <v>824</v>
      </c>
      <c r="B719" s="24" t="s">
        <v>1352</v>
      </c>
      <c r="C719" s="24" t="s">
        <v>826</v>
      </c>
    </row>
    <row r="720" spans="1:3" ht="15.75" customHeight="1" x14ac:dyDescent="0.4">
      <c r="A720" s="24" t="s">
        <v>824</v>
      </c>
      <c r="B720" s="24" t="s">
        <v>1353</v>
      </c>
      <c r="C720" s="24" t="s">
        <v>826</v>
      </c>
    </row>
    <row r="721" spans="1:3" ht="15.75" customHeight="1" x14ac:dyDescent="0.4">
      <c r="A721" s="24" t="s">
        <v>824</v>
      </c>
      <c r="B721" s="24" t="s">
        <v>1354</v>
      </c>
      <c r="C721" s="24" t="s">
        <v>826</v>
      </c>
    </row>
    <row r="722" spans="1:3" ht="15.75" customHeight="1" x14ac:dyDescent="0.4">
      <c r="A722" s="24" t="s">
        <v>824</v>
      </c>
      <c r="B722" s="24" t="s">
        <v>1355</v>
      </c>
      <c r="C722" s="24" t="s">
        <v>826</v>
      </c>
    </row>
    <row r="723" spans="1:3" ht="15.75" customHeight="1" x14ac:dyDescent="0.4">
      <c r="A723" s="24" t="s">
        <v>824</v>
      </c>
      <c r="B723" s="24" t="s">
        <v>1356</v>
      </c>
      <c r="C723" s="24" t="s">
        <v>826</v>
      </c>
    </row>
    <row r="724" spans="1:3" ht="15.75" customHeight="1" x14ac:dyDescent="0.4">
      <c r="A724" s="24" t="s">
        <v>824</v>
      </c>
      <c r="B724" s="24" t="s">
        <v>1357</v>
      </c>
      <c r="C724" s="24" t="s">
        <v>826</v>
      </c>
    </row>
    <row r="725" spans="1:3" ht="15.75" customHeight="1" x14ac:dyDescent="0.4">
      <c r="A725" s="24" t="s">
        <v>824</v>
      </c>
      <c r="B725" s="24" t="s">
        <v>663</v>
      </c>
      <c r="C725" s="24" t="s">
        <v>825</v>
      </c>
    </row>
    <row r="726" spans="1:3" ht="15.75" customHeight="1" x14ac:dyDescent="0.4">
      <c r="A726" s="24" t="s">
        <v>824</v>
      </c>
      <c r="B726" s="24" t="s">
        <v>1358</v>
      </c>
      <c r="C726" s="24" t="s">
        <v>826</v>
      </c>
    </row>
    <row r="727" spans="1:3" ht="15.75" customHeight="1" x14ac:dyDescent="0.4">
      <c r="A727" s="24" t="s">
        <v>824</v>
      </c>
      <c r="B727" s="24" t="s">
        <v>694</v>
      </c>
      <c r="C727" s="24" t="s">
        <v>825</v>
      </c>
    </row>
    <row r="728" spans="1:3" ht="15.75" customHeight="1" x14ac:dyDescent="0.4">
      <c r="A728" s="24" t="s">
        <v>824</v>
      </c>
      <c r="B728" s="24" t="s">
        <v>1359</v>
      </c>
      <c r="C728" s="24" t="s">
        <v>826</v>
      </c>
    </row>
    <row r="729" spans="1:3" ht="15.75" customHeight="1" x14ac:dyDescent="0.4">
      <c r="A729" s="24" t="s">
        <v>824</v>
      </c>
      <c r="B729" s="24" t="s">
        <v>1360</v>
      </c>
      <c r="C729" s="24" t="s">
        <v>826</v>
      </c>
    </row>
    <row r="730" spans="1:3" ht="15.75" customHeight="1" x14ac:dyDescent="0.4">
      <c r="A730" s="24" t="s">
        <v>824</v>
      </c>
      <c r="B730" s="24" t="s">
        <v>1361</v>
      </c>
      <c r="C730" s="24" t="s">
        <v>826</v>
      </c>
    </row>
    <row r="731" spans="1:3" ht="15.75" customHeight="1" x14ac:dyDescent="0.4">
      <c r="A731" s="24" t="s">
        <v>824</v>
      </c>
      <c r="B731" s="24" t="s">
        <v>1362</v>
      </c>
      <c r="C731" s="24" t="s">
        <v>826</v>
      </c>
    </row>
    <row r="732" spans="1:3" ht="15.75" customHeight="1" x14ac:dyDescent="0.4">
      <c r="A732" s="24" t="s">
        <v>824</v>
      </c>
      <c r="B732" s="24" t="s">
        <v>1363</v>
      </c>
      <c r="C732" s="24" t="s">
        <v>826</v>
      </c>
    </row>
    <row r="733" spans="1:3" ht="15.75" customHeight="1" x14ac:dyDescent="0.4">
      <c r="A733" s="24" t="s">
        <v>824</v>
      </c>
      <c r="B733" s="24" t="s">
        <v>1364</v>
      </c>
      <c r="C733" s="24" t="s">
        <v>826</v>
      </c>
    </row>
    <row r="734" spans="1:3" ht="15.75" customHeight="1" x14ac:dyDescent="0.4">
      <c r="A734" s="24" t="s">
        <v>824</v>
      </c>
      <c r="B734" s="24" t="s">
        <v>1365</v>
      </c>
      <c r="C734" s="24" t="s">
        <v>826</v>
      </c>
    </row>
    <row r="735" spans="1:3" ht="15.75" customHeight="1" x14ac:dyDescent="0.4">
      <c r="A735" s="24" t="s">
        <v>824</v>
      </c>
      <c r="B735" s="24" t="s">
        <v>1366</v>
      </c>
      <c r="C735" s="24" t="s">
        <v>826</v>
      </c>
    </row>
    <row r="736" spans="1:3" ht="15.75" customHeight="1" x14ac:dyDescent="0.4">
      <c r="A736" s="24" t="s">
        <v>824</v>
      </c>
      <c r="B736" s="24" t="s">
        <v>1367</v>
      </c>
      <c r="C736" s="24" t="s">
        <v>826</v>
      </c>
    </row>
    <row r="737" spans="1:3" ht="15.75" customHeight="1" x14ac:dyDescent="0.4">
      <c r="A737" s="24" t="s">
        <v>824</v>
      </c>
      <c r="B737" s="24" t="s">
        <v>1368</v>
      </c>
      <c r="C737" s="24" t="s">
        <v>826</v>
      </c>
    </row>
    <row r="738" spans="1:3" ht="15.75" customHeight="1" x14ac:dyDescent="0.4">
      <c r="A738" s="24" t="s">
        <v>824</v>
      </c>
      <c r="B738" s="24" t="s">
        <v>1369</v>
      </c>
      <c r="C738" s="24" t="s">
        <v>826</v>
      </c>
    </row>
    <row r="739" spans="1:3" ht="15.75" customHeight="1" x14ac:dyDescent="0.4">
      <c r="A739" s="24" t="s">
        <v>824</v>
      </c>
      <c r="B739" s="24" t="s">
        <v>1370</v>
      </c>
      <c r="C739" s="24" t="s">
        <v>826</v>
      </c>
    </row>
    <row r="740" spans="1:3" ht="15.75" customHeight="1" x14ac:dyDescent="0.4">
      <c r="A740" s="24" t="s">
        <v>824</v>
      </c>
      <c r="B740" s="24" t="s">
        <v>1371</v>
      </c>
      <c r="C740" s="24" t="s">
        <v>826</v>
      </c>
    </row>
    <row r="741" spans="1:3" ht="15.75" customHeight="1" x14ac:dyDescent="0.4">
      <c r="A741" s="24" t="s">
        <v>824</v>
      </c>
      <c r="B741" s="24" t="s">
        <v>1372</v>
      </c>
      <c r="C741" s="24" t="s">
        <v>826</v>
      </c>
    </row>
    <row r="742" spans="1:3" ht="15.75" customHeight="1" x14ac:dyDescent="0.4">
      <c r="A742" s="24" t="s">
        <v>824</v>
      </c>
      <c r="B742" s="24" t="s">
        <v>1373</v>
      </c>
      <c r="C742" s="24" t="s">
        <v>826</v>
      </c>
    </row>
    <row r="743" spans="1:3" ht="15.75" customHeight="1" x14ac:dyDescent="0.4">
      <c r="A743" s="24" t="s">
        <v>824</v>
      </c>
      <c r="B743" s="24" t="s">
        <v>1374</v>
      </c>
      <c r="C743" s="24" t="s">
        <v>826</v>
      </c>
    </row>
    <row r="744" spans="1:3" ht="15.75" customHeight="1" x14ac:dyDescent="0.4">
      <c r="A744" s="24" t="s">
        <v>824</v>
      </c>
      <c r="B744" s="24" t="s">
        <v>1375</v>
      </c>
      <c r="C744" s="24" t="s">
        <v>826</v>
      </c>
    </row>
    <row r="745" spans="1:3" ht="15.75" customHeight="1" x14ac:dyDescent="0.4">
      <c r="A745" s="24" t="s">
        <v>824</v>
      </c>
      <c r="B745" s="24" t="s">
        <v>485</v>
      </c>
      <c r="C745" s="24" t="s">
        <v>825</v>
      </c>
    </row>
    <row r="746" spans="1:3" ht="15.75" customHeight="1" x14ac:dyDescent="0.4">
      <c r="A746" s="24" t="s">
        <v>824</v>
      </c>
      <c r="B746" s="24" t="s">
        <v>1376</v>
      </c>
      <c r="C746" s="24" t="s">
        <v>826</v>
      </c>
    </row>
    <row r="747" spans="1:3" ht="15.75" customHeight="1" x14ac:dyDescent="0.4">
      <c r="A747" s="24" t="s">
        <v>824</v>
      </c>
      <c r="B747" s="24" t="s">
        <v>1377</v>
      </c>
      <c r="C747" s="24" t="s">
        <v>826</v>
      </c>
    </row>
    <row r="748" spans="1:3" ht="15.75" customHeight="1" x14ac:dyDescent="0.4">
      <c r="A748" s="24" t="s">
        <v>824</v>
      </c>
      <c r="B748" s="24" t="s">
        <v>1378</v>
      </c>
      <c r="C748" s="24" t="s">
        <v>826</v>
      </c>
    </row>
    <row r="749" spans="1:3" ht="15.75" customHeight="1" x14ac:dyDescent="0.4">
      <c r="A749" s="24" t="s">
        <v>824</v>
      </c>
      <c r="B749" s="24" t="s">
        <v>726</v>
      </c>
      <c r="C749" s="24" t="s">
        <v>825</v>
      </c>
    </row>
    <row r="750" spans="1:3" ht="15.75" customHeight="1" x14ac:dyDescent="0.4">
      <c r="A750" s="24" t="s">
        <v>824</v>
      </c>
      <c r="B750" s="24" t="s">
        <v>232</v>
      </c>
      <c r="C750" s="24" t="s">
        <v>826</v>
      </c>
    </row>
    <row r="751" spans="1:3" ht="15.75" customHeight="1" x14ac:dyDescent="0.4">
      <c r="A751" s="24" t="s">
        <v>824</v>
      </c>
      <c r="B751" s="24" t="s">
        <v>1379</v>
      </c>
      <c r="C751" s="24" t="s">
        <v>826</v>
      </c>
    </row>
    <row r="752" spans="1:3" ht="15.75" customHeight="1" x14ac:dyDescent="0.4">
      <c r="A752" s="24" t="s">
        <v>824</v>
      </c>
      <c r="B752" s="24" t="s">
        <v>1380</v>
      </c>
      <c r="C752" s="24" t="s">
        <v>826</v>
      </c>
    </row>
    <row r="753" spans="1:3" ht="15.75" customHeight="1" x14ac:dyDescent="0.4">
      <c r="A753" s="24" t="s">
        <v>824</v>
      </c>
      <c r="B753" s="24" t="s">
        <v>1381</v>
      </c>
      <c r="C753" s="24" t="s">
        <v>826</v>
      </c>
    </row>
    <row r="754" spans="1:3" ht="15.75" customHeight="1" x14ac:dyDescent="0.4">
      <c r="A754" s="24" t="s">
        <v>824</v>
      </c>
      <c r="B754" s="24" t="s">
        <v>1382</v>
      </c>
      <c r="C754" s="24" t="s">
        <v>826</v>
      </c>
    </row>
    <row r="755" spans="1:3" ht="15.75" customHeight="1" x14ac:dyDescent="0.4">
      <c r="A755" s="24" t="s">
        <v>824</v>
      </c>
      <c r="B755" s="24" t="s">
        <v>1383</v>
      </c>
      <c r="C755" s="24" t="s">
        <v>826</v>
      </c>
    </row>
    <row r="756" spans="1:3" ht="15.75" customHeight="1" x14ac:dyDescent="0.4">
      <c r="A756" s="24" t="s">
        <v>824</v>
      </c>
      <c r="B756" s="24" t="s">
        <v>1384</v>
      </c>
      <c r="C756" s="24" t="s">
        <v>826</v>
      </c>
    </row>
    <row r="757" spans="1:3" ht="15.75" customHeight="1" x14ac:dyDescent="0.4">
      <c r="A757" s="24" t="s">
        <v>824</v>
      </c>
      <c r="B757" s="24" t="s">
        <v>1385</v>
      </c>
      <c r="C757" s="24" t="s">
        <v>826</v>
      </c>
    </row>
    <row r="758" spans="1:3" ht="15.75" customHeight="1" x14ac:dyDescent="0.4">
      <c r="A758" s="24" t="s">
        <v>824</v>
      </c>
      <c r="B758" s="24" t="s">
        <v>1386</v>
      </c>
      <c r="C758" s="24" t="s">
        <v>826</v>
      </c>
    </row>
    <row r="759" spans="1:3" ht="15.75" customHeight="1" x14ac:dyDescent="0.4">
      <c r="A759" s="24" t="s">
        <v>824</v>
      </c>
      <c r="B759" s="24" t="s">
        <v>1387</v>
      </c>
      <c r="C759" s="24" t="s">
        <v>826</v>
      </c>
    </row>
    <row r="760" spans="1:3" ht="15.75" customHeight="1" x14ac:dyDescent="0.4">
      <c r="A760" s="24" t="s">
        <v>824</v>
      </c>
      <c r="B760" s="24" t="s">
        <v>1388</v>
      </c>
      <c r="C760" s="24" t="s">
        <v>826</v>
      </c>
    </row>
    <row r="761" spans="1:3" ht="15.75" customHeight="1" x14ac:dyDescent="0.4">
      <c r="A761" s="24" t="s">
        <v>824</v>
      </c>
      <c r="B761" s="24" t="s">
        <v>1389</v>
      </c>
      <c r="C761" s="24" t="s">
        <v>826</v>
      </c>
    </row>
    <row r="762" spans="1:3" ht="15.75" customHeight="1" x14ac:dyDescent="0.4">
      <c r="A762" s="24" t="s">
        <v>824</v>
      </c>
      <c r="B762" s="24" t="s">
        <v>226</v>
      </c>
      <c r="C762" s="24" t="s">
        <v>826</v>
      </c>
    </row>
    <row r="763" spans="1:3" ht="15.75" customHeight="1" x14ac:dyDescent="0.4">
      <c r="A763" s="24" t="s">
        <v>824</v>
      </c>
      <c r="B763" s="24" t="s">
        <v>1390</v>
      </c>
      <c r="C763" s="24" t="s">
        <v>826</v>
      </c>
    </row>
    <row r="764" spans="1:3" ht="15.75" customHeight="1" x14ac:dyDescent="0.4">
      <c r="A764" s="24" t="s">
        <v>824</v>
      </c>
      <c r="B764" s="24" t="s">
        <v>1391</v>
      </c>
      <c r="C764" s="24" t="s">
        <v>826</v>
      </c>
    </row>
    <row r="765" spans="1:3" ht="15.75" customHeight="1" x14ac:dyDescent="0.4">
      <c r="A765" s="24" t="s">
        <v>824</v>
      </c>
      <c r="B765" s="24" t="s">
        <v>1392</v>
      </c>
      <c r="C765" s="24" t="s">
        <v>826</v>
      </c>
    </row>
    <row r="766" spans="1:3" ht="15.75" customHeight="1" x14ac:dyDescent="0.4">
      <c r="A766" s="24" t="s">
        <v>824</v>
      </c>
      <c r="B766" s="24" t="s">
        <v>1393</v>
      </c>
      <c r="C766" s="24" t="s">
        <v>826</v>
      </c>
    </row>
    <row r="767" spans="1:3" ht="15.75" customHeight="1" x14ac:dyDescent="0.4">
      <c r="A767" s="24" t="s">
        <v>824</v>
      </c>
      <c r="B767" s="24" t="s">
        <v>1394</v>
      </c>
      <c r="C767" s="24" t="s">
        <v>826</v>
      </c>
    </row>
    <row r="768" spans="1:3" ht="15.75" customHeight="1" x14ac:dyDescent="0.4">
      <c r="A768" s="24" t="s">
        <v>824</v>
      </c>
      <c r="B768" s="24" t="s">
        <v>1395</v>
      </c>
      <c r="C768" s="24" t="s">
        <v>826</v>
      </c>
    </row>
    <row r="769" spans="1:3" ht="15.75" customHeight="1" x14ac:dyDescent="0.4">
      <c r="A769" s="24" t="s">
        <v>824</v>
      </c>
      <c r="B769" s="24" t="s">
        <v>475</v>
      </c>
      <c r="C769" s="24" t="s">
        <v>825</v>
      </c>
    </row>
    <row r="770" spans="1:3" ht="15.75" customHeight="1" x14ac:dyDescent="0.4">
      <c r="A770" s="24" t="s">
        <v>824</v>
      </c>
      <c r="B770" s="24" t="s">
        <v>1396</v>
      </c>
      <c r="C770" s="24" t="s">
        <v>826</v>
      </c>
    </row>
    <row r="771" spans="1:3" ht="15.75" customHeight="1" x14ac:dyDescent="0.4">
      <c r="A771" s="24" t="s">
        <v>824</v>
      </c>
      <c r="B771" s="24" t="s">
        <v>1397</v>
      </c>
      <c r="C771" s="24" t="s">
        <v>826</v>
      </c>
    </row>
    <row r="772" spans="1:3" ht="15.75" customHeight="1" x14ac:dyDescent="0.4">
      <c r="A772" s="24" t="s">
        <v>824</v>
      </c>
      <c r="B772" s="24" t="s">
        <v>1398</v>
      </c>
      <c r="C772" s="24" t="s">
        <v>826</v>
      </c>
    </row>
    <row r="773" spans="1:3" ht="15.75" customHeight="1" x14ac:dyDescent="0.4">
      <c r="A773" s="24" t="s">
        <v>824</v>
      </c>
      <c r="B773" s="24" t="s">
        <v>1399</v>
      </c>
      <c r="C773" s="24" t="s">
        <v>826</v>
      </c>
    </row>
    <row r="774" spans="1:3" ht="15.75" customHeight="1" x14ac:dyDescent="0.4">
      <c r="A774" s="24" t="s">
        <v>824</v>
      </c>
      <c r="B774" s="24" t="s">
        <v>1400</v>
      </c>
      <c r="C774" s="24" t="s">
        <v>826</v>
      </c>
    </row>
    <row r="775" spans="1:3" ht="15.75" customHeight="1" x14ac:dyDescent="0.4">
      <c r="A775" s="24" t="s">
        <v>824</v>
      </c>
      <c r="B775" s="24" t="s">
        <v>1401</v>
      </c>
      <c r="C775" s="24" t="s">
        <v>826</v>
      </c>
    </row>
    <row r="776" spans="1:3" ht="15.75" customHeight="1" x14ac:dyDescent="0.4">
      <c r="A776" s="24" t="s">
        <v>824</v>
      </c>
      <c r="B776" s="24" t="s">
        <v>1402</v>
      </c>
      <c r="C776" s="24" t="s">
        <v>826</v>
      </c>
    </row>
    <row r="777" spans="1:3" ht="15.75" customHeight="1" x14ac:dyDescent="0.4">
      <c r="A777" s="24" t="s">
        <v>824</v>
      </c>
      <c r="B777" s="24" t="s">
        <v>1403</v>
      </c>
      <c r="C777" s="24" t="s">
        <v>826</v>
      </c>
    </row>
    <row r="778" spans="1:3" ht="15.75" customHeight="1" x14ac:dyDescent="0.4">
      <c r="A778" s="24" t="s">
        <v>824</v>
      </c>
      <c r="B778" s="24" t="s">
        <v>1404</v>
      </c>
      <c r="C778" s="24" t="s">
        <v>826</v>
      </c>
    </row>
    <row r="779" spans="1:3" ht="15.75" customHeight="1" x14ac:dyDescent="0.4">
      <c r="A779" s="24" t="s">
        <v>824</v>
      </c>
      <c r="B779" s="24" t="s">
        <v>1405</v>
      </c>
      <c r="C779" s="24" t="s">
        <v>826</v>
      </c>
    </row>
    <row r="780" spans="1:3" ht="15.75" customHeight="1" x14ac:dyDescent="0.4">
      <c r="A780" s="24" t="s">
        <v>824</v>
      </c>
      <c r="B780" s="24" t="s">
        <v>1406</v>
      </c>
      <c r="C780" s="24" t="s">
        <v>826</v>
      </c>
    </row>
    <row r="781" spans="1:3" ht="15.75" customHeight="1" x14ac:dyDescent="0.4">
      <c r="A781" s="24" t="s">
        <v>824</v>
      </c>
      <c r="B781" s="24" t="s">
        <v>1407</v>
      </c>
      <c r="C781" s="24" t="s">
        <v>826</v>
      </c>
    </row>
    <row r="782" spans="1:3" ht="15.75" customHeight="1" x14ac:dyDescent="0.4">
      <c r="A782" s="24" t="s">
        <v>824</v>
      </c>
      <c r="B782" s="24" t="s">
        <v>1408</v>
      </c>
      <c r="C782" s="24" t="s">
        <v>826</v>
      </c>
    </row>
    <row r="783" spans="1:3" ht="15.75" customHeight="1" x14ac:dyDescent="0.4">
      <c r="A783" s="24" t="s">
        <v>824</v>
      </c>
      <c r="B783" s="24" t="s">
        <v>1409</v>
      </c>
      <c r="C783" s="24" t="s">
        <v>826</v>
      </c>
    </row>
    <row r="784" spans="1:3" ht="15.75" customHeight="1" x14ac:dyDescent="0.4">
      <c r="A784" s="24" t="s">
        <v>824</v>
      </c>
      <c r="B784" s="24" t="s">
        <v>1410</v>
      </c>
      <c r="C784" s="24" t="s">
        <v>826</v>
      </c>
    </row>
    <row r="785" spans="1:3" ht="15.75" customHeight="1" x14ac:dyDescent="0.4">
      <c r="A785" s="24" t="s">
        <v>824</v>
      </c>
      <c r="B785" s="24" t="s">
        <v>1411</v>
      </c>
      <c r="C785" s="24" t="s">
        <v>826</v>
      </c>
    </row>
    <row r="786" spans="1:3" ht="15.75" customHeight="1" x14ac:dyDescent="0.4">
      <c r="A786" s="24" t="s">
        <v>824</v>
      </c>
      <c r="B786" s="24" t="s">
        <v>1412</v>
      </c>
      <c r="C786" s="24" t="s">
        <v>826</v>
      </c>
    </row>
    <row r="787" spans="1:3" ht="15.75" customHeight="1" x14ac:dyDescent="0.4">
      <c r="A787" s="24" t="s">
        <v>824</v>
      </c>
      <c r="B787" s="24" t="s">
        <v>1413</v>
      </c>
      <c r="C787" s="24" t="s">
        <v>826</v>
      </c>
    </row>
    <row r="788" spans="1:3" ht="15.75" customHeight="1" x14ac:dyDescent="0.4">
      <c r="A788" s="24" t="s">
        <v>824</v>
      </c>
      <c r="B788" s="24" t="s">
        <v>1414</v>
      </c>
      <c r="C788" s="24" t="s">
        <v>826</v>
      </c>
    </row>
    <row r="789" spans="1:3" ht="15.75" customHeight="1" x14ac:dyDescent="0.4">
      <c r="A789" s="24" t="s">
        <v>824</v>
      </c>
      <c r="B789" s="24" t="s">
        <v>1415</v>
      </c>
      <c r="C789" s="24" t="s">
        <v>826</v>
      </c>
    </row>
    <row r="790" spans="1:3" ht="15.75" customHeight="1" x14ac:dyDescent="0.4">
      <c r="A790" s="24" t="s">
        <v>824</v>
      </c>
      <c r="B790" s="24" t="s">
        <v>1416</v>
      </c>
      <c r="C790" s="24" t="s">
        <v>826</v>
      </c>
    </row>
    <row r="791" spans="1:3" ht="15.75" customHeight="1" x14ac:dyDescent="0.4">
      <c r="A791" s="24" t="s">
        <v>824</v>
      </c>
      <c r="B791" s="24" t="s">
        <v>1417</v>
      </c>
      <c r="C791" s="24" t="s">
        <v>826</v>
      </c>
    </row>
    <row r="792" spans="1:3" ht="15.75" customHeight="1" x14ac:dyDescent="0.4">
      <c r="A792" s="24" t="s">
        <v>824</v>
      </c>
      <c r="B792" s="24" t="s">
        <v>1418</v>
      </c>
      <c r="C792" s="24" t="s">
        <v>826</v>
      </c>
    </row>
    <row r="793" spans="1:3" ht="15.75" customHeight="1" x14ac:dyDescent="0.4">
      <c r="A793" s="24" t="s">
        <v>824</v>
      </c>
      <c r="B793" s="24" t="s">
        <v>1419</v>
      </c>
      <c r="C793" s="24" t="s">
        <v>826</v>
      </c>
    </row>
    <row r="794" spans="1:3" ht="15.75" customHeight="1" x14ac:dyDescent="0.4">
      <c r="A794" s="24" t="s">
        <v>824</v>
      </c>
      <c r="B794" s="24" t="s">
        <v>1420</v>
      </c>
      <c r="C794" s="24" t="s">
        <v>826</v>
      </c>
    </row>
    <row r="795" spans="1:3" ht="15.75" customHeight="1" x14ac:dyDescent="0.4">
      <c r="A795" s="24" t="s">
        <v>824</v>
      </c>
      <c r="B795" s="24" t="s">
        <v>1421</v>
      </c>
      <c r="C795" s="24" t="s">
        <v>826</v>
      </c>
    </row>
    <row r="796" spans="1:3" ht="15.75" customHeight="1" x14ac:dyDescent="0.4">
      <c r="A796" s="24" t="s">
        <v>824</v>
      </c>
      <c r="B796" s="24" t="s">
        <v>1422</v>
      </c>
      <c r="C796" s="24" t="s">
        <v>826</v>
      </c>
    </row>
    <row r="797" spans="1:3" ht="15.75" customHeight="1" x14ac:dyDescent="0.4">
      <c r="A797" s="24" t="s">
        <v>824</v>
      </c>
      <c r="B797" s="24" t="s">
        <v>665</v>
      </c>
      <c r="C797" s="24" t="s">
        <v>825</v>
      </c>
    </row>
    <row r="798" spans="1:3" ht="15.75" customHeight="1" x14ac:dyDescent="0.4">
      <c r="A798" s="24" t="s">
        <v>824</v>
      </c>
      <c r="B798" s="24" t="s">
        <v>1423</v>
      </c>
      <c r="C798" s="24" t="s">
        <v>826</v>
      </c>
    </row>
    <row r="799" spans="1:3" ht="15.75" customHeight="1" x14ac:dyDescent="0.4">
      <c r="A799" s="24" t="s">
        <v>824</v>
      </c>
      <c r="B799" s="24" t="s">
        <v>1424</v>
      </c>
      <c r="C799" s="24" t="s">
        <v>826</v>
      </c>
    </row>
    <row r="800" spans="1:3" ht="15.75" customHeight="1" x14ac:dyDescent="0.4">
      <c r="A800" s="24" t="s">
        <v>824</v>
      </c>
      <c r="B800" s="24" t="s">
        <v>1425</v>
      </c>
      <c r="C800" s="24" t="s">
        <v>826</v>
      </c>
    </row>
    <row r="801" spans="1:3" ht="15.75" customHeight="1" x14ac:dyDescent="0.4">
      <c r="A801" s="24" t="s">
        <v>824</v>
      </c>
      <c r="B801" s="24" t="s">
        <v>1426</v>
      </c>
      <c r="C801" s="24" t="s">
        <v>826</v>
      </c>
    </row>
    <row r="802" spans="1:3" ht="15.75" customHeight="1" x14ac:dyDescent="0.4">
      <c r="A802" s="24" t="s">
        <v>824</v>
      </c>
      <c r="B802" s="24" t="s">
        <v>1427</v>
      </c>
      <c r="C802" s="24" t="s">
        <v>826</v>
      </c>
    </row>
    <row r="803" spans="1:3" ht="15.75" customHeight="1" x14ac:dyDescent="0.4">
      <c r="A803" s="24" t="s">
        <v>824</v>
      </c>
      <c r="B803" s="24" t="s">
        <v>1428</v>
      </c>
      <c r="C803" s="24" t="s">
        <v>826</v>
      </c>
    </row>
    <row r="804" spans="1:3" ht="15.75" customHeight="1" x14ac:dyDescent="0.4">
      <c r="A804" s="24" t="s">
        <v>824</v>
      </c>
      <c r="B804" s="24" t="s">
        <v>1429</v>
      </c>
      <c r="C804" s="24" t="s">
        <v>826</v>
      </c>
    </row>
    <row r="805" spans="1:3" ht="15.75" customHeight="1" x14ac:dyDescent="0.4">
      <c r="A805" s="24" t="s">
        <v>824</v>
      </c>
      <c r="B805" s="24" t="s">
        <v>1430</v>
      </c>
      <c r="C805" s="24" t="s">
        <v>826</v>
      </c>
    </row>
    <row r="806" spans="1:3" ht="15.75" customHeight="1" x14ac:dyDescent="0.4">
      <c r="A806" s="24" t="s">
        <v>824</v>
      </c>
      <c r="B806" s="24" t="s">
        <v>1431</v>
      </c>
      <c r="C806" s="24" t="s">
        <v>826</v>
      </c>
    </row>
    <row r="807" spans="1:3" ht="15.75" customHeight="1" x14ac:dyDescent="0.4">
      <c r="A807" s="24" t="s">
        <v>824</v>
      </c>
      <c r="B807" s="24" t="s">
        <v>1432</v>
      </c>
      <c r="C807" s="24" t="s">
        <v>826</v>
      </c>
    </row>
    <row r="808" spans="1:3" ht="15.75" customHeight="1" x14ac:dyDescent="0.4">
      <c r="A808" s="24" t="s">
        <v>824</v>
      </c>
      <c r="B808" s="24" t="s">
        <v>1433</v>
      </c>
      <c r="C808" s="24" t="s">
        <v>826</v>
      </c>
    </row>
    <row r="809" spans="1:3" ht="15.75" customHeight="1" x14ac:dyDescent="0.4">
      <c r="A809" s="24" t="s">
        <v>824</v>
      </c>
      <c r="B809" s="24" t="s">
        <v>1434</v>
      </c>
      <c r="C809" s="24" t="s">
        <v>826</v>
      </c>
    </row>
    <row r="810" spans="1:3" ht="15.75" customHeight="1" x14ac:dyDescent="0.4">
      <c r="A810" s="24" t="s">
        <v>824</v>
      </c>
      <c r="B810" s="24" t="s">
        <v>1435</v>
      </c>
      <c r="C810" s="24" t="s">
        <v>826</v>
      </c>
    </row>
    <row r="811" spans="1:3" ht="15.75" customHeight="1" x14ac:dyDescent="0.4">
      <c r="A811" s="24" t="s">
        <v>824</v>
      </c>
      <c r="B811" s="24" t="s">
        <v>1436</v>
      </c>
      <c r="C811" s="24" t="s">
        <v>826</v>
      </c>
    </row>
    <row r="812" spans="1:3" ht="15.75" customHeight="1" x14ac:dyDescent="0.4">
      <c r="A812" s="24" t="s">
        <v>824</v>
      </c>
      <c r="B812" s="24" t="s">
        <v>1437</v>
      </c>
      <c r="C812" s="24" t="s">
        <v>826</v>
      </c>
    </row>
    <row r="813" spans="1:3" ht="15.75" customHeight="1" x14ac:dyDescent="0.4">
      <c r="A813" s="24" t="s">
        <v>824</v>
      </c>
      <c r="B813" s="24" t="s">
        <v>1438</v>
      </c>
      <c r="C813" s="24" t="s">
        <v>826</v>
      </c>
    </row>
    <row r="814" spans="1:3" ht="15.75" customHeight="1" x14ac:dyDescent="0.4">
      <c r="A814" s="24" t="s">
        <v>824</v>
      </c>
      <c r="B814" s="24" t="s">
        <v>1439</v>
      </c>
      <c r="C814" s="24" t="s">
        <v>826</v>
      </c>
    </row>
    <row r="815" spans="1:3" ht="15.75" customHeight="1" x14ac:dyDescent="0.4">
      <c r="A815" s="24" t="s">
        <v>824</v>
      </c>
      <c r="B815" s="24" t="s">
        <v>1440</v>
      </c>
      <c r="C815" s="24" t="s">
        <v>826</v>
      </c>
    </row>
    <row r="816" spans="1:3" ht="15.75" customHeight="1" x14ac:dyDescent="0.4">
      <c r="A816" s="24" t="s">
        <v>824</v>
      </c>
      <c r="B816" s="24" t="s">
        <v>1441</v>
      </c>
      <c r="C816" s="24" t="s">
        <v>826</v>
      </c>
    </row>
    <row r="817" spans="1:3" ht="15.75" customHeight="1" x14ac:dyDescent="0.4">
      <c r="A817" s="24" t="s">
        <v>824</v>
      </c>
      <c r="B817" s="24" t="s">
        <v>1442</v>
      </c>
      <c r="C817" s="24" t="s">
        <v>826</v>
      </c>
    </row>
    <row r="818" spans="1:3" ht="15.75" customHeight="1" x14ac:dyDescent="0.4">
      <c r="A818" s="24" t="s">
        <v>824</v>
      </c>
      <c r="B818" s="24" t="s">
        <v>1443</v>
      </c>
      <c r="C818" s="24" t="s">
        <v>826</v>
      </c>
    </row>
    <row r="819" spans="1:3" ht="15.75" customHeight="1" x14ac:dyDescent="0.4">
      <c r="A819" s="24" t="s">
        <v>824</v>
      </c>
      <c r="B819" s="24" t="s">
        <v>1444</v>
      </c>
      <c r="C819" s="24" t="s">
        <v>826</v>
      </c>
    </row>
    <row r="820" spans="1:3" ht="15.75" customHeight="1" x14ac:dyDescent="0.4">
      <c r="A820" s="24" t="s">
        <v>824</v>
      </c>
      <c r="B820" s="24" t="s">
        <v>1445</v>
      </c>
      <c r="C820" s="24" t="s">
        <v>826</v>
      </c>
    </row>
    <row r="821" spans="1:3" ht="15.75" customHeight="1" x14ac:dyDescent="0.4">
      <c r="A821" s="24" t="s">
        <v>824</v>
      </c>
      <c r="B821" s="24" t="s">
        <v>1446</v>
      </c>
      <c r="C821" s="24" t="s">
        <v>826</v>
      </c>
    </row>
    <row r="822" spans="1:3" ht="15.75" customHeight="1" x14ac:dyDescent="0.4">
      <c r="A822" s="24" t="s">
        <v>824</v>
      </c>
      <c r="B822" s="24" t="s">
        <v>1447</v>
      </c>
      <c r="C822" s="24" t="s">
        <v>826</v>
      </c>
    </row>
    <row r="823" spans="1:3" ht="15.75" customHeight="1" x14ac:dyDescent="0.4">
      <c r="A823" s="24" t="s">
        <v>824</v>
      </c>
      <c r="B823" s="24" t="s">
        <v>1448</v>
      </c>
      <c r="C823" s="24" t="s">
        <v>826</v>
      </c>
    </row>
    <row r="824" spans="1:3" ht="15.75" customHeight="1" x14ac:dyDescent="0.4">
      <c r="A824" s="24" t="s">
        <v>824</v>
      </c>
      <c r="B824" s="24" t="s">
        <v>756</v>
      </c>
      <c r="C824" s="24" t="s">
        <v>825</v>
      </c>
    </row>
    <row r="825" spans="1:3" ht="15.75" customHeight="1" x14ac:dyDescent="0.4">
      <c r="A825" s="24" t="s">
        <v>824</v>
      </c>
      <c r="B825" s="24" t="s">
        <v>1449</v>
      </c>
      <c r="C825" s="24" t="s">
        <v>826</v>
      </c>
    </row>
    <row r="826" spans="1:3" ht="15.75" customHeight="1" x14ac:dyDescent="0.4">
      <c r="A826" s="24" t="s">
        <v>824</v>
      </c>
      <c r="B826" s="24" t="s">
        <v>1450</v>
      </c>
      <c r="C826" s="24" t="s">
        <v>826</v>
      </c>
    </row>
    <row r="827" spans="1:3" ht="15.75" customHeight="1" x14ac:dyDescent="0.4">
      <c r="A827" s="24" t="s">
        <v>824</v>
      </c>
      <c r="B827" s="24" t="s">
        <v>1451</v>
      </c>
      <c r="C827" s="24" t="s">
        <v>826</v>
      </c>
    </row>
    <row r="828" spans="1:3" ht="15.75" customHeight="1" x14ac:dyDescent="0.4">
      <c r="A828" s="24" t="s">
        <v>824</v>
      </c>
      <c r="B828" s="24" t="s">
        <v>1452</v>
      </c>
      <c r="C828" s="24" t="s">
        <v>826</v>
      </c>
    </row>
    <row r="829" spans="1:3" ht="15.75" customHeight="1" x14ac:dyDescent="0.4">
      <c r="A829" s="24" t="s">
        <v>824</v>
      </c>
      <c r="B829" s="24" t="s">
        <v>1453</v>
      </c>
      <c r="C829" s="24" t="s">
        <v>826</v>
      </c>
    </row>
    <row r="830" spans="1:3" ht="15.75" customHeight="1" x14ac:dyDescent="0.4">
      <c r="A830" s="24" t="s">
        <v>824</v>
      </c>
      <c r="B830" s="24" t="s">
        <v>1454</v>
      </c>
      <c r="C830" s="24" t="s">
        <v>826</v>
      </c>
    </row>
    <row r="831" spans="1:3" ht="15.75" customHeight="1" x14ac:dyDescent="0.4">
      <c r="A831" s="24" t="s">
        <v>824</v>
      </c>
      <c r="B831" s="24" t="s">
        <v>1455</v>
      </c>
      <c r="C831" s="24" t="s">
        <v>826</v>
      </c>
    </row>
    <row r="832" spans="1:3" ht="15.75" customHeight="1" x14ac:dyDescent="0.4">
      <c r="A832" s="24" t="s">
        <v>824</v>
      </c>
      <c r="B832" s="24" t="s">
        <v>1456</v>
      </c>
      <c r="C832" s="24" t="s">
        <v>826</v>
      </c>
    </row>
    <row r="833" spans="1:3" ht="15.75" customHeight="1" x14ac:dyDescent="0.4">
      <c r="A833" s="24" t="s">
        <v>824</v>
      </c>
      <c r="B833" s="24" t="s">
        <v>1457</v>
      </c>
      <c r="C833" s="24" t="s">
        <v>826</v>
      </c>
    </row>
    <row r="834" spans="1:3" ht="15.75" customHeight="1" x14ac:dyDescent="0.4">
      <c r="A834" s="24" t="s">
        <v>824</v>
      </c>
      <c r="B834" s="24" t="s">
        <v>1458</v>
      </c>
      <c r="C834" s="24" t="s">
        <v>826</v>
      </c>
    </row>
    <row r="835" spans="1:3" ht="15.75" customHeight="1" x14ac:dyDescent="0.4">
      <c r="A835" s="24" t="s">
        <v>824</v>
      </c>
      <c r="B835" s="24" t="s">
        <v>1459</v>
      </c>
      <c r="C835" s="24" t="s">
        <v>826</v>
      </c>
    </row>
    <row r="836" spans="1:3" ht="15.75" customHeight="1" x14ac:dyDescent="0.4">
      <c r="A836" s="24" t="s">
        <v>824</v>
      </c>
      <c r="B836" s="24" t="s">
        <v>1460</v>
      </c>
      <c r="C836" s="24" t="s">
        <v>826</v>
      </c>
    </row>
    <row r="837" spans="1:3" ht="15.75" customHeight="1" x14ac:dyDescent="0.4">
      <c r="A837" s="24" t="s">
        <v>824</v>
      </c>
      <c r="B837" s="24" t="s">
        <v>1461</v>
      </c>
      <c r="C837" s="24" t="s">
        <v>826</v>
      </c>
    </row>
    <row r="838" spans="1:3" ht="15.75" customHeight="1" x14ac:dyDescent="0.4">
      <c r="A838" s="24" t="s">
        <v>824</v>
      </c>
      <c r="B838" s="24" t="s">
        <v>1462</v>
      </c>
      <c r="C838" s="24" t="s">
        <v>826</v>
      </c>
    </row>
    <row r="839" spans="1:3" ht="15.75" customHeight="1" x14ac:dyDescent="0.4">
      <c r="A839" s="24" t="s">
        <v>824</v>
      </c>
      <c r="B839" s="24" t="s">
        <v>1463</v>
      </c>
      <c r="C839" s="24" t="s">
        <v>826</v>
      </c>
    </row>
    <row r="840" spans="1:3" ht="15.75" customHeight="1" x14ac:dyDescent="0.4">
      <c r="A840" s="24" t="s">
        <v>824</v>
      </c>
      <c r="B840" s="24" t="s">
        <v>1464</v>
      </c>
      <c r="C840" s="24" t="s">
        <v>826</v>
      </c>
    </row>
    <row r="841" spans="1:3" ht="15.75" customHeight="1" x14ac:dyDescent="0.4">
      <c r="A841" s="24" t="s">
        <v>824</v>
      </c>
      <c r="B841" s="24" t="s">
        <v>1465</v>
      </c>
      <c r="C841" s="24" t="s">
        <v>826</v>
      </c>
    </row>
    <row r="842" spans="1:3" ht="15.75" customHeight="1" x14ac:dyDescent="0.4">
      <c r="A842" s="24" t="s">
        <v>824</v>
      </c>
      <c r="B842" s="24" t="s">
        <v>786</v>
      </c>
      <c r="C842" s="24" t="s">
        <v>825</v>
      </c>
    </row>
    <row r="843" spans="1:3" ht="15.75" customHeight="1" x14ac:dyDescent="0.4">
      <c r="A843" s="24" t="s">
        <v>824</v>
      </c>
      <c r="B843" s="24" t="s">
        <v>712</v>
      </c>
      <c r="C843" s="24" t="s">
        <v>825</v>
      </c>
    </row>
    <row r="844" spans="1:3" ht="15.75" customHeight="1" x14ac:dyDescent="0.4">
      <c r="A844" s="24" t="s">
        <v>824</v>
      </c>
      <c r="B844" s="24" t="s">
        <v>1466</v>
      </c>
      <c r="C844" s="24" t="s">
        <v>826</v>
      </c>
    </row>
    <row r="845" spans="1:3" ht="15.75" customHeight="1" x14ac:dyDescent="0.4">
      <c r="A845" s="24" t="s">
        <v>824</v>
      </c>
      <c r="B845" s="24" t="s">
        <v>1467</v>
      </c>
      <c r="C845" s="24" t="s">
        <v>826</v>
      </c>
    </row>
    <row r="846" spans="1:3" ht="15.75" customHeight="1" x14ac:dyDescent="0.4">
      <c r="A846" s="24" t="s">
        <v>824</v>
      </c>
      <c r="B846" s="24" t="s">
        <v>1468</v>
      </c>
      <c r="C846" s="24" t="s">
        <v>826</v>
      </c>
    </row>
    <row r="847" spans="1:3" ht="15.75" customHeight="1" x14ac:dyDescent="0.4">
      <c r="A847" s="24" t="s">
        <v>824</v>
      </c>
      <c r="B847" s="24" t="s">
        <v>1469</v>
      </c>
      <c r="C847" s="24" t="s">
        <v>826</v>
      </c>
    </row>
    <row r="848" spans="1:3" ht="15.75" customHeight="1" x14ac:dyDescent="0.4">
      <c r="A848" s="24" t="s">
        <v>824</v>
      </c>
      <c r="B848" s="24" t="s">
        <v>1470</v>
      </c>
      <c r="C848" s="24" t="s">
        <v>826</v>
      </c>
    </row>
    <row r="849" spans="1:3" ht="15.75" customHeight="1" x14ac:dyDescent="0.4">
      <c r="A849" s="24" t="s">
        <v>824</v>
      </c>
      <c r="B849" s="24" t="s">
        <v>1471</v>
      </c>
      <c r="C849" s="24" t="s">
        <v>826</v>
      </c>
    </row>
    <row r="850" spans="1:3" ht="15.75" customHeight="1" x14ac:dyDescent="0.4">
      <c r="A850" s="24" t="s">
        <v>824</v>
      </c>
      <c r="B850" s="24" t="s">
        <v>1472</v>
      </c>
      <c r="C850" s="24" t="s">
        <v>826</v>
      </c>
    </row>
    <row r="851" spans="1:3" ht="15.75" customHeight="1" x14ac:dyDescent="0.4">
      <c r="A851" s="24" t="s">
        <v>824</v>
      </c>
      <c r="B851" s="24" t="s">
        <v>1473</v>
      </c>
      <c r="C851" s="24" t="s">
        <v>826</v>
      </c>
    </row>
    <row r="852" spans="1:3" ht="15.75" customHeight="1" x14ac:dyDescent="0.4">
      <c r="A852" s="24" t="s">
        <v>824</v>
      </c>
      <c r="B852" s="24" t="s">
        <v>1474</v>
      </c>
      <c r="C852" s="24" t="s">
        <v>826</v>
      </c>
    </row>
    <row r="853" spans="1:3" ht="15.75" customHeight="1" x14ac:dyDescent="0.4">
      <c r="A853" s="24" t="s">
        <v>824</v>
      </c>
      <c r="B853" s="24" t="s">
        <v>1475</v>
      </c>
      <c r="C853" s="24" t="s">
        <v>826</v>
      </c>
    </row>
    <row r="854" spans="1:3" ht="15.75" customHeight="1" x14ac:dyDescent="0.4">
      <c r="A854" s="24" t="s">
        <v>824</v>
      </c>
      <c r="B854" s="24" t="s">
        <v>1476</v>
      </c>
      <c r="C854" s="24" t="s">
        <v>826</v>
      </c>
    </row>
    <row r="855" spans="1:3" ht="15.75" customHeight="1" x14ac:dyDescent="0.4">
      <c r="A855" s="24" t="s">
        <v>824</v>
      </c>
      <c r="B855" s="24" t="s">
        <v>1477</v>
      </c>
      <c r="C855" s="24" t="s">
        <v>826</v>
      </c>
    </row>
    <row r="856" spans="1:3" ht="15.75" customHeight="1" x14ac:dyDescent="0.4">
      <c r="A856" s="24" t="s">
        <v>824</v>
      </c>
      <c r="B856" s="24" t="s">
        <v>1478</v>
      </c>
      <c r="C856" s="24" t="s">
        <v>826</v>
      </c>
    </row>
    <row r="857" spans="1:3" ht="15.75" customHeight="1" x14ac:dyDescent="0.4">
      <c r="A857" s="24" t="s">
        <v>824</v>
      </c>
      <c r="B857" s="24" t="s">
        <v>1479</v>
      </c>
      <c r="C857" s="24" t="s">
        <v>826</v>
      </c>
    </row>
    <row r="858" spans="1:3" ht="15.75" customHeight="1" x14ac:dyDescent="0.4">
      <c r="A858" s="24" t="s">
        <v>824</v>
      </c>
      <c r="B858" s="24" t="s">
        <v>1480</v>
      </c>
      <c r="C858" s="24" t="s">
        <v>826</v>
      </c>
    </row>
    <row r="859" spans="1:3" ht="15.75" customHeight="1" x14ac:dyDescent="0.4">
      <c r="A859" s="24" t="s">
        <v>824</v>
      </c>
      <c r="B859" s="24" t="s">
        <v>1481</v>
      </c>
      <c r="C859" s="24" t="s">
        <v>826</v>
      </c>
    </row>
    <row r="860" spans="1:3" ht="15.75" customHeight="1" x14ac:dyDescent="0.4">
      <c r="A860" s="24" t="s">
        <v>824</v>
      </c>
      <c r="B860" s="24" t="s">
        <v>1482</v>
      </c>
      <c r="C860" s="24" t="s">
        <v>826</v>
      </c>
    </row>
    <row r="861" spans="1:3" ht="15.75" customHeight="1" x14ac:dyDescent="0.4">
      <c r="A861" s="24" t="s">
        <v>824</v>
      </c>
      <c r="B861" s="24" t="s">
        <v>1483</v>
      </c>
      <c r="C861" s="24" t="s">
        <v>826</v>
      </c>
    </row>
    <row r="862" spans="1:3" ht="15.75" customHeight="1" x14ac:dyDescent="0.4">
      <c r="A862" s="24" t="s">
        <v>824</v>
      </c>
      <c r="B862" s="24" t="s">
        <v>1484</v>
      </c>
      <c r="C862" s="24" t="s">
        <v>826</v>
      </c>
    </row>
    <row r="863" spans="1:3" ht="15.75" customHeight="1" x14ac:dyDescent="0.4">
      <c r="A863" s="24" t="s">
        <v>824</v>
      </c>
      <c r="B863" s="24" t="s">
        <v>1485</v>
      </c>
      <c r="C863" s="24" t="s">
        <v>826</v>
      </c>
    </row>
    <row r="864" spans="1:3" ht="15.75" customHeight="1" x14ac:dyDescent="0.4">
      <c r="A864" s="24" t="s">
        <v>824</v>
      </c>
      <c r="B864" s="24" t="s">
        <v>1486</v>
      </c>
      <c r="C864" s="24" t="s">
        <v>826</v>
      </c>
    </row>
    <row r="865" spans="1:3" ht="15.75" customHeight="1" x14ac:dyDescent="0.4">
      <c r="A865" s="24" t="s">
        <v>824</v>
      </c>
      <c r="B865" s="24" t="s">
        <v>1487</v>
      </c>
      <c r="C865" s="24" t="s">
        <v>826</v>
      </c>
    </row>
    <row r="866" spans="1:3" ht="15.75" customHeight="1" x14ac:dyDescent="0.4">
      <c r="A866" s="24" t="s">
        <v>824</v>
      </c>
      <c r="B866" s="24" t="s">
        <v>1488</v>
      </c>
      <c r="C866" s="24" t="s">
        <v>826</v>
      </c>
    </row>
    <row r="867" spans="1:3" ht="15.75" customHeight="1" x14ac:dyDescent="0.4">
      <c r="A867" s="24" t="s">
        <v>824</v>
      </c>
      <c r="B867" s="24" t="s">
        <v>1489</v>
      </c>
      <c r="C867" s="24" t="s">
        <v>826</v>
      </c>
    </row>
    <row r="868" spans="1:3" ht="15.75" customHeight="1" x14ac:dyDescent="0.4">
      <c r="A868" s="24" t="s">
        <v>824</v>
      </c>
      <c r="B868" s="24" t="s">
        <v>1490</v>
      </c>
      <c r="C868" s="24" t="s">
        <v>826</v>
      </c>
    </row>
    <row r="869" spans="1:3" ht="15.75" customHeight="1" x14ac:dyDescent="0.4">
      <c r="A869" s="24" t="s">
        <v>824</v>
      </c>
      <c r="B869" s="24" t="s">
        <v>1491</v>
      </c>
      <c r="C869" s="24" t="s">
        <v>826</v>
      </c>
    </row>
    <row r="870" spans="1:3" ht="15.75" customHeight="1" x14ac:dyDescent="0.4">
      <c r="A870" s="24" t="s">
        <v>824</v>
      </c>
      <c r="B870" s="24" t="s">
        <v>1492</v>
      </c>
      <c r="C870" s="24" t="s">
        <v>826</v>
      </c>
    </row>
    <row r="871" spans="1:3" ht="15.75" customHeight="1" x14ac:dyDescent="0.4">
      <c r="A871" s="24" t="s">
        <v>824</v>
      </c>
      <c r="B871" s="24" t="s">
        <v>1493</v>
      </c>
      <c r="C871" s="24" t="s">
        <v>826</v>
      </c>
    </row>
    <row r="872" spans="1:3" ht="15.75" customHeight="1" x14ac:dyDescent="0.4">
      <c r="A872" s="24" t="s">
        <v>824</v>
      </c>
      <c r="B872" s="24" t="s">
        <v>1494</v>
      </c>
      <c r="C872" s="24" t="s">
        <v>826</v>
      </c>
    </row>
    <row r="873" spans="1:3" ht="15.75" customHeight="1" x14ac:dyDescent="0.4">
      <c r="A873" s="24" t="s">
        <v>824</v>
      </c>
      <c r="B873" s="24" t="s">
        <v>681</v>
      </c>
      <c r="C873" s="24" t="s">
        <v>825</v>
      </c>
    </row>
    <row r="874" spans="1:3" ht="15.75" customHeight="1" x14ac:dyDescent="0.4">
      <c r="A874" s="24" t="s">
        <v>824</v>
      </c>
      <c r="B874" s="24" t="s">
        <v>1495</v>
      </c>
      <c r="C874" s="24" t="s">
        <v>826</v>
      </c>
    </row>
    <row r="875" spans="1:3" ht="15.75" customHeight="1" x14ac:dyDescent="0.4">
      <c r="A875" s="24" t="s">
        <v>824</v>
      </c>
      <c r="B875" s="24" t="s">
        <v>700</v>
      </c>
      <c r="C875" s="24" t="s">
        <v>825</v>
      </c>
    </row>
    <row r="876" spans="1:3" ht="15.75" customHeight="1" x14ac:dyDescent="0.4">
      <c r="A876" s="24" t="s">
        <v>824</v>
      </c>
      <c r="B876" s="24" t="s">
        <v>1496</v>
      </c>
      <c r="C876" s="24" t="s">
        <v>826</v>
      </c>
    </row>
    <row r="877" spans="1:3" ht="15.75" customHeight="1" x14ac:dyDescent="0.4">
      <c r="A877" s="24" t="s">
        <v>824</v>
      </c>
      <c r="B877" s="24" t="s">
        <v>1497</v>
      </c>
      <c r="C877" s="24" t="s">
        <v>826</v>
      </c>
    </row>
    <row r="878" spans="1:3" ht="15.75" customHeight="1" x14ac:dyDescent="0.4">
      <c r="A878" s="24" t="s">
        <v>824</v>
      </c>
      <c r="B878" s="24" t="s">
        <v>1498</v>
      </c>
      <c r="C878" s="24" t="s">
        <v>826</v>
      </c>
    </row>
    <row r="879" spans="1:3" ht="15.75" customHeight="1" x14ac:dyDescent="0.4">
      <c r="A879" s="24" t="s">
        <v>824</v>
      </c>
      <c r="B879" s="24" t="s">
        <v>1499</v>
      </c>
      <c r="C879" s="24" t="s">
        <v>826</v>
      </c>
    </row>
    <row r="880" spans="1:3" ht="15.75" customHeight="1" x14ac:dyDescent="0.4">
      <c r="A880" s="24" t="s">
        <v>824</v>
      </c>
      <c r="B880" s="24" t="s">
        <v>280</v>
      </c>
      <c r="C880" s="24" t="s">
        <v>825</v>
      </c>
    </row>
    <row r="881" spans="1:3" ht="15.75" customHeight="1" x14ac:dyDescent="0.4">
      <c r="A881" s="24" t="s">
        <v>824</v>
      </c>
      <c r="B881" s="24" t="s">
        <v>722</v>
      </c>
      <c r="C881" s="24" t="s">
        <v>825</v>
      </c>
    </row>
    <row r="882" spans="1:3" ht="15.75" customHeight="1" x14ac:dyDescent="0.4">
      <c r="A882" s="24" t="s">
        <v>824</v>
      </c>
      <c r="B882" s="24" t="s">
        <v>671</v>
      </c>
      <c r="C882" s="24" t="s">
        <v>825</v>
      </c>
    </row>
    <row r="883" spans="1:3" ht="15.75" customHeight="1" x14ac:dyDescent="0.4">
      <c r="A883" s="24" t="s">
        <v>824</v>
      </c>
      <c r="B883" s="24" t="s">
        <v>1500</v>
      </c>
      <c r="C883" s="24" t="s">
        <v>826</v>
      </c>
    </row>
    <row r="884" spans="1:3" ht="15.75" customHeight="1" x14ac:dyDescent="0.4">
      <c r="A884" s="24" t="s">
        <v>824</v>
      </c>
      <c r="B884" s="24" t="s">
        <v>1501</v>
      </c>
      <c r="C884" s="24" t="s">
        <v>826</v>
      </c>
    </row>
    <row r="885" spans="1:3" ht="15.75" customHeight="1" x14ac:dyDescent="0.4">
      <c r="A885" s="24" t="s">
        <v>824</v>
      </c>
      <c r="B885" s="24" t="s">
        <v>1502</v>
      </c>
      <c r="C885" s="24" t="s">
        <v>826</v>
      </c>
    </row>
    <row r="886" spans="1:3" ht="15.75" customHeight="1" x14ac:dyDescent="0.4">
      <c r="A886" s="24" t="s">
        <v>824</v>
      </c>
      <c r="B886" s="24" t="s">
        <v>1503</v>
      </c>
      <c r="C886" s="24" t="s">
        <v>826</v>
      </c>
    </row>
    <row r="887" spans="1:3" ht="15.75" customHeight="1" x14ac:dyDescent="0.4">
      <c r="A887" s="24" t="s">
        <v>824</v>
      </c>
      <c r="B887" s="24" t="s">
        <v>1504</v>
      </c>
      <c r="C887" s="24" t="s">
        <v>826</v>
      </c>
    </row>
    <row r="888" spans="1:3" ht="15.75" customHeight="1" x14ac:dyDescent="0.4">
      <c r="A888" s="24" t="s">
        <v>824</v>
      </c>
      <c r="B888" s="24" t="s">
        <v>1505</v>
      </c>
      <c r="C888" s="24" t="s">
        <v>826</v>
      </c>
    </row>
    <row r="889" spans="1:3" ht="15.75" customHeight="1" x14ac:dyDescent="0.4">
      <c r="A889" s="24" t="s">
        <v>824</v>
      </c>
      <c r="B889" s="24" t="s">
        <v>1506</v>
      </c>
      <c r="C889" s="24" t="s">
        <v>826</v>
      </c>
    </row>
    <row r="890" spans="1:3" ht="15.75" customHeight="1" x14ac:dyDescent="0.4">
      <c r="A890" s="24" t="s">
        <v>824</v>
      </c>
      <c r="B890" s="24" t="s">
        <v>242</v>
      </c>
      <c r="C890" s="24" t="s">
        <v>826</v>
      </c>
    </row>
    <row r="891" spans="1:3" ht="15.75" customHeight="1" x14ac:dyDescent="0.4">
      <c r="A891" s="24" t="s">
        <v>824</v>
      </c>
      <c r="B891" s="24" t="s">
        <v>1507</v>
      </c>
      <c r="C891" s="24" t="s">
        <v>826</v>
      </c>
    </row>
    <row r="892" spans="1:3" ht="15.75" customHeight="1" x14ac:dyDescent="0.4">
      <c r="A892" s="24" t="s">
        <v>824</v>
      </c>
      <c r="B892" s="24" t="s">
        <v>1508</v>
      </c>
      <c r="C892" s="24" t="s">
        <v>826</v>
      </c>
    </row>
    <row r="893" spans="1:3" ht="15.75" customHeight="1" x14ac:dyDescent="0.4">
      <c r="A893" s="24" t="s">
        <v>824</v>
      </c>
      <c r="B893" s="24" t="s">
        <v>1509</v>
      </c>
      <c r="C893" s="24" t="s">
        <v>826</v>
      </c>
    </row>
    <row r="894" spans="1:3" ht="15.75" customHeight="1" x14ac:dyDescent="0.4">
      <c r="A894" s="24" t="s">
        <v>824</v>
      </c>
      <c r="B894" s="24" t="s">
        <v>1510</v>
      </c>
      <c r="C894" s="24" t="s">
        <v>826</v>
      </c>
    </row>
    <row r="895" spans="1:3" ht="15.75" customHeight="1" x14ac:dyDescent="0.4">
      <c r="A895" s="24" t="s">
        <v>824</v>
      </c>
      <c r="B895" s="24" t="s">
        <v>1511</v>
      </c>
      <c r="C895" s="24" t="s">
        <v>826</v>
      </c>
    </row>
    <row r="896" spans="1:3" ht="15.75" customHeight="1" x14ac:dyDescent="0.4">
      <c r="A896" s="24" t="s">
        <v>824</v>
      </c>
      <c r="B896" s="24" t="s">
        <v>1512</v>
      </c>
      <c r="C896" s="24" t="s">
        <v>826</v>
      </c>
    </row>
    <row r="897" spans="1:3" ht="15.75" customHeight="1" x14ac:dyDescent="0.4">
      <c r="A897" s="24" t="s">
        <v>824</v>
      </c>
      <c r="B897" s="24" t="s">
        <v>788</v>
      </c>
      <c r="C897" s="24" t="s">
        <v>825</v>
      </c>
    </row>
    <row r="898" spans="1:3" ht="15.75" customHeight="1" x14ac:dyDescent="0.4">
      <c r="A898" s="24" t="s">
        <v>824</v>
      </c>
      <c r="B898" s="24" t="s">
        <v>1513</v>
      </c>
      <c r="C898" s="24" t="s">
        <v>826</v>
      </c>
    </row>
    <row r="899" spans="1:3" ht="15.75" customHeight="1" x14ac:dyDescent="0.4">
      <c r="A899" s="24" t="s">
        <v>824</v>
      </c>
      <c r="B899" s="24" t="s">
        <v>1514</v>
      </c>
      <c r="C899" s="24" t="s">
        <v>826</v>
      </c>
    </row>
    <row r="900" spans="1:3" ht="15.75" customHeight="1" x14ac:dyDescent="0.4">
      <c r="A900" s="24" t="s">
        <v>824</v>
      </c>
      <c r="B900" s="24" t="s">
        <v>1515</v>
      </c>
      <c r="C900" s="24" t="s">
        <v>826</v>
      </c>
    </row>
    <row r="901" spans="1:3" ht="15.75" customHeight="1" x14ac:dyDescent="0.4">
      <c r="A901" s="24" t="s">
        <v>824</v>
      </c>
      <c r="B901" s="24" t="s">
        <v>1516</v>
      </c>
      <c r="C901" s="24" t="s">
        <v>826</v>
      </c>
    </row>
    <row r="902" spans="1:3" ht="15.75" customHeight="1" x14ac:dyDescent="0.4">
      <c r="A902" s="24" t="s">
        <v>824</v>
      </c>
      <c r="B902" s="24" t="s">
        <v>1517</v>
      </c>
      <c r="C902" s="24" t="s">
        <v>826</v>
      </c>
    </row>
    <row r="903" spans="1:3" ht="15.75" customHeight="1" x14ac:dyDescent="0.4">
      <c r="A903" s="24" t="s">
        <v>824</v>
      </c>
      <c r="B903" s="24" t="s">
        <v>1518</v>
      </c>
      <c r="C903" s="24" t="s">
        <v>826</v>
      </c>
    </row>
    <row r="904" spans="1:3" ht="15.75" customHeight="1" x14ac:dyDescent="0.4">
      <c r="A904" s="24" t="s">
        <v>824</v>
      </c>
      <c r="B904" s="24" t="s">
        <v>1519</v>
      </c>
      <c r="C904" s="24" t="s">
        <v>826</v>
      </c>
    </row>
    <row r="905" spans="1:3" ht="15.75" customHeight="1" x14ac:dyDescent="0.4">
      <c r="A905" s="24" t="s">
        <v>824</v>
      </c>
      <c r="B905" s="24" t="s">
        <v>1520</v>
      </c>
      <c r="C905" s="24" t="s">
        <v>826</v>
      </c>
    </row>
    <row r="906" spans="1:3" ht="15.75" customHeight="1" x14ac:dyDescent="0.4">
      <c r="A906" s="24" t="s">
        <v>824</v>
      </c>
      <c r="B906" s="24" t="s">
        <v>1521</v>
      </c>
      <c r="C906" s="24" t="s">
        <v>826</v>
      </c>
    </row>
    <row r="907" spans="1:3" ht="15.75" customHeight="1" x14ac:dyDescent="0.4">
      <c r="A907" s="24" t="s">
        <v>824</v>
      </c>
      <c r="B907" s="24" t="s">
        <v>1522</v>
      </c>
      <c r="C907" s="24" t="s">
        <v>826</v>
      </c>
    </row>
    <row r="908" spans="1:3" ht="15.75" customHeight="1" x14ac:dyDescent="0.4">
      <c r="A908" s="24" t="s">
        <v>824</v>
      </c>
      <c r="B908" s="24" t="s">
        <v>573</v>
      </c>
      <c r="C908" s="24" t="s">
        <v>825</v>
      </c>
    </row>
    <row r="909" spans="1:3" ht="15.75" customHeight="1" x14ac:dyDescent="0.4">
      <c r="A909" s="24" t="s">
        <v>824</v>
      </c>
      <c r="B909" s="24" t="s">
        <v>1523</v>
      </c>
      <c r="C909" s="24" t="s">
        <v>826</v>
      </c>
    </row>
    <row r="910" spans="1:3" ht="15.75" customHeight="1" x14ac:dyDescent="0.4">
      <c r="A910" s="24" t="s">
        <v>824</v>
      </c>
      <c r="B910" s="24" t="s">
        <v>1524</v>
      </c>
      <c r="C910" s="24" t="s">
        <v>826</v>
      </c>
    </row>
    <row r="911" spans="1:3" ht="15.75" customHeight="1" x14ac:dyDescent="0.4">
      <c r="A911" s="24" t="s">
        <v>824</v>
      </c>
      <c r="B911" s="24" t="s">
        <v>1525</v>
      </c>
      <c r="C911" s="24" t="s">
        <v>826</v>
      </c>
    </row>
    <row r="912" spans="1:3" ht="15.75" customHeight="1" x14ac:dyDescent="0.4">
      <c r="A912" s="24" t="s">
        <v>824</v>
      </c>
      <c r="B912" s="24" t="s">
        <v>1526</v>
      </c>
      <c r="C912" s="24" t="s">
        <v>826</v>
      </c>
    </row>
    <row r="913" spans="1:3" ht="15.75" customHeight="1" x14ac:dyDescent="0.4">
      <c r="A913" s="24" t="s">
        <v>824</v>
      </c>
      <c r="B913" s="24" t="s">
        <v>1527</v>
      </c>
      <c r="C913" s="24" t="s">
        <v>826</v>
      </c>
    </row>
    <row r="914" spans="1:3" ht="15.75" customHeight="1" x14ac:dyDescent="0.4">
      <c r="A914" s="24" t="s">
        <v>824</v>
      </c>
      <c r="B914" s="24" t="s">
        <v>1528</v>
      </c>
      <c r="C914" s="24" t="s">
        <v>826</v>
      </c>
    </row>
    <row r="915" spans="1:3" ht="15.75" customHeight="1" x14ac:dyDescent="0.4">
      <c r="A915" s="24" t="s">
        <v>824</v>
      </c>
      <c r="B915" s="24" t="s">
        <v>1529</v>
      </c>
      <c r="C915" s="24" t="s">
        <v>826</v>
      </c>
    </row>
    <row r="916" spans="1:3" ht="15.75" customHeight="1" x14ac:dyDescent="0.4">
      <c r="A916" s="24" t="s">
        <v>824</v>
      </c>
      <c r="B916" s="24" t="s">
        <v>1530</v>
      </c>
      <c r="C916" s="24" t="s">
        <v>826</v>
      </c>
    </row>
    <row r="917" spans="1:3" ht="15.75" customHeight="1" x14ac:dyDescent="0.4">
      <c r="A917" s="24" t="s">
        <v>824</v>
      </c>
      <c r="B917" s="24" t="s">
        <v>1531</v>
      </c>
      <c r="C917" s="24" t="s">
        <v>826</v>
      </c>
    </row>
    <row r="918" spans="1:3" ht="15.75" customHeight="1" x14ac:dyDescent="0.4">
      <c r="A918" s="24" t="s">
        <v>824</v>
      </c>
      <c r="B918" s="24" t="s">
        <v>1532</v>
      </c>
      <c r="C918" s="24" t="s">
        <v>826</v>
      </c>
    </row>
    <row r="919" spans="1:3" ht="15.75" customHeight="1" x14ac:dyDescent="0.4">
      <c r="A919" s="24" t="s">
        <v>824</v>
      </c>
      <c r="B919" s="24" t="s">
        <v>1533</v>
      </c>
      <c r="C919" s="24" t="s">
        <v>826</v>
      </c>
    </row>
    <row r="920" spans="1:3" ht="15.75" customHeight="1" x14ac:dyDescent="0.4">
      <c r="A920" s="24" t="s">
        <v>824</v>
      </c>
      <c r="B920" s="24" t="s">
        <v>445</v>
      </c>
      <c r="C920" s="24" t="s">
        <v>825</v>
      </c>
    </row>
    <row r="921" spans="1:3" ht="15.75" customHeight="1" x14ac:dyDescent="0.4">
      <c r="A921" s="24" t="s">
        <v>824</v>
      </c>
      <c r="B921" s="24" t="s">
        <v>1534</v>
      </c>
      <c r="C921" s="24" t="s">
        <v>826</v>
      </c>
    </row>
    <row r="922" spans="1:3" ht="15.75" customHeight="1" x14ac:dyDescent="0.4">
      <c r="A922" s="24" t="s">
        <v>824</v>
      </c>
      <c r="B922" s="24" t="s">
        <v>463</v>
      </c>
      <c r="C922" s="24" t="s">
        <v>825</v>
      </c>
    </row>
    <row r="923" spans="1:3" ht="15.75" customHeight="1" x14ac:dyDescent="0.4">
      <c r="A923" s="24" t="s">
        <v>824</v>
      </c>
      <c r="B923" s="24" t="s">
        <v>1535</v>
      </c>
      <c r="C923" s="24" t="s">
        <v>826</v>
      </c>
    </row>
    <row r="924" spans="1:3" ht="15.75" customHeight="1" x14ac:dyDescent="0.4">
      <c r="A924" s="24" t="s">
        <v>824</v>
      </c>
      <c r="B924" s="24" t="s">
        <v>1536</v>
      </c>
      <c r="C924" s="24" t="s">
        <v>826</v>
      </c>
    </row>
    <row r="925" spans="1:3" ht="15.75" customHeight="1" x14ac:dyDescent="0.4">
      <c r="A925" s="24" t="s">
        <v>824</v>
      </c>
      <c r="B925" s="24" t="s">
        <v>1537</v>
      </c>
      <c r="C925" s="24" t="s">
        <v>826</v>
      </c>
    </row>
    <row r="926" spans="1:3" ht="15.75" customHeight="1" x14ac:dyDescent="0.4">
      <c r="A926" s="24" t="s">
        <v>824</v>
      </c>
      <c r="B926" s="24" t="s">
        <v>1538</v>
      </c>
      <c r="C926" s="24" t="s">
        <v>826</v>
      </c>
    </row>
    <row r="927" spans="1:3" ht="15.75" customHeight="1" x14ac:dyDescent="0.4">
      <c r="A927" s="24" t="s">
        <v>824</v>
      </c>
      <c r="B927" s="24" t="s">
        <v>1539</v>
      </c>
      <c r="C927" s="24" t="s">
        <v>826</v>
      </c>
    </row>
    <row r="928" spans="1:3" ht="15.75" customHeight="1" x14ac:dyDescent="0.4">
      <c r="A928" s="24" t="s">
        <v>824</v>
      </c>
      <c r="B928" s="24" t="s">
        <v>1540</v>
      </c>
      <c r="C928" s="24" t="s">
        <v>826</v>
      </c>
    </row>
    <row r="929" spans="1:3" ht="15.75" customHeight="1" x14ac:dyDescent="0.4">
      <c r="A929" s="24" t="s">
        <v>824</v>
      </c>
      <c r="B929" s="24" t="s">
        <v>1541</v>
      </c>
      <c r="C929" s="24" t="s">
        <v>826</v>
      </c>
    </row>
    <row r="930" spans="1:3" ht="15.75" customHeight="1" x14ac:dyDescent="0.4">
      <c r="A930" s="24" t="s">
        <v>824</v>
      </c>
      <c r="B930" s="24" t="s">
        <v>643</v>
      </c>
      <c r="C930" s="24" t="s">
        <v>825</v>
      </c>
    </row>
    <row r="931" spans="1:3" ht="15.75" customHeight="1" x14ac:dyDescent="0.4">
      <c r="A931" s="24" t="s">
        <v>824</v>
      </c>
      <c r="B931" s="24" t="s">
        <v>1542</v>
      </c>
      <c r="C931" s="24" t="s">
        <v>826</v>
      </c>
    </row>
    <row r="932" spans="1:3" ht="15.75" customHeight="1" x14ac:dyDescent="0.4">
      <c r="A932" s="24" t="s">
        <v>824</v>
      </c>
      <c r="B932" s="24" t="s">
        <v>1543</v>
      </c>
      <c r="C932" s="24" t="s">
        <v>826</v>
      </c>
    </row>
    <row r="933" spans="1:3" ht="15.75" customHeight="1" x14ac:dyDescent="0.4">
      <c r="A933" s="24" t="s">
        <v>824</v>
      </c>
      <c r="B933" s="24" t="s">
        <v>714</v>
      </c>
      <c r="C933" s="24" t="s">
        <v>825</v>
      </c>
    </row>
    <row r="934" spans="1:3" ht="15.75" customHeight="1" x14ac:dyDescent="0.4">
      <c r="A934" s="24" t="s">
        <v>824</v>
      </c>
      <c r="B934" s="24" t="s">
        <v>1544</v>
      </c>
      <c r="C934" s="24" t="s">
        <v>826</v>
      </c>
    </row>
    <row r="935" spans="1:3" ht="15.75" customHeight="1" x14ac:dyDescent="0.4">
      <c r="A935" s="24" t="s">
        <v>824</v>
      </c>
      <c r="B935" s="24" t="s">
        <v>1545</v>
      </c>
      <c r="C935" s="24" t="s">
        <v>826</v>
      </c>
    </row>
    <row r="936" spans="1:3" ht="15.75" customHeight="1" x14ac:dyDescent="0.4">
      <c r="A936" s="24" t="s">
        <v>824</v>
      </c>
      <c r="B936" s="24" t="s">
        <v>1546</v>
      </c>
      <c r="C936" s="24" t="s">
        <v>826</v>
      </c>
    </row>
    <row r="937" spans="1:3" ht="15.75" customHeight="1" x14ac:dyDescent="0.4">
      <c r="A937" s="24" t="s">
        <v>824</v>
      </c>
      <c r="B937" s="24" t="s">
        <v>1547</v>
      </c>
      <c r="C937" s="24" t="s">
        <v>826</v>
      </c>
    </row>
    <row r="938" spans="1:3" ht="15.75" customHeight="1" x14ac:dyDescent="0.4">
      <c r="A938" s="24" t="s">
        <v>824</v>
      </c>
      <c r="B938" s="24" t="s">
        <v>1548</v>
      </c>
      <c r="C938" s="24" t="s">
        <v>826</v>
      </c>
    </row>
    <row r="939" spans="1:3" ht="15.75" customHeight="1" x14ac:dyDescent="0.4">
      <c r="A939" s="24" t="s">
        <v>824</v>
      </c>
      <c r="B939" s="24" t="s">
        <v>1549</v>
      </c>
      <c r="C939" s="24" t="s">
        <v>826</v>
      </c>
    </row>
    <row r="940" spans="1:3" ht="15.75" customHeight="1" x14ac:dyDescent="0.4">
      <c r="A940" s="24" t="s">
        <v>824</v>
      </c>
      <c r="B940" s="24" t="s">
        <v>1550</v>
      </c>
      <c r="C940" s="24" t="s">
        <v>826</v>
      </c>
    </row>
    <row r="941" spans="1:3" ht="15.75" customHeight="1" x14ac:dyDescent="0.4">
      <c r="A941" s="24" t="s">
        <v>824</v>
      </c>
      <c r="B941" s="24" t="s">
        <v>1551</v>
      </c>
      <c r="C941" s="24" t="s">
        <v>826</v>
      </c>
    </row>
    <row r="942" spans="1:3" ht="15.75" customHeight="1" x14ac:dyDescent="0.4">
      <c r="A942" s="24" t="s">
        <v>824</v>
      </c>
      <c r="B942" s="24" t="s">
        <v>1552</v>
      </c>
      <c r="C942" s="24" t="s">
        <v>826</v>
      </c>
    </row>
    <row r="943" spans="1:3" ht="15.75" customHeight="1" x14ac:dyDescent="0.4">
      <c r="A943" s="24" t="s">
        <v>824</v>
      </c>
      <c r="B943" s="24" t="s">
        <v>790</v>
      </c>
      <c r="C943" s="24" t="s">
        <v>825</v>
      </c>
    </row>
    <row r="944" spans="1:3" ht="15.75" customHeight="1" x14ac:dyDescent="0.4">
      <c r="A944" s="24" t="s">
        <v>824</v>
      </c>
      <c r="B944" s="24" t="s">
        <v>1553</v>
      </c>
      <c r="C944" s="24" t="s">
        <v>826</v>
      </c>
    </row>
    <row r="945" spans="1:3" ht="15.75" customHeight="1" x14ac:dyDescent="0.4">
      <c r="A945" s="24" t="s">
        <v>824</v>
      </c>
      <c r="B945" s="24" t="s">
        <v>1554</v>
      </c>
      <c r="C945" s="24" t="s">
        <v>826</v>
      </c>
    </row>
    <row r="946" spans="1:3" ht="15.75" customHeight="1" x14ac:dyDescent="0.4">
      <c r="A946" s="24" t="s">
        <v>824</v>
      </c>
      <c r="B946" s="24" t="s">
        <v>1555</v>
      </c>
      <c r="C946" s="24" t="s">
        <v>826</v>
      </c>
    </row>
    <row r="947" spans="1:3" ht="15.75" customHeight="1" x14ac:dyDescent="0.4">
      <c r="A947" s="24" t="s">
        <v>824</v>
      </c>
      <c r="B947" s="24" t="s">
        <v>1556</v>
      </c>
      <c r="C947" s="24" t="s">
        <v>826</v>
      </c>
    </row>
    <row r="948" spans="1:3" ht="15.75" customHeight="1" x14ac:dyDescent="0.4">
      <c r="A948" s="24" t="s">
        <v>824</v>
      </c>
      <c r="B948" s="24" t="s">
        <v>1557</v>
      </c>
      <c r="C948" s="24" t="s">
        <v>826</v>
      </c>
    </row>
    <row r="949" spans="1:3" ht="15.75" customHeight="1" x14ac:dyDescent="0.4">
      <c r="A949" s="24" t="s">
        <v>824</v>
      </c>
      <c r="B949" s="24" t="s">
        <v>1558</v>
      </c>
      <c r="C949" s="24" t="s">
        <v>826</v>
      </c>
    </row>
    <row r="950" spans="1:3" ht="15.75" customHeight="1" x14ac:dyDescent="0.4">
      <c r="A950" s="24" t="s">
        <v>824</v>
      </c>
      <c r="B950" s="24" t="s">
        <v>1559</v>
      </c>
      <c r="C950" s="24" t="s">
        <v>826</v>
      </c>
    </row>
    <row r="951" spans="1:3" ht="15.75" customHeight="1" x14ac:dyDescent="0.4">
      <c r="A951" s="24" t="s">
        <v>824</v>
      </c>
      <c r="B951" s="24" t="s">
        <v>1560</v>
      </c>
      <c r="C951" s="24" t="s">
        <v>826</v>
      </c>
    </row>
    <row r="952" spans="1:3" ht="15.75" customHeight="1" x14ac:dyDescent="0.4">
      <c r="A952" s="24" t="s">
        <v>824</v>
      </c>
      <c r="B952" s="24" t="s">
        <v>1561</v>
      </c>
      <c r="C952" s="24" t="s">
        <v>826</v>
      </c>
    </row>
    <row r="953" spans="1:3" ht="15.75" customHeight="1" x14ac:dyDescent="0.4">
      <c r="A953" s="24" t="s">
        <v>824</v>
      </c>
      <c r="B953" s="24" t="s">
        <v>1562</v>
      </c>
      <c r="C953" s="24" t="s">
        <v>826</v>
      </c>
    </row>
    <row r="954" spans="1:3" ht="15.75" customHeight="1" x14ac:dyDescent="0.4">
      <c r="A954" s="24" t="s">
        <v>824</v>
      </c>
      <c r="B954" s="24" t="s">
        <v>1563</v>
      </c>
      <c r="C954" s="24" t="s">
        <v>826</v>
      </c>
    </row>
    <row r="955" spans="1:3" ht="15.75" customHeight="1" x14ac:dyDescent="0.4">
      <c r="A955" s="24" t="s">
        <v>824</v>
      </c>
      <c r="B955" s="24" t="s">
        <v>1564</v>
      </c>
      <c r="C955" s="24" t="s">
        <v>826</v>
      </c>
    </row>
    <row r="956" spans="1:3" ht="15.75" customHeight="1" x14ac:dyDescent="0.4">
      <c r="A956" s="24" t="s">
        <v>824</v>
      </c>
      <c r="B956" s="24" t="s">
        <v>1565</v>
      </c>
      <c r="C956" s="24" t="s">
        <v>826</v>
      </c>
    </row>
    <row r="957" spans="1:3" ht="15.75" customHeight="1" x14ac:dyDescent="0.4">
      <c r="A957" s="24" t="s">
        <v>824</v>
      </c>
      <c r="B957" s="24" t="s">
        <v>1566</v>
      </c>
      <c r="C957" s="24" t="s">
        <v>826</v>
      </c>
    </row>
    <row r="958" spans="1:3" ht="15.75" customHeight="1" x14ac:dyDescent="0.4">
      <c r="A958" s="24" t="s">
        <v>824</v>
      </c>
      <c r="B958" s="24" t="s">
        <v>583</v>
      </c>
      <c r="C958" s="24" t="s">
        <v>825</v>
      </c>
    </row>
    <row r="959" spans="1:3" ht="15.75" customHeight="1" x14ac:dyDescent="0.4">
      <c r="A959" s="24" t="s">
        <v>824</v>
      </c>
      <c r="B959" s="24" t="s">
        <v>1567</v>
      </c>
      <c r="C959" s="24" t="s">
        <v>826</v>
      </c>
    </row>
    <row r="960" spans="1:3" ht="15.75" customHeight="1" x14ac:dyDescent="0.4">
      <c r="A960" s="24" t="s">
        <v>824</v>
      </c>
      <c r="B960" s="24" t="s">
        <v>720</v>
      </c>
      <c r="C960" s="24" t="s">
        <v>825</v>
      </c>
    </row>
    <row r="961" spans="1:3" ht="15.75" customHeight="1" x14ac:dyDescent="0.4">
      <c r="A961" s="24" t="s">
        <v>824</v>
      </c>
      <c r="B961" s="24" t="s">
        <v>1568</v>
      </c>
      <c r="C961" s="24" t="s">
        <v>826</v>
      </c>
    </row>
    <row r="962" spans="1:3" ht="15.75" customHeight="1" x14ac:dyDescent="0.4">
      <c r="A962" s="24" t="s">
        <v>824</v>
      </c>
      <c r="B962" s="24" t="s">
        <v>1569</v>
      </c>
      <c r="C962" s="24" t="s">
        <v>826</v>
      </c>
    </row>
    <row r="963" spans="1:3" ht="15.75" customHeight="1" x14ac:dyDescent="0.4">
      <c r="A963" s="24" t="s">
        <v>824</v>
      </c>
      <c r="B963" s="24" t="s">
        <v>1570</v>
      </c>
      <c r="C963" s="24" t="s">
        <v>826</v>
      </c>
    </row>
    <row r="964" spans="1:3" ht="15.75" customHeight="1" x14ac:dyDescent="0.4">
      <c r="A964" s="24" t="s">
        <v>824</v>
      </c>
      <c r="B964" s="24" t="s">
        <v>1571</v>
      </c>
      <c r="C964" s="24" t="s">
        <v>826</v>
      </c>
    </row>
    <row r="965" spans="1:3" ht="15.75" customHeight="1" x14ac:dyDescent="0.4">
      <c r="A965" s="24" t="s">
        <v>824</v>
      </c>
      <c r="B965" s="24" t="s">
        <v>1572</v>
      </c>
      <c r="C965" s="24" t="s">
        <v>826</v>
      </c>
    </row>
    <row r="966" spans="1:3" ht="15.75" customHeight="1" x14ac:dyDescent="0.4">
      <c r="A966" s="24" t="s">
        <v>824</v>
      </c>
      <c r="B966" s="24" t="s">
        <v>1573</v>
      </c>
      <c r="C966" s="24" t="s">
        <v>826</v>
      </c>
    </row>
    <row r="967" spans="1:3" ht="15.75" customHeight="1" x14ac:dyDescent="0.4">
      <c r="A967" s="24" t="s">
        <v>824</v>
      </c>
      <c r="B967" s="24" t="s">
        <v>1574</v>
      </c>
      <c r="C967" s="24" t="s">
        <v>826</v>
      </c>
    </row>
    <row r="968" spans="1:3" ht="15.75" customHeight="1" x14ac:dyDescent="0.4">
      <c r="A968" s="24" t="s">
        <v>824</v>
      </c>
      <c r="B968" s="24" t="s">
        <v>1575</v>
      </c>
      <c r="C968" s="24" t="s">
        <v>826</v>
      </c>
    </row>
    <row r="969" spans="1:3" ht="15.75" customHeight="1" x14ac:dyDescent="0.4">
      <c r="A969" s="24" t="s">
        <v>824</v>
      </c>
      <c r="B969" s="24" t="s">
        <v>1576</v>
      </c>
      <c r="C969" s="24" t="s">
        <v>826</v>
      </c>
    </row>
    <row r="970" spans="1:3" ht="15.75" customHeight="1" x14ac:dyDescent="0.4">
      <c r="A970" s="24" t="s">
        <v>824</v>
      </c>
      <c r="B970" s="24" t="s">
        <v>1577</v>
      </c>
      <c r="C970" s="24" t="s">
        <v>826</v>
      </c>
    </row>
    <row r="971" spans="1:3" ht="15.75" customHeight="1" x14ac:dyDescent="0.4">
      <c r="A971" s="24" t="s">
        <v>824</v>
      </c>
      <c r="B971" s="24" t="s">
        <v>1578</v>
      </c>
      <c r="C971" s="24" t="s">
        <v>826</v>
      </c>
    </row>
    <row r="972" spans="1:3" ht="15.75" customHeight="1" x14ac:dyDescent="0.4">
      <c r="A972" s="24" t="s">
        <v>824</v>
      </c>
      <c r="B972" s="24" t="s">
        <v>1579</v>
      </c>
      <c r="C972" s="24" t="s">
        <v>826</v>
      </c>
    </row>
    <row r="973" spans="1:3" ht="15.75" customHeight="1" x14ac:dyDescent="0.4">
      <c r="A973" s="24" t="s">
        <v>824</v>
      </c>
      <c r="B973" s="24" t="s">
        <v>1580</v>
      </c>
      <c r="C973" s="24" t="s">
        <v>826</v>
      </c>
    </row>
    <row r="974" spans="1:3" ht="15.75" customHeight="1" x14ac:dyDescent="0.4">
      <c r="A974" s="24" t="s">
        <v>824</v>
      </c>
      <c r="B974" s="24" t="s">
        <v>1581</v>
      </c>
      <c r="C974" s="24" t="s">
        <v>826</v>
      </c>
    </row>
    <row r="975" spans="1:3" ht="15.75" customHeight="1" x14ac:dyDescent="0.4">
      <c r="A975" s="24" t="s">
        <v>824</v>
      </c>
      <c r="B975" s="24" t="s">
        <v>1582</v>
      </c>
      <c r="C975" s="24" t="s">
        <v>826</v>
      </c>
    </row>
    <row r="976" spans="1:3" ht="15.75" customHeight="1" x14ac:dyDescent="0.4">
      <c r="A976" s="24" t="s">
        <v>824</v>
      </c>
      <c r="B976" s="24" t="s">
        <v>1583</v>
      </c>
      <c r="C976" s="24" t="s">
        <v>826</v>
      </c>
    </row>
    <row r="977" spans="1:3" ht="15.75" customHeight="1" x14ac:dyDescent="0.4">
      <c r="A977" s="24" t="s">
        <v>824</v>
      </c>
      <c r="B977" s="24" t="s">
        <v>1584</v>
      </c>
      <c r="C977" s="24" t="s">
        <v>826</v>
      </c>
    </row>
    <row r="978" spans="1:3" ht="15.75" customHeight="1" x14ac:dyDescent="0.4">
      <c r="A978" s="24" t="s">
        <v>824</v>
      </c>
      <c r="B978" s="24" t="s">
        <v>1585</v>
      </c>
      <c r="C978" s="24" t="s">
        <v>826</v>
      </c>
    </row>
    <row r="979" spans="1:3" ht="15.75" customHeight="1" x14ac:dyDescent="0.4">
      <c r="A979" s="24" t="s">
        <v>824</v>
      </c>
      <c r="B979" s="24" t="s">
        <v>1586</v>
      </c>
      <c r="C979" s="24" t="s">
        <v>826</v>
      </c>
    </row>
    <row r="980" spans="1:3" ht="15.75" customHeight="1" x14ac:dyDescent="0.4">
      <c r="A980" s="24" t="s">
        <v>824</v>
      </c>
      <c r="B980" s="24" t="s">
        <v>1587</v>
      </c>
      <c r="C980" s="24" t="s">
        <v>826</v>
      </c>
    </row>
    <row r="981" spans="1:3" ht="15.75" customHeight="1" x14ac:dyDescent="0.4">
      <c r="A981" s="24" t="s">
        <v>824</v>
      </c>
      <c r="B981" s="24" t="s">
        <v>1588</v>
      </c>
      <c r="C981" s="24" t="s">
        <v>826</v>
      </c>
    </row>
    <row r="982" spans="1:3" ht="15.75" customHeight="1" x14ac:dyDescent="0.4">
      <c r="A982" s="24" t="s">
        <v>824</v>
      </c>
      <c r="B982" s="24" t="s">
        <v>1589</v>
      </c>
      <c r="C982" s="24" t="s">
        <v>826</v>
      </c>
    </row>
    <row r="983" spans="1:3" ht="15.75" customHeight="1" x14ac:dyDescent="0.4">
      <c r="A983" s="24" t="s">
        <v>824</v>
      </c>
      <c r="B983" s="24" t="s">
        <v>1590</v>
      </c>
      <c r="C983" s="24" t="s">
        <v>826</v>
      </c>
    </row>
    <row r="984" spans="1:3" ht="15.75" customHeight="1" x14ac:dyDescent="0.4">
      <c r="A984" s="24" t="s">
        <v>824</v>
      </c>
      <c r="B984" s="24" t="s">
        <v>1591</v>
      </c>
      <c r="C984" s="24" t="s">
        <v>826</v>
      </c>
    </row>
    <row r="985" spans="1:3" ht="15.75" customHeight="1" x14ac:dyDescent="0.4">
      <c r="A985" s="24" t="s">
        <v>824</v>
      </c>
      <c r="B985" s="24" t="s">
        <v>1592</v>
      </c>
      <c r="C985" s="24" t="s">
        <v>826</v>
      </c>
    </row>
    <row r="986" spans="1:3" ht="15.75" customHeight="1" x14ac:dyDescent="0.4">
      <c r="A986" s="24" t="s">
        <v>824</v>
      </c>
      <c r="B986" s="24" t="s">
        <v>740</v>
      </c>
      <c r="C986" s="24" t="s">
        <v>825</v>
      </c>
    </row>
    <row r="987" spans="1:3" ht="15.75" customHeight="1" x14ac:dyDescent="0.4">
      <c r="A987" s="24" t="s">
        <v>824</v>
      </c>
      <c r="B987" s="24" t="s">
        <v>1593</v>
      </c>
      <c r="C987" s="24" t="s">
        <v>826</v>
      </c>
    </row>
    <row r="988" spans="1:3" ht="15.75" customHeight="1" x14ac:dyDescent="0.4">
      <c r="A988" s="24" t="s">
        <v>824</v>
      </c>
      <c r="B988" s="24" t="s">
        <v>1594</v>
      </c>
      <c r="C988" s="24" t="s">
        <v>826</v>
      </c>
    </row>
    <row r="989" spans="1:3" ht="15.75" customHeight="1" x14ac:dyDescent="0.4">
      <c r="A989" s="24" t="s">
        <v>824</v>
      </c>
      <c r="B989" s="24" t="s">
        <v>1595</v>
      </c>
      <c r="C989" s="24" t="s">
        <v>826</v>
      </c>
    </row>
    <row r="990" spans="1:3" ht="15.75" customHeight="1" x14ac:dyDescent="0.4">
      <c r="A990" s="24" t="s">
        <v>824</v>
      </c>
      <c r="B990" s="24" t="s">
        <v>1596</v>
      </c>
      <c r="C990" s="24" t="s">
        <v>826</v>
      </c>
    </row>
    <row r="991" spans="1:3" ht="15.75" customHeight="1" x14ac:dyDescent="0.4">
      <c r="A991" s="24" t="s">
        <v>824</v>
      </c>
      <c r="B991" s="24" t="s">
        <v>760</v>
      </c>
      <c r="C991" s="24" t="s">
        <v>825</v>
      </c>
    </row>
    <row r="992" spans="1:3" ht="15.75" customHeight="1" x14ac:dyDescent="0.4">
      <c r="A992" s="24" t="s">
        <v>824</v>
      </c>
      <c r="B992" s="24" t="s">
        <v>1597</v>
      </c>
      <c r="C992" s="24" t="s">
        <v>826</v>
      </c>
    </row>
    <row r="993" spans="1:3" ht="15.75" customHeight="1" x14ac:dyDescent="0.4">
      <c r="A993" s="24" t="s">
        <v>824</v>
      </c>
      <c r="B993" s="24" t="s">
        <v>1598</v>
      </c>
      <c r="C993" s="24" t="s">
        <v>826</v>
      </c>
    </row>
    <row r="994" spans="1:3" ht="15.75" customHeight="1" x14ac:dyDescent="0.4">
      <c r="A994" s="24" t="s">
        <v>824</v>
      </c>
      <c r="B994" s="24" t="s">
        <v>1599</v>
      </c>
      <c r="C994" s="24" t="s">
        <v>826</v>
      </c>
    </row>
    <row r="995" spans="1:3" ht="15.75" customHeight="1" x14ac:dyDescent="0.4">
      <c r="A995" s="24" t="s">
        <v>824</v>
      </c>
      <c r="B995" s="24" t="s">
        <v>1600</v>
      </c>
      <c r="C995" s="24" t="s">
        <v>826</v>
      </c>
    </row>
    <row r="996" spans="1:3" ht="15.75" customHeight="1" x14ac:dyDescent="0.4">
      <c r="A996" s="24" t="s">
        <v>824</v>
      </c>
      <c r="B996" s="24" t="s">
        <v>1601</v>
      </c>
      <c r="C996" s="24" t="s">
        <v>826</v>
      </c>
    </row>
    <row r="997" spans="1:3" ht="15.75" customHeight="1" x14ac:dyDescent="0.4">
      <c r="A997" s="24" t="s">
        <v>824</v>
      </c>
      <c r="B997" s="24" t="s">
        <v>1602</v>
      </c>
      <c r="C997" s="24" t="s">
        <v>826</v>
      </c>
    </row>
    <row r="998" spans="1:3" ht="15.75" customHeight="1" x14ac:dyDescent="0.4">
      <c r="A998" s="24" t="s">
        <v>824</v>
      </c>
      <c r="B998" s="24" t="s">
        <v>1603</v>
      </c>
      <c r="C998" s="24" t="s">
        <v>826</v>
      </c>
    </row>
    <row r="999" spans="1:3" ht="15.75" customHeight="1" x14ac:dyDescent="0.4">
      <c r="A999" s="24" t="s">
        <v>824</v>
      </c>
      <c r="B999" s="24" t="s">
        <v>229</v>
      </c>
      <c r="C999" s="24" t="s">
        <v>826</v>
      </c>
    </row>
    <row r="1000" spans="1:3" ht="15.75" customHeight="1" x14ac:dyDescent="0.4">
      <c r="A1000" s="24" t="s">
        <v>824</v>
      </c>
      <c r="B1000" s="24" t="s">
        <v>1604</v>
      </c>
      <c r="C1000" s="24" t="s">
        <v>826</v>
      </c>
    </row>
    <row r="1001" spans="1:3" ht="15.75" customHeight="1" x14ac:dyDescent="0.4">
      <c r="A1001" s="24" t="s">
        <v>824</v>
      </c>
      <c r="B1001" s="24" t="s">
        <v>1605</v>
      </c>
      <c r="C1001" s="24" t="s">
        <v>826</v>
      </c>
    </row>
    <row r="1002" spans="1:3" ht="15.75" customHeight="1" x14ac:dyDescent="0.4">
      <c r="A1002" s="24" t="s">
        <v>824</v>
      </c>
      <c r="B1002" s="24" t="s">
        <v>1606</v>
      </c>
      <c r="C1002" s="24" t="s">
        <v>826</v>
      </c>
    </row>
    <row r="1003" spans="1:3" ht="15.75" customHeight="1" x14ac:dyDescent="0.4">
      <c r="A1003" s="24" t="s">
        <v>824</v>
      </c>
      <c r="B1003" s="24" t="s">
        <v>1607</v>
      </c>
      <c r="C1003" s="24" t="s">
        <v>826</v>
      </c>
    </row>
    <row r="1004" spans="1:3" ht="15.75" customHeight="1" x14ac:dyDescent="0.4">
      <c r="A1004" s="24" t="s">
        <v>824</v>
      </c>
      <c r="B1004" s="24" t="s">
        <v>1608</v>
      </c>
      <c r="C1004" s="24" t="s">
        <v>826</v>
      </c>
    </row>
    <row r="1005" spans="1:3" ht="15.75" customHeight="1" x14ac:dyDescent="0.4">
      <c r="A1005" s="24" t="s">
        <v>824</v>
      </c>
      <c r="B1005" s="24" t="s">
        <v>1609</v>
      </c>
      <c r="C1005" s="24" t="s">
        <v>826</v>
      </c>
    </row>
    <row r="1006" spans="1:3" ht="15.75" customHeight="1" x14ac:dyDescent="0.4">
      <c r="A1006" s="24" t="s">
        <v>824</v>
      </c>
      <c r="B1006" s="24" t="s">
        <v>1610</v>
      </c>
      <c r="C1006" s="24" t="s">
        <v>826</v>
      </c>
    </row>
    <row r="1007" spans="1:3" ht="15.75" customHeight="1" x14ac:dyDescent="0.4">
      <c r="A1007" s="24" t="s">
        <v>824</v>
      </c>
      <c r="B1007" s="24" t="s">
        <v>1611</v>
      </c>
      <c r="C1007" s="24" t="s">
        <v>826</v>
      </c>
    </row>
    <row r="1008" spans="1:3" ht="15.75" customHeight="1" x14ac:dyDescent="0.4">
      <c r="A1008" s="24" t="s">
        <v>824</v>
      </c>
      <c r="B1008" s="24" t="s">
        <v>1612</v>
      </c>
      <c r="C1008" s="24" t="s">
        <v>826</v>
      </c>
    </row>
    <row r="1009" spans="1:3" ht="15.75" customHeight="1" x14ac:dyDescent="0.4">
      <c r="A1009" s="24" t="s">
        <v>824</v>
      </c>
      <c r="B1009" s="24" t="s">
        <v>1613</v>
      </c>
      <c r="C1009" s="24" t="s">
        <v>826</v>
      </c>
    </row>
    <row r="1010" spans="1:3" ht="15.75" customHeight="1" x14ac:dyDescent="0.4">
      <c r="A1010" s="24" t="s">
        <v>824</v>
      </c>
      <c r="B1010" s="24" t="s">
        <v>1614</v>
      </c>
      <c r="C1010" s="24" t="s">
        <v>826</v>
      </c>
    </row>
    <row r="1011" spans="1:3" ht="15.75" customHeight="1" x14ac:dyDescent="0.4">
      <c r="A1011" s="24" t="s">
        <v>824</v>
      </c>
      <c r="B1011" s="24" t="s">
        <v>1615</v>
      </c>
      <c r="C1011" s="24" t="s">
        <v>826</v>
      </c>
    </row>
    <row r="1012" spans="1:3" ht="15.75" customHeight="1" x14ac:dyDescent="0.4">
      <c r="A1012" s="24" t="s">
        <v>824</v>
      </c>
      <c r="B1012" s="24" t="s">
        <v>1616</v>
      </c>
      <c r="C1012" s="24" t="s">
        <v>826</v>
      </c>
    </row>
    <row r="1013" spans="1:3" ht="15.75" customHeight="1" x14ac:dyDescent="0.4">
      <c r="A1013" s="24" t="s">
        <v>824</v>
      </c>
      <c r="B1013" s="24" t="s">
        <v>1617</v>
      </c>
      <c r="C1013" s="24" t="s">
        <v>826</v>
      </c>
    </row>
    <row r="1014" spans="1:3" ht="15.75" customHeight="1" x14ac:dyDescent="0.4">
      <c r="A1014" s="24" t="s">
        <v>824</v>
      </c>
      <c r="B1014" s="24" t="s">
        <v>1618</v>
      </c>
      <c r="C1014" s="24" t="s">
        <v>826</v>
      </c>
    </row>
    <row r="1015" spans="1:3" ht="15.75" customHeight="1" x14ac:dyDescent="0.4">
      <c r="A1015" s="24" t="s">
        <v>824</v>
      </c>
      <c r="B1015" s="24" t="s">
        <v>1619</v>
      </c>
      <c r="C1015" s="24" t="s">
        <v>826</v>
      </c>
    </row>
    <row r="1016" spans="1:3" ht="15.75" customHeight="1" x14ac:dyDescent="0.4">
      <c r="A1016" s="24" t="s">
        <v>824</v>
      </c>
      <c r="B1016" s="24" t="s">
        <v>1620</v>
      </c>
      <c r="C1016" s="24" t="s">
        <v>826</v>
      </c>
    </row>
    <row r="1017" spans="1:3" ht="15.75" customHeight="1" x14ac:dyDescent="0.4">
      <c r="A1017" s="24" t="s">
        <v>824</v>
      </c>
      <c r="B1017" s="24" t="s">
        <v>1621</v>
      </c>
      <c r="C1017" s="24" t="s">
        <v>826</v>
      </c>
    </row>
    <row r="1018" spans="1:3" ht="15.75" customHeight="1" x14ac:dyDescent="0.4">
      <c r="A1018" s="24" t="s">
        <v>824</v>
      </c>
      <c r="B1018" s="24" t="s">
        <v>1622</v>
      </c>
      <c r="C1018" s="24" t="s">
        <v>826</v>
      </c>
    </row>
    <row r="1019" spans="1:3" ht="15.75" customHeight="1" x14ac:dyDescent="0.4">
      <c r="A1019" s="24" t="s">
        <v>824</v>
      </c>
      <c r="B1019" s="24" t="s">
        <v>778</v>
      </c>
      <c r="C1019" s="24" t="s">
        <v>825</v>
      </c>
    </row>
    <row r="1020" spans="1:3" ht="15.75" customHeight="1" x14ac:dyDescent="0.4">
      <c r="A1020" s="24" t="s">
        <v>824</v>
      </c>
      <c r="B1020" s="24" t="s">
        <v>1623</v>
      </c>
      <c r="C1020" s="24" t="s">
        <v>826</v>
      </c>
    </row>
    <row r="1021" spans="1:3" ht="15.75" customHeight="1" x14ac:dyDescent="0.4">
      <c r="A1021" s="24" t="s">
        <v>824</v>
      </c>
      <c r="B1021" s="24" t="s">
        <v>1624</v>
      </c>
      <c r="C1021" s="24" t="s">
        <v>826</v>
      </c>
    </row>
    <row r="1022" spans="1:3" ht="15.75" customHeight="1" x14ac:dyDescent="0.4">
      <c r="A1022" s="24" t="s">
        <v>824</v>
      </c>
      <c r="B1022" s="24" t="s">
        <v>1625</v>
      </c>
      <c r="C1022" s="24" t="s">
        <v>826</v>
      </c>
    </row>
    <row r="1023" spans="1:3" ht="15.75" customHeight="1" x14ac:dyDescent="0.4">
      <c r="A1023" s="24" t="s">
        <v>824</v>
      </c>
      <c r="B1023" s="24" t="s">
        <v>758</v>
      </c>
      <c r="C1023" s="24" t="s">
        <v>825</v>
      </c>
    </row>
    <row r="1024" spans="1:3" ht="15.75" customHeight="1" x14ac:dyDescent="0.4">
      <c r="A1024" s="24" t="s">
        <v>824</v>
      </c>
      <c r="B1024" s="24" t="s">
        <v>1626</v>
      </c>
      <c r="C1024" s="24" t="s">
        <v>826</v>
      </c>
    </row>
    <row r="1025" spans="1:3" ht="15.75" customHeight="1" x14ac:dyDescent="0.4">
      <c r="A1025" s="24" t="s">
        <v>824</v>
      </c>
      <c r="B1025" s="24" t="s">
        <v>1627</v>
      </c>
      <c r="C1025" s="24" t="s">
        <v>826</v>
      </c>
    </row>
    <row r="1026" spans="1:3" ht="15.75" customHeight="1" x14ac:dyDescent="0.4">
      <c r="A1026" s="24" t="s">
        <v>824</v>
      </c>
      <c r="B1026" s="24" t="s">
        <v>1628</v>
      </c>
      <c r="C1026" s="24" t="s">
        <v>826</v>
      </c>
    </row>
    <row r="1027" spans="1:3" ht="15.75" customHeight="1" x14ac:dyDescent="0.4">
      <c r="A1027" s="24" t="s">
        <v>824</v>
      </c>
      <c r="B1027" s="24" t="s">
        <v>228</v>
      </c>
      <c r="C1027" s="24" t="s">
        <v>826</v>
      </c>
    </row>
    <row r="1028" spans="1:3" ht="15.75" customHeight="1" x14ac:dyDescent="0.4">
      <c r="A1028" s="24" t="s">
        <v>824</v>
      </c>
      <c r="B1028" s="24" t="s">
        <v>451</v>
      </c>
      <c r="C1028" s="24" t="s">
        <v>825</v>
      </c>
    </row>
    <row r="1029" spans="1:3" ht="15.75" customHeight="1" x14ac:dyDescent="0.4">
      <c r="A1029" s="24" t="s">
        <v>824</v>
      </c>
      <c r="B1029" s="24" t="s">
        <v>1629</v>
      </c>
      <c r="C1029" s="24" t="s">
        <v>826</v>
      </c>
    </row>
    <row r="1030" spans="1:3" ht="15.75" customHeight="1" x14ac:dyDescent="0.4">
      <c r="A1030" s="24" t="s">
        <v>824</v>
      </c>
      <c r="B1030" s="24" t="s">
        <v>633</v>
      </c>
      <c r="C1030" s="24" t="s">
        <v>825</v>
      </c>
    </row>
    <row r="1031" spans="1:3" ht="15.75" customHeight="1" x14ac:dyDescent="0.4">
      <c r="A1031" s="24" t="s">
        <v>824</v>
      </c>
      <c r="B1031" s="24" t="s">
        <v>1630</v>
      </c>
      <c r="C1031" s="24" t="s">
        <v>826</v>
      </c>
    </row>
    <row r="1032" spans="1:3" ht="15.75" customHeight="1" x14ac:dyDescent="0.4">
      <c r="A1032" s="24" t="s">
        <v>824</v>
      </c>
      <c r="B1032" s="24" t="s">
        <v>776</v>
      </c>
      <c r="C1032" s="24" t="s">
        <v>825</v>
      </c>
    </row>
    <row r="1033" spans="1:3" ht="15.75" customHeight="1" x14ac:dyDescent="0.4">
      <c r="A1033" s="24" t="s">
        <v>824</v>
      </c>
      <c r="B1033" s="24" t="s">
        <v>1631</v>
      </c>
      <c r="C1033" s="24" t="s">
        <v>826</v>
      </c>
    </row>
    <row r="1034" spans="1:3" ht="15.75" customHeight="1" x14ac:dyDescent="0.4">
      <c r="A1034" s="24" t="s">
        <v>824</v>
      </c>
      <c r="B1034" s="24" t="s">
        <v>1632</v>
      </c>
      <c r="C1034" s="24" t="s">
        <v>826</v>
      </c>
    </row>
    <row r="1035" spans="1:3" ht="15.75" customHeight="1" x14ac:dyDescent="0.4">
      <c r="A1035" s="24" t="s">
        <v>824</v>
      </c>
      <c r="B1035" s="24" t="s">
        <v>1633</v>
      </c>
      <c r="C1035" s="24" t="s">
        <v>826</v>
      </c>
    </row>
    <row r="1036" spans="1:3" ht="15.75" customHeight="1" x14ac:dyDescent="0.4">
      <c r="A1036" s="24" t="s">
        <v>824</v>
      </c>
      <c r="B1036" s="24" t="s">
        <v>1634</v>
      </c>
      <c r="C1036" s="24" t="s">
        <v>826</v>
      </c>
    </row>
    <row r="1037" spans="1:3" ht="15.75" customHeight="1" x14ac:dyDescent="0.4">
      <c r="A1037" s="24" t="s">
        <v>824</v>
      </c>
      <c r="B1037" s="24" t="s">
        <v>1635</v>
      </c>
      <c r="C1037" s="24" t="s">
        <v>826</v>
      </c>
    </row>
    <row r="1038" spans="1:3" ht="15.75" customHeight="1" x14ac:dyDescent="0.4">
      <c r="A1038" s="24" t="s">
        <v>824</v>
      </c>
      <c r="B1038" s="24" t="s">
        <v>1636</v>
      </c>
      <c r="C1038" s="24" t="s">
        <v>826</v>
      </c>
    </row>
    <row r="1039" spans="1:3" ht="15.75" customHeight="1" x14ac:dyDescent="0.4">
      <c r="A1039" s="24" t="s">
        <v>824</v>
      </c>
      <c r="B1039" s="24" t="s">
        <v>1637</v>
      </c>
      <c r="C1039" s="24" t="s">
        <v>826</v>
      </c>
    </row>
    <row r="1040" spans="1:3" ht="15.75" customHeight="1" x14ac:dyDescent="0.4">
      <c r="A1040" s="24" t="s">
        <v>824</v>
      </c>
      <c r="B1040" s="24" t="s">
        <v>1638</v>
      </c>
      <c r="C1040" s="24" t="s">
        <v>826</v>
      </c>
    </row>
    <row r="1041" spans="1:3" ht="15.75" customHeight="1" x14ac:dyDescent="0.4">
      <c r="A1041" s="24" t="s">
        <v>824</v>
      </c>
      <c r="B1041" s="24" t="s">
        <v>1639</v>
      </c>
      <c r="C1041" s="24" t="s">
        <v>826</v>
      </c>
    </row>
    <row r="1042" spans="1:3" ht="15.75" customHeight="1" x14ac:dyDescent="0.4">
      <c r="A1042" s="24" t="s">
        <v>824</v>
      </c>
      <c r="B1042" s="24" t="s">
        <v>1640</v>
      </c>
      <c r="C1042" s="24" t="s">
        <v>826</v>
      </c>
    </row>
    <row r="1043" spans="1:3" ht="15.75" customHeight="1" x14ac:dyDescent="0.4">
      <c r="A1043" s="24" t="s">
        <v>824</v>
      </c>
      <c r="B1043" s="24" t="s">
        <v>1641</v>
      </c>
      <c r="C1043" s="24" t="s">
        <v>826</v>
      </c>
    </row>
    <row r="1044" spans="1:3" ht="15.75" customHeight="1" x14ac:dyDescent="0.4">
      <c r="A1044" s="24" t="s">
        <v>824</v>
      </c>
      <c r="B1044" s="24" t="s">
        <v>1642</v>
      </c>
      <c r="C1044" s="24" t="s">
        <v>826</v>
      </c>
    </row>
    <row r="1045" spans="1:3" ht="15.75" customHeight="1" x14ac:dyDescent="0.4">
      <c r="A1045" s="24" t="s">
        <v>824</v>
      </c>
      <c r="B1045" s="24" t="s">
        <v>243</v>
      </c>
      <c r="C1045" s="24" t="s">
        <v>826</v>
      </c>
    </row>
    <row r="1046" spans="1:3" ht="15.75" customHeight="1" x14ac:dyDescent="0.4">
      <c r="A1046" s="24" t="s">
        <v>824</v>
      </c>
      <c r="B1046" s="24" t="s">
        <v>1643</v>
      </c>
      <c r="C1046" s="24" t="s">
        <v>826</v>
      </c>
    </row>
    <row r="1047" spans="1:3" ht="15.75" customHeight="1" x14ac:dyDescent="0.4">
      <c r="A1047" s="24" t="s">
        <v>824</v>
      </c>
      <c r="B1047" s="24" t="s">
        <v>1644</v>
      </c>
      <c r="C1047" s="24" t="s">
        <v>826</v>
      </c>
    </row>
    <row r="1048" spans="1:3" ht="15.75" customHeight="1" x14ac:dyDescent="0.4">
      <c r="A1048" s="24" t="s">
        <v>824</v>
      </c>
      <c r="B1048" s="24" t="s">
        <v>1645</v>
      </c>
      <c r="C1048" s="24" t="s">
        <v>826</v>
      </c>
    </row>
    <row r="1049" spans="1:3" ht="15.75" customHeight="1" x14ac:dyDescent="0.4">
      <c r="A1049" s="24" t="s">
        <v>824</v>
      </c>
      <c r="B1049" s="24" t="s">
        <v>1646</v>
      </c>
      <c r="C1049" s="24" t="s">
        <v>826</v>
      </c>
    </row>
    <row r="1050" spans="1:3" ht="15.75" customHeight="1" x14ac:dyDescent="0.4">
      <c r="A1050" s="24" t="s">
        <v>824</v>
      </c>
      <c r="B1050" s="24" t="s">
        <v>1647</v>
      </c>
      <c r="C1050" s="24" t="s">
        <v>826</v>
      </c>
    </row>
    <row r="1051" spans="1:3" ht="15.75" customHeight="1" x14ac:dyDescent="0.4">
      <c r="A1051" s="24" t="s">
        <v>824</v>
      </c>
      <c r="B1051" s="24" t="s">
        <v>1648</v>
      </c>
      <c r="C1051" s="24" t="s">
        <v>826</v>
      </c>
    </row>
    <row r="1052" spans="1:3" ht="15.75" customHeight="1" x14ac:dyDescent="0.4">
      <c r="A1052" s="24" t="s">
        <v>824</v>
      </c>
      <c r="B1052" s="24" t="s">
        <v>1649</v>
      </c>
      <c r="C1052" s="24" t="s">
        <v>826</v>
      </c>
    </row>
    <row r="1053" spans="1:3" ht="15.75" customHeight="1" x14ac:dyDescent="0.4">
      <c r="A1053" s="24" t="s">
        <v>824</v>
      </c>
      <c r="B1053" s="24" t="s">
        <v>1650</v>
      </c>
      <c r="C1053" s="24" t="s">
        <v>826</v>
      </c>
    </row>
    <row r="1054" spans="1:3" ht="15.75" customHeight="1" x14ac:dyDescent="0.4">
      <c r="A1054" s="24" t="s">
        <v>824</v>
      </c>
      <c r="B1054" s="24" t="s">
        <v>1651</v>
      </c>
      <c r="C1054" s="24" t="s">
        <v>826</v>
      </c>
    </row>
    <row r="1055" spans="1:3" ht="15.75" customHeight="1" x14ac:dyDescent="0.4">
      <c r="A1055" s="24" t="s">
        <v>824</v>
      </c>
      <c r="B1055" s="24" t="s">
        <v>762</v>
      </c>
      <c r="C1055" s="24" t="s">
        <v>825</v>
      </c>
    </row>
    <row r="1056" spans="1:3" ht="15.75" customHeight="1" x14ac:dyDescent="0.4">
      <c r="A1056" s="24" t="s">
        <v>824</v>
      </c>
      <c r="B1056" s="24" t="s">
        <v>1652</v>
      </c>
      <c r="C1056" s="24" t="s">
        <v>826</v>
      </c>
    </row>
    <row r="1057" spans="1:3" ht="15.75" customHeight="1" x14ac:dyDescent="0.4">
      <c r="A1057" s="24" t="s">
        <v>824</v>
      </c>
      <c r="B1057" s="24" t="s">
        <v>1653</v>
      </c>
      <c r="C1057" s="24" t="s">
        <v>826</v>
      </c>
    </row>
    <row r="1058" spans="1:3" ht="15.75" customHeight="1" x14ac:dyDescent="0.4">
      <c r="A1058" s="24" t="s">
        <v>824</v>
      </c>
      <c r="B1058" s="24" t="s">
        <v>1654</v>
      </c>
      <c r="C1058" s="24" t="s">
        <v>826</v>
      </c>
    </row>
    <row r="1059" spans="1:3" ht="15.75" customHeight="1" x14ac:dyDescent="0.4">
      <c r="A1059" s="24" t="s">
        <v>824</v>
      </c>
      <c r="B1059" s="24" t="s">
        <v>1655</v>
      </c>
      <c r="C1059" s="24" t="s">
        <v>826</v>
      </c>
    </row>
    <row r="1060" spans="1:3" ht="15.75" customHeight="1" x14ac:dyDescent="0.4">
      <c r="A1060" s="24" t="s">
        <v>824</v>
      </c>
      <c r="B1060" s="24" t="s">
        <v>1656</v>
      </c>
      <c r="C1060" s="24" t="s">
        <v>826</v>
      </c>
    </row>
    <row r="1061" spans="1:3" ht="15.75" customHeight="1" x14ac:dyDescent="0.4">
      <c r="A1061" s="24" t="s">
        <v>824</v>
      </c>
      <c r="B1061" s="24" t="s">
        <v>635</v>
      </c>
      <c r="C1061" s="24" t="s">
        <v>825</v>
      </c>
    </row>
    <row r="1062" spans="1:3" ht="15.75" customHeight="1" x14ac:dyDescent="0.4">
      <c r="A1062" s="24" t="s">
        <v>824</v>
      </c>
      <c r="B1062" s="24" t="s">
        <v>704</v>
      </c>
      <c r="C1062" s="24" t="s">
        <v>825</v>
      </c>
    </row>
    <row r="1063" spans="1:3" ht="15.75" customHeight="1" x14ac:dyDescent="0.4">
      <c r="A1063" s="24" t="s">
        <v>824</v>
      </c>
      <c r="B1063" s="24" t="s">
        <v>1657</v>
      </c>
      <c r="C1063" s="24" t="s">
        <v>826</v>
      </c>
    </row>
    <row r="1064" spans="1:3" ht="15.75" customHeight="1" x14ac:dyDescent="0.4">
      <c r="A1064" s="24" t="s">
        <v>824</v>
      </c>
      <c r="B1064" s="24" t="s">
        <v>1658</v>
      </c>
      <c r="C1064" s="24" t="s">
        <v>826</v>
      </c>
    </row>
    <row r="1065" spans="1:3" ht="15.75" customHeight="1" x14ac:dyDescent="0.4">
      <c r="A1065" s="24" t="s">
        <v>824</v>
      </c>
      <c r="B1065" s="24" t="s">
        <v>1659</v>
      </c>
      <c r="C1065" s="24" t="s">
        <v>826</v>
      </c>
    </row>
    <row r="1066" spans="1:3" ht="15.75" customHeight="1" x14ac:dyDescent="0.4">
      <c r="A1066" s="24" t="s">
        <v>824</v>
      </c>
      <c r="B1066" s="24" t="s">
        <v>241</v>
      </c>
      <c r="C1066" s="24" t="s">
        <v>826</v>
      </c>
    </row>
    <row r="1067" spans="1:3" ht="15.75" customHeight="1" x14ac:dyDescent="0.4">
      <c r="A1067" s="24" t="s">
        <v>824</v>
      </c>
      <c r="B1067" s="24" t="s">
        <v>1660</v>
      </c>
      <c r="C1067" s="24" t="s">
        <v>826</v>
      </c>
    </row>
    <row r="1068" spans="1:3" ht="15.75" customHeight="1" x14ac:dyDescent="0.4">
      <c r="A1068" s="24" t="s">
        <v>824</v>
      </c>
      <c r="B1068" s="24" t="s">
        <v>1661</v>
      </c>
      <c r="C1068" s="24" t="s">
        <v>826</v>
      </c>
    </row>
    <row r="1069" spans="1:3" ht="15.75" customHeight="1" x14ac:dyDescent="0.4">
      <c r="A1069" s="24" t="s">
        <v>824</v>
      </c>
      <c r="B1069" s="24" t="s">
        <v>1662</v>
      </c>
      <c r="C1069" s="24" t="s">
        <v>826</v>
      </c>
    </row>
    <row r="1070" spans="1:3" ht="15.75" customHeight="1" x14ac:dyDescent="0.4">
      <c r="A1070" s="24" t="s">
        <v>824</v>
      </c>
      <c r="B1070" s="24" t="s">
        <v>1663</v>
      </c>
      <c r="C1070" s="24" t="s">
        <v>826</v>
      </c>
    </row>
    <row r="1071" spans="1:3" ht="15.75" customHeight="1" x14ac:dyDescent="0.4">
      <c r="A1071" s="24" t="s">
        <v>824</v>
      </c>
      <c r="B1071" s="24" t="s">
        <v>1664</v>
      </c>
      <c r="C1071" s="24" t="s">
        <v>826</v>
      </c>
    </row>
    <row r="1072" spans="1:3" ht="15.75" customHeight="1" x14ac:dyDescent="0.4">
      <c r="A1072" s="24" t="s">
        <v>824</v>
      </c>
      <c r="B1072" s="24" t="s">
        <v>1665</v>
      </c>
      <c r="C1072" s="24" t="s">
        <v>826</v>
      </c>
    </row>
    <row r="1073" spans="1:3" ht="15.75" customHeight="1" x14ac:dyDescent="0.4">
      <c r="A1073" s="24" t="s">
        <v>824</v>
      </c>
      <c r="B1073" s="24" t="s">
        <v>1666</v>
      </c>
      <c r="C1073" s="24" t="s">
        <v>826</v>
      </c>
    </row>
    <row r="1074" spans="1:3" ht="15.75" customHeight="1" x14ac:dyDescent="0.4">
      <c r="A1074" s="24" t="s">
        <v>824</v>
      </c>
      <c r="B1074" s="24" t="s">
        <v>1667</v>
      </c>
      <c r="C1074" s="24" t="s">
        <v>826</v>
      </c>
    </row>
    <row r="1075" spans="1:3" ht="15.75" customHeight="1" x14ac:dyDescent="0.4">
      <c r="A1075" s="24" t="s">
        <v>824</v>
      </c>
      <c r="B1075" s="24" t="s">
        <v>239</v>
      </c>
      <c r="C1075" s="24" t="s">
        <v>826</v>
      </c>
    </row>
    <row r="1076" spans="1:3" ht="15.75" customHeight="1" x14ac:dyDescent="0.4">
      <c r="A1076" s="24" t="s">
        <v>824</v>
      </c>
      <c r="B1076" s="24" t="s">
        <v>1668</v>
      </c>
      <c r="C1076" s="24" t="s">
        <v>826</v>
      </c>
    </row>
    <row r="1077" spans="1:3" ht="15.75" customHeight="1" x14ac:dyDescent="0.4">
      <c r="A1077" s="24" t="s">
        <v>824</v>
      </c>
      <c r="B1077" s="24" t="s">
        <v>1669</v>
      </c>
      <c r="C1077" s="24" t="s">
        <v>826</v>
      </c>
    </row>
    <row r="1078" spans="1:3" ht="15.75" customHeight="1" x14ac:dyDescent="0.4">
      <c r="A1078" s="24" t="s">
        <v>824</v>
      </c>
      <c r="B1078" s="24" t="s">
        <v>1670</v>
      </c>
      <c r="C1078" s="24" t="s">
        <v>826</v>
      </c>
    </row>
    <row r="1079" spans="1:3" ht="15.75" customHeight="1" x14ac:dyDescent="0.4">
      <c r="A1079" s="24" t="s">
        <v>824</v>
      </c>
      <c r="B1079" s="24" t="s">
        <v>1671</v>
      </c>
      <c r="C1079" s="24" t="s">
        <v>826</v>
      </c>
    </row>
    <row r="1080" spans="1:3" ht="15.75" customHeight="1" x14ac:dyDescent="0.4">
      <c r="A1080" s="24" t="s">
        <v>824</v>
      </c>
      <c r="B1080" s="24" t="s">
        <v>1672</v>
      </c>
      <c r="C1080" s="24" t="s">
        <v>826</v>
      </c>
    </row>
    <row r="1081" spans="1:3" ht="15.75" customHeight="1" x14ac:dyDescent="0.4">
      <c r="A1081" s="24" t="s">
        <v>824</v>
      </c>
      <c r="B1081" s="24" t="s">
        <v>688</v>
      </c>
      <c r="C1081" s="24" t="s">
        <v>825</v>
      </c>
    </row>
    <row r="1082" spans="1:3" ht="15.75" customHeight="1" x14ac:dyDescent="0.4">
      <c r="A1082" s="24" t="s">
        <v>824</v>
      </c>
      <c r="B1082" s="24" t="s">
        <v>1673</v>
      </c>
      <c r="C1082" s="24" t="s">
        <v>826</v>
      </c>
    </row>
    <row r="1083" spans="1:3" ht="15.75" customHeight="1" x14ac:dyDescent="0.4">
      <c r="A1083" s="24" t="s">
        <v>824</v>
      </c>
      <c r="B1083" s="24" t="s">
        <v>1674</v>
      </c>
      <c r="C1083" s="24" t="s">
        <v>826</v>
      </c>
    </row>
    <row r="1084" spans="1:3" ht="15.75" customHeight="1" x14ac:dyDescent="0.4">
      <c r="A1084" s="24" t="s">
        <v>824</v>
      </c>
      <c r="B1084" s="24" t="s">
        <v>1675</v>
      </c>
      <c r="C1084" s="24" t="s">
        <v>826</v>
      </c>
    </row>
    <row r="1085" spans="1:3" ht="15.75" customHeight="1" x14ac:dyDescent="0.4">
      <c r="A1085" s="24" t="s">
        <v>824</v>
      </c>
      <c r="B1085" s="24" t="s">
        <v>1676</v>
      </c>
      <c r="C1085" s="24" t="s">
        <v>826</v>
      </c>
    </row>
    <row r="1086" spans="1:3" ht="15.75" customHeight="1" x14ac:dyDescent="0.4">
      <c r="A1086" s="24" t="s">
        <v>824</v>
      </c>
      <c r="B1086" s="24" t="s">
        <v>1677</v>
      </c>
      <c r="C1086" s="24" t="s">
        <v>826</v>
      </c>
    </row>
    <row r="1087" spans="1:3" ht="15.75" customHeight="1" x14ac:dyDescent="0.4">
      <c r="A1087" s="24" t="s">
        <v>824</v>
      </c>
      <c r="B1087" s="24" t="s">
        <v>1678</v>
      </c>
      <c r="C1087" s="24" t="s">
        <v>826</v>
      </c>
    </row>
    <row r="1088" spans="1:3" ht="15.75" customHeight="1" x14ac:dyDescent="0.4">
      <c r="A1088" s="24" t="s">
        <v>824</v>
      </c>
      <c r="B1088" s="24" t="s">
        <v>1679</v>
      </c>
      <c r="C1088" s="24" t="s">
        <v>826</v>
      </c>
    </row>
    <row r="1089" spans="1:3" ht="15.75" customHeight="1" x14ac:dyDescent="0.4">
      <c r="A1089" s="24" t="s">
        <v>824</v>
      </c>
      <c r="B1089" s="24" t="s">
        <v>1680</v>
      </c>
      <c r="C1089" s="24" t="s">
        <v>826</v>
      </c>
    </row>
    <row r="1090" spans="1:3" ht="15.75" customHeight="1" x14ac:dyDescent="0.4">
      <c r="A1090" s="24" t="s">
        <v>824</v>
      </c>
      <c r="B1090" s="24" t="s">
        <v>1681</v>
      </c>
      <c r="C1090" s="24" t="s">
        <v>826</v>
      </c>
    </row>
    <row r="1091" spans="1:3" ht="15.75" customHeight="1" x14ac:dyDescent="0.4">
      <c r="A1091" s="24" t="s">
        <v>824</v>
      </c>
      <c r="B1091" s="24" t="s">
        <v>1682</v>
      </c>
      <c r="C1091" s="24" t="s">
        <v>826</v>
      </c>
    </row>
    <row r="1092" spans="1:3" ht="15.75" customHeight="1" x14ac:dyDescent="0.4">
      <c r="A1092" s="24" t="s">
        <v>824</v>
      </c>
      <c r="B1092" s="24" t="s">
        <v>1683</v>
      </c>
      <c r="C1092" s="24" t="s">
        <v>826</v>
      </c>
    </row>
    <row r="1093" spans="1:3" ht="15.75" customHeight="1" x14ac:dyDescent="0.4">
      <c r="A1093" s="24" t="s">
        <v>824</v>
      </c>
      <c r="B1093" s="24" t="s">
        <v>1684</v>
      </c>
      <c r="C1093" s="24" t="s">
        <v>826</v>
      </c>
    </row>
    <row r="1094" spans="1:3" ht="15.75" customHeight="1" x14ac:dyDescent="0.4">
      <c r="A1094" s="24" t="s">
        <v>824</v>
      </c>
      <c r="B1094" s="24" t="s">
        <v>1685</v>
      </c>
      <c r="C1094" s="24" t="s">
        <v>826</v>
      </c>
    </row>
    <row r="1095" spans="1:3" ht="15.75" customHeight="1" x14ac:dyDescent="0.4">
      <c r="A1095" s="24" t="s">
        <v>824</v>
      </c>
      <c r="B1095" s="24" t="s">
        <v>1686</v>
      </c>
      <c r="C1095" s="24" t="s">
        <v>826</v>
      </c>
    </row>
    <row r="1096" spans="1:3" ht="15.75" customHeight="1" x14ac:dyDescent="0.4">
      <c r="A1096" s="24" t="s">
        <v>824</v>
      </c>
      <c r="B1096" s="24" t="s">
        <v>1687</v>
      </c>
      <c r="C1096" s="24" t="s">
        <v>826</v>
      </c>
    </row>
    <row r="1097" spans="1:3" ht="15.75" customHeight="1" x14ac:dyDescent="0.4">
      <c r="A1097" s="24" t="s">
        <v>824</v>
      </c>
      <c r="B1097" s="24" t="s">
        <v>515</v>
      </c>
      <c r="C1097" s="24" t="s">
        <v>825</v>
      </c>
    </row>
    <row r="1098" spans="1:3" ht="15.75" customHeight="1" x14ac:dyDescent="0.4">
      <c r="A1098" s="24" t="s">
        <v>824</v>
      </c>
      <c r="B1098" s="24" t="s">
        <v>1688</v>
      </c>
      <c r="C1098" s="24" t="s">
        <v>826</v>
      </c>
    </row>
    <row r="1099" spans="1:3" ht="15.75" customHeight="1" x14ac:dyDescent="0.4">
      <c r="A1099" s="24" t="s">
        <v>824</v>
      </c>
      <c r="B1099" s="24" t="s">
        <v>1689</v>
      </c>
      <c r="C1099" s="24" t="s">
        <v>826</v>
      </c>
    </row>
    <row r="1100" spans="1:3" ht="15.75" customHeight="1" x14ac:dyDescent="0.4">
      <c r="A1100" s="24" t="s">
        <v>824</v>
      </c>
      <c r="B1100" s="24" t="s">
        <v>1690</v>
      </c>
      <c r="C1100" s="24" t="s">
        <v>826</v>
      </c>
    </row>
    <row r="1101" spans="1:3" ht="15.75" customHeight="1" x14ac:dyDescent="0.4">
      <c r="A1101" s="24" t="s">
        <v>824</v>
      </c>
      <c r="B1101" s="24" t="s">
        <v>1691</v>
      </c>
      <c r="C1101" s="24" t="s">
        <v>826</v>
      </c>
    </row>
    <row r="1102" spans="1:3" ht="15.75" customHeight="1" x14ac:dyDescent="0.4">
      <c r="A1102" s="24" t="s">
        <v>824</v>
      </c>
      <c r="B1102" s="24" t="s">
        <v>581</v>
      </c>
      <c r="C1102" s="24" t="s">
        <v>825</v>
      </c>
    </row>
    <row r="1103" spans="1:3" ht="15.75" customHeight="1" x14ac:dyDescent="0.4">
      <c r="A1103" s="24" t="s">
        <v>824</v>
      </c>
      <c r="B1103" s="24" t="s">
        <v>1692</v>
      </c>
      <c r="C1103" s="24" t="s">
        <v>826</v>
      </c>
    </row>
    <row r="1104" spans="1:3" ht="15.75" customHeight="1" x14ac:dyDescent="0.4">
      <c r="A1104" s="24" t="s">
        <v>824</v>
      </c>
      <c r="B1104" s="24" t="s">
        <v>1693</v>
      </c>
      <c r="C1104" s="24" t="s">
        <v>826</v>
      </c>
    </row>
    <row r="1105" spans="1:3" ht="15.75" customHeight="1" x14ac:dyDescent="0.4">
      <c r="A1105" s="24" t="s">
        <v>824</v>
      </c>
      <c r="B1105" s="24" t="s">
        <v>240</v>
      </c>
      <c r="C1105" s="24" t="s">
        <v>826</v>
      </c>
    </row>
    <row r="1106" spans="1:3" ht="15.75" customHeight="1" x14ac:dyDescent="0.4">
      <c r="A1106" s="24" t="s">
        <v>824</v>
      </c>
      <c r="B1106" s="24" t="s">
        <v>1694</v>
      </c>
      <c r="C1106" s="24" t="s">
        <v>826</v>
      </c>
    </row>
    <row r="1107" spans="1:3" ht="15.75" customHeight="1" x14ac:dyDescent="0.4">
      <c r="A1107" s="24" t="s">
        <v>824</v>
      </c>
      <c r="B1107" s="24" t="s">
        <v>1695</v>
      </c>
      <c r="C1107" s="24" t="s">
        <v>826</v>
      </c>
    </row>
    <row r="1108" spans="1:3" ht="15.75" customHeight="1" x14ac:dyDescent="0.4">
      <c r="A1108" s="24" t="s">
        <v>824</v>
      </c>
      <c r="B1108" s="24" t="s">
        <v>1696</v>
      </c>
      <c r="C1108" s="24" t="s">
        <v>826</v>
      </c>
    </row>
    <row r="1109" spans="1:3" ht="15.75" customHeight="1" x14ac:dyDescent="0.4">
      <c r="A1109" s="24" t="s">
        <v>824</v>
      </c>
      <c r="B1109" s="24" t="s">
        <v>1697</v>
      </c>
      <c r="C1109" s="24" t="s">
        <v>826</v>
      </c>
    </row>
    <row r="1110" spans="1:3" ht="15.75" customHeight="1" x14ac:dyDescent="0.4">
      <c r="A1110" s="24" t="s">
        <v>824</v>
      </c>
      <c r="B1110" s="24" t="s">
        <v>1698</v>
      </c>
      <c r="C1110" s="24" t="s">
        <v>826</v>
      </c>
    </row>
    <row r="1111" spans="1:3" ht="15.75" customHeight="1" x14ac:dyDescent="0.4">
      <c r="A1111" s="24" t="s">
        <v>824</v>
      </c>
      <c r="B1111" s="24" t="s">
        <v>1699</v>
      </c>
      <c r="C1111" s="24" t="s">
        <v>826</v>
      </c>
    </row>
    <row r="1112" spans="1:3" ht="15.75" customHeight="1" x14ac:dyDescent="0.4">
      <c r="A1112" s="24" t="s">
        <v>824</v>
      </c>
      <c r="B1112" s="24" t="s">
        <v>1700</v>
      </c>
      <c r="C1112" s="24" t="s">
        <v>826</v>
      </c>
    </row>
    <row r="1113" spans="1:3" ht="15.75" customHeight="1" x14ac:dyDescent="0.4">
      <c r="A1113" s="24" t="s">
        <v>824</v>
      </c>
      <c r="B1113" s="24" t="s">
        <v>1701</v>
      </c>
      <c r="C1113" s="24" t="s">
        <v>826</v>
      </c>
    </row>
    <row r="1114" spans="1:3" ht="15.75" customHeight="1" x14ac:dyDescent="0.4">
      <c r="A1114" s="24" t="s">
        <v>824</v>
      </c>
      <c r="B1114" s="24" t="s">
        <v>716</v>
      </c>
      <c r="C1114" s="24" t="s">
        <v>825</v>
      </c>
    </row>
    <row r="1115" spans="1:3" ht="15.75" customHeight="1" x14ac:dyDescent="0.4">
      <c r="A1115" s="24" t="s">
        <v>824</v>
      </c>
      <c r="B1115" s="24" t="s">
        <v>1702</v>
      </c>
      <c r="C1115" s="24" t="s">
        <v>826</v>
      </c>
    </row>
    <row r="1116" spans="1:3" ht="15.75" customHeight="1" x14ac:dyDescent="0.4">
      <c r="A1116" s="24" t="s">
        <v>824</v>
      </c>
      <c r="B1116" s="24" t="s">
        <v>1703</v>
      </c>
      <c r="C1116" s="24" t="s">
        <v>826</v>
      </c>
    </row>
    <row r="1117" spans="1:3" ht="15.75" customHeight="1" x14ac:dyDescent="0.4">
      <c r="A1117" s="24" t="s">
        <v>824</v>
      </c>
      <c r="B1117" s="24" t="s">
        <v>1704</v>
      </c>
      <c r="C1117" s="24" t="s">
        <v>826</v>
      </c>
    </row>
    <row r="1118" spans="1:3" ht="15.75" customHeight="1" x14ac:dyDescent="0.4">
      <c r="A1118" s="24" t="s">
        <v>824</v>
      </c>
      <c r="B1118" s="24" t="s">
        <v>754</v>
      </c>
      <c r="C1118" s="24" t="s">
        <v>825</v>
      </c>
    </row>
    <row r="1119" spans="1:3" ht="15.75" customHeight="1" x14ac:dyDescent="0.4">
      <c r="A1119" s="24" t="s">
        <v>824</v>
      </c>
      <c r="B1119" s="24" t="s">
        <v>1705</v>
      </c>
      <c r="C1119" s="24" t="s">
        <v>826</v>
      </c>
    </row>
    <row r="1120" spans="1:3" ht="15.75" customHeight="1" x14ac:dyDescent="0.4">
      <c r="A1120" s="24" t="s">
        <v>824</v>
      </c>
      <c r="B1120" s="24" t="s">
        <v>1706</v>
      </c>
      <c r="C1120" s="24" t="s">
        <v>826</v>
      </c>
    </row>
    <row r="1121" spans="1:3" ht="15.75" customHeight="1" x14ac:dyDescent="0.4">
      <c r="A1121" s="24" t="s">
        <v>824</v>
      </c>
      <c r="B1121" s="24" t="s">
        <v>1707</v>
      </c>
      <c r="C1121" s="24" t="s">
        <v>826</v>
      </c>
    </row>
    <row r="1122" spans="1:3" ht="15.75" customHeight="1" x14ac:dyDescent="0.4">
      <c r="A1122" s="24" t="s">
        <v>824</v>
      </c>
      <c r="B1122" s="24" t="s">
        <v>1708</v>
      </c>
      <c r="C1122" s="24" t="s">
        <v>826</v>
      </c>
    </row>
    <row r="1123" spans="1:3" ht="15.75" customHeight="1" x14ac:dyDescent="0.4">
      <c r="A1123" s="24" t="s">
        <v>824</v>
      </c>
      <c r="B1123" s="24" t="s">
        <v>1709</v>
      </c>
      <c r="C1123" s="24" t="s">
        <v>826</v>
      </c>
    </row>
    <row r="1124" spans="1:3" ht="15.75" customHeight="1" x14ac:dyDescent="0.4">
      <c r="A1124" s="24" t="s">
        <v>824</v>
      </c>
      <c r="B1124" s="24" t="s">
        <v>1710</v>
      </c>
      <c r="C1124" s="24" t="s">
        <v>826</v>
      </c>
    </row>
    <row r="1125" spans="1:3" ht="15.75" customHeight="1" x14ac:dyDescent="0.4">
      <c r="A1125" s="24" t="s">
        <v>824</v>
      </c>
      <c r="B1125" s="24" t="s">
        <v>1711</v>
      </c>
      <c r="C1125" s="24" t="s">
        <v>826</v>
      </c>
    </row>
    <row r="1126" spans="1:3" ht="15.75" customHeight="1" x14ac:dyDescent="0.4">
      <c r="A1126" s="24" t="s">
        <v>824</v>
      </c>
      <c r="B1126" s="24" t="s">
        <v>1712</v>
      </c>
      <c r="C1126" s="24" t="s">
        <v>826</v>
      </c>
    </row>
    <row r="1127" spans="1:3" ht="15.75" customHeight="1" x14ac:dyDescent="0.4">
      <c r="A1127" s="24" t="s">
        <v>824</v>
      </c>
      <c r="B1127" s="24" t="s">
        <v>1713</v>
      </c>
      <c r="C1127" s="24" t="s">
        <v>826</v>
      </c>
    </row>
    <row r="1128" spans="1:3" ht="15.75" customHeight="1" x14ac:dyDescent="0.4">
      <c r="A1128" s="24" t="s">
        <v>824</v>
      </c>
      <c r="B1128" s="24" t="s">
        <v>1714</v>
      </c>
      <c r="C1128" s="24" t="s">
        <v>826</v>
      </c>
    </row>
    <row r="1129" spans="1:3" ht="15.75" customHeight="1" x14ac:dyDescent="0.4">
      <c r="A1129" s="24" t="s">
        <v>824</v>
      </c>
      <c r="B1129" s="24" t="s">
        <v>1715</v>
      </c>
      <c r="C1129" s="24" t="s">
        <v>826</v>
      </c>
    </row>
    <row r="1130" spans="1:3" ht="15.75" customHeight="1" x14ac:dyDescent="0.4">
      <c r="A1130" s="24" t="s">
        <v>824</v>
      </c>
      <c r="B1130" s="24" t="s">
        <v>1716</v>
      </c>
      <c r="C1130" s="24" t="s">
        <v>826</v>
      </c>
    </row>
    <row r="1131" spans="1:3" ht="15.75" customHeight="1" x14ac:dyDescent="0.4">
      <c r="A1131" s="24" t="s">
        <v>824</v>
      </c>
      <c r="B1131" s="24" t="s">
        <v>1717</v>
      </c>
      <c r="C1131" s="24" t="s">
        <v>826</v>
      </c>
    </row>
    <row r="1132" spans="1:3" ht="15.75" customHeight="1" x14ac:dyDescent="0.4">
      <c r="A1132" s="24" t="s">
        <v>824</v>
      </c>
      <c r="B1132" s="24" t="s">
        <v>587</v>
      </c>
      <c r="C1132" s="24" t="s">
        <v>825</v>
      </c>
    </row>
    <row r="1133" spans="1:3" ht="15.75" customHeight="1" x14ac:dyDescent="0.4">
      <c r="A1133" s="24" t="s">
        <v>824</v>
      </c>
      <c r="B1133" s="24" t="s">
        <v>1718</v>
      </c>
      <c r="C1133" s="24" t="s">
        <v>826</v>
      </c>
    </row>
    <row r="1134" spans="1:3" ht="15.75" customHeight="1" x14ac:dyDescent="0.4">
      <c r="A1134" s="24" t="s">
        <v>824</v>
      </c>
      <c r="B1134" s="24" t="s">
        <v>1719</v>
      </c>
      <c r="C1134" s="24" t="s">
        <v>826</v>
      </c>
    </row>
    <row r="1135" spans="1:3" ht="15.75" customHeight="1" x14ac:dyDescent="0.4">
      <c r="A1135" s="24" t="s">
        <v>824</v>
      </c>
      <c r="B1135" s="24" t="s">
        <v>1720</v>
      </c>
      <c r="C1135" s="24" t="s">
        <v>826</v>
      </c>
    </row>
    <row r="1136" spans="1:3" ht="15.75" customHeight="1" x14ac:dyDescent="0.4">
      <c r="A1136" s="24" t="s">
        <v>824</v>
      </c>
      <c r="B1136" s="24" t="s">
        <v>1721</v>
      </c>
      <c r="C1136" s="24" t="s">
        <v>826</v>
      </c>
    </row>
    <row r="1137" spans="1:3" ht="15.75" customHeight="1" x14ac:dyDescent="0.4">
      <c r="A1137" s="24" t="s">
        <v>824</v>
      </c>
      <c r="B1137" s="24" t="s">
        <v>1722</v>
      </c>
      <c r="C1137" s="24" t="s">
        <v>826</v>
      </c>
    </row>
    <row r="1138" spans="1:3" ht="15.75" customHeight="1" x14ac:dyDescent="0.4">
      <c r="A1138" s="24" t="s">
        <v>824</v>
      </c>
      <c r="B1138" s="24" t="s">
        <v>461</v>
      </c>
      <c r="C1138" s="24" t="s">
        <v>825</v>
      </c>
    </row>
    <row r="1139" spans="1:3" ht="15.75" customHeight="1" x14ac:dyDescent="0.4">
      <c r="A1139" s="24" t="s">
        <v>824</v>
      </c>
      <c r="B1139" s="24" t="s">
        <v>1723</v>
      </c>
      <c r="C1139" s="24" t="s">
        <v>826</v>
      </c>
    </row>
    <row r="1140" spans="1:3" ht="15.75" customHeight="1" x14ac:dyDescent="0.4">
      <c r="A1140" s="24" t="s">
        <v>824</v>
      </c>
      <c r="B1140" s="24" t="s">
        <v>1724</v>
      </c>
      <c r="C1140" s="24" t="s">
        <v>826</v>
      </c>
    </row>
    <row r="1141" spans="1:3" ht="15.75" customHeight="1" x14ac:dyDescent="0.4">
      <c r="A1141" s="24" t="s">
        <v>824</v>
      </c>
      <c r="B1141" s="24" t="s">
        <v>417</v>
      </c>
      <c r="C1141" s="24" t="s">
        <v>825</v>
      </c>
    </row>
    <row r="1142" spans="1:3" ht="15.75" customHeight="1" x14ac:dyDescent="0.4">
      <c r="A1142" s="24" t="s">
        <v>824</v>
      </c>
      <c r="B1142" s="24" t="s">
        <v>1725</v>
      </c>
      <c r="C1142" s="24" t="s">
        <v>826</v>
      </c>
    </row>
    <row r="1143" spans="1:3" ht="15.75" customHeight="1" x14ac:dyDescent="0.4">
      <c r="A1143" s="24" t="s">
        <v>824</v>
      </c>
      <c r="B1143" s="24" t="s">
        <v>1726</v>
      </c>
      <c r="C1143" s="24" t="s">
        <v>826</v>
      </c>
    </row>
    <row r="1144" spans="1:3" ht="15.75" customHeight="1" x14ac:dyDescent="0.4">
      <c r="A1144" s="24" t="s">
        <v>824</v>
      </c>
      <c r="B1144" s="24" t="s">
        <v>1727</v>
      </c>
      <c r="C1144" s="24" t="s">
        <v>826</v>
      </c>
    </row>
    <row r="1145" spans="1:3" ht="15.75" customHeight="1" x14ac:dyDescent="0.4">
      <c r="A1145" s="24" t="s">
        <v>824</v>
      </c>
      <c r="B1145" s="24" t="s">
        <v>1728</v>
      </c>
      <c r="C1145" s="24" t="s">
        <v>826</v>
      </c>
    </row>
    <row r="1146" spans="1:3" ht="15.75" customHeight="1" x14ac:dyDescent="0.4">
      <c r="A1146" s="24" t="s">
        <v>824</v>
      </c>
      <c r="B1146" s="24" t="s">
        <v>385</v>
      </c>
      <c r="C1146" s="24" t="s">
        <v>825</v>
      </c>
    </row>
    <row r="1147" spans="1:3" ht="15.75" customHeight="1" x14ac:dyDescent="0.4">
      <c r="A1147" s="24" t="s">
        <v>824</v>
      </c>
      <c r="B1147" s="24" t="s">
        <v>1729</v>
      </c>
      <c r="C1147" s="24" t="s">
        <v>826</v>
      </c>
    </row>
    <row r="1148" spans="1:3" ht="15.75" customHeight="1" x14ac:dyDescent="0.4">
      <c r="A1148" s="24" t="s">
        <v>824</v>
      </c>
      <c r="B1148" s="24" t="s">
        <v>1730</v>
      </c>
      <c r="C1148" s="24" t="s">
        <v>826</v>
      </c>
    </row>
    <row r="1149" spans="1:3" ht="15.75" customHeight="1" x14ac:dyDescent="0.4">
      <c r="A1149" s="24" t="s">
        <v>824</v>
      </c>
      <c r="B1149" s="24" t="s">
        <v>1731</v>
      </c>
      <c r="C1149" s="24" t="s">
        <v>826</v>
      </c>
    </row>
    <row r="1150" spans="1:3" ht="15.75" customHeight="1" x14ac:dyDescent="0.4">
      <c r="A1150" s="24" t="s">
        <v>824</v>
      </c>
      <c r="B1150" s="24" t="s">
        <v>807</v>
      </c>
      <c r="C1150" s="24" t="s">
        <v>825</v>
      </c>
    </row>
    <row r="1151" spans="1:3" ht="15.75" customHeight="1" x14ac:dyDescent="0.4">
      <c r="A1151" s="24" t="s">
        <v>824</v>
      </c>
      <c r="B1151" s="24" t="s">
        <v>1732</v>
      </c>
      <c r="C1151" s="24" t="s">
        <v>826</v>
      </c>
    </row>
    <row r="1152" spans="1:3" ht="15.75" customHeight="1" x14ac:dyDescent="0.4">
      <c r="A1152" s="24" t="s">
        <v>824</v>
      </c>
      <c r="B1152" s="24" t="s">
        <v>1733</v>
      </c>
      <c r="C1152" s="24" t="s">
        <v>826</v>
      </c>
    </row>
    <row r="1153" spans="1:3" ht="15.75" customHeight="1" x14ac:dyDescent="0.4">
      <c r="A1153" s="24" t="s">
        <v>824</v>
      </c>
      <c r="B1153" s="24" t="s">
        <v>1734</v>
      </c>
      <c r="C1153" s="24" t="s">
        <v>826</v>
      </c>
    </row>
    <row r="1154" spans="1:3" ht="15.75" customHeight="1" x14ac:dyDescent="0.4">
      <c r="A1154" s="24" t="s">
        <v>824</v>
      </c>
      <c r="B1154" s="24" t="s">
        <v>1735</v>
      </c>
      <c r="C1154" s="24" t="s">
        <v>826</v>
      </c>
    </row>
    <row r="1155" spans="1:3" ht="15.75" customHeight="1" x14ac:dyDescent="0.4">
      <c r="A1155" s="24" t="s">
        <v>824</v>
      </c>
      <c r="B1155" s="24" t="s">
        <v>1736</v>
      </c>
      <c r="C1155" s="24" t="s">
        <v>826</v>
      </c>
    </row>
    <row r="1156" spans="1:3" ht="15.75" customHeight="1" x14ac:dyDescent="0.4">
      <c r="A1156" s="24" t="s">
        <v>824</v>
      </c>
      <c r="B1156" s="24" t="s">
        <v>1737</v>
      </c>
      <c r="C1156" s="24" t="s">
        <v>826</v>
      </c>
    </row>
    <row r="1157" spans="1:3" ht="15.75" customHeight="1" x14ac:dyDescent="0.4">
      <c r="A1157" s="24" t="s">
        <v>824</v>
      </c>
      <c r="B1157" s="24" t="s">
        <v>1738</v>
      </c>
      <c r="C1157" s="24" t="s">
        <v>826</v>
      </c>
    </row>
    <row r="1158" spans="1:3" ht="15.75" customHeight="1" x14ac:dyDescent="0.4">
      <c r="A1158" s="24" t="s">
        <v>824</v>
      </c>
      <c r="B1158" s="24" t="s">
        <v>1739</v>
      </c>
      <c r="C1158" s="24" t="s">
        <v>826</v>
      </c>
    </row>
    <row r="1159" spans="1:3" ht="15.75" customHeight="1" x14ac:dyDescent="0.4">
      <c r="A1159" s="24" t="s">
        <v>824</v>
      </c>
      <c r="B1159" s="24" t="s">
        <v>619</v>
      </c>
      <c r="C1159" s="24" t="s">
        <v>825</v>
      </c>
    </row>
    <row r="1160" spans="1:3" ht="15.75" customHeight="1" x14ac:dyDescent="0.4">
      <c r="A1160" s="24" t="s">
        <v>824</v>
      </c>
      <c r="B1160" s="24" t="s">
        <v>1740</v>
      </c>
      <c r="C1160" s="24" t="s">
        <v>826</v>
      </c>
    </row>
    <row r="1161" spans="1:3" ht="15.75" customHeight="1" x14ac:dyDescent="0.4">
      <c r="A1161" s="24" t="s">
        <v>824</v>
      </c>
      <c r="B1161" s="24" t="s">
        <v>1741</v>
      </c>
      <c r="C1161" s="24" t="s">
        <v>826</v>
      </c>
    </row>
    <row r="1162" spans="1:3" ht="15.75" customHeight="1" x14ac:dyDescent="0.4">
      <c r="A1162" s="24" t="s">
        <v>824</v>
      </c>
      <c r="B1162" s="24" t="s">
        <v>1742</v>
      </c>
      <c r="C1162" s="24" t="s">
        <v>826</v>
      </c>
    </row>
    <row r="1163" spans="1:3" ht="15.75" customHeight="1" x14ac:dyDescent="0.4">
      <c r="A1163" s="24" t="s">
        <v>824</v>
      </c>
      <c r="B1163" s="24" t="s">
        <v>1743</v>
      </c>
      <c r="C1163" s="24" t="s">
        <v>826</v>
      </c>
    </row>
    <row r="1164" spans="1:3" ht="15.75" customHeight="1" x14ac:dyDescent="0.4">
      <c r="A1164" s="24" t="s">
        <v>824</v>
      </c>
      <c r="B1164" s="24" t="s">
        <v>1744</v>
      </c>
      <c r="C1164" s="24" t="s">
        <v>826</v>
      </c>
    </row>
    <row r="1165" spans="1:3" ht="15.75" customHeight="1" x14ac:dyDescent="0.4">
      <c r="A1165" s="24" t="s">
        <v>824</v>
      </c>
      <c r="B1165" s="24" t="s">
        <v>1745</v>
      </c>
      <c r="C1165" s="24" t="s">
        <v>826</v>
      </c>
    </row>
    <row r="1166" spans="1:3" ht="15.75" customHeight="1" x14ac:dyDescent="0.4">
      <c r="A1166" s="24" t="s">
        <v>824</v>
      </c>
      <c r="B1166" s="24" t="s">
        <v>1746</v>
      </c>
      <c r="C1166" s="24" t="s">
        <v>826</v>
      </c>
    </row>
    <row r="1167" spans="1:3" ht="15.75" customHeight="1" x14ac:dyDescent="0.4">
      <c r="A1167" s="24" t="s">
        <v>824</v>
      </c>
      <c r="B1167" s="24" t="s">
        <v>1747</v>
      </c>
      <c r="C1167" s="24" t="s">
        <v>826</v>
      </c>
    </row>
    <row r="1168" spans="1:3" ht="15.75" customHeight="1" x14ac:dyDescent="0.4">
      <c r="A1168" s="24" t="s">
        <v>824</v>
      </c>
      <c r="B1168" s="24" t="s">
        <v>1748</v>
      </c>
      <c r="C1168" s="24" t="s">
        <v>826</v>
      </c>
    </row>
    <row r="1169" spans="1:3" ht="15.75" customHeight="1" x14ac:dyDescent="0.4">
      <c r="A1169" s="24" t="s">
        <v>824</v>
      </c>
      <c r="B1169" s="24" t="s">
        <v>1749</v>
      </c>
      <c r="C1169" s="24" t="s">
        <v>826</v>
      </c>
    </row>
    <row r="1170" spans="1:3" ht="15.75" customHeight="1" x14ac:dyDescent="0.4">
      <c r="A1170" s="24" t="s">
        <v>824</v>
      </c>
      <c r="B1170" s="24" t="s">
        <v>1750</v>
      </c>
      <c r="C1170" s="24" t="s">
        <v>826</v>
      </c>
    </row>
    <row r="1171" spans="1:3" ht="15.75" customHeight="1" x14ac:dyDescent="0.4">
      <c r="A1171" s="24" t="s">
        <v>824</v>
      </c>
      <c r="B1171" s="24" t="s">
        <v>230</v>
      </c>
      <c r="C1171" s="24" t="s">
        <v>826</v>
      </c>
    </row>
    <row r="1172" spans="1:3" ht="15.75" customHeight="1" x14ac:dyDescent="0.4">
      <c r="A1172" s="24" t="s">
        <v>824</v>
      </c>
      <c r="B1172" s="24" t="s">
        <v>1751</v>
      </c>
      <c r="C1172" s="24" t="s">
        <v>826</v>
      </c>
    </row>
    <row r="1173" spans="1:3" ht="15.75" customHeight="1" x14ac:dyDescent="0.4">
      <c r="A1173" s="24" t="s">
        <v>824</v>
      </c>
      <c r="B1173" s="24" t="s">
        <v>1752</v>
      </c>
      <c r="C1173" s="24" t="s">
        <v>826</v>
      </c>
    </row>
    <row r="1174" spans="1:3" ht="15.75" customHeight="1" x14ac:dyDescent="0.4">
      <c r="A1174" s="24" t="s">
        <v>824</v>
      </c>
      <c r="B1174" s="24" t="s">
        <v>1753</v>
      </c>
      <c r="C1174" s="24" t="s">
        <v>826</v>
      </c>
    </row>
    <row r="1175" spans="1:3" ht="15.75" customHeight="1" x14ac:dyDescent="0.4">
      <c r="A1175" s="24" t="s">
        <v>824</v>
      </c>
      <c r="B1175" s="24" t="s">
        <v>413</v>
      </c>
      <c r="C1175" s="24" t="s">
        <v>825</v>
      </c>
    </row>
    <row r="1176" spans="1:3" ht="15.75" customHeight="1" x14ac:dyDescent="0.4">
      <c r="A1176" s="24" t="s">
        <v>824</v>
      </c>
      <c r="B1176" s="24" t="s">
        <v>1754</v>
      </c>
      <c r="C1176" s="24" t="s">
        <v>826</v>
      </c>
    </row>
    <row r="1177" spans="1:3" ht="15.75" customHeight="1" x14ac:dyDescent="0.4">
      <c r="A1177" s="24" t="s">
        <v>824</v>
      </c>
      <c r="B1177" s="24" t="s">
        <v>1755</v>
      </c>
      <c r="C1177" s="24" t="s">
        <v>826</v>
      </c>
    </row>
    <row r="1178" spans="1:3" ht="15.75" customHeight="1" x14ac:dyDescent="0.4">
      <c r="A1178" s="24" t="s">
        <v>824</v>
      </c>
      <c r="B1178" s="24" t="s">
        <v>1756</v>
      </c>
      <c r="C1178" s="24" t="s">
        <v>826</v>
      </c>
    </row>
    <row r="1179" spans="1:3" ht="15.75" customHeight="1" x14ac:dyDescent="0.4">
      <c r="A1179" s="24" t="s">
        <v>824</v>
      </c>
      <c r="B1179" s="24" t="s">
        <v>527</v>
      </c>
      <c r="C1179" s="24" t="s">
        <v>825</v>
      </c>
    </row>
    <row r="1180" spans="1:3" ht="15.75" customHeight="1" x14ac:dyDescent="0.4">
      <c r="A1180" s="24" t="s">
        <v>824</v>
      </c>
      <c r="B1180" s="24" t="s">
        <v>1757</v>
      </c>
      <c r="C1180" s="24" t="s">
        <v>826</v>
      </c>
    </row>
    <row r="1181" spans="1:3" ht="15.75" customHeight="1" x14ac:dyDescent="0.4">
      <c r="A1181" s="24" t="s">
        <v>824</v>
      </c>
      <c r="B1181" s="24" t="s">
        <v>1758</v>
      </c>
      <c r="C1181" s="24" t="s">
        <v>826</v>
      </c>
    </row>
    <row r="1182" spans="1:3" ht="15.75" customHeight="1" x14ac:dyDescent="0.4">
      <c r="A1182" s="24" t="s">
        <v>824</v>
      </c>
      <c r="B1182" s="24" t="s">
        <v>617</v>
      </c>
      <c r="C1182" s="24" t="s">
        <v>825</v>
      </c>
    </row>
    <row r="1183" spans="1:3" ht="15.75" customHeight="1" x14ac:dyDescent="0.4">
      <c r="A1183" s="24" t="s">
        <v>824</v>
      </c>
      <c r="B1183" s="24" t="s">
        <v>1759</v>
      </c>
      <c r="C1183" s="24" t="s">
        <v>826</v>
      </c>
    </row>
    <row r="1184" spans="1:3" ht="15.75" customHeight="1" x14ac:dyDescent="0.4">
      <c r="A1184" s="24" t="s">
        <v>824</v>
      </c>
      <c r="B1184" s="24" t="s">
        <v>1760</v>
      </c>
      <c r="C1184" s="24" t="s">
        <v>826</v>
      </c>
    </row>
    <row r="1185" spans="1:3" ht="15.75" customHeight="1" x14ac:dyDescent="0.4">
      <c r="A1185" s="24" t="s">
        <v>824</v>
      </c>
      <c r="B1185" s="24" t="s">
        <v>1761</v>
      </c>
      <c r="C1185" s="24" t="s">
        <v>826</v>
      </c>
    </row>
    <row r="1186" spans="1:3" ht="15.75" customHeight="1" x14ac:dyDescent="0.4">
      <c r="A1186" s="24" t="s">
        <v>824</v>
      </c>
      <c r="B1186" s="24" t="s">
        <v>1762</v>
      </c>
      <c r="C1186" s="24" t="s">
        <v>826</v>
      </c>
    </row>
    <row r="1187" spans="1:3" ht="15.75" customHeight="1" x14ac:dyDescent="0.4">
      <c r="A1187" s="24" t="s">
        <v>824</v>
      </c>
      <c r="B1187" s="24" t="s">
        <v>1763</v>
      </c>
      <c r="C1187" s="24" t="s">
        <v>826</v>
      </c>
    </row>
    <row r="1188" spans="1:3" ht="15.75" customHeight="1" x14ac:dyDescent="0.4">
      <c r="A1188" s="24" t="s">
        <v>824</v>
      </c>
      <c r="B1188" s="24" t="s">
        <v>1764</v>
      </c>
      <c r="C1188" s="24" t="s">
        <v>826</v>
      </c>
    </row>
    <row r="1189" spans="1:3" ht="15.75" customHeight="1" x14ac:dyDescent="0.4">
      <c r="A1189" s="24" t="s">
        <v>824</v>
      </c>
      <c r="B1189" s="24" t="s">
        <v>1765</v>
      </c>
      <c r="C1189" s="24" t="s">
        <v>826</v>
      </c>
    </row>
    <row r="1190" spans="1:3" ht="15.75" customHeight="1" x14ac:dyDescent="0.4">
      <c r="A1190" s="24" t="s">
        <v>824</v>
      </c>
      <c r="B1190" s="24" t="s">
        <v>1766</v>
      </c>
      <c r="C1190" s="24" t="s">
        <v>826</v>
      </c>
    </row>
    <row r="1191" spans="1:3" ht="15.75" customHeight="1" x14ac:dyDescent="0.4">
      <c r="A1191" s="24" t="s">
        <v>824</v>
      </c>
      <c r="B1191" s="24" t="s">
        <v>1767</v>
      </c>
      <c r="C1191" s="24" t="s">
        <v>826</v>
      </c>
    </row>
    <row r="1192" spans="1:3" ht="15.75" customHeight="1" x14ac:dyDescent="0.4">
      <c r="A1192" s="24" t="s">
        <v>824</v>
      </c>
      <c r="B1192" s="24" t="s">
        <v>236</v>
      </c>
      <c r="C1192" s="24" t="s">
        <v>826</v>
      </c>
    </row>
    <row r="1193" spans="1:3" ht="15.75" customHeight="1" x14ac:dyDescent="0.4">
      <c r="A1193" s="24" t="s">
        <v>824</v>
      </c>
      <c r="B1193" s="24" t="s">
        <v>1768</v>
      </c>
      <c r="C1193" s="24" t="s">
        <v>826</v>
      </c>
    </row>
    <row r="1194" spans="1:3" ht="15.75" customHeight="1" x14ac:dyDescent="0.4">
      <c r="A1194" s="24" t="s">
        <v>824</v>
      </c>
      <c r="B1194" s="24" t="s">
        <v>1769</v>
      </c>
      <c r="C1194" s="24" t="s">
        <v>826</v>
      </c>
    </row>
    <row r="1195" spans="1:3" ht="15.75" customHeight="1" x14ac:dyDescent="0.4">
      <c r="A1195" s="24" t="s">
        <v>824</v>
      </c>
      <c r="B1195" s="24" t="s">
        <v>575</v>
      </c>
      <c r="C1195" s="24" t="s">
        <v>825</v>
      </c>
    </row>
    <row r="1196" spans="1:3" ht="15.75" customHeight="1" x14ac:dyDescent="0.4">
      <c r="A1196" s="24" t="s">
        <v>824</v>
      </c>
      <c r="B1196" s="24" t="s">
        <v>1770</v>
      </c>
      <c r="C1196" s="24" t="s">
        <v>826</v>
      </c>
    </row>
    <row r="1197" spans="1:3" ht="15.75" customHeight="1" x14ac:dyDescent="0.4">
      <c r="A1197" s="24" t="s">
        <v>824</v>
      </c>
      <c r="B1197" s="24" t="s">
        <v>1771</v>
      </c>
      <c r="C1197" s="24" t="s">
        <v>826</v>
      </c>
    </row>
    <row r="1198" spans="1:3" ht="15.75" customHeight="1" x14ac:dyDescent="0.4">
      <c r="A1198" s="24" t="s">
        <v>824</v>
      </c>
      <c r="B1198" s="24" t="s">
        <v>238</v>
      </c>
      <c r="C1198" s="24" t="s">
        <v>826</v>
      </c>
    </row>
    <row r="1199" spans="1:3" ht="15.75" customHeight="1" x14ac:dyDescent="0.4">
      <c r="A1199" s="24" t="s">
        <v>824</v>
      </c>
      <c r="B1199" s="24" t="s">
        <v>1772</v>
      </c>
      <c r="C1199" s="24" t="s">
        <v>826</v>
      </c>
    </row>
    <row r="1200" spans="1:3" ht="15.75" customHeight="1" x14ac:dyDescent="0.4">
      <c r="A1200" s="24" t="s">
        <v>824</v>
      </c>
      <c r="B1200" s="24" t="s">
        <v>1773</v>
      </c>
      <c r="C1200" s="24" t="s">
        <v>826</v>
      </c>
    </row>
    <row r="1201" spans="1:3" ht="15.75" customHeight="1" x14ac:dyDescent="0.4">
      <c r="A1201" s="24" t="s">
        <v>824</v>
      </c>
      <c r="B1201" s="24" t="s">
        <v>1774</v>
      </c>
      <c r="C1201" s="24" t="s">
        <v>826</v>
      </c>
    </row>
    <row r="1202" spans="1:3" ht="15.75" customHeight="1" x14ac:dyDescent="0.4">
      <c r="A1202" s="24" t="s">
        <v>824</v>
      </c>
      <c r="B1202" s="24" t="s">
        <v>1775</v>
      </c>
      <c r="C1202" s="24" t="s">
        <v>826</v>
      </c>
    </row>
    <row r="1203" spans="1:3" ht="15.75" customHeight="1" x14ac:dyDescent="0.4">
      <c r="A1203" s="24" t="s">
        <v>824</v>
      </c>
      <c r="B1203" s="24" t="s">
        <v>1776</v>
      </c>
      <c r="C1203" s="24" t="s">
        <v>826</v>
      </c>
    </row>
    <row r="1204" spans="1:3" ht="15.75" customHeight="1" x14ac:dyDescent="0.4">
      <c r="A1204" s="24" t="s">
        <v>824</v>
      </c>
      <c r="B1204" s="24" t="s">
        <v>1777</v>
      </c>
      <c r="C1204" s="24" t="s">
        <v>826</v>
      </c>
    </row>
    <row r="1205" spans="1:3" ht="15.75" customHeight="1" x14ac:dyDescent="0.4">
      <c r="A1205" s="24" t="s">
        <v>824</v>
      </c>
      <c r="B1205" s="24" t="s">
        <v>1778</v>
      </c>
      <c r="C1205" s="24" t="s">
        <v>826</v>
      </c>
    </row>
    <row r="1206" spans="1:3" ht="15.75" customHeight="1" x14ac:dyDescent="0.4">
      <c r="A1206" s="24" t="s">
        <v>824</v>
      </c>
      <c r="B1206" s="24" t="s">
        <v>1779</v>
      </c>
      <c r="C1206" s="24" t="s">
        <v>826</v>
      </c>
    </row>
    <row r="1207" spans="1:3" ht="15.75" customHeight="1" x14ac:dyDescent="0.4">
      <c r="A1207" s="24" t="s">
        <v>824</v>
      </c>
      <c r="B1207" s="24" t="s">
        <v>661</v>
      </c>
      <c r="C1207" s="24" t="s">
        <v>825</v>
      </c>
    </row>
    <row r="1208" spans="1:3" ht="15.75" customHeight="1" x14ac:dyDescent="0.4">
      <c r="A1208" s="24" t="s">
        <v>824</v>
      </c>
      <c r="B1208" s="24" t="s">
        <v>1780</v>
      </c>
      <c r="C1208" s="24" t="s">
        <v>826</v>
      </c>
    </row>
    <row r="1209" spans="1:3" ht="15.75" customHeight="1" x14ac:dyDescent="0.4">
      <c r="A1209" s="24" t="s">
        <v>824</v>
      </c>
      <c r="B1209" s="24" t="s">
        <v>1781</v>
      </c>
      <c r="C1209" s="24" t="s">
        <v>826</v>
      </c>
    </row>
    <row r="1210" spans="1:3" ht="15.75" customHeight="1" x14ac:dyDescent="0.4">
      <c r="A1210" s="24" t="s">
        <v>824</v>
      </c>
      <c r="B1210" s="24" t="s">
        <v>1782</v>
      </c>
      <c r="C1210" s="24" t="s">
        <v>826</v>
      </c>
    </row>
    <row r="1211" spans="1:3" ht="15.75" customHeight="1" x14ac:dyDescent="0.4">
      <c r="A1211" s="24" t="s">
        <v>824</v>
      </c>
      <c r="B1211" s="24" t="s">
        <v>1783</v>
      </c>
      <c r="C1211" s="24" t="s">
        <v>826</v>
      </c>
    </row>
    <row r="1212" spans="1:3" ht="15.75" customHeight="1" x14ac:dyDescent="0.4">
      <c r="A1212" s="24" t="s">
        <v>824</v>
      </c>
      <c r="B1212" s="24" t="s">
        <v>1784</v>
      </c>
      <c r="C1212" s="24" t="s">
        <v>826</v>
      </c>
    </row>
    <row r="1213" spans="1:3" ht="15.75" customHeight="1" x14ac:dyDescent="0.4">
      <c r="A1213" s="24" t="s">
        <v>824</v>
      </c>
      <c r="B1213" s="24" t="s">
        <v>1785</v>
      </c>
      <c r="C1213" s="24" t="s">
        <v>826</v>
      </c>
    </row>
    <row r="1214" spans="1:3" ht="15.75" customHeight="1" x14ac:dyDescent="0.4">
      <c r="A1214" s="24" t="s">
        <v>824</v>
      </c>
      <c r="B1214" s="24" t="s">
        <v>1786</v>
      </c>
      <c r="C1214" s="24" t="s">
        <v>826</v>
      </c>
    </row>
    <row r="1215" spans="1:3" ht="15.75" customHeight="1" x14ac:dyDescent="0.4">
      <c r="A1215" s="24" t="s">
        <v>824</v>
      </c>
      <c r="B1215" s="24" t="s">
        <v>1787</v>
      </c>
      <c r="C1215" s="24" t="s">
        <v>826</v>
      </c>
    </row>
    <row r="1216" spans="1:3" ht="15.75" customHeight="1" x14ac:dyDescent="0.4">
      <c r="A1216" s="24" t="s">
        <v>824</v>
      </c>
      <c r="B1216" s="24" t="s">
        <v>1788</v>
      </c>
      <c r="C1216" s="24" t="s">
        <v>826</v>
      </c>
    </row>
    <row r="1217" spans="1:3" ht="15.75" customHeight="1" x14ac:dyDescent="0.4">
      <c r="A1217" s="24" t="s">
        <v>824</v>
      </c>
      <c r="B1217" s="24" t="s">
        <v>1789</v>
      </c>
      <c r="C1217" s="24" t="s">
        <v>826</v>
      </c>
    </row>
    <row r="1218" spans="1:3" ht="15.75" customHeight="1" x14ac:dyDescent="0.4">
      <c r="A1218" s="24" t="s">
        <v>824</v>
      </c>
      <c r="B1218" s="24" t="s">
        <v>1790</v>
      </c>
      <c r="C1218" s="24" t="s">
        <v>826</v>
      </c>
    </row>
    <row r="1219" spans="1:3" ht="15.75" customHeight="1" x14ac:dyDescent="0.4">
      <c r="A1219" s="24" t="s">
        <v>824</v>
      </c>
      <c r="B1219" s="24" t="s">
        <v>1791</v>
      </c>
      <c r="C1219" s="24" t="s">
        <v>826</v>
      </c>
    </row>
    <row r="1220" spans="1:3" ht="15.75" customHeight="1" x14ac:dyDescent="0.4">
      <c r="A1220" s="24" t="s">
        <v>824</v>
      </c>
      <c r="B1220" s="24" t="s">
        <v>1792</v>
      </c>
      <c r="C1220" s="24" t="s">
        <v>826</v>
      </c>
    </row>
    <row r="1221" spans="1:3" ht="15.75" customHeight="1" x14ac:dyDescent="0.4">
      <c r="A1221" s="24" t="s">
        <v>824</v>
      </c>
      <c r="B1221" s="24" t="s">
        <v>1793</v>
      </c>
      <c r="C1221" s="24" t="s">
        <v>826</v>
      </c>
    </row>
    <row r="1222" spans="1:3" ht="15.75" customHeight="1" x14ac:dyDescent="0.4">
      <c r="A1222" s="24" t="s">
        <v>824</v>
      </c>
      <c r="B1222" s="24" t="s">
        <v>1794</v>
      </c>
      <c r="C1222" s="24" t="s">
        <v>826</v>
      </c>
    </row>
    <row r="1223" spans="1:3" ht="15.75" customHeight="1" x14ac:dyDescent="0.4">
      <c r="A1223" s="24" t="s">
        <v>824</v>
      </c>
      <c r="B1223" s="24" t="s">
        <v>1795</v>
      </c>
      <c r="C1223" s="24" t="s">
        <v>826</v>
      </c>
    </row>
    <row r="1224" spans="1:3" ht="15.75" customHeight="1" x14ac:dyDescent="0.4">
      <c r="A1224" s="24" t="s">
        <v>824</v>
      </c>
      <c r="B1224" s="24" t="s">
        <v>1796</v>
      </c>
      <c r="C1224" s="24" t="s">
        <v>826</v>
      </c>
    </row>
    <row r="1225" spans="1:3" ht="15.75" customHeight="1" x14ac:dyDescent="0.4">
      <c r="A1225" s="24" t="s">
        <v>824</v>
      </c>
      <c r="B1225" s="24" t="s">
        <v>1797</v>
      </c>
      <c r="C1225" s="24" t="s">
        <v>826</v>
      </c>
    </row>
    <row r="1226" spans="1:3" ht="15.75" customHeight="1" x14ac:dyDescent="0.4">
      <c r="A1226" s="24" t="s">
        <v>824</v>
      </c>
      <c r="B1226" s="24" t="s">
        <v>1798</v>
      </c>
      <c r="C1226" s="24" t="s">
        <v>826</v>
      </c>
    </row>
    <row r="1227" spans="1:3" ht="15.75" customHeight="1" x14ac:dyDescent="0.4">
      <c r="A1227" s="24" t="s">
        <v>824</v>
      </c>
      <c r="B1227" s="24" t="s">
        <v>1799</v>
      </c>
      <c r="C1227" s="24" t="s">
        <v>826</v>
      </c>
    </row>
    <row r="1228" spans="1:3" ht="15.75" customHeight="1" x14ac:dyDescent="0.4">
      <c r="A1228" s="24" t="s">
        <v>824</v>
      </c>
      <c r="B1228" s="24" t="s">
        <v>1800</v>
      </c>
      <c r="C1228" s="24" t="s">
        <v>826</v>
      </c>
    </row>
    <row r="1229" spans="1:3" ht="15.75" customHeight="1" x14ac:dyDescent="0.4">
      <c r="A1229" s="24" t="s">
        <v>824</v>
      </c>
      <c r="B1229" s="24" t="s">
        <v>1801</v>
      </c>
      <c r="C1229" s="24" t="s">
        <v>826</v>
      </c>
    </row>
    <row r="1230" spans="1:3" ht="15.75" customHeight="1" x14ac:dyDescent="0.4">
      <c r="A1230" s="24" t="s">
        <v>824</v>
      </c>
      <c r="B1230" s="24" t="s">
        <v>1802</v>
      </c>
      <c r="C1230" s="24" t="s">
        <v>826</v>
      </c>
    </row>
    <row r="1231" spans="1:3" ht="15.75" customHeight="1" x14ac:dyDescent="0.4">
      <c r="A1231" s="24" t="s">
        <v>824</v>
      </c>
      <c r="B1231" s="24" t="s">
        <v>237</v>
      </c>
      <c r="C1231" s="24" t="s">
        <v>826</v>
      </c>
    </row>
    <row r="1232" spans="1:3" ht="15.75" customHeight="1" x14ac:dyDescent="0.4">
      <c r="A1232" s="24" t="s">
        <v>824</v>
      </c>
      <c r="B1232" s="24" t="s">
        <v>1803</v>
      </c>
      <c r="C1232" s="24" t="s">
        <v>826</v>
      </c>
    </row>
    <row r="1233" spans="1:3" ht="15.75" customHeight="1" x14ac:dyDescent="0.4">
      <c r="A1233" s="24" t="s">
        <v>824</v>
      </c>
      <c r="B1233" s="24" t="s">
        <v>1804</v>
      </c>
      <c r="C1233" s="24" t="s">
        <v>826</v>
      </c>
    </row>
    <row r="1234" spans="1:3" ht="15.75" customHeight="1" x14ac:dyDescent="0.4">
      <c r="A1234" s="24" t="s">
        <v>824</v>
      </c>
      <c r="B1234" s="24" t="s">
        <v>1805</v>
      </c>
      <c r="C1234" s="24" t="s">
        <v>826</v>
      </c>
    </row>
    <row r="1235" spans="1:3" ht="15.75" customHeight="1" x14ac:dyDescent="0.4">
      <c r="A1235" s="24" t="s">
        <v>824</v>
      </c>
      <c r="B1235" s="24" t="s">
        <v>1806</v>
      </c>
      <c r="C1235" s="24" t="s">
        <v>826</v>
      </c>
    </row>
    <row r="1236" spans="1:3" ht="15.75" customHeight="1" x14ac:dyDescent="0.4">
      <c r="A1236" s="24" t="s">
        <v>824</v>
      </c>
      <c r="B1236" s="24" t="s">
        <v>1807</v>
      </c>
      <c r="C1236" s="24" t="s">
        <v>826</v>
      </c>
    </row>
    <row r="1237" spans="1:3" ht="15.75" customHeight="1" x14ac:dyDescent="0.4">
      <c r="A1237" s="24" t="s">
        <v>824</v>
      </c>
      <c r="B1237" s="24" t="s">
        <v>1808</v>
      </c>
      <c r="C1237" s="24" t="s">
        <v>826</v>
      </c>
    </row>
    <row r="1238" spans="1:3" ht="15.75" customHeight="1" x14ac:dyDescent="0.4">
      <c r="A1238" s="24" t="s">
        <v>824</v>
      </c>
      <c r="B1238" s="24" t="s">
        <v>1809</v>
      </c>
      <c r="C1238" s="24" t="s">
        <v>826</v>
      </c>
    </row>
    <row r="1239" spans="1:3" ht="15.75" customHeight="1" x14ac:dyDescent="0.4">
      <c r="A1239" s="24" t="s">
        <v>824</v>
      </c>
      <c r="B1239" s="24" t="s">
        <v>710</v>
      </c>
      <c r="C1239" s="24" t="s">
        <v>825</v>
      </c>
    </row>
    <row r="1240" spans="1:3" ht="15.75" customHeight="1" x14ac:dyDescent="0.4">
      <c r="A1240" s="24" t="s">
        <v>824</v>
      </c>
      <c r="B1240" s="24" t="s">
        <v>1810</v>
      </c>
      <c r="C1240" s="24" t="s">
        <v>826</v>
      </c>
    </row>
    <row r="1241" spans="1:3" ht="15.75" customHeight="1" x14ac:dyDescent="0.4">
      <c r="A1241" s="24" t="s">
        <v>824</v>
      </c>
      <c r="B1241" s="24" t="s">
        <v>675</v>
      </c>
      <c r="C1241" s="24" t="s">
        <v>825</v>
      </c>
    </row>
    <row r="1242" spans="1:3" ht="15.75" customHeight="1" x14ac:dyDescent="0.4">
      <c r="A1242" s="24" t="s">
        <v>824</v>
      </c>
      <c r="B1242" s="24" t="s">
        <v>1811</v>
      </c>
      <c r="C1242" s="24" t="s">
        <v>826</v>
      </c>
    </row>
    <row r="1243" spans="1:3" ht="15.75" customHeight="1" x14ac:dyDescent="0.4">
      <c r="A1243" s="24" t="s">
        <v>824</v>
      </c>
      <c r="B1243" s="24" t="s">
        <v>1812</v>
      </c>
      <c r="C1243" s="24" t="s">
        <v>826</v>
      </c>
    </row>
    <row r="1244" spans="1:3" ht="15.75" customHeight="1" x14ac:dyDescent="0.4">
      <c r="A1244" s="24" t="s">
        <v>824</v>
      </c>
      <c r="B1244" s="24" t="s">
        <v>1813</v>
      </c>
      <c r="C1244" s="24" t="s">
        <v>826</v>
      </c>
    </row>
    <row r="1245" spans="1:3" ht="15.75" customHeight="1" x14ac:dyDescent="0.4">
      <c r="A1245" s="24" t="s">
        <v>824</v>
      </c>
      <c r="B1245" s="24" t="s">
        <v>1814</v>
      </c>
      <c r="C1245" s="24" t="s">
        <v>826</v>
      </c>
    </row>
    <row r="1246" spans="1:3" ht="15.75" customHeight="1" x14ac:dyDescent="0.4">
      <c r="A1246" s="24" t="s">
        <v>824</v>
      </c>
      <c r="B1246" s="24" t="s">
        <v>1815</v>
      </c>
      <c r="C1246" s="24" t="s">
        <v>826</v>
      </c>
    </row>
    <row r="1247" spans="1:3" ht="15.75" customHeight="1" x14ac:dyDescent="0.4">
      <c r="A1247" s="24" t="s">
        <v>824</v>
      </c>
      <c r="B1247" s="24" t="s">
        <v>1816</v>
      </c>
      <c r="C1247" s="24" t="s">
        <v>826</v>
      </c>
    </row>
    <row r="1248" spans="1:3" ht="15.75" customHeight="1" x14ac:dyDescent="0.4">
      <c r="A1248" s="24" t="s">
        <v>824</v>
      </c>
      <c r="B1248" s="24" t="s">
        <v>1817</v>
      </c>
      <c r="C1248" s="24" t="s">
        <v>826</v>
      </c>
    </row>
    <row r="1249" spans="1:3" ht="15.75" customHeight="1" x14ac:dyDescent="0.4">
      <c r="A1249" s="24" t="s">
        <v>824</v>
      </c>
      <c r="B1249" s="24" t="s">
        <v>1818</v>
      </c>
      <c r="C1249" s="24" t="s">
        <v>826</v>
      </c>
    </row>
    <row r="1250" spans="1:3" ht="15.75" customHeight="1" x14ac:dyDescent="0.4">
      <c r="A1250" s="24" t="s">
        <v>824</v>
      </c>
      <c r="B1250" s="24" t="s">
        <v>1819</v>
      </c>
      <c r="C1250" s="24" t="s">
        <v>826</v>
      </c>
    </row>
    <row r="1251" spans="1:3" ht="15.75" customHeight="1" x14ac:dyDescent="0.4">
      <c r="A1251" s="24" t="s">
        <v>824</v>
      </c>
      <c r="B1251" s="24" t="s">
        <v>1820</v>
      </c>
      <c r="C1251" s="24" t="s">
        <v>826</v>
      </c>
    </row>
    <row r="1252" spans="1:3" ht="15.75" customHeight="1" x14ac:dyDescent="0.4">
      <c r="A1252" s="24" t="s">
        <v>824</v>
      </c>
      <c r="B1252" s="24" t="s">
        <v>1821</v>
      </c>
      <c r="C1252" s="24" t="s">
        <v>826</v>
      </c>
    </row>
    <row r="1253" spans="1:3" ht="15.75" customHeight="1" x14ac:dyDescent="0.4">
      <c r="A1253" s="24" t="s">
        <v>824</v>
      </c>
      <c r="B1253" s="24" t="s">
        <v>1822</v>
      </c>
      <c r="C1253" s="24" t="s">
        <v>826</v>
      </c>
    </row>
    <row r="1254" spans="1:3" ht="15.75" customHeight="1" x14ac:dyDescent="0.4">
      <c r="A1254" s="24" t="s">
        <v>824</v>
      </c>
      <c r="B1254" s="24" t="s">
        <v>1823</v>
      </c>
      <c r="C1254" s="24" t="s">
        <v>826</v>
      </c>
    </row>
    <row r="1255" spans="1:3" ht="15.75" customHeight="1" x14ac:dyDescent="0.4">
      <c r="A1255" s="24" t="s">
        <v>824</v>
      </c>
      <c r="B1255" s="24" t="s">
        <v>1824</v>
      </c>
      <c r="C1255" s="24" t="s">
        <v>826</v>
      </c>
    </row>
    <row r="1256" spans="1:3" ht="15.75" customHeight="1" x14ac:dyDescent="0.4">
      <c r="A1256" s="24" t="s">
        <v>824</v>
      </c>
      <c r="B1256" s="24" t="s">
        <v>1825</v>
      </c>
      <c r="C1256" s="24" t="s">
        <v>826</v>
      </c>
    </row>
    <row r="1257" spans="1:3" ht="15.75" customHeight="1" x14ac:dyDescent="0.4">
      <c r="A1257" s="24" t="s">
        <v>824</v>
      </c>
      <c r="B1257" s="24" t="s">
        <v>1826</v>
      </c>
      <c r="C1257" s="24" t="s">
        <v>826</v>
      </c>
    </row>
    <row r="1258" spans="1:3" ht="15.75" customHeight="1" x14ac:dyDescent="0.4">
      <c r="A1258" s="24" t="s">
        <v>824</v>
      </c>
      <c r="B1258" s="24" t="s">
        <v>1827</v>
      </c>
      <c r="C1258" s="24" t="s">
        <v>826</v>
      </c>
    </row>
    <row r="1259" spans="1:3" ht="15.75" customHeight="1" x14ac:dyDescent="0.4">
      <c r="A1259" s="24" t="s">
        <v>824</v>
      </c>
      <c r="B1259" s="24" t="s">
        <v>1828</v>
      </c>
      <c r="C1259" s="24" t="s">
        <v>826</v>
      </c>
    </row>
    <row r="1260" spans="1:3" ht="15.75" customHeight="1" x14ac:dyDescent="0.4">
      <c r="A1260" s="24" t="s">
        <v>824</v>
      </c>
      <c r="B1260" s="24" t="s">
        <v>1829</v>
      </c>
      <c r="C1260" s="24" t="s">
        <v>826</v>
      </c>
    </row>
    <row r="1261" spans="1:3" ht="15.75" customHeight="1" x14ac:dyDescent="0.4">
      <c r="A1261" s="24" t="s">
        <v>824</v>
      </c>
      <c r="B1261" s="24" t="s">
        <v>1830</v>
      </c>
      <c r="C1261" s="24" t="s">
        <v>826</v>
      </c>
    </row>
    <row r="1262" spans="1:3" ht="15.75" customHeight="1" x14ac:dyDescent="0.4">
      <c r="A1262" s="24" t="s">
        <v>824</v>
      </c>
      <c r="B1262" s="24" t="s">
        <v>1831</v>
      </c>
      <c r="C1262" s="24" t="s">
        <v>826</v>
      </c>
    </row>
    <row r="1263" spans="1:3" ht="15.75" customHeight="1" x14ac:dyDescent="0.4">
      <c r="A1263" s="24" t="s">
        <v>824</v>
      </c>
      <c r="B1263" s="24" t="s">
        <v>1832</v>
      </c>
      <c r="C1263" s="24" t="s">
        <v>826</v>
      </c>
    </row>
    <row r="1264" spans="1:3" ht="15.75" customHeight="1" x14ac:dyDescent="0.4">
      <c r="A1264" s="24" t="s">
        <v>824</v>
      </c>
      <c r="B1264" s="24" t="s">
        <v>1833</v>
      </c>
      <c r="C1264" s="24" t="s">
        <v>826</v>
      </c>
    </row>
    <row r="1265" spans="1:3" ht="15.75" customHeight="1" x14ac:dyDescent="0.4">
      <c r="A1265" s="24" t="s">
        <v>824</v>
      </c>
      <c r="B1265" s="24" t="s">
        <v>1834</v>
      </c>
      <c r="C1265" s="24" t="s">
        <v>826</v>
      </c>
    </row>
    <row r="1266" spans="1:3" ht="15.75" customHeight="1" x14ac:dyDescent="0.4">
      <c r="A1266" s="24" t="s">
        <v>824</v>
      </c>
      <c r="B1266" s="24" t="s">
        <v>1835</v>
      </c>
      <c r="C1266" s="24" t="s">
        <v>826</v>
      </c>
    </row>
    <row r="1267" spans="1:3" ht="15.75" customHeight="1" x14ac:dyDescent="0.4">
      <c r="A1267" s="24" t="s">
        <v>824</v>
      </c>
      <c r="B1267" s="24" t="s">
        <v>1836</v>
      </c>
      <c r="C1267" s="24" t="s">
        <v>826</v>
      </c>
    </row>
    <row r="1268" spans="1:3" ht="15.75" customHeight="1" x14ac:dyDescent="0.4">
      <c r="A1268" s="24" t="s">
        <v>824</v>
      </c>
      <c r="B1268" s="24" t="s">
        <v>1837</v>
      </c>
      <c r="C1268" s="24" t="s">
        <v>826</v>
      </c>
    </row>
    <row r="1269" spans="1:3" ht="15.75" customHeight="1" x14ac:dyDescent="0.4">
      <c r="A1269" s="24" t="s">
        <v>824</v>
      </c>
      <c r="B1269" s="24" t="s">
        <v>1838</v>
      </c>
      <c r="C1269" s="24" t="s">
        <v>826</v>
      </c>
    </row>
    <row r="1270" spans="1:3" ht="15.75" customHeight="1" x14ac:dyDescent="0.4">
      <c r="A1270" s="24" t="s">
        <v>824</v>
      </c>
      <c r="B1270" s="24" t="s">
        <v>1839</v>
      </c>
      <c r="C1270" s="24" t="s">
        <v>826</v>
      </c>
    </row>
    <row r="1271" spans="1:3" ht="15.75" customHeight="1" x14ac:dyDescent="0.4">
      <c r="A1271" s="24" t="s">
        <v>824</v>
      </c>
      <c r="B1271" s="24" t="s">
        <v>1840</v>
      </c>
      <c r="C1271" s="24" t="s">
        <v>826</v>
      </c>
    </row>
    <row r="1272" spans="1:3" ht="15.75" customHeight="1" x14ac:dyDescent="0.4">
      <c r="A1272" s="24" t="s">
        <v>824</v>
      </c>
      <c r="B1272" s="24" t="s">
        <v>1841</v>
      </c>
      <c r="C1272" s="24" t="s">
        <v>826</v>
      </c>
    </row>
    <row r="1273" spans="1:3" ht="15.75" customHeight="1" x14ac:dyDescent="0.4">
      <c r="A1273" s="24" t="s">
        <v>824</v>
      </c>
      <c r="B1273" s="24" t="s">
        <v>1842</v>
      </c>
      <c r="C1273" s="24" t="s">
        <v>826</v>
      </c>
    </row>
    <row r="1274" spans="1:3" ht="15.75" customHeight="1" x14ac:dyDescent="0.4">
      <c r="A1274" s="24" t="s">
        <v>824</v>
      </c>
      <c r="B1274" s="24" t="s">
        <v>1843</v>
      </c>
      <c r="C1274" s="24" t="s">
        <v>826</v>
      </c>
    </row>
    <row r="1275" spans="1:3" ht="15.75" customHeight="1" x14ac:dyDescent="0.4">
      <c r="A1275" s="24" t="s">
        <v>824</v>
      </c>
      <c r="B1275" s="24" t="s">
        <v>1844</v>
      </c>
      <c r="C1275" s="24" t="s">
        <v>826</v>
      </c>
    </row>
    <row r="1276" spans="1:3" ht="15.75" customHeight="1" x14ac:dyDescent="0.4">
      <c r="A1276" s="24" t="s">
        <v>824</v>
      </c>
      <c r="B1276" s="24" t="s">
        <v>1845</v>
      </c>
      <c r="C1276" s="24" t="s">
        <v>826</v>
      </c>
    </row>
    <row r="1277" spans="1:3" ht="15.75" customHeight="1" x14ac:dyDescent="0.4">
      <c r="A1277" s="24" t="s">
        <v>824</v>
      </c>
      <c r="B1277" s="24" t="s">
        <v>1846</v>
      </c>
      <c r="C1277" s="24" t="s">
        <v>826</v>
      </c>
    </row>
    <row r="1278" spans="1:3" ht="15.75" customHeight="1" x14ac:dyDescent="0.4">
      <c r="A1278" s="24" t="s">
        <v>824</v>
      </c>
      <c r="B1278" s="24" t="s">
        <v>1847</v>
      </c>
      <c r="C1278" s="24" t="s">
        <v>826</v>
      </c>
    </row>
    <row r="1279" spans="1:3" ht="15.75" customHeight="1" x14ac:dyDescent="0.4">
      <c r="A1279" s="24" t="s">
        <v>824</v>
      </c>
      <c r="B1279" s="24" t="s">
        <v>1848</v>
      </c>
      <c r="C1279" s="24" t="s">
        <v>826</v>
      </c>
    </row>
    <row r="1280" spans="1:3" ht="15.75" customHeight="1" x14ac:dyDescent="0.4">
      <c r="A1280" s="24" t="s">
        <v>824</v>
      </c>
      <c r="B1280" s="24" t="s">
        <v>1849</v>
      </c>
      <c r="C1280" s="24" t="s">
        <v>826</v>
      </c>
    </row>
    <row r="1281" spans="1:3" ht="15.75" customHeight="1" x14ac:dyDescent="0.4">
      <c r="A1281" s="24" t="s">
        <v>824</v>
      </c>
      <c r="B1281" s="24" t="s">
        <v>1850</v>
      </c>
      <c r="C1281" s="24" t="s">
        <v>826</v>
      </c>
    </row>
    <row r="1282" spans="1:3" ht="15.75" customHeight="1" x14ac:dyDescent="0.4">
      <c r="A1282" s="24" t="s">
        <v>824</v>
      </c>
      <c r="B1282" s="24" t="s">
        <v>1851</v>
      </c>
      <c r="C1282" s="24" t="s">
        <v>826</v>
      </c>
    </row>
    <row r="1283" spans="1:3" ht="15.75" customHeight="1" x14ac:dyDescent="0.4">
      <c r="A1283" s="24" t="s">
        <v>824</v>
      </c>
      <c r="B1283" s="24" t="s">
        <v>1852</v>
      </c>
      <c r="C1283" s="24" t="s">
        <v>826</v>
      </c>
    </row>
    <row r="1284" spans="1:3" ht="15.75" customHeight="1" x14ac:dyDescent="0.4">
      <c r="A1284" s="24" t="s">
        <v>824</v>
      </c>
      <c r="B1284" s="24" t="s">
        <v>1853</v>
      </c>
      <c r="C1284" s="24" t="s">
        <v>826</v>
      </c>
    </row>
    <row r="1285" spans="1:3" ht="15.75" customHeight="1" x14ac:dyDescent="0.4">
      <c r="A1285" s="24" t="s">
        <v>824</v>
      </c>
      <c r="B1285" s="24" t="s">
        <v>1854</v>
      </c>
      <c r="C1285" s="24" t="s">
        <v>826</v>
      </c>
    </row>
    <row r="1286" spans="1:3" ht="15.75" customHeight="1" x14ac:dyDescent="0.4">
      <c r="A1286" s="24" t="s">
        <v>824</v>
      </c>
      <c r="B1286" s="24" t="s">
        <v>1855</v>
      </c>
      <c r="C1286" s="24" t="s">
        <v>826</v>
      </c>
    </row>
    <row r="1287" spans="1:3" ht="15.75" customHeight="1" x14ac:dyDescent="0.4">
      <c r="A1287" s="24" t="s">
        <v>824</v>
      </c>
      <c r="B1287" s="24" t="s">
        <v>1856</v>
      </c>
      <c r="C1287" s="24" t="s">
        <v>826</v>
      </c>
    </row>
    <row r="1288" spans="1:3" ht="15.75" customHeight="1" x14ac:dyDescent="0.4">
      <c r="A1288" s="24" t="s">
        <v>824</v>
      </c>
      <c r="B1288" s="24" t="s">
        <v>1857</v>
      </c>
      <c r="C1288" s="24" t="s">
        <v>826</v>
      </c>
    </row>
    <row r="1289" spans="1:3" ht="15.75" customHeight="1" x14ac:dyDescent="0.4">
      <c r="A1289" s="24" t="s">
        <v>824</v>
      </c>
      <c r="B1289" s="24" t="s">
        <v>1858</v>
      </c>
      <c r="C1289" s="24" t="s">
        <v>826</v>
      </c>
    </row>
    <row r="1290" spans="1:3" ht="15.75" customHeight="1" x14ac:dyDescent="0.4">
      <c r="A1290" s="24" t="s">
        <v>824</v>
      </c>
      <c r="B1290" s="24" t="s">
        <v>1859</v>
      </c>
      <c r="C1290" s="24" t="s">
        <v>826</v>
      </c>
    </row>
    <row r="1291" spans="1:3" ht="15.75" customHeight="1" x14ac:dyDescent="0.4">
      <c r="A1291" s="24" t="s">
        <v>824</v>
      </c>
      <c r="B1291" s="24" t="s">
        <v>1860</v>
      </c>
      <c r="C1291" s="24" t="s">
        <v>826</v>
      </c>
    </row>
    <row r="1292" spans="1:3" ht="15.75" customHeight="1" x14ac:dyDescent="0.4">
      <c r="A1292" s="24" t="s">
        <v>824</v>
      </c>
      <c r="B1292" s="24" t="s">
        <v>1861</v>
      </c>
      <c r="C1292" s="24" t="s">
        <v>826</v>
      </c>
    </row>
    <row r="1293" spans="1:3" ht="15.75" customHeight="1" x14ac:dyDescent="0.4">
      <c r="A1293" s="24" t="s">
        <v>824</v>
      </c>
      <c r="B1293" s="24" t="s">
        <v>1862</v>
      </c>
      <c r="C1293" s="24" t="s">
        <v>826</v>
      </c>
    </row>
    <row r="1294" spans="1:3" ht="15.75" customHeight="1" x14ac:dyDescent="0.4">
      <c r="A1294" s="24" t="s">
        <v>824</v>
      </c>
      <c r="B1294" s="24" t="s">
        <v>702</v>
      </c>
      <c r="C1294" s="24" t="s">
        <v>825</v>
      </c>
    </row>
    <row r="1295" spans="1:3" ht="15.75" customHeight="1" x14ac:dyDescent="0.4">
      <c r="A1295" s="24" t="s">
        <v>824</v>
      </c>
      <c r="B1295" s="24" t="s">
        <v>525</v>
      </c>
      <c r="C1295" s="24" t="s">
        <v>825</v>
      </c>
    </row>
    <row r="1296" spans="1:3" ht="15.75" customHeight="1" x14ac:dyDescent="0.4">
      <c r="A1296" s="24" t="s">
        <v>824</v>
      </c>
      <c r="B1296" s="24" t="s">
        <v>1863</v>
      </c>
      <c r="C1296" s="24" t="s">
        <v>826</v>
      </c>
    </row>
    <row r="1297" spans="1:3" ht="15.75" customHeight="1" x14ac:dyDescent="0.4">
      <c r="A1297" s="24" t="s">
        <v>824</v>
      </c>
      <c r="B1297" s="24" t="s">
        <v>1864</v>
      </c>
      <c r="C1297" s="24" t="s">
        <v>826</v>
      </c>
    </row>
    <row r="1298" spans="1:3" ht="15.75" customHeight="1" x14ac:dyDescent="0.4">
      <c r="A1298" s="24" t="s">
        <v>824</v>
      </c>
      <c r="B1298" s="24" t="s">
        <v>1865</v>
      </c>
      <c r="C1298" s="24" t="s">
        <v>826</v>
      </c>
    </row>
    <row r="1299" spans="1:3" ht="15.75" customHeight="1" x14ac:dyDescent="0.4">
      <c r="A1299" s="24" t="s">
        <v>824</v>
      </c>
      <c r="B1299" s="24" t="s">
        <v>1866</v>
      </c>
      <c r="C1299" s="24" t="s">
        <v>826</v>
      </c>
    </row>
    <row r="1300" spans="1:3" ht="15.75" customHeight="1" x14ac:dyDescent="0.4">
      <c r="A1300" s="24" t="s">
        <v>824</v>
      </c>
      <c r="B1300" s="24" t="s">
        <v>1867</v>
      </c>
      <c r="C1300" s="24" t="s">
        <v>826</v>
      </c>
    </row>
    <row r="1301" spans="1:3" ht="15.75" customHeight="1" x14ac:dyDescent="0.4">
      <c r="A1301" s="24" t="s">
        <v>824</v>
      </c>
      <c r="B1301" s="24" t="s">
        <v>1868</v>
      </c>
      <c r="C1301" s="24" t="s">
        <v>826</v>
      </c>
    </row>
    <row r="1302" spans="1:3" ht="15.75" customHeight="1" x14ac:dyDescent="0.4">
      <c r="A1302" s="24" t="s">
        <v>824</v>
      </c>
      <c r="B1302" s="24" t="s">
        <v>1869</v>
      </c>
      <c r="C1302" s="24" t="s">
        <v>826</v>
      </c>
    </row>
    <row r="1303" spans="1:3" ht="15.75" customHeight="1" x14ac:dyDescent="0.4">
      <c r="A1303" s="24" t="s">
        <v>824</v>
      </c>
      <c r="B1303" s="24" t="s">
        <v>1870</v>
      </c>
      <c r="C1303" s="24" t="s">
        <v>826</v>
      </c>
    </row>
    <row r="1304" spans="1:3" ht="15.75" customHeight="1" x14ac:dyDescent="0.4">
      <c r="A1304" s="24" t="s">
        <v>824</v>
      </c>
      <c r="B1304" s="24" t="s">
        <v>1871</v>
      </c>
      <c r="C1304" s="24" t="s">
        <v>826</v>
      </c>
    </row>
    <row r="1305" spans="1:3" ht="15.75" customHeight="1" x14ac:dyDescent="0.4">
      <c r="A1305" s="24" t="s">
        <v>824</v>
      </c>
      <c r="B1305" s="24" t="s">
        <v>1872</v>
      </c>
      <c r="C1305" s="24" t="s">
        <v>826</v>
      </c>
    </row>
    <row r="1306" spans="1:3" ht="15.75" customHeight="1" x14ac:dyDescent="0.4">
      <c r="A1306" s="24" t="s">
        <v>824</v>
      </c>
      <c r="B1306" s="24" t="s">
        <v>403</v>
      </c>
      <c r="C1306" s="24" t="s">
        <v>825</v>
      </c>
    </row>
    <row r="1307" spans="1:3" ht="15.75" customHeight="1" x14ac:dyDescent="0.4">
      <c r="A1307" s="24" t="s">
        <v>824</v>
      </c>
      <c r="B1307" s="24" t="s">
        <v>341</v>
      </c>
      <c r="C1307" s="24" t="s">
        <v>825</v>
      </c>
    </row>
    <row r="1308" spans="1:3" ht="15.75" customHeight="1" x14ac:dyDescent="0.4">
      <c r="A1308" s="24" t="s">
        <v>824</v>
      </c>
      <c r="B1308" s="24" t="s">
        <v>1873</v>
      </c>
      <c r="C1308" s="24" t="s">
        <v>826</v>
      </c>
    </row>
    <row r="1309" spans="1:3" ht="15.75" customHeight="1" x14ac:dyDescent="0.4">
      <c r="A1309" s="24" t="s">
        <v>824</v>
      </c>
      <c r="B1309" s="24" t="s">
        <v>1874</v>
      </c>
      <c r="C1309" s="24" t="s">
        <v>826</v>
      </c>
    </row>
    <row r="1310" spans="1:3" ht="15.75" customHeight="1" x14ac:dyDescent="0.4">
      <c r="A1310" s="24" t="s">
        <v>824</v>
      </c>
      <c r="B1310" s="24" t="s">
        <v>1875</v>
      </c>
      <c r="C1310" s="24" t="s">
        <v>826</v>
      </c>
    </row>
    <row r="1311" spans="1:3" ht="15.75" customHeight="1" x14ac:dyDescent="0.4">
      <c r="A1311" s="24" t="s">
        <v>824</v>
      </c>
      <c r="B1311" s="24" t="s">
        <v>659</v>
      </c>
      <c r="C1311" s="24" t="s">
        <v>825</v>
      </c>
    </row>
    <row r="1312" spans="1:3" ht="15.75" customHeight="1" x14ac:dyDescent="0.4">
      <c r="A1312" s="24" t="s">
        <v>824</v>
      </c>
      <c r="B1312" s="24" t="s">
        <v>1876</v>
      </c>
      <c r="C1312" s="24" t="s">
        <v>826</v>
      </c>
    </row>
    <row r="1313" spans="1:3" ht="15.75" customHeight="1" x14ac:dyDescent="0.4">
      <c r="A1313" s="24" t="s">
        <v>824</v>
      </c>
      <c r="B1313" s="24" t="s">
        <v>1877</v>
      </c>
      <c r="C1313" s="24" t="s">
        <v>826</v>
      </c>
    </row>
    <row r="1314" spans="1:3" ht="15.75" customHeight="1" x14ac:dyDescent="0.4">
      <c r="A1314" s="24" t="s">
        <v>824</v>
      </c>
      <c r="B1314" s="24" t="s">
        <v>1878</v>
      </c>
      <c r="C1314" s="24" t="s">
        <v>826</v>
      </c>
    </row>
    <row r="1315" spans="1:3" ht="15.75" customHeight="1" x14ac:dyDescent="0.4">
      <c r="A1315" s="24" t="s">
        <v>824</v>
      </c>
      <c r="B1315" s="24" t="s">
        <v>1879</v>
      </c>
      <c r="C1315" s="24" t="s">
        <v>826</v>
      </c>
    </row>
    <row r="1316" spans="1:3" ht="15.75" customHeight="1" x14ac:dyDescent="0.4">
      <c r="A1316" s="24" t="s">
        <v>824</v>
      </c>
      <c r="B1316" s="24" t="s">
        <v>1880</v>
      </c>
      <c r="C1316" s="24" t="s">
        <v>826</v>
      </c>
    </row>
    <row r="1317" spans="1:3" ht="15.75" customHeight="1" x14ac:dyDescent="0.4">
      <c r="A1317" s="24" t="s">
        <v>824</v>
      </c>
      <c r="B1317" s="24" t="s">
        <v>1881</v>
      </c>
      <c r="C1317" s="24" t="s">
        <v>826</v>
      </c>
    </row>
    <row r="1318" spans="1:3" ht="15.75" customHeight="1" x14ac:dyDescent="0.4">
      <c r="A1318" s="24" t="s">
        <v>824</v>
      </c>
      <c r="B1318" s="24" t="s">
        <v>1882</v>
      </c>
      <c r="C1318" s="24" t="s">
        <v>826</v>
      </c>
    </row>
    <row r="1319" spans="1:3" ht="15.75" customHeight="1" x14ac:dyDescent="0.4">
      <c r="A1319" s="24" t="s">
        <v>824</v>
      </c>
      <c r="B1319" s="24" t="s">
        <v>1883</v>
      </c>
      <c r="C1319" s="24" t="s">
        <v>826</v>
      </c>
    </row>
    <row r="1320" spans="1:3" ht="15.75" customHeight="1" x14ac:dyDescent="0.4">
      <c r="A1320" s="24" t="s">
        <v>824</v>
      </c>
      <c r="B1320" s="24" t="s">
        <v>1884</v>
      </c>
      <c r="C1320" s="24" t="s">
        <v>826</v>
      </c>
    </row>
    <row r="1321" spans="1:3" ht="15.75" customHeight="1" x14ac:dyDescent="0.4">
      <c r="A1321" s="24" t="s">
        <v>824</v>
      </c>
      <c r="B1321" s="24" t="s">
        <v>1885</v>
      </c>
      <c r="C1321" s="24" t="s">
        <v>826</v>
      </c>
    </row>
    <row r="1322" spans="1:3" ht="15.75" customHeight="1" x14ac:dyDescent="0.4">
      <c r="A1322" s="24" t="s">
        <v>824</v>
      </c>
      <c r="B1322" s="24" t="s">
        <v>1886</v>
      </c>
      <c r="C1322" s="24" t="s">
        <v>826</v>
      </c>
    </row>
    <row r="1323" spans="1:3" ht="15.75" customHeight="1" x14ac:dyDescent="0.4">
      <c r="A1323" s="24" t="s">
        <v>824</v>
      </c>
      <c r="B1323" s="24" t="s">
        <v>1887</v>
      </c>
      <c r="C1323" s="24" t="s">
        <v>826</v>
      </c>
    </row>
    <row r="1324" spans="1:3" ht="15.75" customHeight="1" x14ac:dyDescent="0.4">
      <c r="A1324" s="24" t="s">
        <v>824</v>
      </c>
      <c r="B1324" s="24" t="s">
        <v>1888</v>
      </c>
      <c r="C1324" s="24" t="s">
        <v>826</v>
      </c>
    </row>
    <row r="1325" spans="1:3" ht="15.75" customHeight="1" x14ac:dyDescent="0.4">
      <c r="A1325" s="24" t="s">
        <v>824</v>
      </c>
      <c r="B1325" s="24" t="s">
        <v>1889</v>
      </c>
      <c r="C1325" s="24" t="s">
        <v>826</v>
      </c>
    </row>
    <row r="1326" spans="1:3" ht="15.75" customHeight="1" x14ac:dyDescent="0.4">
      <c r="A1326" s="24" t="s">
        <v>824</v>
      </c>
      <c r="B1326" s="24" t="s">
        <v>1890</v>
      </c>
      <c r="C1326" s="24" t="s">
        <v>826</v>
      </c>
    </row>
    <row r="1327" spans="1:3" ht="15.75" customHeight="1" x14ac:dyDescent="0.4">
      <c r="A1327" s="24" t="s">
        <v>824</v>
      </c>
      <c r="B1327" s="24" t="s">
        <v>1891</v>
      </c>
      <c r="C1327" s="24" t="s">
        <v>826</v>
      </c>
    </row>
    <row r="1328" spans="1:3" ht="15.75" customHeight="1" x14ac:dyDescent="0.4">
      <c r="A1328" s="24" t="s">
        <v>824</v>
      </c>
      <c r="B1328" s="24" t="s">
        <v>1892</v>
      </c>
      <c r="C1328" s="24" t="s">
        <v>826</v>
      </c>
    </row>
    <row r="1329" spans="1:3" ht="15.75" customHeight="1" x14ac:dyDescent="0.4">
      <c r="A1329" s="24" t="s">
        <v>824</v>
      </c>
      <c r="B1329" s="24" t="s">
        <v>1893</v>
      </c>
      <c r="C1329" s="24" t="s">
        <v>826</v>
      </c>
    </row>
    <row r="1330" spans="1:3" ht="15.75" customHeight="1" x14ac:dyDescent="0.4">
      <c r="A1330" s="24" t="s">
        <v>824</v>
      </c>
      <c r="B1330" s="24" t="s">
        <v>1894</v>
      </c>
      <c r="C1330" s="24" t="s">
        <v>826</v>
      </c>
    </row>
    <row r="1331" spans="1:3" ht="15.75" customHeight="1" x14ac:dyDescent="0.4">
      <c r="A1331" s="24" t="s">
        <v>824</v>
      </c>
      <c r="B1331" s="24" t="s">
        <v>1895</v>
      </c>
      <c r="C1331" s="24" t="s">
        <v>826</v>
      </c>
    </row>
    <row r="1332" spans="1:3" ht="15.75" customHeight="1" x14ac:dyDescent="0.4">
      <c r="A1332" s="24" t="s">
        <v>824</v>
      </c>
      <c r="B1332" s="24" t="s">
        <v>1896</v>
      </c>
      <c r="C1332" s="24" t="s">
        <v>826</v>
      </c>
    </row>
    <row r="1333" spans="1:3" ht="15.75" customHeight="1" x14ac:dyDescent="0.4">
      <c r="A1333" s="24" t="s">
        <v>824</v>
      </c>
      <c r="B1333" s="24" t="s">
        <v>1897</v>
      </c>
      <c r="C1333" s="24" t="s">
        <v>826</v>
      </c>
    </row>
    <row r="1334" spans="1:3" ht="15.75" customHeight="1" x14ac:dyDescent="0.4">
      <c r="A1334" s="24" t="s">
        <v>824</v>
      </c>
      <c r="B1334" s="24" t="s">
        <v>1898</v>
      </c>
      <c r="C1334" s="24" t="s">
        <v>826</v>
      </c>
    </row>
    <row r="1335" spans="1:3" ht="15.75" customHeight="1" x14ac:dyDescent="0.4">
      <c r="A1335" s="24" t="s">
        <v>824</v>
      </c>
      <c r="B1335" s="24" t="s">
        <v>1899</v>
      </c>
      <c r="C1335" s="24" t="s">
        <v>826</v>
      </c>
    </row>
    <row r="1336" spans="1:3" ht="15.75" customHeight="1" x14ac:dyDescent="0.4">
      <c r="A1336" s="24" t="s">
        <v>824</v>
      </c>
      <c r="B1336" s="24" t="s">
        <v>1900</v>
      </c>
      <c r="C1336" s="24" t="s">
        <v>826</v>
      </c>
    </row>
    <row r="1337" spans="1:3" ht="15.75" customHeight="1" x14ac:dyDescent="0.4">
      <c r="A1337" s="24" t="s">
        <v>824</v>
      </c>
      <c r="B1337" s="24" t="s">
        <v>1901</v>
      </c>
      <c r="C1337" s="24" t="s">
        <v>826</v>
      </c>
    </row>
    <row r="1338" spans="1:3" ht="15.75" customHeight="1" x14ac:dyDescent="0.4">
      <c r="A1338" s="24" t="s">
        <v>824</v>
      </c>
      <c r="B1338" s="24" t="s">
        <v>1902</v>
      </c>
      <c r="C1338" s="24" t="s">
        <v>826</v>
      </c>
    </row>
    <row r="1339" spans="1:3" ht="15.75" customHeight="1" x14ac:dyDescent="0.4">
      <c r="A1339" s="24" t="s">
        <v>824</v>
      </c>
      <c r="B1339" s="24" t="s">
        <v>1903</v>
      </c>
      <c r="C1339" s="24" t="s">
        <v>826</v>
      </c>
    </row>
    <row r="1340" spans="1:3" ht="15.75" customHeight="1" x14ac:dyDescent="0.4">
      <c r="A1340" s="24" t="s">
        <v>824</v>
      </c>
      <c r="B1340" s="24" t="s">
        <v>1904</v>
      </c>
      <c r="C1340" s="24" t="s">
        <v>826</v>
      </c>
    </row>
    <row r="1341" spans="1:3" ht="15.75" customHeight="1" x14ac:dyDescent="0.4">
      <c r="A1341" s="24" t="s">
        <v>824</v>
      </c>
      <c r="B1341" s="24" t="s">
        <v>1905</v>
      </c>
      <c r="C1341" s="24" t="s">
        <v>826</v>
      </c>
    </row>
    <row r="1342" spans="1:3" ht="15.75" customHeight="1" x14ac:dyDescent="0.4">
      <c r="A1342" s="24" t="s">
        <v>824</v>
      </c>
      <c r="B1342" s="24" t="s">
        <v>1906</v>
      </c>
      <c r="C1342" s="24" t="s">
        <v>826</v>
      </c>
    </row>
    <row r="1343" spans="1:3" ht="15.75" customHeight="1" x14ac:dyDescent="0.4">
      <c r="A1343" s="24" t="s">
        <v>824</v>
      </c>
      <c r="B1343" s="24" t="s">
        <v>1907</v>
      </c>
      <c r="C1343" s="24" t="s">
        <v>826</v>
      </c>
    </row>
    <row r="1344" spans="1:3" ht="15.75" customHeight="1" x14ac:dyDescent="0.4">
      <c r="A1344" s="24" t="s">
        <v>824</v>
      </c>
      <c r="B1344" s="24" t="s">
        <v>1908</v>
      </c>
      <c r="C1344" s="24" t="s">
        <v>826</v>
      </c>
    </row>
    <row r="1345" spans="1:3" ht="15.75" customHeight="1" x14ac:dyDescent="0.4">
      <c r="A1345" s="24" t="s">
        <v>824</v>
      </c>
      <c r="B1345" s="24" t="s">
        <v>1909</v>
      </c>
      <c r="C1345" s="24" t="s">
        <v>826</v>
      </c>
    </row>
    <row r="1346" spans="1:3" ht="15.75" customHeight="1" x14ac:dyDescent="0.4">
      <c r="A1346" s="24" t="s">
        <v>824</v>
      </c>
      <c r="B1346" s="24" t="s">
        <v>1910</v>
      </c>
      <c r="C1346" s="24" t="s">
        <v>826</v>
      </c>
    </row>
    <row r="1347" spans="1:3" ht="15.75" customHeight="1" x14ac:dyDescent="0.4">
      <c r="A1347" s="24" t="s">
        <v>824</v>
      </c>
      <c r="B1347" s="24" t="s">
        <v>1911</v>
      </c>
      <c r="C1347" s="24" t="s">
        <v>826</v>
      </c>
    </row>
    <row r="1348" spans="1:3" ht="15.75" customHeight="1" x14ac:dyDescent="0.4">
      <c r="A1348" s="24" t="s">
        <v>824</v>
      </c>
      <c r="B1348" s="24" t="s">
        <v>1912</v>
      </c>
      <c r="C1348" s="24" t="s">
        <v>826</v>
      </c>
    </row>
    <row r="1349" spans="1:3" ht="15.75" customHeight="1" x14ac:dyDescent="0.4">
      <c r="A1349" s="24" t="s">
        <v>824</v>
      </c>
      <c r="B1349" s="24" t="s">
        <v>1913</v>
      </c>
      <c r="C1349" s="24" t="s">
        <v>826</v>
      </c>
    </row>
    <row r="1350" spans="1:3" ht="15.75" customHeight="1" x14ac:dyDescent="0.4">
      <c r="A1350" s="24" t="s">
        <v>824</v>
      </c>
      <c r="B1350" s="24" t="s">
        <v>1914</v>
      </c>
      <c r="C1350" s="24" t="s">
        <v>826</v>
      </c>
    </row>
    <row r="1351" spans="1:3" ht="15.75" customHeight="1" x14ac:dyDescent="0.4">
      <c r="A1351" s="24" t="s">
        <v>824</v>
      </c>
      <c r="B1351" s="24" t="s">
        <v>1915</v>
      </c>
      <c r="C1351" s="24" t="s">
        <v>826</v>
      </c>
    </row>
    <row r="1352" spans="1:3" ht="15.75" customHeight="1" x14ac:dyDescent="0.4">
      <c r="A1352" s="24" t="s">
        <v>824</v>
      </c>
      <c r="B1352" s="24" t="s">
        <v>1916</v>
      </c>
      <c r="C1352" s="24" t="s">
        <v>826</v>
      </c>
    </row>
    <row r="1353" spans="1:3" ht="15.75" customHeight="1" x14ac:dyDescent="0.4">
      <c r="A1353" s="24" t="s">
        <v>824</v>
      </c>
      <c r="B1353" s="24" t="s">
        <v>1917</v>
      </c>
      <c r="C1353" s="24" t="s">
        <v>826</v>
      </c>
    </row>
    <row r="1354" spans="1:3" ht="15.75" customHeight="1" x14ac:dyDescent="0.4">
      <c r="A1354" s="24" t="s">
        <v>824</v>
      </c>
      <c r="B1354" s="24" t="s">
        <v>1918</v>
      </c>
      <c r="C1354" s="24" t="s">
        <v>826</v>
      </c>
    </row>
    <row r="1355" spans="1:3" ht="15.75" customHeight="1" x14ac:dyDescent="0.4">
      <c r="A1355" s="24" t="s">
        <v>824</v>
      </c>
      <c r="B1355" s="24" t="s">
        <v>1919</v>
      </c>
      <c r="C1355" s="24" t="s">
        <v>826</v>
      </c>
    </row>
    <row r="1356" spans="1:3" ht="15.75" customHeight="1" x14ac:dyDescent="0.4">
      <c r="A1356" s="24" t="s">
        <v>824</v>
      </c>
      <c r="B1356" s="24" t="s">
        <v>1920</v>
      </c>
      <c r="C1356" s="24" t="s">
        <v>826</v>
      </c>
    </row>
    <row r="1357" spans="1:3" ht="15.75" customHeight="1" x14ac:dyDescent="0.4">
      <c r="A1357" s="24" t="s">
        <v>824</v>
      </c>
      <c r="B1357" s="24" t="s">
        <v>313</v>
      </c>
      <c r="C1357" s="24" t="s">
        <v>825</v>
      </c>
    </row>
    <row r="1358" spans="1:3" ht="15.75" customHeight="1" x14ac:dyDescent="0.4">
      <c r="A1358" s="24" t="s">
        <v>824</v>
      </c>
      <c r="B1358" s="24" t="s">
        <v>801</v>
      </c>
      <c r="C1358" s="24" t="s">
        <v>825</v>
      </c>
    </row>
    <row r="1359" spans="1:3" ht="15.75" customHeight="1" x14ac:dyDescent="0.4">
      <c r="A1359" s="24" t="s">
        <v>824</v>
      </c>
      <c r="B1359" s="24" t="s">
        <v>589</v>
      </c>
      <c r="C1359" s="24" t="s">
        <v>825</v>
      </c>
    </row>
    <row r="1360" spans="1:3" ht="15.75" customHeight="1" x14ac:dyDescent="0.4">
      <c r="A1360" s="24" t="s">
        <v>824</v>
      </c>
      <c r="B1360" s="24" t="s">
        <v>655</v>
      </c>
      <c r="C1360" s="24" t="s">
        <v>825</v>
      </c>
    </row>
    <row r="1361" spans="1:3" ht="15.75" customHeight="1" x14ac:dyDescent="0.4">
      <c r="A1361" s="24" t="s">
        <v>824</v>
      </c>
      <c r="B1361" s="24" t="s">
        <v>491</v>
      </c>
      <c r="C1361" s="24" t="s">
        <v>825</v>
      </c>
    </row>
    <row r="1362" spans="1:3" ht="15.75" customHeight="1" x14ac:dyDescent="0.4">
      <c r="A1362" s="24" t="s">
        <v>824</v>
      </c>
      <c r="B1362" s="24" t="s">
        <v>353</v>
      </c>
      <c r="C1362" s="24" t="s">
        <v>825</v>
      </c>
    </row>
    <row r="1363" spans="1:3" ht="15.75" customHeight="1" x14ac:dyDescent="0.4">
      <c r="A1363" s="24" t="s">
        <v>824</v>
      </c>
      <c r="B1363" s="24" t="s">
        <v>1921</v>
      </c>
      <c r="C1363" s="24" t="s">
        <v>826</v>
      </c>
    </row>
    <row r="1364" spans="1:3" ht="15.75" customHeight="1" x14ac:dyDescent="0.4">
      <c r="A1364" s="24" t="s">
        <v>824</v>
      </c>
      <c r="B1364" s="24" t="s">
        <v>1922</v>
      </c>
      <c r="C1364" s="24" t="s">
        <v>826</v>
      </c>
    </row>
    <row r="1365" spans="1:3" ht="15.75" customHeight="1" x14ac:dyDescent="0.4">
      <c r="A1365" s="24" t="s">
        <v>824</v>
      </c>
      <c r="B1365" s="24" t="s">
        <v>1923</v>
      </c>
      <c r="C1365" s="24" t="s">
        <v>826</v>
      </c>
    </row>
    <row r="1366" spans="1:3" ht="15.75" customHeight="1" x14ac:dyDescent="0.4">
      <c r="A1366" s="24" t="s">
        <v>824</v>
      </c>
      <c r="B1366" s="24" t="s">
        <v>1924</v>
      </c>
      <c r="C1366" s="24" t="s">
        <v>826</v>
      </c>
    </row>
    <row r="1367" spans="1:3" ht="15.75" customHeight="1" x14ac:dyDescent="0.4">
      <c r="A1367" s="24" t="s">
        <v>824</v>
      </c>
      <c r="B1367" s="24" t="s">
        <v>1925</v>
      </c>
      <c r="C1367" s="24" t="s">
        <v>826</v>
      </c>
    </row>
    <row r="1368" spans="1:3" ht="15.75" customHeight="1" x14ac:dyDescent="0.4">
      <c r="A1368" s="24" t="s">
        <v>824</v>
      </c>
      <c r="B1368" s="24" t="s">
        <v>1926</v>
      </c>
      <c r="C1368" s="24" t="s">
        <v>826</v>
      </c>
    </row>
    <row r="1369" spans="1:3" ht="15.75" customHeight="1" x14ac:dyDescent="0.4">
      <c r="A1369" s="24" t="s">
        <v>824</v>
      </c>
      <c r="B1369" s="24" t="s">
        <v>1927</v>
      </c>
      <c r="C1369" s="24" t="s">
        <v>826</v>
      </c>
    </row>
    <row r="1370" spans="1:3" ht="15.75" customHeight="1" x14ac:dyDescent="0.4">
      <c r="A1370" s="24" t="s">
        <v>824</v>
      </c>
      <c r="B1370" s="24" t="s">
        <v>1928</v>
      </c>
      <c r="C1370" s="24" t="s">
        <v>826</v>
      </c>
    </row>
    <row r="1371" spans="1:3" ht="15.75" customHeight="1" x14ac:dyDescent="0.4">
      <c r="A1371" s="24" t="s">
        <v>824</v>
      </c>
      <c r="B1371" s="24" t="s">
        <v>1929</v>
      </c>
      <c r="C1371" s="24" t="s">
        <v>826</v>
      </c>
    </row>
    <row r="1372" spans="1:3" ht="15.75" customHeight="1" x14ac:dyDescent="0.4">
      <c r="A1372" s="24" t="s">
        <v>824</v>
      </c>
      <c r="B1372" s="24" t="s">
        <v>1930</v>
      </c>
      <c r="C1372" s="24" t="s">
        <v>826</v>
      </c>
    </row>
    <row r="1373" spans="1:3" ht="15.75" customHeight="1" x14ac:dyDescent="0.4">
      <c r="A1373" s="24" t="s">
        <v>824</v>
      </c>
      <c r="B1373" s="24" t="s">
        <v>1931</v>
      </c>
      <c r="C1373" s="24" t="s">
        <v>826</v>
      </c>
    </row>
    <row r="1374" spans="1:3" ht="15.75" customHeight="1" x14ac:dyDescent="0.4">
      <c r="A1374" s="24" t="s">
        <v>824</v>
      </c>
      <c r="B1374" s="24" t="s">
        <v>1932</v>
      </c>
      <c r="C1374" s="24" t="s">
        <v>826</v>
      </c>
    </row>
    <row r="1375" spans="1:3" ht="15.75" customHeight="1" x14ac:dyDescent="0.4">
      <c r="A1375" s="24" t="s">
        <v>824</v>
      </c>
      <c r="B1375" s="24" t="s">
        <v>803</v>
      </c>
      <c r="C1375" s="24" t="s">
        <v>825</v>
      </c>
    </row>
    <row r="1376" spans="1:3" ht="15.75" customHeight="1" x14ac:dyDescent="0.4">
      <c r="A1376" s="24" t="s">
        <v>824</v>
      </c>
      <c r="B1376" s="24" t="s">
        <v>1933</v>
      </c>
      <c r="C1376" s="24" t="s">
        <v>826</v>
      </c>
    </row>
    <row r="1377" spans="1:3" ht="15.75" customHeight="1" x14ac:dyDescent="0.4">
      <c r="A1377" s="24" t="s">
        <v>824</v>
      </c>
      <c r="B1377" s="24" t="s">
        <v>809</v>
      </c>
      <c r="C1377" s="24" t="s">
        <v>825</v>
      </c>
    </row>
    <row r="1378" spans="1:3" ht="15.75" customHeight="1" x14ac:dyDescent="0.4">
      <c r="A1378" s="24" t="s">
        <v>824</v>
      </c>
      <c r="B1378" s="24" t="s">
        <v>1934</v>
      </c>
      <c r="C1378" s="24" t="s">
        <v>826</v>
      </c>
    </row>
    <row r="1379" spans="1:3" ht="15.75" customHeight="1" x14ac:dyDescent="0.4">
      <c r="A1379" s="24" t="s">
        <v>824</v>
      </c>
      <c r="B1379" s="24" t="s">
        <v>1935</v>
      </c>
      <c r="C1379" s="24" t="s">
        <v>826</v>
      </c>
    </row>
    <row r="1380" spans="1:3" ht="15.75" customHeight="1" x14ac:dyDescent="0.4">
      <c r="A1380" s="24" t="s">
        <v>824</v>
      </c>
      <c r="B1380" s="24" t="s">
        <v>1936</v>
      </c>
      <c r="C1380" s="24" t="s">
        <v>826</v>
      </c>
    </row>
    <row r="1381" spans="1:3" ht="15.75" customHeight="1" x14ac:dyDescent="0.4">
      <c r="A1381" s="24" t="s">
        <v>824</v>
      </c>
      <c r="B1381" s="24" t="s">
        <v>1937</v>
      </c>
      <c r="C1381" s="24" t="s">
        <v>826</v>
      </c>
    </row>
    <row r="1382" spans="1:3" ht="15.75" customHeight="1" x14ac:dyDescent="0.4">
      <c r="A1382" s="24" t="s">
        <v>824</v>
      </c>
      <c r="B1382" s="24" t="s">
        <v>1938</v>
      </c>
      <c r="C1382" s="24" t="s">
        <v>826</v>
      </c>
    </row>
    <row r="1383" spans="1:3" ht="15.75" customHeight="1" x14ac:dyDescent="0.4">
      <c r="A1383" s="24" t="s">
        <v>824</v>
      </c>
      <c r="B1383" s="24" t="s">
        <v>1939</v>
      </c>
      <c r="C1383" s="24" t="s">
        <v>826</v>
      </c>
    </row>
    <row r="1384" spans="1:3" ht="15.75" customHeight="1" x14ac:dyDescent="0.4">
      <c r="A1384" s="24" t="s">
        <v>824</v>
      </c>
      <c r="B1384" s="24" t="s">
        <v>1940</v>
      </c>
      <c r="C1384" s="24" t="s">
        <v>826</v>
      </c>
    </row>
    <row r="1385" spans="1:3" ht="15.75" customHeight="1" x14ac:dyDescent="0.4">
      <c r="A1385" s="24" t="s">
        <v>824</v>
      </c>
      <c r="B1385" s="24" t="s">
        <v>1941</v>
      </c>
      <c r="C1385" s="24" t="s">
        <v>826</v>
      </c>
    </row>
    <row r="1386" spans="1:3" ht="15.75" customHeight="1" x14ac:dyDescent="0.4">
      <c r="A1386" s="24" t="s">
        <v>824</v>
      </c>
      <c r="B1386" s="24" t="s">
        <v>1942</v>
      </c>
      <c r="C1386" s="24" t="s">
        <v>826</v>
      </c>
    </row>
    <row r="1387" spans="1:3" ht="15.75" customHeight="1" x14ac:dyDescent="0.4">
      <c r="A1387" s="24" t="s">
        <v>824</v>
      </c>
      <c r="B1387" s="24" t="s">
        <v>1943</v>
      </c>
      <c r="C1387" s="24" t="s">
        <v>826</v>
      </c>
    </row>
    <row r="1388" spans="1:3" ht="15.75" customHeight="1" x14ac:dyDescent="0.4">
      <c r="A1388" s="24" t="s">
        <v>824</v>
      </c>
      <c r="B1388" s="24" t="s">
        <v>1944</v>
      </c>
      <c r="C1388" s="24" t="s">
        <v>826</v>
      </c>
    </row>
    <row r="1389" spans="1:3" ht="15.75" customHeight="1" x14ac:dyDescent="0.4">
      <c r="A1389" s="24" t="s">
        <v>824</v>
      </c>
      <c r="B1389" s="24" t="s">
        <v>1945</v>
      </c>
      <c r="C1389" s="24" t="s">
        <v>826</v>
      </c>
    </row>
    <row r="1390" spans="1:3" ht="15.75" customHeight="1" x14ac:dyDescent="0.4">
      <c r="A1390" s="24" t="s">
        <v>824</v>
      </c>
      <c r="B1390" s="24" t="s">
        <v>1946</v>
      </c>
      <c r="C1390" s="24" t="s">
        <v>826</v>
      </c>
    </row>
    <row r="1391" spans="1:3" ht="15.75" customHeight="1" x14ac:dyDescent="0.4">
      <c r="A1391" s="24" t="s">
        <v>824</v>
      </c>
      <c r="B1391" s="24" t="s">
        <v>1947</v>
      </c>
      <c r="C1391" s="24" t="s">
        <v>826</v>
      </c>
    </row>
    <row r="1392" spans="1:3" ht="15.75" customHeight="1" x14ac:dyDescent="0.4">
      <c r="A1392" s="24" t="s">
        <v>824</v>
      </c>
      <c r="B1392" s="24" t="s">
        <v>285</v>
      </c>
      <c r="C1392" s="24" t="s">
        <v>825</v>
      </c>
    </row>
    <row r="1393" spans="1:3" ht="15.75" customHeight="1" x14ac:dyDescent="0.4">
      <c r="A1393" s="24" t="s">
        <v>824</v>
      </c>
      <c r="B1393" s="24" t="s">
        <v>1948</v>
      </c>
      <c r="C1393" s="24" t="s">
        <v>826</v>
      </c>
    </row>
    <row r="1394" spans="1:3" ht="15.75" customHeight="1" x14ac:dyDescent="0.4">
      <c r="A1394" s="24" t="s">
        <v>824</v>
      </c>
      <c r="B1394" s="24" t="s">
        <v>805</v>
      </c>
      <c r="C1394" s="24" t="s">
        <v>825</v>
      </c>
    </row>
    <row r="1395" spans="1:3" ht="15.75" customHeight="1" x14ac:dyDescent="0.4">
      <c r="A1395" s="24" t="s">
        <v>824</v>
      </c>
      <c r="B1395" s="24" t="s">
        <v>1949</v>
      </c>
      <c r="C1395" s="24" t="s">
        <v>826</v>
      </c>
    </row>
    <row r="1396" spans="1:3" ht="15.75" customHeight="1" x14ac:dyDescent="0.4">
      <c r="A1396" s="24" t="s">
        <v>824</v>
      </c>
      <c r="B1396" s="24" t="s">
        <v>479</v>
      </c>
      <c r="C1396" s="24" t="s">
        <v>825</v>
      </c>
    </row>
    <row r="1397" spans="1:3" ht="15.75" customHeight="1" x14ac:dyDescent="0.4">
      <c r="A1397" s="24" t="s">
        <v>824</v>
      </c>
      <c r="B1397" s="24" t="s">
        <v>405</v>
      </c>
      <c r="C1397" s="24" t="s">
        <v>825</v>
      </c>
    </row>
    <row r="1398" spans="1:3" ht="15.75" customHeight="1" x14ac:dyDescent="0.4">
      <c r="A1398" s="24" t="s">
        <v>824</v>
      </c>
      <c r="B1398" s="24" t="s">
        <v>1950</v>
      </c>
      <c r="C1398" s="24" t="s">
        <v>826</v>
      </c>
    </row>
    <row r="1399" spans="1:3" ht="15.75" customHeight="1" x14ac:dyDescent="0.4">
      <c r="A1399" s="24" t="s">
        <v>824</v>
      </c>
      <c r="B1399" s="24" t="s">
        <v>1951</v>
      </c>
      <c r="C1399" s="24" t="s">
        <v>826</v>
      </c>
    </row>
    <row r="1400" spans="1:3" ht="15.75" customHeight="1" x14ac:dyDescent="0.4">
      <c r="A1400" s="24" t="s">
        <v>824</v>
      </c>
      <c r="B1400" s="24" t="s">
        <v>377</v>
      </c>
      <c r="C1400" s="24" t="s">
        <v>825</v>
      </c>
    </row>
    <row r="1401" spans="1:3" ht="15.75" customHeight="1" x14ac:dyDescent="0.4">
      <c r="A1401" s="24" t="s">
        <v>824</v>
      </c>
      <c r="B1401" s="24" t="s">
        <v>1952</v>
      </c>
      <c r="C1401" s="24" t="s">
        <v>826</v>
      </c>
    </row>
    <row r="1402" spans="1:3" ht="15.75" customHeight="1" x14ac:dyDescent="0.4">
      <c r="A1402" s="24" t="s">
        <v>824</v>
      </c>
      <c r="B1402" s="24" t="s">
        <v>599</v>
      </c>
      <c r="C1402" s="24" t="s">
        <v>825</v>
      </c>
    </row>
    <row r="1403" spans="1:3" ht="15.75" customHeight="1" x14ac:dyDescent="0.4">
      <c r="A1403" s="24" t="s">
        <v>824</v>
      </c>
      <c r="B1403" s="24" t="s">
        <v>223</v>
      </c>
      <c r="C1403" s="24" t="s">
        <v>826</v>
      </c>
    </row>
    <row r="1404" spans="1:3" ht="15.75" customHeight="1" x14ac:dyDescent="0.4">
      <c r="A1404" s="24" t="s">
        <v>824</v>
      </c>
      <c r="B1404" s="24" t="s">
        <v>1953</v>
      </c>
      <c r="C1404" s="24" t="s">
        <v>826</v>
      </c>
    </row>
    <row r="1405" spans="1:3" ht="15.75" customHeight="1" x14ac:dyDescent="0.4">
      <c r="A1405" s="24" t="s">
        <v>824</v>
      </c>
      <c r="B1405" s="24" t="s">
        <v>1954</v>
      </c>
      <c r="C1405" s="24" t="s">
        <v>826</v>
      </c>
    </row>
    <row r="1406" spans="1:3" ht="15.75" customHeight="1" x14ac:dyDescent="0.4">
      <c r="A1406" s="24" t="s">
        <v>824</v>
      </c>
      <c r="B1406" s="24" t="s">
        <v>1955</v>
      </c>
      <c r="C1406" s="24" t="s">
        <v>826</v>
      </c>
    </row>
    <row r="1407" spans="1:3" ht="15.75" customHeight="1" x14ac:dyDescent="0.4">
      <c r="A1407" s="24" t="s">
        <v>824</v>
      </c>
      <c r="B1407" s="24" t="s">
        <v>1956</v>
      </c>
      <c r="C1407" s="24" t="s">
        <v>826</v>
      </c>
    </row>
    <row r="1408" spans="1:3" ht="15.75" customHeight="1" x14ac:dyDescent="0.4">
      <c r="A1408" s="24" t="s">
        <v>824</v>
      </c>
      <c r="B1408" s="24" t="s">
        <v>1957</v>
      </c>
      <c r="C1408" s="24" t="s">
        <v>826</v>
      </c>
    </row>
    <row r="1409" spans="1:3" ht="15.75" customHeight="1" x14ac:dyDescent="0.4">
      <c r="A1409" s="24" t="s">
        <v>824</v>
      </c>
      <c r="B1409" s="24" t="s">
        <v>1958</v>
      </c>
      <c r="C1409" s="24" t="s">
        <v>826</v>
      </c>
    </row>
    <row r="1410" spans="1:3" ht="15.75" customHeight="1" x14ac:dyDescent="0.4">
      <c r="A1410" s="24" t="s">
        <v>824</v>
      </c>
      <c r="B1410" s="24" t="s">
        <v>1959</v>
      </c>
      <c r="C1410" s="24" t="s">
        <v>826</v>
      </c>
    </row>
    <row r="1411" spans="1:3" ht="15.75" customHeight="1" x14ac:dyDescent="0.4">
      <c r="A1411" s="24" t="s">
        <v>824</v>
      </c>
      <c r="B1411" s="24" t="s">
        <v>1960</v>
      </c>
      <c r="C1411" s="24" t="s">
        <v>826</v>
      </c>
    </row>
    <row r="1412" spans="1:3" ht="15.75" customHeight="1" x14ac:dyDescent="0.4">
      <c r="A1412" s="24" t="s">
        <v>824</v>
      </c>
      <c r="B1412" s="24" t="s">
        <v>1961</v>
      </c>
      <c r="C1412" s="24" t="s">
        <v>826</v>
      </c>
    </row>
    <row r="1413" spans="1:3" ht="15.75" customHeight="1" x14ac:dyDescent="0.4">
      <c r="A1413" s="24" t="s">
        <v>824</v>
      </c>
      <c r="B1413" s="24" t="s">
        <v>1962</v>
      </c>
      <c r="C1413" s="24" t="s">
        <v>826</v>
      </c>
    </row>
    <row r="1414" spans="1:3" ht="15.75" customHeight="1" x14ac:dyDescent="0.4">
      <c r="A1414" s="24" t="s">
        <v>824</v>
      </c>
      <c r="B1414" s="24" t="s">
        <v>1963</v>
      </c>
      <c r="C1414" s="24" t="s">
        <v>826</v>
      </c>
    </row>
    <row r="1415" spans="1:3" ht="15.75" customHeight="1" x14ac:dyDescent="0.4">
      <c r="A1415" s="24" t="s">
        <v>824</v>
      </c>
      <c r="B1415" s="24" t="s">
        <v>1964</v>
      </c>
      <c r="C1415" s="24" t="s">
        <v>826</v>
      </c>
    </row>
    <row r="1416" spans="1:3" ht="15.75" customHeight="1" x14ac:dyDescent="0.4">
      <c r="A1416" s="24" t="s">
        <v>824</v>
      </c>
      <c r="B1416" s="24" t="s">
        <v>1965</v>
      </c>
      <c r="C1416" s="24" t="s">
        <v>826</v>
      </c>
    </row>
    <row r="1417" spans="1:3" ht="15.75" customHeight="1" x14ac:dyDescent="0.4">
      <c r="A1417" s="24" t="s">
        <v>824</v>
      </c>
      <c r="B1417" s="24" t="s">
        <v>1966</v>
      </c>
      <c r="C1417" s="24" t="s">
        <v>826</v>
      </c>
    </row>
    <row r="1418" spans="1:3" ht="15.75" customHeight="1" x14ac:dyDescent="0.4">
      <c r="A1418" s="24" t="s">
        <v>824</v>
      </c>
      <c r="B1418" s="24" t="s">
        <v>1967</v>
      </c>
      <c r="C1418" s="24" t="s">
        <v>826</v>
      </c>
    </row>
    <row r="1419" spans="1:3" ht="15.75" customHeight="1" x14ac:dyDescent="0.4">
      <c r="A1419" s="24" t="s">
        <v>824</v>
      </c>
      <c r="B1419" s="24" t="s">
        <v>1968</v>
      </c>
      <c r="C1419" s="24" t="s">
        <v>826</v>
      </c>
    </row>
    <row r="1420" spans="1:3" ht="15.75" customHeight="1" x14ac:dyDescent="0.4">
      <c r="A1420" s="24" t="s">
        <v>824</v>
      </c>
      <c r="B1420" s="24" t="s">
        <v>1969</v>
      </c>
      <c r="C1420" s="24" t="s">
        <v>826</v>
      </c>
    </row>
    <row r="1421" spans="1:3" ht="15.75" customHeight="1" x14ac:dyDescent="0.4">
      <c r="A1421" s="24" t="s">
        <v>824</v>
      </c>
      <c r="B1421" s="24" t="s">
        <v>1970</v>
      </c>
      <c r="C1421" s="24" t="s">
        <v>826</v>
      </c>
    </row>
    <row r="1422" spans="1:3" ht="15.75" customHeight="1" x14ac:dyDescent="0.4">
      <c r="A1422" s="24" t="s">
        <v>824</v>
      </c>
      <c r="B1422" s="24" t="s">
        <v>1971</v>
      </c>
      <c r="C1422" s="24" t="s">
        <v>826</v>
      </c>
    </row>
    <row r="1423" spans="1:3" ht="15.75" customHeight="1" x14ac:dyDescent="0.4">
      <c r="A1423" s="24" t="s">
        <v>824</v>
      </c>
      <c r="B1423" s="24" t="s">
        <v>1972</v>
      </c>
      <c r="C1423" s="24" t="s">
        <v>826</v>
      </c>
    </row>
    <row r="1424" spans="1:3" ht="15.75" customHeight="1" x14ac:dyDescent="0.4">
      <c r="A1424" s="24" t="s">
        <v>824</v>
      </c>
      <c r="B1424" s="24" t="s">
        <v>1973</v>
      </c>
      <c r="C1424" s="24" t="s">
        <v>826</v>
      </c>
    </row>
    <row r="1425" spans="1:3" ht="15.75" customHeight="1" x14ac:dyDescent="0.4">
      <c r="A1425" s="24" t="s">
        <v>824</v>
      </c>
      <c r="B1425" s="24" t="s">
        <v>1974</v>
      </c>
      <c r="C1425" s="24" t="s">
        <v>826</v>
      </c>
    </row>
    <row r="1426" spans="1:3" ht="15.75" customHeight="1" x14ac:dyDescent="0.4">
      <c r="A1426" s="24" t="s">
        <v>824</v>
      </c>
      <c r="B1426" s="24" t="s">
        <v>1975</v>
      </c>
      <c r="C1426" s="24" t="s">
        <v>826</v>
      </c>
    </row>
    <row r="1427" spans="1:3" ht="15.75" customHeight="1" x14ac:dyDescent="0.4">
      <c r="A1427" s="24" t="s">
        <v>824</v>
      </c>
      <c r="B1427" s="24" t="s">
        <v>1976</v>
      </c>
      <c r="C1427" s="24" t="s">
        <v>826</v>
      </c>
    </row>
    <row r="1428" spans="1:3" ht="15.75" customHeight="1" x14ac:dyDescent="0.4">
      <c r="A1428" s="24" t="s">
        <v>824</v>
      </c>
      <c r="B1428" s="24" t="s">
        <v>1977</v>
      </c>
      <c r="C1428" s="24" t="s">
        <v>826</v>
      </c>
    </row>
    <row r="1429" spans="1:3" ht="15.75" customHeight="1" x14ac:dyDescent="0.4">
      <c r="A1429" s="24" t="s">
        <v>824</v>
      </c>
      <c r="B1429" s="24" t="s">
        <v>1978</v>
      </c>
      <c r="C1429" s="24" t="s">
        <v>826</v>
      </c>
    </row>
    <row r="1430" spans="1:3" ht="15.75" customHeight="1" x14ac:dyDescent="0.4">
      <c r="A1430" s="24" t="s">
        <v>824</v>
      </c>
      <c r="B1430" s="24" t="s">
        <v>1979</v>
      </c>
      <c r="C1430" s="24" t="s">
        <v>826</v>
      </c>
    </row>
    <row r="1431" spans="1:3" ht="15.75" customHeight="1" x14ac:dyDescent="0.4">
      <c r="A1431" s="24" t="s">
        <v>824</v>
      </c>
      <c r="B1431" s="24" t="s">
        <v>1980</v>
      </c>
      <c r="C1431" s="24" t="s">
        <v>826</v>
      </c>
    </row>
    <row r="1432" spans="1:3" ht="15.75" customHeight="1" x14ac:dyDescent="0.4">
      <c r="A1432" s="24" t="s">
        <v>824</v>
      </c>
      <c r="B1432" s="24" t="s">
        <v>780</v>
      </c>
      <c r="C1432" s="24" t="s">
        <v>825</v>
      </c>
    </row>
    <row r="1433" spans="1:3" ht="15.75" customHeight="1" x14ac:dyDescent="0.4">
      <c r="A1433" s="24" t="s">
        <v>824</v>
      </c>
      <c r="B1433" s="24" t="s">
        <v>1981</v>
      </c>
      <c r="C1433" s="24" t="s">
        <v>826</v>
      </c>
    </row>
    <row r="1434" spans="1:3" ht="15.75" customHeight="1" x14ac:dyDescent="0.4">
      <c r="A1434" s="24" t="s">
        <v>824</v>
      </c>
      <c r="B1434" s="24" t="s">
        <v>1982</v>
      </c>
      <c r="C1434" s="24" t="s">
        <v>826</v>
      </c>
    </row>
    <row r="1435" spans="1:3" ht="15.75" customHeight="1" x14ac:dyDescent="0.4">
      <c r="A1435" s="24" t="s">
        <v>824</v>
      </c>
      <c r="B1435" s="24" t="s">
        <v>1983</v>
      </c>
      <c r="C1435" s="24" t="s">
        <v>826</v>
      </c>
    </row>
    <row r="1436" spans="1:3" ht="15.75" customHeight="1" x14ac:dyDescent="0.4">
      <c r="A1436" s="24" t="s">
        <v>824</v>
      </c>
      <c r="B1436" s="24" t="s">
        <v>1984</v>
      </c>
      <c r="C1436" s="24" t="s">
        <v>826</v>
      </c>
    </row>
    <row r="1437" spans="1:3" ht="15.75" customHeight="1" x14ac:dyDescent="0.4">
      <c r="A1437" s="24" t="s">
        <v>824</v>
      </c>
      <c r="B1437" s="24" t="s">
        <v>1985</v>
      </c>
      <c r="C1437" s="24" t="s">
        <v>826</v>
      </c>
    </row>
    <row r="1438" spans="1:3" ht="15.75" customHeight="1" x14ac:dyDescent="0.4">
      <c r="A1438" s="24" t="s">
        <v>824</v>
      </c>
      <c r="B1438" s="24" t="s">
        <v>1986</v>
      </c>
      <c r="C1438" s="24" t="s">
        <v>826</v>
      </c>
    </row>
    <row r="1439" spans="1:3" ht="15.75" customHeight="1" x14ac:dyDescent="0.4">
      <c r="A1439" s="24" t="s">
        <v>824</v>
      </c>
      <c r="B1439" s="24" t="s">
        <v>1987</v>
      </c>
      <c r="C1439" s="24" t="s">
        <v>826</v>
      </c>
    </row>
    <row r="1440" spans="1:3" ht="15.75" customHeight="1" x14ac:dyDescent="0.4">
      <c r="A1440" s="24" t="s">
        <v>824</v>
      </c>
      <c r="B1440" s="24" t="s">
        <v>1988</v>
      </c>
      <c r="C1440" s="24" t="s">
        <v>826</v>
      </c>
    </row>
    <row r="1441" spans="1:3" ht="15.75" customHeight="1" x14ac:dyDescent="0.4">
      <c r="A1441" s="24" t="s">
        <v>824</v>
      </c>
      <c r="B1441" s="24" t="s">
        <v>1989</v>
      </c>
      <c r="C1441" s="24" t="s">
        <v>826</v>
      </c>
    </row>
    <row r="1442" spans="1:3" ht="15.75" customHeight="1" x14ac:dyDescent="0.4">
      <c r="A1442" s="24" t="s">
        <v>824</v>
      </c>
      <c r="B1442" s="24" t="s">
        <v>1990</v>
      </c>
      <c r="C1442" s="24" t="s">
        <v>826</v>
      </c>
    </row>
    <row r="1443" spans="1:3" ht="15.75" customHeight="1" x14ac:dyDescent="0.4">
      <c r="A1443" s="24" t="s">
        <v>824</v>
      </c>
      <c r="B1443" s="24" t="s">
        <v>1991</v>
      </c>
      <c r="C1443" s="24" t="s">
        <v>826</v>
      </c>
    </row>
    <row r="1444" spans="1:3" ht="15.75" customHeight="1" x14ac:dyDescent="0.4">
      <c r="A1444" s="24" t="s">
        <v>824</v>
      </c>
      <c r="B1444" s="24" t="s">
        <v>1992</v>
      </c>
      <c r="C1444" s="24" t="s">
        <v>826</v>
      </c>
    </row>
    <row r="1445" spans="1:3" ht="15.75" customHeight="1" x14ac:dyDescent="0.4">
      <c r="A1445" s="24" t="s">
        <v>824</v>
      </c>
      <c r="B1445" s="24" t="s">
        <v>1993</v>
      </c>
      <c r="C1445" s="24" t="s">
        <v>826</v>
      </c>
    </row>
    <row r="1446" spans="1:3" ht="15.75" customHeight="1" x14ac:dyDescent="0.4">
      <c r="A1446" s="24" t="s">
        <v>824</v>
      </c>
      <c r="B1446" s="24" t="s">
        <v>1994</v>
      </c>
      <c r="C1446" s="24" t="s">
        <v>826</v>
      </c>
    </row>
    <row r="1447" spans="1:3" ht="15.75" customHeight="1" x14ac:dyDescent="0.4">
      <c r="A1447" s="24" t="s">
        <v>824</v>
      </c>
      <c r="B1447" s="24" t="s">
        <v>1995</v>
      </c>
      <c r="C1447" s="24" t="s">
        <v>826</v>
      </c>
    </row>
    <row r="1448" spans="1:3" ht="15.75" customHeight="1" x14ac:dyDescent="0.4">
      <c r="A1448" s="24" t="s">
        <v>824</v>
      </c>
      <c r="B1448" s="24" t="s">
        <v>1996</v>
      </c>
      <c r="C1448" s="24" t="s">
        <v>826</v>
      </c>
    </row>
    <row r="1449" spans="1:3" ht="15.75" customHeight="1" x14ac:dyDescent="0.4">
      <c r="A1449" s="24" t="s">
        <v>824</v>
      </c>
      <c r="B1449" s="24" t="s">
        <v>1997</v>
      </c>
      <c r="C1449" s="24" t="s">
        <v>826</v>
      </c>
    </row>
    <row r="1450" spans="1:3" ht="15.75" customHeight="1" x14ac:dyDescent="0.4">
      <c r="A1450" s="24" t="s">
        <v>824</v>
      </c>
      <c r="B1450" s="24" t="s">
        <v>1998</v>
      </c>
      <c r="C1450" s="24" t="s">
        <v>826</v>
      </c>
    </row>
    <row r="1451" spans="1:3" ht="15.75" customHeight="1" x14ac:dyDescent="0.4">
      <c r="A1451" s="24" t="s">
        <v>824</v>
      </c>
      <c r="B1451" s="24" t="s">
        <v>1999</v>
      </c>
      <c r="C1451" s="24" t="s">
        <v>826</v>
      </c>
    </row>
    <row r="1452" spans="1:3" ht="15.75" customHeight="1" x14ac:dyDescent="0.4">
      <c r="A1452" s="24" t="s">
        <v>824</v>
      </c>
      <c r="B1452" s="24" t="s">
        <v>2000</v>
      </c>
      <c r="C1452" s="24" t="s">
        <v>826</v>
      </c>
    </row>
    <row r="1453" spans="1:3" ht="15.75" customHeight="1" x14ac:dyDescent="0.4">
      <c r="A1453" s="24" t="s">
        <v>824</v>
      </c>
      <c r="B1453" s="24" t="s">
        <v>2001</v>
      </c>
      <c r="C1453" s="24" t="s">
        <v>826</v>
      </c>
    </row>
    <row r="1454" spans="1:3" ht="15.75" customHeight="1" x14ac:dyDescent="0.4">
      <c r="A1454" s="24" t="s">
        <v>824</v>
      </c>
      <c r="B1454" s="24" t="s">
        <v>2002</v>
      </c>
      <c r="C1454" s="24" t="s">
        <v>826</v>
      </c>
    </row>
    <row r="1455" spans="1:3" ht="15.75" customHeight="1" x14ac:dyDescent="0.4">
      <c r="A1455" s="24" t="s">
        <v>824</v>
      </c>
      <c r="B1455" s="24" t="s">
        <v>2003</v>
      </c>
      <c r="C1455" s="24" t="s">
        <v>826</v>
      </c>
    </row>
    <row r="1456" spans="1:3" ht="15.75" customHeight="1" x14ac:dyDescent="0.4">
      <c r="A1456" s="24" t="s">
        <v>824</v>
      </c>
      <c r="B1456" s="24" t="s">
        <v>2004</v>
      </c>
      <c r="C1456" s="24" t="s">
        <v>826</v>
      </c>
    </row>
    <row r="1457" spans="1:3" ht="15.75" customHeight="1" x14ac:dyDescent="0.4">
      <c r="A1457" s="24" t="s">
        <v>824</v>
      </c>
      <c r="B1457" s="24" t="s">
        <v>657</v>
      </c>
      <c r="C1457" s="24" t="s">
        <v>825</v>
      </c>
    </row>
    <row r="1458" spans="1:3" ht="15.75" customHeight="1" x14ac:dyDescent="0.4">
      <c r="A1458" s="24" t="s">
        <v>824</v>
      </c>
      <c r="B1458" s="24" t="s">
        <v>2005</v>
      </c>
      <c r="C1458" s="24" t="s">
        <v>826</v>
      </c>
    </row>
    <row r="1459" spans="1:3" ht="15.75" customHeight="1" x14ac:dyDescent="0.4">
      <c r="A1459" s="24" t="s">
        <v>824</v>
      </c>
      <c r="B1459" s="24" t="s">
        <v>585</v>
      </c>
      <c r="C1459" s="24" t="s">
        <v>825</v>
      </c>
    </row>
    <row r="1460" spans="1:3" ht="15.75" customHeight="1" x14ac:dyDescent="0.4">
      <c r="A1460" s="24" t="s">
        <v>824</v>
      </c>
      <c r="B1460" s="24" t="s">
        <v>2006</v>
      </c>
      <c r="C1460" s="24" t="s">
        <v>826</v>
      </c>
    </row>
    <row r="1461" spans="1:3" ht="15.75" customHeight="1" x14ac:dyDescent="0.4">
      <c r="A1461" s="24" t="s">
        <v>824</v>
      </c>
      <c r="B1461" s="24" t="s">
        <v>685</v>
      </c>
      <c r="C1461" s="24" t="s">
        <v>825</v>
      </c>
    </row>
    <row r="1462" spans="1:3" ht="15.75" customHeight="1" x14ac:dyDescent="0.4">
      <c r="A1462" s="24" t="s">
        <v>824</v>
      </c>
      <c r="B1462" s="24" t="s">
        <v>2007</v>
      </c>
      <c r="C1462" s="24" t="s">
        <v>826</v>
      </c>
    </row>
    <row r="1463" spans="1:3" ht="15.75" customHeight="1" x14ac:dyDescent="0.4">
      <c r="A1463" s="24" t="s">
        <v>824</v>
      </c>
      <c r="B1463" s="24" t="s">
        <v>2008</v>
      </c>
      <c r="C1463" s="24" t="s">
        <v>826</v>
      </c>
    </row>
    <row r="1464" spans="1:3" ht="15.75" customHeight="1" x14ac:dyDescent="0.4">
      <c r="A1464" s="24" t="s">
        <v>824</v>
      </c>
      <c r="B1464" s="24" t="s">
        <v>2009</v>
      </c>
      <c r="C1464" s="24" t="s">
        <v>826</v>
      </c>
    </row>
    <row r="1465" spans="1:3" ht="15.75" customHeight="1" x14ac:dyDescent="0.4">
      <c r="A1465" s="24" t="s">
        <v>824</v>
      </c>
      <c r="B1465" s="24" t="s">
        <v>2010</v>
      </c>
      <c r="C1465" s="24" t="s">
        <v>826</v>
      </c>
    </row>
    <row r="1466" spans="1:3" ht="15.75" customHeight="1" x14ac:dyDescent="0.4">
      <c r="A1466" s="24" t="s">
        <v>824</v>
      </c>
      <c r="B1466" s="24" t="s">
        <v>2011</v>
      </c>
      <c r="C1466" s="24" t="s">
        <v>826</v>
      </c>
    </row>
    <row r="1467" spans="1:3" ht="15.75" customHeight="1" x14ac:dyDescent="0.4">
      <c r="A1467" s="24" t="s">
        <v>824</v>
      </c>
      <c r="B1467" s="24" t="s">
        <v>792</v>
      </c>
      <c r="C1467" s="24" t="s">
        <v>825</v>
      </c>
    </row>
    <row r="1468" spans="1:3" ht="15.75" customHeight="1" x14ac:dyDescent="0.4">
      <c r="A1468" s="24" t="s">
        <v>824</v>
      </c>
      <c r="B1468" s="24" t="s">
        <v>2012</v>
      </c>
      <c r="C1468" s="24" t="s">
        <v>826</v>
      </c>
    </row>
    <row r="1469" spans="1:3" ht="15.75" customHeight="1" x14ac:dyDescent="0.4">
      <c r="A1469" s="24" t="s">
        <v>824</v>
      </c>
      <c r="B1469" s="24" t="s">
        <v>319</v>
      </c>
      <c r="C1469" s="24" t="s">
        <v>825</v>
      </c>
    </row>
    <row r="1470" spans="1:3" ht="15.75" customHeight="1" x14ac:dyDescent="0.4">
      <c r="A1470" s="24" t="s">
        <v>824</v>
      </c>
      <c r="B1470" s="24" t="s">
        <v>2013</v>
      </c>
      <c r="C1470" s="24" t="s">
        <v>826</v>
      </c>
    </row>
    <row r="1471" spans="1:3" ht="15.75" customHeight="1" x14ac:dyDescent="0.4">
      <c r="A1471" s="24" t="s">
        <v>824</v>
      </c>
      <c r="B1471" s="24" t="s">
        <v>2014</v>
      </c>
      <c r="C1471" s="24" t="s">
        <v>826</v>
      </c>
    </row>
    <row r="1472" spans="1:3" ht="15.75" customHeight="1" x14ac:dyDescent="0.4">
      <c r="A1472" s="24" t="s">
        <v>824</v>
      </c>
      <c r="B1472" s="24" t="s">
        <v>2015</v>
      </c>
      <c r="C1472" s="24" t="s">
        <v>826</v>
      </c>
    </row>
    <row r="1473" spans="1:3" ht="15.75" customHeight="1" x14ac:dyDescent="0.4">
      <c r="A1473" s="24" t="s">
        <v>824</v>
      </c>
      <c r="B1473" s="24" t="s">
        <v>2016</v>
      </c>
      <c r="C1473" s="24" t="s">
        <v>826</v>
      </c>
    </row>
    <row r="1474" spans="1:3" ht="15.75" customHeight="1" x14ac:dyDescent="0.4">
      <c r="A1474" s="24" t="s">
        <v>824</v>
      </c>
      <c r="B1474" s="24" t="s">
        <v>2017</v>
      </c>
      <c r="C1474" s="24" t="s">
        <v>826</v>
      </c>
    </row>
    <row r="1475" spans="1:3" ht="15.75" customHeight="1" x14ac:dyDescent="0.4">
      <c r="A1475" s="24" t="s">
        <v>824</v>
      </c>
      <c r="B1475" s="24" t="s">
        <v>2018</v>
      </c>
      <c r="C1475" s="24" t="s">
        <v>826</v>
      </c>
    </row>
    <row r="1476" spans="1:3" ht="15.75" customHeight="1" x14ac:dyDescent="0.4">
      <c r="A1476" s="24" t="s">
        <v>824</v>
      </c>
      <c r="B1476" s="24" t="s">
        <v>2019</v>
      </c>
      <c r="C1476" s="24" t="s">
        <v>826</v>
      </c>
    </row>
    <row r="1477" spans="1:3" ht="15.75" customHeight="1" x14ac:dyDescent="0.4">
      <c r="A1477" s="24" t="s">
        <v>824</v>
      </c>
      <c r="B1477" s="24" t="s">
        <v>2020</v>
      </c>
      <c r="C1477" s="24" t="s">
        <v>826</v>
      </c>
    </row>
    <row r="1478" spans="1:3" ht="15.75" customHeight="1" x14ac:dyDescent="0.4">
      <c r="A1478" s="24" t="s">
        <v>824</v>
      </c>
      <c r="B1478" s="24" t="s">
        <v>2021</v>
      </c>
      <c r="C1478" s="24" t="s">
        <v>826</v>
      </c>
    </row>
    <row r="1479" spans="1:3" ht="15.75" customHeight="1" x14ac:dyDescent="0.4">
      <c r="A1479" s="24" t="s">
        <v>824</v>
      </c>
      <c r="B1479" s="24" t="s">
        <v>2022</v>
      </c>
      <c r="C1479" s="24" t="s">
        <v>826</v>
      </c>
    </row>
    <row r="1480" spans="1:3" ht="15.75" customHeight="1" x14ac:dyDescent="0.4">
      <c r="A1480" s="24" t="s">
        <v>824</v>
      </c>
      <c r="B1480" s="24" t="s">
        <v>2023</v>
      </c>
      <c r="C1480" s="24" t="s">
        <v>826</v>
      </c>
    </row>
    <row r="1481" spans="1:3" ht="15.75" customHeight="1" x14ac:dyDescent="0.4">
      <c r="A1481" s="24" t="s">
        <v>824</v>
      </c>
      <c r="B1481" s="24" t="s">
        <v>2024</v>
      </c>
      <c r="C1481" s="24" t="s">
        <v>826</v>
      </c>
    </row>
    <row r="1482" spans="1:3" ht="15.75" customHeight="1" x14ac:dyDescent="0.4">
      <c r="A1482" s="24" t="s">
        <v>824</v>
      </c>
      <c r="B1482" s="24" t="s">
        <v>782</v>
      </c>
      <c r="C1482" s="24" t="s">
        <v>825</v>
      </c>
    </row>
    <row r="1483" spans="1:3" ht="15.75" customHeight="1" x14ac:dyDescent="0.4">
      <c r="A1483" s="24" t="s">
        <v>824</v>
      </c>
      <c r="B1483" s="24" t="s">
        <v>2025</v>
      </c>
      <c r="C1483" s="24" t="s">
        <v>826</v>
      </c>
    </row>
    <row r="1484" spans="1:3" ht="15.75" customHeight="1" x14ac:dyDescent="0.4">
      <c r="A1484" s="24" t="s">
        <v>824</v>
      </c>
      <c r="B1484" s="24" t="s">
        <v>2026</v>
      </c>
      <c r="C1484" s="24" t="s">
        <v>826</v>
      </c>
    </row>
    <row r="1485" spans="1:3" ht="15.75" customHeight="1" x14ac:dyDescent="0.4">
      <c r="A1485" s="24" t="s">
        <v>824</v>
      </c>
      <c r="B1485" s="24" t="s">
        <v>2027</v>
      </c>
      <c r="C1485" s="24" t="s">
        <v>826</v>
      </c>
    </row>
    <row r="1486" spans="1:3" ht="15.75" customHeight="1" x14ac:dyDescent="0.4">
      <c r="A1486" s="24" t="s">
        <v>824</v>
      </c>
      <c r="B1486" s="24" t="s">
        <v>2028</v>
      </c>
      <c r="C1486" s="24" t="s">
        <v>826</v>
      </c>
    </row>
    <row r="1487" spans="1:3" ht="15.75" customHeight="1" x14ac:dyDescent="0.4">
      <c r="A1487" s="24" t="s">
        <v>824</v>
      </c>
      <c r="B1487" s="24" t="s">
        <v>2029</v>
      </c>
      <c r="C1487" s="24" t="s">
        <v>826</v>
      </c>
    </row>
    <row r="1488" spans="1:3" ht="15.75" customHeight="1" x14ac:dyDescent="0.4">
      <c r="A1488" s="24" t="s">
        <v>824</v>
      </c>
      <c r="B1488" s="24" t="s">
        <v>2030</v>
      </c>
      <c r="C1488" s="24" t="s">
        <v>826</v>
      </c>
    </row>
    <row r="1489" spans="1:3" ht="15.75" customHeight="1" x14ac:dyDescent="0.4">
      <c r="A1489" s="24" t="s">
        <v>824</v>
      </c>
      <c r="B1489" s="24" t="s">
        <v>2031</v>
      </c>
      <c r="C1489" s="24" t="s">
        <v>826</v>
      </c>
    </row>
    <row r="1490" spans="1:3" ht="15.75" customHeight="1" x14ac:dyDescent="0.4">
      <c r="A1490" s="24" t="s">
        <v>824</v>
      </c>
      <c r="B1490" s="24" t="s">
        <v>2032</v>
      </c>
      <c r="C1490" s="24" t="s">
        <v>826</v>
      </c>
    </row>
    <row r="1491" spans="1:3" ht="15.75" customHeight="1" x14ac:dyDescent="0.4">
      <c r="A1491" s="24" t="s">
        <v>824</v>
      </c>
      <c r="B1491" s="24" t="s">
        <v>2033</v>
      </c>
      <c r="C1491" s="24" t="s">
        <v>826</v>
      </c>
    </row>
    <row r="1492" spans="1:3" ht="15.75" customHeight="1" x14ac:dyDescent="0.4">
      <c r="A1492" s="24" t="s">
        <v>824</v>
      </c>
      <c r="B1492" s="24" t="s">
        <v>2034</v>
      </c>
      <c r="C1492" s="24" t="s">
        <v>826</v>
      </c>
    </row>
    <row r="1493" spans="1:3" ht="15.75" customHeight="1" x14ac:dyDescent="0.4">
      <c r="A1493" s="24" t="s">
        <v>824</v>
      </c>
      <c r="B1493" s="24" t="s">
        <v>2035</v>
      </c>
      <c r="C1493" s="24" t="s">
        <v>826</v>
      </c>
    </row>
    <row r="1494" spans="1:3" ht="15.75" customHeight="1" x14ac:dyDescent="0.4">
      <c r="A1494" s="24" t="s">
        <v>824</v>
      </c>
      <c r="B1494" s="24" t="s">
        <v>2036</v>
      </c>
      <c r="C1494" s="24" t="s">
        <v>826</v>
      </c>
    </row>
    <row r="1495" spans="1:3" ht="15.75" customHeight="1" x14ac:dyDescent="0.4">
      <c r="A1495" s="24" t="s">
        <v>824</v>
      </c>
      <c r="B1495" s="24" t="s">
        <v>2037</v>
      </c>
      <c r="C1495" s="24" t="s">
        <v>826</v>
      </c>
    </row>
    <row r="1496" spans="1:3" ht="15.75" customHeight="1" x14ac:dyDescent="0.4">
      <c r="A1496" s="24" t="s">
        <v>824</v>
      </c>
      <c r="B1496" s="24" t="s">
        <v>2038</v>
      </c>
      <c r="C1496" s="24" t="s">
        <v>826</v>
      </c>
    </row>
    <row r="1497" spans="1:3" ht="15.75" customHeight="1" x14ac:dyDescent="0.4">
      <c r="A1497" s="24" t="s">
        <v>824</v>
      </c>
      <c r="B1497" s="24" t="s">
        <v>2039</v>
      </c>
      <c r="C1497" s="24" t="s">
        <v>826</v>
      </c>
    </row>
    <row r="1498" spans="1:3" ht="15.75" customHeight="1" x14ac:dyDescent="0.4">
      <c r="A1498" s="24" t="s">
        <v>824</v>
      </c>
      <c r="B1498" s="24" t="s">
        <v>2040</v>
      </c>
      <c r="C1498" s="24" t="s">
        <v>826</v>
      </c>
    </row>
    <row r="1499" spans="1:3" ht="15.75" customHeight="1" x14ac:dyDescent="0.4">
      <c r="A1499" s="24" t="s">
        <v>824</v>
      </c>
      <c r="B1499" s="24" t="s">
        <v>2041</v>
      </c>
      <c r="C1499" s="24" t="s">
        <v>826</v>
      </c>
    </row>
    <row r="1500" spans="1:3" ht="15.75" customHeight="1" x14ac:dyDescent="0.4">
      <c r="A1500" s="24" t="s">
        <v>824</v>
      </c>
      <c r="B1500" s="24" t="s">
        <v>2042</v>
      </c>
      <c r="C1500" s="24" t="s">
        <v>826</v>
      </c>
    </row>
    <row r="1501" spans="1:3" ht="15.75" customHeight="1" x14ac:dyDescent="0.4">
      <c r="A1501" s="24" t="s">
        <v>824</v>
      </c>
      <c r="B1501" s="24" t="s">
        <v>2043</v>
      </c>
      <c r="C1501" s="24" t="s">
        <v>826</v>
      </c>
    </row>
    <row r="1502" spans="1:3" ht="15.75" customHeight="1" x14ac:dyDescent="0.4">
      <c r="A1502" s="24" t="s">
        <v>824</v>
      </c>
      <c r="B1502" s="24" t="s">
        <v>696</v>
      </c>
      <c r="C1502" s="24" t="s">
        <v>825</v>
      </c>
    </row>
    <row r="1503" spans="1:3" ht="15.75" customHeight="1" x14ac:dyDescent="0.4">
      <c r="A1503" s="24" t="s">
        <v>824</v>
      </c>
      <c r="B1503" s="24" t="s">
        <v>2044</v>
      </c>
      <c r="C1503" s="24" t="s">
        <v>826</v>
      </c>
    </row>
    <row r="1504" spans="1:3" ht="15.75" customHeight="1" x14ac:dyDescent="0.4">
      <c r="A1504" s="24" t="s">
        <v>824</v>
      </c>
      <c r="B1504" s="24" t="s">
        <v>2045</v>
      </c>
      <c r="C1504" s="24" t="s">
        <v>826</v>
      </c>
    </row>
    <row r="1505" spans="1:3" ht="15.75" customHeight="1" x14ac:dyDescent="0.4">
      <c r="A1505" s="24" t="s">
        <v>824</v>
      </c>
      <c r="B1505" s="24" t="s">
        <v>2046</v>
      </c>
      <c r="C1505" s="24" t="s">
        <v>826</v>
      </c>
    </row>
    <row r="1506" spans="1:3" ht="15.75" customHeight="1" x14ac:dyDescent="0.4">
      <c r="A1506" s="24" t="s">
        <v>824</v>
      </c>
      <c r="B1506" s="24" t="s">
        <v>2047</v>
      </c>
      <c r="C1506" s="24" t="s">
        <v>826</v>
      </c>
    </row>
    <row r="1507" spans="1:3" ht="15.75" customHeight="1" x14ac:dyDescent="0.4">
      <c r="A1507" s="24" t="s">
        <v>824</v>
      </c>
      <c r="B1507" s="24" t="s">
        <v>2048</v>
      </c>
      <c r="C1507" s="24" t="s">
        <v>826</v>
      </c>
    </row>
    <row r="1508" spans="1:3" ht="15.75" customHeight="1" x14ac:dyDescent="0.4">
      <c r="A1508" s="24" t="s">
        <v>824</v>
      </c>
      <c r="B1508" s="24" t="s">
        <v>2049</v>
      </c>
      <c r="C1508" s="24" t="s">
        <v>826</v>
      </c>
    </row>
    <row r="1509" spans="1:3" ht="15.75" customHeight="1" x14ac:dyDescent="0.4">
      <c r="A1509" s="24" t="s">
        <v>824</v>
      </c>
      <c r="B1509" s="24" t="s">
        <v>2050</v>
      </c>
      <c r="C1509" s="24" t="s">
        <v>826</v>
      </c>
    </row>
    <row r="1510" spans="1:3" ht="15.75" customHeight="1" x14ac:dyDescent="0.4">
      <c r="A1510" s="24" t="s">
        <v>824</v>
      </c>
      <c r="B1510" s="24" t="s">
        <v>2051</v>
      </c>
      <c r="C1510" s="24" t="s">
        <v>826</v>
      </c>
    </row>
    <row r="1511" spans="1:3" ht="15.75" customHeight="1" x14ac:dyDescent="0.4">
      <c r="A1511" s="24" t="s">
        <v>824</v>
      </c>
      <c r="B1511" s="24" t="s">
        <v>2052</v>
      </c>
      <c r="C1511" s="24" t="s">
        <v>826</v>
      </c>
    </row>
    <row r="1512" spans="1:3" ht="15.75" customHeight="1" x14ac:dyDescent="0.4">
      <c r="A1512" s="24" t="s">
        <v>824</v>
      </c>
      <c r="B1512" s="24" t="s">
        <v>361</v>
      </c>
      <c r="C1512" s="24" t="s">
        <v>825</v>
      </c>
    </row>
    <row r="1513" spans="1:3" ht="15.75" customHeight="1" x14ac:dyDescent="0.4">
      <c r="A1513" s="24" t="s">
        <v>824</v>
      </c>
      <c r="B1513" s="24" t="s">
        <v>2053</v>
      </c>
      <c r="C1513" s="24" t="s">
        <v>826</v>
      </c>
    </row>
    <row r="1514" spans="1:3" ht="15.75" customHeight="1" x14ac:dyDescent="0.4">
      <c r="A1514" s="24" t="s">
        <v>824</v>
      </c>
      <c r="B1514" s="24" t="s">
        <v>2054</v>
      </c>
      <c r="C1514" s="24" t="s">
        <v>826</v>
      </c>
    </row>
    <row r="1515" spans="1:3" ht="15.75" customHeight="1" x14ac:dyDescent="0.4">
      <c r="A1515" s="24" t="s">
        <v>824</v>
      </c>
      <c r="B1515" s="24" t="s">
        <v>2055</v>
      </c>
      <c r="C1515" s="24" t="s">
        <v>826</v>
      </c>
    </row>
    <row r="1516" spans="1:3" ht="15.75" customHeight="1" x14ac:dyDescent="0.4">
      <c r="A1516" s="24" t="s">
        <v>824</v>
      </c>
      <c r="B1516" s="24" t="s">
        <v>2056</v>
      </c>
      <c r="C1516" s="24" t="s">
        <v>826</v>
      </c>
    </row>
    <row r="1517" spans="1:3" ht="15.75" customHeight="1" x14ac:dyDescent="0.4">
      <c r="A1517" s="24" t="s">
        <v>824</v>
      </c>
      <c r="B1517" s="24" t="s">
        <v>2057</v>
      </c>
      <c r="C1517" s="24" t="s">
        <v>826</v>
      </c>
    </row>
    <row r="1518" spans="1:3" ht="15.75" customHeight="1" x14ac:dyDescent="0.4">
      <c r="A1518" s="24" t="s">
        <v>824</v>
      </c>
      <c r="B1518" s="24" t="s">
        <v>2058</v>
      </c>
      <c r="C1518" s="24" t="s">
        <v>826</v>
      </c>
    </row>
    <row r="1519" spans="1:3" ht="15.75" customHeight="1" x14ac:dyDescent="0.4">
      <c r="A1519" s="24" t="s">
        <v>824</v>
      </c>
      <c r="B1519" s="24" t="s">
        <v>2059</v>
      </c>
      <c r="C1519" s="24" t="s">
        <v>826</v>
      </c>
    </row>
    <row r="1520" spans="1:3" ht="15.75" customHeight="1" x14ac:dyDescent="0.4">
      <c r="A1520" s="24" t="s">
        <v>824</v>
      </c>
      <c r="B1520" s="24" t="s">
        <v>2060</v>
      </c>
      <c r="C1520" s="24" t="s">
        <v>826</v>
      </c>
    </row>
    <row r="1521" spans="1:3" ht="15.75" customHeight="1" x14ac:dyDescent="0.4">
      <c r="A1521" s="24" t="s">
        <v>824</v>
      </c>
      <c r="B1521" s="24" t="s">
        <v>2061</v>
      </c>
      <c r="C1521" s="24" t="s">
        <v>826</v>
      </c>
    </row>
    <row r="1522" spans="1:3" ht="15.75" customHeight="1" x14ac:dyDescent="0.4">
      <c r="A1522" s="24" t="s">
        <v>824</v>
      </c>
      <c r="B1522" s="24" t="s">
        <v>2062</v>
      </c>
      <c r="C1522" s="24" t="s">
        <v>826</v>
      </c>
    </row>
    <row r="1523" spans="1:3" ht="15.75" customHeight="1" x14ac:dyDescent="0.4">
      <c r="A1523" s="24" t="s">
        <v>824</v>
      </c>
      <c r="B1523" s="24" t="s">
        <v>2063</v>
      </c>
      <c r="C1523" s="24" t="s">
        <v>826</v>
      </c>
    </row>
    <row r="1524" spans="1:3" ht="15.75" customHeight="1" x14ac:dyDescent="0.4">
      <c r="A1524" s="24" t="s">
        <v>824</v>
      </c>
      <c r="B1524" s="24" t="s">
        <v>2064</v>
      </c>
      <c r="C1524" s="24" t="s">
        <v>826</v>
      </c>
    </row>
    <row r="1525" spans="1:3" ht="15.75" customHeight="1" x14ac:dyDescent="0.4">
      <c r="A1525" s="24" t="s">
        <v>824</v>
      </c>
      <c r="B1525" s="24" t="s">
        <v>2065</v>
      </c>
      <c r="C1525" s="24" t="s">
        <v>826</v>
      </c>
    </row>
    <row r="1526" spans="1:3" ht="15.75" customHeight="1" x14ac:dyDescent="0.4">
      <c r="A1526" s="24" t="s">
        <v>824</v>
      </c>
      <c r="B1526" s="24" t="s">
        <v>2066</v>
      </c>
      <c r="C1526" s="24" t="s">
        <v>826</v>
      </c>
    </row>
    <row r="1527" spans="1:3" ht="15.75" customHeight="1" x14ac:dyDescent="0.4">
      <c r="A1527" s="24" t="s">
        <v>824</v>
      </c>
      <c r="B1527" s="24" t="s">
        <v>2067</v>
      </c>
      <c r="C1527" s="24" t="s">
        <v>826</v>
      </c>
    </row>
    <row r="1528" spans="1:3" ht="15.75" customHeight="1" x14ac:dyDescent="0.4">
      <c r="A1528" s="24" t="s">
        <v>824</v>
      </c>
      <c r="B1528" s="24" t="s">
        <v>2068</v>
      </c>
      <c r="C1528" s="24" t="s">
        <v>826</v>
      </c>
    </row>
    <row r="1529" spans="1:3" ht="15.75" customHeight="1" x14ac:dyDescent="0.4">
      <c r="A1529" s="24" t="s">
        <v>824</v>
      </c>
      <c r="B1529" s="24" t="s">
        <v>2069</v>
      </c>
      <c r="C1529" s="24" t="s">
        <v>826</v>
      </c>
    </row>
    <row r="1530" spans="1:3" ht="15.75" customHeight="1" x14ac:dyDescent="0.4">
      <c r="A1530" s="24" t="s">
        <v>824</v>
      </c>
      <c r="B1530" s="24" t="s">
        <v>2070</v>
      </c>
      <c r="C1530" s="24" t="s">
        <v>826</v>
      </c>
    </row>
    <row r="1531" spans="1:3" ht="15.75" customHeight="1" x14ac:dyDescent="0.4">
      <c r="A1531" s="24" t="s">
        <v>824</v>
      </c>
      <c r="B1531" s="24" t="s">
        <v>2071</v>
      </c>
      <c r="C1531" s="24" t="s">
        <v>826</v>
      </c>
    </row>
    <row r="1532" spans="1:3" ht="15.75" customHeight="1" x14ac:dyDescent="0.4">
      <c r="A1532" s="24" t="s">
        <v>824</v>
      </c>
      <c r="B1532" s="24" t="s">
        <v>2072</v>
      </c>
      <c r="C1532" s="24" t="s">
        <v>826</v>
      </c>
    </row>
    <row r="1533" spans="1:3" ht="15.75" customHeight="1" x14ac:dyDescent="0.4">
      <c r="A1533" s="24" t="s">
        <v>824</v>
      </c>
      <c r="B1533" s="24" t="s">
        <v>563</v>
      </c>
      <c r="C1533" s="24" t="s">
        <v>825</v>
      </c>
    </row>
    <row r="1534" spans="1:3" ht="15.75" customHeight="1" x14ac:dyDescent="0.4">
      <c r="A1534" s="24" t="s">
        <v>824</v>
      </c>
      <c r="B1534" s="24" t="s">
        <v>2073</v>
      </c>
      <c r="C1534" s="24" t="s">
        <v>826</v>
      </c>
    </row>
    <row r="1535" spans="1:3" ht="15.75" customHeight="1" x14ac:dyDescent="0.4">
      <c r="A1535" s="24" t="s">
        <v>824</v>
      </c>
      <c r="B1535" s="24" t="s">
        <v>2074</v>
      </c>
      <c r="C1535" s="24" t="s">
        <v>826</v>
      </c>
    </row>
    <row r="1536" spans="1:3" ht="15.75" customHeight="1" x14ac:dyDescent="0.4">
      <c r="A1536" s="24" t="s">
        <v>824</v>
      </c>
      <c r="B1536" s="24" t="s">
        <v>2075</v>
      </c>
      <c r="C1536" s="24" t="s">
        <v>826</v>
      </c>
    </row>
    <row r="1537" spans="1:3" ht="15.75" customHeight="1" x14ac:dyDescent="0.4">
      <c r="A1537" s="24" t="s">
        <v>824</v>
      </c>
      <c r="B1537" s="24" t="s">
        <v>2076</v>
      </c>
      <c r="C1537" s="24" t="s">
        <v>826</v>
      </c>
    </row>
    <row r="1538" spans="1:3" ht="15.75" customHeight="1" x14ac:dyDescent="0.4">
      <c r="A1538" s="24" t="s">
        <v>824</v>
      </c>
      <c r="B1538" s="24" t="s">
        <v>2077</v>
      </c>
      <c r="C1538" s="24" t="s">
        <v>826</v>
      </c>
    </row>
    <row r="1539" spans="1:3" ht="15.75" customHeight="1" x14ac:dyDescent="0.4">
      <c r="A1539" s="24" t="s">
        <v>824</v>
      </c>
      <c r="B1539" s="24" t="s">
        <v>2078</v>
      </c>
      <c r="C1539" s="24" t="s">
        <v>826</v>
      </c>
    </row>
    <row r="1540" spans="1:3" ht="15.75" customHeight="1" x14ac:dyDescent="0.4">
      <c r="A1540" s="24" t="s">
        <v>824</v>
      </c>
      <c r="B1540" s="24" t="s">
        <v>2079</v>
      </c>
      <c r="C1540" s="24" t="s">
        <v>826</v>
      </c>
    </row>
    <row r="1541" spans="1:3" ht="15.75" customHeight="1" x14ac:dyDescent="0.4">
      <c r="A1541" s="24" t="s">
        <v>824</v>
      </c>
      <c r="B1541" s="24" t="s">
        <v>2080</v>
      </c>
      <c r="C1541" s="24" t="s">
        <v>826</v>
      </c>
    </row>
    <row r="1542" spans="1:3" ht="15.75" customHeight="1" x14ac:dyDescent="0.4">
      <c r="A1542" s="24" t="s">
        <v>824</v>
      </c>
      <c r="B1542" s="24" t="s">
        <v>231</v>
      </c>
      <c r="C1542" s="24" t="s">
        <v>826</v>
      </c>
    </row>
    <row r="1543" spans="1:3" ht="15.75" customHeight="1" x14ac:dyDescent="0.4">
      <c r="A1543" s="24" t="s">
        <v>824</v>
      </c>
      <c r="B1543" s="24" t="s">
        <v>2081</v>
      </c>
      <c r="C1543" s="24" t="s">
        <v>826</v>
      </c>
    </row>
    <row r="1544" spans="1:3" ht="15.75" customHeight="1" x14ac:dyDescent="0.4">
      <c r="A1544" s="24" t="s">
        <v>824</v>
      </c>
      <c r="B1544" s="24" t="s">
        <v>2082</v>
      </c>
      <c r="C1544" s="24" t="s">
        <v>826</v>
      </c>
    </row>
    <row r="1545" spans="1:3" ht="15.75" customHeight="1" x14ac:dyDescent="0.4">
      <c r="A1545" s="24" t="s">
        <v>824</v>
      </c>
      <c r="B1545" s="24" t="s">
        <v>249</v>
      </c>
      <c r="C1545" s="24" t="s">
        <v>825</v>
      </c>
    </row>
    <row r="1546" spans="1:3" ht="15.75" customHeight="1" x14ac:dyDescent="0.4">
      <c r="A1546" s="24" t="s">
        <v>824</v>
      </c>
      <c r="B1546" s="24" t="s">
        <v>2083</v>
      </c>
      <c r="C1546" s="24" t="s">
        <v>826</v>
      </c>
    </row>
    <row r="1547" spans="1:3" ht="15.75" customHeight="1" x14ac:dyDescent="0.4">
      <c r="A1547" s="24" t="s">
        <v>824</v>
      </c>
      <c r="B1547" s="24" t="s">
        <v>2084</v>
      </c>
      <c r="C1547" s="24" t="s">
        <v>826</v>
      </c>
    </row>
    <row r="1548" spans="1:3" ht="15.75" customHeight="1" x14ac:dyDescent="0.4">
      <c r="A1548" s="24" t="s">
        <v>824</v>
      </c>
      <c r="B1548" s="24" t="s">
        <v>272</v>
      </c>
      <c r="C1548" s="24" t="s">
        <v>825</v>
      </c>
    </row>
    <row r="1549" spans="1:3" ht="15.75" customHeight="1" x14ac:dyDescent="0.4">
      <c r="A1549" s="24" t="s">
        <v>824</v>
      </c>
      <c r="B1549" s="24" t="s">
        <v>2085</v>
      </c>
      <c r="C1549" s="24" t="s">
        <v>826</v>
      </c>
    </row>
    <row r="1550" spans="1:3" ht="15.75" customHeight="1" x14ac:dyDescent="0.4">
      <c r="A1550" s="24" t="s">
        <v>824</v>
      </c>
      <c r="B1550" s="24" t="s">
        <v>220</v>
      </c>
      <c r="C1550" s="24" t="s">
        <v>826</v>
      </c>
    </row>
    <row r="1551" spans="1:3" ht="15.75" customHeight="1" x14ac:dyDescent="0.4">
      <c r="A1551" s="24" t="s">
        <v>824</v>
      </c>
      <c r="B1551" s="24" t="s">
        <v>2086</v>
      </c>
      <c r="C1551" s="24" t="s">
        <v>826</v>
      </c>
    </row>
    <row r="1552" spans="1:3" ht="15.75" customHeight="1" x14ac:dyDescent="0.4">
      <c r="A1552" s="24" t="s">
        <v>824</v>
      </c>
      <c r="B1552" s="24" t="s">
        <v>2087</v>
      </c>
      <c r="C1552" s="24" t="s">
        <v>826</v>
      </c>
    </row>
    <row r="1553" spans="1:3" ht="15.75" customHeight="1" x14ac:dyDescent="0.4">
      <c r="A1553" s="24" t="s">
        <v>824</v>
      </c>
      <c r="B1553" s="24" t="s">
        <v>2088</v>
      </c>
      <c r="C1553" s="24" t="s">
        <v>826</v>
      </c>
    </row>
    <row r="1554" spans="1:3" ht="15.75" customHeight="1" x14ac:dyDescent="0.4">
      <c r="A1554" s="24" t="s">
        <v>824</v>
      </c>
      <c r="B1554" s="24" t="s">
        <v>2089</v>
      </c>
      <c r="C1554" s="24" t="s">
        <v>826</v>
      </c>
    </row>
    <row r="1555" spans="1:3" ht="15.75" customHeight="1" x14ac:dyDescent="0.4">
      <c r="A1555" s="24" t="s">
        <v>824</v>
      </c>
      <c r="B1555" s="24" t="s">
        <v>2090</v>
      </c>
      <c r="C1555" s="24" t="s">
        <v>826</v>
      </c>
    </row>
    <row r="1556" spans="1:3" ht="15.75" customHeight="1" x14ac:dyDescent="0.4">
      <c r="A1556" s="24" t="s">
        <v>824</v>
      </c>
      <c r="B1556" s="24" t="s">
        <v>2091</v>
      </c>
      <c r="C1556" s="24" t="s">
        <v>826</v>
      </c>
    </row>
    <row r="1557" spans="1:3" ht="15.75" customHeight="1" x14ac:dyDescent="0.4">
      <c r="A1557" s="24" t="s">
        <v>824</v>
      </c>
      <c r="B1557" s="24" t="s">
        <v>2092</v>
      </c>
      <c r="C1557" s="24" t="s">
        <v>826</v>
      </c>
    </row>
    <row r="1558" spans="1:3" ht="15.75" customHeight="1" x14ac:dyDescent="0.4">
      <c r="A1558" s="24" t="s">
        <v>824</v>
      </c>
      <c r="B1558" s="24" t="s">
        <v>2093</v>
      </c>
      <c r="C1558" s="24" t="s">
        <v>826</v>
      </c>
    </row>
    <row r="1559" spans="1:3" ht="15.75" customHeight="1" x14ac:dyDescent="0.4">
      <c r="A1559" s="24" t="s">
        <v>824</v>
      </c>
      <c r="B1559" s="24" t="s">
        <v>2094</v>
      </c>
      <c r="C1559" s="24" t="s">
        <v>826</v>
      </c>
    </row>
    <row r="1560" spans="1:3" ht="15.75" customHeight="1" x14ac:dyDescent="0.4">
      <c r="A1560" s="24" t="s">
        <v>824</v>
      </c>
      <c r="B1560" s="24" t="s">
        <v>2095</v>
      </c>
      <c r="C1560" s="24" t="s">
        <v>826</v>
      </c>
    </row>
    <row r="1561" spans="1:3" ht="15.75" customHeight="1" x14ac:dyDescent="0.4">
      <c r="A1561" s="24" t="s">
        <v>824</v>
      </c>
      <c r="B1561" s="24" t="s">
        <v>2096</v>
      </c>
      <c r="C1561" s="24" t="s">
        <v>826</v>
      </c>
    </row>
    <row r="1562" spans="1:3" ht="15.75" customHeight="1" x14ac:dyDescent="0.4">
      <c r="A1562" s="24" t="s">
        <v>824</v>
      </c>
      <c r="B1562" s="24" t="s">
        <v>2097</v>
      </c>
      <c r="C1562" s="24" t="s">
        <v>826</v>
      </c>
    </row>
    <row r="1563" spans="1:3" ht="15.75" customHeight="1" x14ac:dyDescent="0.4">
      <c r="A1563" s="24" t="s">
        <v>824</v>
      </c>
      <c r="B1563" s="24" t="s">
        <v>2098</v>
      </c>
      <c r="C1563" s="24" t="s">
        <v>826</v>
      </c>
    </row>
    <row r="1564" spans="1:3" ht="15.75" customHeight="1" x14ac:dyDescent="0.4">
      <c r="A1564" s="24" t="s">
        <v>824</v>
      </c>
      <c r="B1564" s="24" t="s">
        <v>2099</v>
      </c>
      <c r="C1564" s="24" t="s">
        <v>826</v>
      </c>
    </row>
    <row r="1565" spans="1:3" ht="15.75" customHeight="1" x14ac:dyDescent="0.4">
      <c r="A1565" s="24" t="s">
        <v>824</v>
      </c>
      <c r="B1565" s="24" t="s">
        <v>2100</v>
      </c>
      <c r="C1565" s="24" t="s">
        <v>826</v>
      </c>
    </row>
    <row r="1566" spans="1:3" ht="15.75" customHeight="1" x14ac:dyDescent="0.4">
      <c r="A1566" s="24" t="s">
        <v>824</v>
      </c>
      <c r="B1566" s="24" t="s">
        <v>2101</v>
      </c>
      <c r="C1566" s="24" t="s">
        <v>826</v>
      </c>
    </row>
    <row r="1567" spans="1:3" ht="15.75" customHeight="1" x14ac:dyDescent="0.4">
      <c r="A1567" s="24" t="s">
        <v>824</v>
      </c>
      <c r="B1567" s="24" t="s">
        <v>2102</v>
      </c>
      <c r="C1567" s="24" t="s">
        <v>826</v>
      </c>
    </row>
    <row r="1568" spans="1:3" ht="15.75" customHeight="1" x14ac:dyDescent="0.4">
      <c r="A1568" s="24" t="s">
        <v>824</v>
      </c>
      <c r="B1568" s="24" t="s">
        <v>2103</v>
      </c>
      <c r="C1568" s="24" t="s">
        <v>826</v>
      </c>
    </row>
    <row r="1569" spans="1:3" ht="15.75" customHeight="1" x14ac:dyDescent="0.4">
      <c r="A1569" s="24" t="s">
        <v>824</v>
      </c>
      <c r="B1569" s="24" t="s">
        <v>2104</v>
      </c>
      <c r="C1569" s="24" t="s">
        <v>826</v>
      </c>
    </row>
    <row r="1570" spans="1:3" ht="15.75" customHeight="1" x14ac:dyDescent="0.4">
      <c r="A1570" s="24" t="s">
        <v>824</v>
      </c>
      <c r="B1570" s="24" t="s">
        <v>2105</v>
      </c>
      <c r="C1570" s="24" t="s">
        <v>826</v>
      </c>
    </row>
    <row r="1571" spans="1:3" ht="15.75" customHeight="1" x14ac:dyDescent="0.4">
      <c r="A1571" s="24" t="s">
        <v>824</v>
      </c>
      <c r="B1571" s="24" t="s">
        <v>2106</v>
      </c>
      <c r="C1571" s="24" t="s">
        <v>826</v>
      </c>
    </row>
    <row r="1572" spans="1:3" ht="15.75" customHeight="1" x14ac:dyDescent="0.4">
      <c r="A1572" s="24" t="s">
        <v>824</v>
      </c>
      <c r="B1572" s="24" t="s">
        <v>2107</v>
      </c>
      <c r="C1572" s="24" t="s">
        <v>826</v>
      </c>
    </row>
    <row r="1573" spans="1:3" ht="15.75" customHeight="1" x14ac:dyDescent="0.4">
      <c r="A1573" s="24" t="s">
        <v>824</v>
      </c>
      <c r="B1573" s="24" t="s">
        <v>2108</v>
      </c>
      <c r="C1573" s="24" t="s">
        <v>826</v>
      </c>
    </row>
    <row r="1574" spans="1:3" ht="15.75" customHeight="1" x14ac:dyDescent="0.4">
      <c r="A1574" s="24" t="s">
        <v>824</v>
      </c>
      <c r="B1574" s="24" t="s">
        <v>2109</v>
      </c>
      <c r="C1574" s="24" t="s">
        <v>826</v>
      </c>
    </row>
    <row r="1575" spans="1:3" ht="15.75" customHeight="1" x14ac:dyDescent="0.4">
      <c r="A1575" s="24" t="s">
        <v>824</v>
      </c>
      <c r="B1575" s="24" t="s">
        <v>2110</v>
      </c>
      <c r="C1575" s="24" t="s">
        <v>826</v>
      </c>
    </row>
    <row r="1576" spans="1:3" ht="15.75" customHeight="1" x14ac:dyDescent="0.4">
      <c r="A1576" s="24" t="s">
        <v>824</v>
      </c>
      <c r="B1576" s="24" t="s">
        <v>2111</v>
      </c>
      <c r="C1576" s="24" t="s">
        <v>826</v>
      </c>
    </row>
    <row r="1577" spans="1:3" ht="15.75" customHeight="1" x14ac:dyDescent="0.4">
      <c r="A1577" s="24" t="s">
        <v>824</v>
      </c>
      <c r="B1577" s="24" t="s">
        <v>2112</v>
      </c>
      <c r="C1577" s="24" t="s">
        <v>826</v>
      </c>
    </row>
    <row r="1578" spans="1:3" ht="15.75" customHeight="1" x14ac:dyDescent="0.4">
      <c r="A1578" s="24" t="s">
        <v>824</v>
      </c>
      <c r="B1578" s="24" t="s">
        <v>2113</v>
      </c>
      <c r="C1578" s="24" t="s">
        <v>826</v>
      </c>
    </row>
    <row r="1579" spans="1:3" ht="15.75" customHeight="1" x14ac:dyDescent="0.4">
      <c r="A1579" s="24" t="s">
        <v>824</v>
      </c>
      <c r="B1579" s="24" t="s">
        <v>2114</v>
      </c>
      <c r="C1579" s="24" t="s">
        <v>826</v>
      </c>
    </row>
    <row r="1580" spans="1:3" ht="15.75" customHeight="1" x14ac:dyDescent="0.4">
      <c r="A1580" s="24" t="s">
        <v>824</v>
      </c>
      <c r="B1580" s="24" t="s">
        <v>2115</v>
      </c>
      <c r="C1580" s="24" t="s">
        <v>826</v>
      </c>
    </row>
    <row r="1581" spans="1:3" ht="15.75" customHeight="1" x14ac:dyDescent="0.4">
      <c r="A1581" s="24" t="s">
        <v>824</v>
      </c>
      <c r="B1581" s="24" t="s">
        <v>2116</v>
      </c>
      <c r="C1581" s="24" t="s">
        <v>826</v>
      </c>
    </row>
    <row r="1582" spans="1:3" ht="15.75" customHeight="1" x14ac:dyDescent="0.4">
      <c r="A1582" s="24" t="s">
        <v>824</v>
      </c>
      <c r="B1582" s="24" t="s">
        <v>2117</v>
      </c>
      <c r="C1582" s="24" t="s">
        <v>826</v>
      </c>
    </row>
    <row r="1583" spans="1:3" ht="15.75" customHeight="1" x14ac:dyDescent="0.4">
      <c r="A1583" s="24" t="s">
        <v>824</v>
      </c>
      <c r="B1583" s="24" t="s">
        <v>248</v>
      </c>
      <c r="C1583" s="24" t="s">
        <v>826</v>
      </c>
    </row>
    <row r="1584" spans="1:3" ht="15.75" customHeight="1" x14ac:dyDescent="0.4">
      <c r="A1584" s="24" t="s">
        <v>824</v>
      </c>
      <c r="B1584" s="24" t="s">
        <v>2118</v>
      </c>
      <c r="C1584" s="24" t="s">
        <v>826</v>
      </c>
    </row>
    <row r="1585" spans="1:3" ht="15.75" customHeight="1" x14ac:dyDescent="0.4">
      <c r="A1585" s="24" t="s">
        <v>824</v>
      </c>
      <c r="B1585" s="24" t="s">
        <v>2119</v>
      </c>
      <c r="C1585" s="24" t="s">
        <v>826</v>
      </c>
    </row>
    <row r="1586" spans="1:3" ht="15.75" customHeight="1" x14ac:dyDescent="0.4">
      <c r="A1586" s="24" t="s">
        <v>824</v>
      </c>
      <c r="B1586" s="24" t="s">
        <v>2120</v>
      </c>
      <c r="C1586" s="24" t="s">
        <v>826</v>
      </c>
    </row>
    <row r="1587" spans="1:3" ht="15.75" customHeight="1" x14ac:dyDescent="0.4">
      <c r="A1587" s="24" t="s">
        <v>824</v>
      </c>
      <c r="B1587" s="24" t="s">
        <v>2121</v>
      </c>
      <c r="C1587" s="24" t="s">
        <v>826</v>
      </c>
    </row>
    <row r="1588" spans="1:3" ht="15.75" customHeight="1" x14ac:dyDescent="0.4">
      <c r="A1588" s="24" t="s">
        <v>824</v>
      </c>
      <c r="B1588" s="24" t="s">
        <v>2122</v>
      </c>
      <c r="C1588" s="24" t="s">
        <v>826</v>
      </c>
    </row>
    <row r="1589" spans="1:3" ht="15.75" customHeight="1" x14ac:dyDescent="0.4">
      <c r="A1589" s="24" t="s">
        <v>824</v>
      </c>
      <c r="B1589" s="24" t="s">
        <v>2123</v>
      </c>
      <c r="C1589" s="24" t="s">
        <v>826</v>
      </c>
    </row>
    <row r="1590" spans="1:3" ht="15.75" customHeight="1" x14ac:dyDescent="0.4">
      <c r="A1590" s="24" t="s">
        <v>824</v>
      </c>
      <c r="B1590" s="24" t="s">
        <v>2124</v>
      </c>
      <c r="C1590" s="24" t="s">
        <v>826</v>
      </c>
    </row>
    <row r="1591" spans="1:3" ht="15.75" customHeight="1" x14ac:dyDescent="0.4">
      <c r="A1591" s="24" t="s">
        <v>824</v>
      </c>
      <c r="B1591" s="24" t="s">
        <v>2125</v>
      </c>
      <c r="C1591" s="24" t="s">
        <v>826</v>
      </c>
    </row>
    <row r="1592" spans="1:3" ht="15.75" customHeight="1" x14ac:dyDescent="0.4">
      <c r="A1592" s="24" t="s">
        <v>824</v>
      </c>
      <c r="B1592" s="24" t="s">
        <v>519</v>
      </c>
      <c r="C1592" s="24" t="s">
        <v>825</v>
      </c>
    </row>
    <row r="1593" spans="1:3" ht="15.75" customHeight="1" x14ac:dyDescent="0.4">
      <c r="A1593" s="24" t="s">
        <v>824</v>
      </c>
      <c r="B1593" s="24" t="s">
        <v>2126</v>
      </c>
      <c r="C1593" s="24" t="s">
        <v>826</v>
      </c>
    </row>
    <row r="1594" spans="1:3" ht="15.75" customHeight="1" x14ac:dyDescent="0.4">
      <c r="A1594" s="24" t="s">
        <v>824</v>
      </c>
      <c r="B1594" s="24" t="s">
        <v>2127</v>
      </c>
      <c r="C1594" s="24" t="s">
        <v>826</v>
      </c>
    </row>
    <row r="1595" spans="1:3" ht="15.75" customHeight="1" x14ac:dyDescent="0.4">
      <c r="A1595" s="24" t="s">
        <v>824</v>
      </c>
      <c r="B1595" s="24" t="s">
        <v>2128</v>
      </c>
      <c r="C1595" s="24" t="s">
        <v>826</v>
      </c>
    </row>
    <row r="1596" spans="1:3" ht="15.75" customHeight="1" x14ac:dyDescent="0.4">
      <c r="A1596" s="24" t="s">
        <v>824</v>
      </c>
      <c r="B1596" s="24" t="s">
        <v>2129</v>
      </c>
      <c r="C1596" s="24" t="s">
        <v>826</v>
      </c>
    </row>
    <row r="1597" spans="1:3" ht="15.75" customHeight="1" x14ac:dyDescent="0.4">
      <c r="A1597" s="24" t="s">
        <v>824</v>
      </c>
      <c r="B1597" s="24" t="s">
        <v>2130</v>
      </c>
      <c r="C1597" s="24" t="s">
        <v>826</v>
      </c>
    </row>
    <row r="1598" spans="1:3" ht="15.75" customHeight="1" x14ac:dyDescent="0.4">
      <c r="A1598" s="24" t="s">
        <v>824</v>
      </c>
      <c r="B1598" s="24" t="s">
        <v>2131</v>
      </c>
      <c r="C1598" s="24" t="s">
        <v>826</v>
      </c>
    </row>
    <row r="1599" spans="1:3" ht="15.75" customHeight="1" x14ac:dyDescent="0.4">
      <c r="A1599" s="24" t="s">
        <v>824</v>
      </c>
      <c r="B1599" s="24" t="s">
        <v>2132</v>
      </c>
      <c r="C1599" s="24" t="s">
        <v>826</v>
      </c>
    </row>
    <row r="1600" spans="1:3" ht="15.75" customHeight="1" x14ac:dyDescent="0.4">
      <c r="A1600" s="24" t="s">
        <v>824</v>
      </c>
      <c r="B1600" s="24" t="s">
        <v>2133</v>
      </c>
      <c r="C1600" s="24" t="s">
        <v>826</v>
      </c>
    </row>
    <row r="1601" spans="1:3" ht="15.75" customHeight="1" x14ac:dyDescent="0.4">
      <c r="A1601" s="24" t="s">
        <v>824</v>
      </c>
      <c r="B1601" s="24" t="s">
        <v>343</v>
      </c>
      <c r="C1601" s="24" t="s">
        <v>825</v>
      </c>
    </row>
    <row r="1602" spans="1:3" ht="15.75" customHeight="1" x14ac:dyDescent="0.4">
      <c r="A1602" s="24" t="s">
        <v>824</v>
      </c>
      <c r="B1602" s="24" t="s">
        <v>2134</v>
      </c>
      <c r="C1602" s="24" t="s">
        <v>826</v>
      </c>
    </row>
    <row r="1603" spans="1:3" ht="15.75" customHeight="1" x14ac:dyDescent="0.4">
      <c r="A1603" s="24" t="s">
        <v>824</v>
      </c>
      <c r="B1603" s="24" t="s">
        <v>487</v>
      </c>
      <c r="C1603" s="24" t="s">
        <v>825</v>
      </c>
    </row>
    <row r="1604" spans="1:3" ht="15.75" customHeight="1" x14ac:dyDescent="0.4">
      <c r="A1604" s="24" t="s">
        <v>824</v>
      </c>
      <c r="B1604" s="24" t="s">
        <v>2135</v>
      </c>
      <c r="C1604" s="24" t="s">
        <v>826</v>
      </c>
    </row>
    <row r="1605" spans="1:3" ht="15.75" customHeight="1" x14ac:dyDescent="0.4">
      <c r="A1605" s="24" t="s">
        <v>824</v>
      </c>
      <c r="B1605" s="24" t="s">
        <v>2136</v>
      </c>
      <c r="C1605" s="24" t="s">
        <v>826</v>
      </c>
    </row>
    <row r="1606" spans="1:3" ht="15.75" customHeight="1" x14ac:dyDescent="0.4">
      <c r="A1606" s="24" t="s">
        <v>824</v>
      </c>
      <c r="B1606" s="24" t="s">
        <v>2137</v>
      </c>
      <c r="C1606" s="24" t="s">
        <v>826</v>
      </c>
    </row>
    <row r="1607" spans="1:3" ht="15.75" customHeight="1" x14ac:dyDescent="0.4">
      <c r="A1607" s="24" t="s">
        <v>824</v>
      </c>
      <c r="B1607" s="24" t="s">
        <v>2138</v>
      </c>
      <c r="C1607" s="24" t="s">
        <v>826</v>
      </c>
    </row>
    <row r="1608" spans="1:3" ht="15.75" customHeight="1" x14ac:dyDescent="0.4">
      <c r="A1608" s="24" t="s">
        <v>824</v>
      </c>
      <c r="B1608" s="24" t="s">
        <v>667</v>
      </c>
      <c r="C1608" s="24" t="s">
        <v>825</v>
      </c>
    </row>
    <row r="1609" spans="1:3" ht="15.75" customHeight="1" x14ac:dyDescent="0.4">
      <c r="A1609" s="24" t="s">
        <v>824</v>
      </c>
      <c r="B1609" s="24" t="s">
        <v>2139</v>
      </c>
      <c r="C1609" s="24" t="s">
        <v>826</v>
      </c>
    </row>
    <row r="1610" spans="1:3" ht="15.75" customHeight="1" x14ac:dyDescent="0.4">
      <c r="A1610" s="24" t="s">
        <v>824</v>
      </c>
      <c r="B1610" s="24" t="s">
        <v>2140</v>
      </c>
      <c r="C1610" s="24" t="s">
        <v>826</v>
      </c>
    </row>
    <row r="1611" spans="1:3" ht="15.75" customHeight="1" x14ac:dyDescent="0.4">
      <c r="A1611" s="24" t="s">
        <v>824</v>
      </c>
      <c r="B1611" s="24" t="s">
        <v>2141</v>
      </c>
      <c r="C1611" s="24" t="s">
        <v>826</v>
      </c>
    </row>
    <row r="1612" spans="1:3" ht="15.75" customHeight="1" x14ac:dyDescent="0.4">
      <c r="A1612" s="24" t="s">
        <v>824</v>
      </c>
      <c r="B1612" s="24" t="s">
        <v>2142</v>
      </c>
      <c r="C1612" s="24" t="s">
        <v>826</v>
      </c>
    </row>
    <row r="1613" spans="1:3" ht="15.75" customHeight="1" x14ac:dyDescent="0.4">
      <c r="A1613" s="24" t="s">
        <v>824</v>
      </c>
      <c r="B1613" s="24" t="s">
        <v>2143</v>
      </c>
      <c r="C1613" s="24" t="s">
        <v>826</v>
      </c>
    </row>
    <row r="1614" spans="1:3" ht="15.75" customHeight="1" x14ac:dyDescent="0.4">
      <c r="A1614" s="24" t="s">
        <v>824</v>
      </c>
      <c r="B1614" s="24" t="s">
        <v>2144</v>
      </c>
      <c r="C1614" s="24" t="s">
        <v>826</v>
      </c>
    </row>
    <row r="1615" spans="1:3" ht="15.75" customHeight="1" x14ac:dyDescent="0.4">
      <c r="A1615" s="24" t="s">
        <v>824</v>
      </c>
      <c r="B1615" s="24" t="s">
        <v>2145</v>
      </c>
      <c r="C1615" s="24" t="s">
        <v>826</v>
      </c>
    </row>
    <row r="1616" spans="1:3" ht="15.75" customHeight="1" x14ac:dyDescent="0.4">
      <c r="A1616" s="24" t="s">
        <v>824</v>
      </c>
      <c r="B1616" s="24" t="s">
        <v>2146</v>
      </c>
      <c r="C1616" s="24" t="s">
        <v>826</v>
      </c>
    </row>
    <row r="1617" spans="1:3" ht="15.75" customHeight="1" x14ac:dyDescent="0.4">
      <c r="A1617" s="24" t="s">
        <v>824</v>
      </c>
      <c r="B1617" s="24" t="s">
        <v>2147</v>
      </c>
      <c r="C1617" s="24" t="s">
        <v>826</v>
      </c>
    </row>
    <row r="1618" spans="1:3" ht="15.75" customHeight="1" x14ac:dyDescent="0.4">
      <c r="A1618" s="24" t="s">
        <v>824</v>
      </c>
      <c r="B1618" s="24" t="s">
        <v>2148</v>
      </c>
      <c r="C1618" s="24" t="s">
        <v>826</v>
      </c>
    </row>
    <row r="1619" spans="1:3" ht="15.75" customHeight="1" x14ac:dyDescent="0.4">
      <c r="A1619" s="24" t="s">
        <v>824</v>
      </c>
      <c r="B1619" s="24" t="s">
        <v>629</v>
      </c>
      <c r="C1619" s="24" t="s">
        <v>825</v>
      </c>
    </row>
    <row r="1620" spans="1:3" ht="15.75" customHeight="1" x14ac:dyDescent="0.4">
      <c r="A1620" s="24" t="s">
        <v>824</v>
      </c>
      <c r="B1620" s="24" t="s">
        <v>244</v>
      </c>
      <c r="C1620" s="24" t="s">
        <v>825</v>
      </c>
    </row>
    <row r="1621" spans="1:3" ht="15.75" customHeight="1" x14ac:dyDescent="0.4">
      <c r="A1621" s="24" t="s">
        <v>824</v>
      </c>
      <c r="B1621" s="24" t="s">
        <v>2149</v>
      </c>
      <c r="C1621" s="24" t="s">
        <v>826</v>
      </c>
    </row>
    <row r="1622" spans="1:3" ht="15.75" customHeight="1" x14ac:dyDescent="0.4">
      <c r="A1622" s="24" t="s">
        <v>824</v>
      </c>
      <c r="B1622" s="24" t="s">
        <v>2150</v>
      </c>
      <c r="C1622" s="24" t="s">
        <v>826</v>
      </c>
    </row>
    <row r="1623" spans="1:3" ht="15.75" customHeight="1" x14ac:dyDescent="0.4">
      <c r="A1623" s="24" t="s">
        <v>824</v>
      </c>
      <c r="B1623" s="24" t="s">
        <v>2151</v>
      </c>
      <c r="C1623" s="24" t="s">
        <v>826</v>
      </c>
    </row>
    <row r="1624" spans="1:3" ht="15.75" customHeight="1" x14ac:dyDescent="0.4">
      <c r="A1624" s="24" t="s">
        <v>824</v>
      </c>
      <c r="B1624" s="24" t="s">
        <v>2152</v>
      </c>
      <c r="C1624" s="24" t="s">
        <v>826</v>
      </c>
    </row>
    <row r="1625" spans="1:3" ht="15.75" customHeight="1" x14ac:dyDescent="0.4">
      <c r="A1625" s="24" t="s">
        <v>824</v>
      </c>
      <c r="B1625" s="24" t="s">
        <v>2153</v>
      </c>
      <c r="C1625" s="24" t="s">
        <v>826</v>
      </c>
    </row>
    <row r="1626" spans="1:3" ht="15.75" customHeight="1" x14ac:dyDescent="0.4">
      <c r="A1626" s="24" t="s">
        <v>824</v>
      </c>
      <c r="B1626" s="24" t="s">
        <v>2154</v>
      </c>
      <c r="C1626" s="24" t="s">
        <v>826</v>
      </c>
    </row>
    <row r="1627" spans="1:3" ht="15.75" customHeight="1" x14ac:dyDescent="0.4">
      <c r="A1627" s="24" t="s">
        <v>824</v>
      </c>
      <c r="B1627" s="24" t="s">
        <v>2155</v>
      </c>
      <c r="C1627" s="24" t="s">
        <v>826</v>
      </c>
    </row>
    <row r="1628" spans="1:3" ht="15.75" customHeight="1" x14ac:dyDescent="0.4">
      <c r="A1628" s="24" t="s">
        <v>824</v>
      </c>
      <c r="B1628" s="24" t="s">
        <v>252</v>
      </c>
      <c r="C1628" s="24" t="s">
        <v>825</v>
      </c>
    </row>
    <row r="1629" spans="1:3" ht="15.75" customHeight="1" x14ac:dyDescent="0.4">
      <c r="A1629" s="24" t="s">
        <v>824</v>
      </c>
      <c r="B1629" s="24" t="s">
        <v>772</v>
      </c>
      <c r="C1629" s="24" t="s">
        <v>825</v>
      </c>
    </row>
    <row r="1630" spans="1:3" ht="15.75" customHeight="1" x14ac:dyDescent="0.4">
      <c r="A1630" s="24" t="s">
        <v>824</v>
      </c>
      <c r="B1630" s="24" t="s">
        <v>2156</v>
      </c>
      <c r="C1630" s="24" t="s">
        <v>826</v>
      </c>
    </row>
    <row r="1631" spans="1:3" ht="15.75" customHeight="1" x14ac:dyDescent="0.4">
      <c r="A1631" s="24" t="s">
        <v>824</v>
      </c>
      <c r="B1631" s="24" t="s">
        <v>2157</v>
      </c>
      <c r="C1631" s="24" t="s">
        <v>826</v>
      </c>
    </row>
    <row r="1632" spans="1:3" ht="15.75" customHeight="1" x14ac:dyDescent="0.4">
      <c r="A1632" s="24" t="s">
        <v>824</v>
      </c>
      <c r="B1632" s="24" t="s">
        <v>2158</v>
      </c>
      <c r="C1632" s="24" t="s">
        <v>826</v>
      </c>
    </row>
    <row r="1633" spans="1:3" ht="15.75" customHeight="1" x14ac:dyDescent="0.4">
      <c r="A1633" s="24" t="s">
        <v>824</v>
      </c>
      <c r="B1633" s="24" t="s">
        <v>2159</v>
      </c>
      <c r="C1633" s="24" t="s">
        <v>826</v>
      </c>
    </row>
    <row r="1634" spans="1:3" ht="15.75" customHeight="1" x14ac:dyDescent="0.4">
      <c r="A1634" s="24" t="s">
        <v>824</v>
      </c>
      <c r="B1634" s="24" t="s">
        <v>2160</v>
      </c>
      <c r="C1634" s="24" t="s">
        <v>826</v>
      </c>
    </row>
    <row r="1635" spans="1:3" ht="15.75" customHeight="1" x14ac:dyDescent="0.4">
      <c r="A1635" s="24" t="s">
        <v>824</v>
      </c>
      <c r="B1635" s="24" t="s">
        <v>2161</v>
      </c>
      <c r="C1635" s="24" t="s">
        <v>826</v>
      </c>
    </row>
    <row r="1636" spans="1:3" ht="15.75" customHeight="1" x14ac:dyDescent="0.4">
      <c r="A1636" s="24" t="s">
        <v>824</v>
      </c>
      <c r="B1636" s="24" t="s">
        <v>2162</v>
      </c>
      <c r="C1636" s="24" t="s">
        <v>826</v>
      </c>
    </row>
    <row r="1637" spans="1:3" ht="15.75" customHeight="1" x14ac:dyDescent="0.4">
      <c r="A1637" s="24" t="s">
        <v>824</v>
      </c>
      <c r="B1637" s="24" t="s">
        <v>2163</v>
      </c>
      <c r="C1637" s="24" t="s">
        <v>826</v>
      </c>
    </row>
    <row r="1638" spans="1:3" ht="15.75" customHeight="1" x14ac:dyDescent="0.4">
      <c r="A1638" s="24" t="s">
        <v>824</v>
      </c>
      <c r="B1638" s="24" t="s">
        <v>2164</v>
      </c>
      <c r="C1638" s="24" t="s">
        <v>826</v>
      </c>
    </row>
    <row r="1639" spans="1:3" ht="15.75" customHeight="1" x14ac:dyDescent="0.4">
      <c r="A1639" s="24" t="s">
        <v>824</v>
      </c>
      <c r="B1639" s="24" t="s">
        <v>2165</v>
      </c>
      <c r="C1639" s="24" t="s">
        <v>826</v>
      </c>
    </row>
    <row r="1640" spans="1:3" ht="15.75" customHeight="1" x14ac:dyDescent="0.4">
      <c r="A1640" s="24" t="s">
        <v>824</v>
      </c>
      <c r="B1640" s="24" t="s">
        <v>774</v>
      </c>
      <c r="C1640" s="24" t="s">
        <v>825</v>
      </c>
    </row>
    <row r="1641" spans="1:3" ht="15.75" customHeight="1" x14ac:dyDescent="0.4">
      <c r="A1641" s="24" t="s">
        <v>824</v>
      </c>
      <c r="B1641" s="24" t="s">
        <v>2166</v>
      </c>
      <c r="C1641" s="24" t="s">
        <v>826</v>
      </c>
    </row>
    <row r="1642" spans="1:3" ht="15.75" customHeight="1" x14ac:dyDescent="0.4">
      <c r="A1642" s="24" t="s">
        <v>824</v>
      </c>
      <c r="B1642" s="24" t="s">
        <v>2167</v>
      </c>
      <c r="C1642" s="24" t="s">
        <v>826</v>
      </c>
    </row>
    <row r="1643" spans="1:3" ht="15.75" customHeight="1" x14ac:dyDescent="0.4">
      <c r="A1643" s="24" t="s">
        <v>824</v>
      </c>
      <c r="B1643" s="24" t="s">
        <v>2168</v>
      </c>
      <c r="C1643" s="24" t="s">
        <v>826</v>
      </c>
    </row>
    <row r="1644" spans="1:3" ht="15.75" customHeight="1" x14ac:dyDescent="0.4">
      <c r="A1644" s="24" t="s">
        <v>824</v>
      </c>
      <c r="B1644" s="24" t="s">
        <v>2169</v>
      </c>
      <c r="C1644" s="24" t="s">
        <v>826</v>
      </c>
    </row>
    <row r="1645" spans="1:3" ht="15.75" customHeight="1" x14ac:dyDescent="0.4">
      <c r="A1645" s="24" t="s">
        <v>824</v>
      </c>
      <c r="B1645" s="24" t="s">
        <v>2170</v>
      </c>
      <c r="C1645" s="24" t="s">
        <v>826</v>
      </c>
    </row>
    <row r="1646" spans="1:3" ht="15.75" customHeight="1" x14ac:dyDescent="0.4">
      <c r="A1646" s="24" t="s">
        <v>824</v>
      </c>
      <c r="B1646" s="24" t="s">
        <v>2171</v>
      </c>
      <c r="C1646" s="24" t="s">
        <v>826</v>
      </c>
    </row>
    <row r="1647" spans="1:3" ht="15.75" customHeight="1" x14ac:dyDescent="0.4">
      <c r="A1647" s="24" t="s">
        <v>824</v>
      </c>
      <c r="B1647" s="24" t="s">
        <v>2172</v>
      </c>
      <c r="C1647" s="24" t="s">
        <v>826</v>
      </c>
    </row>
    <row r="1648" spans="1:3" ht="15.75" customHeight="1" x14ac:dyDescent="0.4">
      <c r="A1648" s="24" t="s">
        <v>824</v>
      </c>
      <c r="B1648" s="24" t="s">
        <v>234</v>
      </c>
      <c r="C1648" s="24" t="s">
        <v>826</v>
      </c>
    </row>
    <row r="1649" spans="1:3" ht="15.75" customHeight="1" x14ac:dyDescent="0.4">
      <c r="A1649" s="24" t="s">
        <v>824</v>
      </c>
      <c r="B1649" s="24" t="s">
        <v>796</v>
      </c>
      <c r="C1649" s="24" t="s">
        <v>825</v>
      </c>
    </row>
    <row r="1650" spans="1:3" ht="15.75" customHeight="1" x14ac:dyDescent="0.4">
      <c r="A1650" s="24" t="s">
        <v>824</v>
      </c>
      <c r="B1650" s="24" t="s">
        <v>2173</v>
      </c>
      <c r="C1650" s="24" t="s">
        <v>826</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541"/>
  <sheetViews>
    <sheetView zoomScaleNormal="100" workbookViewId="0"/>
  </sheetViews>
  <sheetFormatPr defaultColWidth="12.6328125" defaultRowHeight="14.5" x14ac:dyDescent="0.4"/>
  <cols>
    <col min="1" max="1" width="19" customWidth="1"/>
    <col min="2" max="2" width="25.36328125" customWidth="1"/>
    <col min="3" max="3" width="12.26953125" customWidth="1"/>
    <col min="4" max="4" width="6.453125" customWidth="1"/>
    <col min="5" max="5" width="24.36328125" customWidth="1"/>
  </cols>
  <sheetData>
    <row r="1" spans="1:5" ht="15.75" customHeight="1" x14ac:dyDescent="0.4">
      <c r="A1" s="24" t="s">
        <v>213</v>
      </c>
      <c r="B1" s="24" t="s">
        <v>2174</v>
      </c>
      <c r="C1" s="24" t="s">
        <v>2175</v>
      </c>
      <c r="D1" s="24" t="s">
        <v>2176</v>
      </c>
      <c r="E1" s="24" t="s">
        <v>2177</v>
      </c>
    </row>
    <row r="2" spans="1:5" ht="15.75" customHeight="1" x14ac:dyDescent="0.4">
      <c r="A2" s="24" t="s">
        <v>1065</v>
      </c>
      <c r="B2" s="24">
        <v>5</v>
      </c>
      <c r="C2" s="24">
        <v>1</v>
      </c>
      <c r="D2" s="24">
        <v>0</v>
      </c>
      <c r="E2" s="24" t="s">
        <v>2178</v>
      </c>
    </row>
    <row r="3" spans="1:5" ht="15.75" customHeight="1" x14ac:dyDescent="0.4">
      <c r="A3" s="24" t="s">
        <v>1334</v>
      </c>
      <c r="B3" s="24">
        <v>5</v>
      </c>
      <c r="C3" s="24">
        <v>4</v>
      </c>
      <c r="D3" s="24">
        <v>1</v>
      </c>
      <c r="E3" s="24" t="s">
        <v>2178</v>
      </c>
    </row>
    <row r="4" spans="1:5" ht="15.75" customHeight="1" x14ac:dyDescent="0.4">
      <c r="A4" s="24" t="s">
        <v>451</v>
      </c>
      <c r="B4" s="24">
        <v>5</v>
      </c>
      <c r="C4" s="24">
        <v>5</v>
      </c>
      <c r="D4" s="24">
        <v>0</v>
      </c>
      <c r="E4" s="24" t="s">
        <v>2178</v>
      </c>
    </row>
    <row r="5" spans="1:5" ht="15.75" customHeight="1" x14ac:dyDescent="0.4">
      <c r="A5" s="24" t="s">
        <v>1100</v>
      </c>
      <c r="B5" s="24">
        <v>6</v>
      </c>
      <c r="C5" s="24">
        <v>6</v>
      </c>
      <c r="D5" s="24">
        <v>0</v>
      </c>
      <c r="E5" s="24" t="s">
        <v>2179</v>
      </c>
    </row>
    <row r="6" spans="1:5" ht="15.75" customHeight="1" x14ac:dyDescent="0.4">
      <c r="A6" s="24" t="s">
        <v>1945</v>
      </c>
      <c r="B6" s="24">
        <v>3</v>
      </c>
      <c r="C6" s="24">
        <v>1</v>
      </c>
      <c r="D6" s="24">
        <v>0</v>
      </c>
      <c r="E6" s="24" t="s">
        <v>2180</v>
      </c>
    </row>
    <row r="7" spans="1:5" ht="15.75" customHeight="1" x14ac:dyDescent="0.4">
      <c r="A7" s="24" t="s">
        <v>1285</v>
      </c>
      <c r="B7" s="24">
        <v>5</v>
      </c>
      <c r="C7" s="24">
        <v>2</v>
      </c>
      <c r="D7" s="24">
        <v>0</v>
      </c>
      <c r="E7" s="24" t="s">
        <v>2178</v>
      </c>
    </row>
    <row r="8" spans="1:5" ht="15.75" customHeight="1" x14ac:dyDescent="0.4">
      <c r="A8" s="24" t="s">
        <v>420</v>
      </c>
      <c r="B8" s="24">
        <v>8</v>
      </c>
      <c r="C8" s="24">
        <v>5</v>
      </c>
      <c r="D8" s="24">
        <v>2</v>
      </c>
      <c r="E8" s="24" t="s">
        <v>2178</v>
      </c>
    </row>
    <row r="9" spans="1:5" ht="15.75" customHeight="1" x14ac:dyDescent="0.4">
      <c r="A9" s="24" t="s">
        <v>899</v>
      </c>
      <c r="B9" s="24">
        <v>2</v>
      </c>
      <c r="C9" s="24">
        <v>1</v>
      </c>
      <c r="D9" s="24">
        <v>0</v>
      </c>
      <c r="E9" s="24" t="s">
        <v>2178</v>
      </c>
    </row>
    <row r="10" spans="1:5" ht="15.75" customHeight="1" x14ac:dyDescent="0.4">
      <c r="A10" s="24" t="s">
        <v>437</v>
      </c>
      <c r="B10" s="24">
        <v>2</v>
      </c>
      <c r="C10" s="24">
        <v>2</v>
      </c>
      <c r="D10" s="24">
        <v>1</v>
      </c>
      <c r="E10" s="24" t="s">
        <v>2178</v>
      </c>
    </row>
    <row r="11" spans="1:5" ht="15.75" customHeight="1" x14ac:dyDescent="0.4">
      <c r="A11" s="24" t="s">
        <v>864</v>
      </c>
      <c r="B11" s="24">
        <v>8</v>
      </c>
      <c r="C11" s="24">
        <v>7</v>
      </c>
      <c r="D11" s="24">
        <v>3</v>
      </c>
      <c r="E11" s="24" t="s">
        <v>2178</v>
      </c>
    </row>
    <row r="12" spans="1:5" ht="15.75" customHeight="1" x14ac:dyDescent="0.4">
      <c r="A12" s="24" t="s">
        <v>1058</v>
      </c>
      <c r="B12" s="24">
        <v>8</v>
      </c>
      <c r="C12" s="24">
        <v>7</v>
      </c>
      <c r="D12" s="24">
        <v>2</v>
      </c>
      <c r="E12" s="24" t="s">
        <v>2178</v>
      </c>
    </row>
    <row r="13" spans="1:5" ht="15.75" customHeight="1" x14ac:dyDescent="0.4">
      <c r="A13" s="24" t="s">
        <v>539</v>
      </c>
      <c r="B13" s="24">
        <v>8</v>
      </c>
      <c r="C13" s="24">
        <v>7</v>
      </c>
      <c r="D13" s="24">
        <v>3</v>
      </c>
      <c r="E13" s="24" t="s">
        <v>2178</v>
      </c>
    </row>
    <row r="14" spans="1:5" ht="15.75" customHeight="1" x14ac:dyDescent="0.4">
      <c r="A14" s="24" t="s">
        <v>571</v>
      </c>
      <c r="B14" s="24">
        <v>2</v>
      </c>
      <c r="C14" s="24">
        <v>1</v>
      </c>
      <c r="D14" s="24">
        <v>0</v>
      </c>
      <c r="E14" s="24" t="s">
        <v>2178</v>
      </c>
    </row>
    <row r="15" spans="1:5" ht="15.75" customHeight="1" x14ac:dyDescent="0.4">
      <c r="A15" s="24" t="s">
        <v>1966</v>
      </c>
      <c r="B15" s="24">
        <v>4</v>
      </c>
      <c r="C15" s="24">
        <v>4</v>
      </c>
      <c r="D15" s="24">
        <v>2</v>
      </c>
      <c r="E15" s="24" t="s">
        <v>2178</v>
      </c>
    </row>
    <row r="16" spans="1:5" ht="15.75" customHeight="1" x14ac:dyDescent="0.4">
      <c r="A16" s="24" t="s">
        <v>1245</v>
      </c>
      <c r="B16" s="24">
        <v>8</v>
      </c>
      <c r="C16" s="24">
        <v>8</v>
      </c>
      <c r="D16" s="24">
        <v>3</v>
      </c>
      <c r="E16" s="24" t="s">
        <v>2178</v>
      </c>
    </row>
    <row r="17" spans="1:5" ht="15.75" customHeight="1" x14ac:dyDescent="0.4">
      <c r="A17" s="24" t="s">
        <v>1257</v>
      </c>
      <c r="B17" s="24">
        <v>8</v>
      </c>
      <c r="C17" s="24">
        <v>3</v>
      </c>
      <c r="D17" s="24">
        <v>0</v>
      </c>
      <c r="E17" s="24" t="s">
        <v>2178</v>
      </c>
    </row>
    <row r="18" spans="1:5" ht="15.75" customHeight="1" x14ac:dyDescent="0.4">
      <c r="A18" s="24" t="s">
        <v>983</v>
      </c>
      <c r="B18" s="24">
        <v>2</v>
      </c>
      <c r="C18" s="24">
        <v>2</v>
      </c>
      <c r="D18" s="24">
        <v>0</v>
      </c>
      <c r="E18" s="24" t="s">
        <v>2178</v>
      </c>
    </row>
    <row r="19" spans="1:5" ht="15.75" customHeight="1" x14ac:dyDescent="0.4">
      <c r="A19" s="24" t="s">
        <v>1317</v>
      </c>
      <c r="B19" s="24">
        <v>8</v>
      </c>
      <c r="C19" s="24">
        <v>6</v>
      </c>
      <c r="D19" s="24">
        <v>2</v>
      </c>
      <c r="E19" s="24" t="s">
        <v>2178</v>
      </c>
    </row>
    <row r="20" spans="1:5" ht="15.75" customHeight="1" x14ac:dyDescent="0.4">
      <c r="A20" s="24" t="s">
        <v>1976</v>
      </c>
      <c r="B20" s="24">
        <v>8</v>
      </c>
      <c r="C20" s="24">
        <v>4</v>
      </c>
      <c r="D20" s="24">
        <v>0</v>
      </c>
      <c r="E20" s="24" t="s">
        <v>2178</v>
      </c>
    </row>
    <row r="21" spans="1:5" ht="15.75" customHeight="1" x14ac:dyDescent="0.4">
      <c r="A21" s="24" t="s">
        <v>1155</v>
      </c>
      <c r="B21" s="24">
        <v>1</v>
      </c>
      <c r="C21" s="24">
        <v>0</v>
      </c>
      <c r="D21" s="24">
        <v>0</v>
      </c>
      <c r="E21" s="24" t="s">
        <v>2178</v>
      </c>
    </row>
    <row r="22" spans="1:5" ht="15.75" customHeight="1" x14ac:dyDescent="0.4">
      <c r="A22" s="24" t="s">
        <v>1045</v>
      </c>
      <c r="B22" s="24">
        <v>5</v>
      </c>
      <c r="C22" s="24">
        <v>5</v>
      </c>
      <c r="D22" s="24">
        <v>2</v>
      </c>
      <c r="E22" s="24" t="s">
        <v>2178</v>
      </c>
    </row>
    <row r="23" spans="1:5" ht="15.75" customHeight="1" x14ac:dyDescent="0.4">
      <c r="A23" s="24" t="s">
        <v>1459</v>
      </c>
      <c r="B23" s="24">
        <v>1</v>
      </c>
      <c r="C23" s="24">
        <v>0</v>
      </c>
      <c r="D23" s="24">
        <v>0</v>
      </c>
      <c r="E23" s="24" t="s">
        <v>2178</v>
      </c>
    </row>
    <row r="24" spans="1:5" ht="15.75" customHeight="1" x14ac:dyDescent="0.4">
      <c r="A24" s="24" t="s">
        <v>764</v>
      </c>
      <c r="B24" s="24">
        <v>5</v>
      </c>
      <c r="C24" s="24">
        <v>0</v>
      </c>
      <c r="D24" s="24">
        <v>2</v>
      </c>
      <c r="E24" s="24" t="s">
        <v>2178</v>
      </c>
    </row>
    <row r="25" spans="1:5" ht="15.75" customHeight="1" x14ac:dyDescent="0.4">
      <c r="A25" s="24" t="s">
        <v>698</v>
      </c>
      <c r="B25" s="24">
        <v>5</v>
      </c>
      <c r="C25" s="24">
        <v>4</v>
      </c>
      <c r="D25" s="24">
        <v>0</v>
      </c>
      <c r="E25" s="24" t="s">
        <v>2178</v>
      </c>
    </row>
    <row r="26" spans="1:5" ht="15.75" customHeight="1" x14ac:dyDescent="0.4">
      <c r="A26" s="24" t="s">
        <v>459</v>
      </c>
      <c r="B26" s="24">
        <v>1</v>
      </c>
      <c r="C26" s="24">
        <v>0</v>
      </c>
      <c r="D26" s="24">
        <v>0</v>
      </c>
      <c r="E26" s="24" t="s">
        <v>2178</v>
      </c>
    </row>
    <row r="27" spans="1:5" ht="15.75" customHeight="1" x14ac:dyDescent="0.4">
      <c r="A27" s="24" t="s">
        <v>1838</v>
      </c>
      <c r="B27" s="24">
        <v>1</v>
      </c>
      <c r="C27" s="24">
        <v>1</v>
      </c>
      <c r="D27" s="24">
        <v>0</v>
      </c>
      <c r="E27" s="24" t="s">
        <v>2178</v>
      </c>
    </row>
    <row r="28" spans="1:5" ht="15.75" customHeight="1" x14ac:dyDescent="0.4">
      <c r="A28" s="24" t="s">
        <v>2139</v>
      </c>
      <c r="B28" s="24">
        <v>5</v>
      </c>
      <c r="C28" s="24">
        <v>0</v>
      </c>
      <c r="D28" s="24">
        <v>0</v>
      </c>
      <c r="E28" s="24" t="s">
        <v>2178</v>
      </c>
    </row>
    <row r="29" spans="1:5" ht="15.75" customHeight="1" x14ac:dyDescent="0.4">
      <c r="A29" s="24" t="s">
        <v>675</v>
      </c>
      <c r="B29" s="24">
        <v>1</v>
      </c>
      <c r="C29" s="24">
        <v>0</v>
      </c>
      <c r="D29" s="24">
        <v>0</v>
      </c>
      <c r="E29" s="24" t="s">
        <v>2178</v>
      </c>
    </row>
    <row r="30" spans="1:5" ht="15.75" customHeight="1" x14ac:dyDescent="0.4">
      <c r="A30" s="24" t="s">
        <v>2000</v>
      </c>
      <c r="B30" s="24">
        <v>5</v>
      </c>
      <c r="C30" s="24">
        <v>0</v>
      </c>
      <c r="D30" s="24">
        <v>1</v>
      </c>
      <c r="E30" s="24" t="s">
        <v>2178</v>
      </c>
    </row>
    <row r="31" spans="1:5" ht="15.75" customHeight="1" x14ac:dyDescent="0.4">
      <c r="A31" s="24" t="s">
        <v>2013</v>
      </c>
      <c r="B31" s="24">
        <v>5</v>
      </c>
      <c r="C31" s="24">
        <v>4</v>
      </c>
      <c r="D31" s="24">
        <v>0</v>
      </c>
      <c r="E31" s="24" t="s">
        <v>2178</v>
      </c>
    </row>
    <row r="32" spans="1:5" ht="15.75" customHeight="1" x14ac:dyDescent="0.4">
      <c r="A32" s="24" t="s">
        <v>1788</v>
      </c>
      <c r="B32" s="24">
        <v>5</v>
      </c>
      <c r="C32" s="24">
        <v>5</v>
      </c>
      <c r="D32" s="24">
        <v>0</v>
      </c>
      <c r="E32" s="24" t="s">
        <v>2178</v>
      </c>
    </row>
    <row r="33" spans="1:5" ht="15.75" customHeight="1" x14ac:dyDescent="0.4">
      <c r="A33" s="24" t="s">
        <v>2101</v>
      </c>
      <c r="B33" s="24">
        <v>5</v>
      </c>
      <c r="C33" s="24">
        <v>5</v>
      </c>
      <c r="D33" s="24">
        <v>1</v>
      </c>
      <c r="E33" s="24" t="s">
        <v>2178</v>
      </c>
    </row>
    <row r="34" spans="1:5" ht="15.75" customHeight="1" x14ac:dyDescent="0.4">
      <c r="A34" s="24" t="s">
        <v>2125</v>
      </c>
      <c r="B34" s="24">
        <v>1</v>
      </c>
      <c r="C34" s="24">
        <v>1</v>
      </c>
      <c r="D34" s="24">
        <v>1</v>
      </c>
      <c r="E34" s="24" t="s">
        <v>2178</v>
      </c>
    </row>
    <row r="35" spans="1:5" ht="15.75" customHeight="1" x14ac:dyDescent="0.4">
      <c r="A35" s="24" t="s">
        <v>869</v>
      </c>
      <c r="B35" s="24">
        <v>5</v>
      </c>
      <c r="C35" s="24">
        <v>4</v>
      </c>
      <c r="D35" s="24">
        <v>0</v>
      </c>
      <c r="E35" s="24" t="s">
        <v>2178</v>
      </c>
    </row>
    <row r="36" spans="1:5" ht="15.75" customHeight="1" x14ac:dyDescent="0.4">
      <c r="A36" s="24" t="s">
        <v>1842</v>
      </c>
      <c r="B36" s="24">
        <v>1</v>
      </c>
      <c r="C36" s="24">
        <v>1</v>
      </c>
      <c r="D36" s="24">
        <v>1</v>
      </c>
      <c r="E36" s="24" t="s">
        <v>2178</v>
      </c>
    </row>
    <row r="37" spans="1:5" ht="15.75" customHeight="1" x14ac:dyDescent="0.4">
      <c r="A37" s="24" t="s">
        <v>1345</v>
      </c>
      <c r="B37" s="24">
        <v>5</v>
      </c>
      <c r="C37" s="24">
        <v>5</v>
      </c>
      <c r="D37" s="24">
        <v>1</v>
      </c>
      <c r="E37" s="24" t="s">
        <v>2178</v>
      </c>
    </row>
    <row r="38" spans="1:5" ht="15.75" customHeight="1" x14ac:dyDescent="0.4">
      <c r="A38" s="24" t="s">
        <v>1791</v>
      </c>
      <c r="B38" s="24">
        <v>8</v>
      </c>
      <c r="C38" s="24">
        <v>8</v>
      </c>
      <c r="D38" s="24">
        <v>0</v>
      </c>
      <c r="E38" s="24" t="s">
        <v>2178</v>
      </c>
    </row>
    <row r="39" spans="1:5" ht="15.75" customHeight="1" x14ac:dyDescent="0.4">
      <c r="A39" s="24" t="s">
        <v>2068</v>
      </c>
      <c r="B39" s="24">
        <v>5</v>
      </c>
      <c r="C39" s="24">
        <v>5</v>
      </c>
      <c r="D39" s="24">
        <v>1</v>
      </c>
      <c r="E39" s="24" t="s">
        <v>2178</v>
      </c>
    </row>
    <row r="40" spans="1:5" ht="15.75" customHeight="1" x14ac:dyDescent="0.4">
      <c r="A40" s="24" t="s">
        <v>938</v>
      </c>
      <c r="B40" s="24">
        <v>1</v>
      </c>
      <c r="C40" s="24">
        <v>1</v>
      </c>
      <c r="D40" s="24">
        <v>0</v>
      </c>
      <c r="E40" s="24" t="s">
        <v>2178</v>
      </c>
    </row>
    <row r="41" spans="1:5" ht="15.75" customHeight="1" x14ac:dyDescent="0.4">
      <c r="A41" s="24" t="s">
        <v>1026</v>
      </c>
      <c r="B41" s="24">
        <v>5</v>
      </c>
      <c r="C41" s="24">
        <v>5</v>
      </c>
      <c r="D41" s="24">
        <v>0</v>
      </c>
      <c r="E41" s="24" t="s">
        <v>2178</v>
      </c>
    </row>
    <row r="42" spans="1:5" ht="15.75" customHeight="1" x14ac:dyDescent="0.4">
      <c r="A42" s="24" t="s">
        <v>1308</v>
      </c>
      <c r="B42" s="24">
        <v>1</v>
      </c>
      <c r="C42" s="24">
        <v>1</v>
      </c>
      <c r="D42" s="24">
        <v>1</v>
      </c>
      <c r="E42" s="24" t="s">
        <v>2178</v>
      </c>
    </row>
    <row r="43" spans="1:5" ht="15.75" customHeight="1" x14ac:dyDescent="0.4">
      <c r="A43" s="24" t="s">
        <v>1158</v>
      </c>
      <c r="B43" s="24">
        <v>1</v>
      </c>
      <c r="C43" s="24">
        <v>0</v>
      </c>
      <c r="D43" s="24">
        <v>0</v>
      </c>
      <c r="E43" s="24" t="s">
        <v>2178</v>
      </c>
    </row>
    <row r="44" spans="1:5" ht="15.75" customHeight="1" x14ac:dyDescent="0.4">
      <c r="A44" s="24" t="s">
        <v>1175</v>
      </c>
      <c r="B44" s="24">
        <v>4</v>
      </c>
      <c r="C44" s="24">
        <v>4</v>
      </c>
      <c r="D44" s="24">
        <v>2</v>
      </c>
      <c r="E44" s="24" t="s">
        <v>2178</v>
      </c>
    </row>
    <row r="45" spans="1:5" ht="15.75" customHeight="1" x14ac:dyDescent="0.4">
      <c r="A45" s="24" t="s">
        <v>1204</v>
      </c>
      <c r="B45" s="24">
        <v>8</v>
      </c>
      <c r="C45" s="24">
        <v>6</v>
      </c>
      <c r="D45" s="24">
        <v>1</v>
      </c>
      <c r="E45" s="24" t="s">
        <v>2179</v>
      </c>
    </row>
    <row r="46" spans="1:5" ht="15.75" customHeight="1" x14ac:dyDescent="0.4">
      <c r="A46" s="24" t="s">
        <v>669</v>
      </c>
      <c r="B46" s="24">
        <v>5</v>
      </c>
      <c r="C46" s="24">
        <v>3</v>
      </c>
      <c r="D46" s="24">
        <v>1</v>
      </c>
      <c r="E46" s="24" t="s">
        <v>2178</v>
      </c>
    </row>
    <row r="47" spans="1:5" ht="15.75" customHeight="1" x14ac:dyDescent="0.4">
      <c r="A47" s="24" t="s">
        <v>509</v>
      </c>
      <c r="B47" s="24">
        <v>4</v>
      </c>
      <c r="C47" s="24">
        <v>4</v>
      </c>
      <c r="D47" s="24">
        <v>1</v>
      </c>
      <c r="E47" s="24" t="s">
        <v>2178</v>
      </c>
    </row>
    <row r="48" spans="1:5" ht="15.75" customHeight="1" x14ac:dyDescent="0.4">
      <c r="A48" s="24" t="s">
        <v>1389</v>
      </c>
      <c r="B48" s="24">
        <v>5</v>
      </c>
      <c r="C48" s="24">
        <v>5</v>
      </c>
      <c r="D48" s="24">
        <v>1</v>
      </c>
      <c r="E48" s="24" t="s">
        <v>2178</v>
      </c>
    </row>
    <row r="49" spans="1:5" ht="15.75" customHeight="1" x14ac:dyDescent="0.4">
      <c r="A49" s="24" t="s">
        <v>799</v>
      </c>
      <c r="B49" s="24">
        <v>5</v>
      </c>
      <c r="C49" s="24">
        <v>5</v>
      </c>
      <c r="D49" s="24">
        <v>0</v>
      </c>
      <c r="E49" s="24" t="s">
        <v>2178</v>
      </c>
    </row>
    <row r="50" spans="1:5" ht="15.75" customHeight="1" x14ac:dyDescent="0.4">
      <c r="A50" s="24" t="s">
        <v>1758</v>
      </c>
      <c r="B50" s="24">
        <v>1</v>
      </c>
      <c r="C50" s="24">
        <v>1</v>
      </c>
      <c r="D50" s="24">
        <v>1</v>
      </c>
      <c r="E50" s="24" t="s">
        <v>2178</v>
      </c>
    </row>
    <row r="51" spans="1:5" ht="15.75" customHeight="1" x14ac:dyDescent="0.4">
      <c r="A51" s="24" t="s">
        <v>537</v>
      </c>
      <c r="B51" s="24">
        <v>1</v>
      </c>
      <c r="C51" s="24">
        <v>0</v>
      </c>
      <c r="D51" s="24">
        <v>0</v>
      </c>
      <c r="E51" s="24" t="s">
        <v>2178</v>
      </c>
    </row>
    <row r="52" spans="1:5" ht="15.75" customHeight="1" x14ac:dyDescent="0.4">
      <c r="A52" s="24" t="s">
        <v>673</v>
      </c>
      <c r="B52" s="24">
        <v>5</v>
      </c>
      <c r="C52" s="24">
        <v>4</v>
      </c>
      <c r="D52" s="24">
        <v>1</v>
      </c>
      <c r="E52" s="24" t="s">
        <v>2178</v>
      </c>
    </row>
    <row r="53" spans="1:5" ht="15.75" customHeight="1" x14ac:dyDescent="0.4">
      <c r="A53" s="24" t="s">
        <v>1092</v>
      </c>
      <c r="B53" s="24">
        <v>5</v>
      </c>
      <c r="C53" s="24">
        <v>5</v>
      </c>
      <c r="D53" s="24">
        <v>0</v>
      </c>
      <c r="E53" s="24" t="s">
        <v>2178</v>
      </c>
    </row>
    <row r="54" spans="1:5" ht="15.75" customHeight="1" x14ac:dyDescent="0.4">
      <c r="A54" s="24" t="s">
        <v>1187</v>
      </c>
      <c r="B54" s="24">
        <v>5</v>
      </c>
      <c r="C54" s="24">
        <v>5</v>
      </c>
      <c r="D54" s="24">
        <v>1</v>
      </c>
      <c r="E54" s="24" t="s">
        <v>2178</v>
      </c>
    </row>
    <row r="55" spans="1:5" ht="15.75" customHeight="1" x14ac:dyDescent="0.4">
      <c r="A55" s="24" t="s">
        <v>1621</v>
      </c>
      <c r="B55" s="24">
        <v>1</v>
      </c>
      <c r="C55" s="24">
        <v>1</v>
      </c>
      <c r="D55" s="24">
        <v>0</v>
      </c>
      <c r="E55" s="24" t="s">
        <v>2178</v>
      </c>
    </row>
    <row r="56" spans="1:5" ht="15.75" customHeight="1" x14ac:dyDescent="0.4">
      <c r="A56" s="24" t="s">
        <v>807</v>
      </c>
      <c r="B56" s="24">
        <v>5</v>
      </c>
      <c r="C56" s="24">
        <v>4</v>
      </c>
      <c r="D56" s="24">
        <v>1</v>
      </c>
      <c r="E56" s="24" t="s">
        <v>2178</v>
      </c>
    </row>
    <row r="57" spans="1:5" ht="15.75" customHeight="1" x14ac:dyDescent="0.4">
      <c r="A57" s="24" t="s">
        <v>1493</v>
      </c>
      <c r="B57" s="24">
        <v>5</v>
      </c>
      <c r="C57" s="24">
        <v>4</v>
      </c>
      <c r="D57" s="24">
        <v>0</v>
      </c>
      <c r="E57" s="24" t="s">
        <v>2178</v>
      </c>
    </row>
    <row r="58" spans="1:5" ht="15.75" customHeight="1" x14ac:dyDescent="0.4">
      <c r="A58" s="24" t="s">
        <v>1848</v>
      </c>
      <c r="B58" s="24">
        <v>1</v>
      </c>
      <c r="C58" s="24">
        <v>1</v>
      </c>
      <c r="D58" s="24">
        <v>0</v>
      </c>
      <c r="E58" s="24" t="s">
        <v>2178</v>
      </c>
    </row>
    <row r="59" spans="1:5" ht="15.75" customHeight="1" x14ac:dyDescent="0.4">
      <c r="A59" s="24" t="s">
        <v>2132</v>
      </c>
      <c r="B59" s="24">
        <v>1</v>
      </c>
      <c r="C59" s="24">
        <v>1</v>
      </c>
      <c r="D59" s="24">
        <v>1</v>
      </c>
      <c r="E59" s="24" t="s">
        <v>2178</v>
      </c>
    </row>
    <row r="60" spans="1:5" ht="15.75" customHeight="1" x14ac:dyDescent="0.4">
      <c r="A60" s="24" t="s">
        <v>1437</v>
      </c>
      <c r="B60" s="24">
        <v>5</v>
      </c>
      <c r="C60" s="24">
        <v>0</v>
      </c>
      <c r="D60" s="24">
        <v>0</v>
      </c>
      <c r="E60" s="24" t="s">
        <v>2178</v>
      </c>
    </row>
    <row r="61" spans="1:5" ht="15.75" customHeight="1" x14ac:dyDescent="0.4">
      <c r="A61" s="24" t="s">
        <v>1508</v>
      </c>
      <c r="B61" s="24">
        <v>5</v>
      </c>
      <c r="C61" s="24">
        <v>5</v>
      </c>
      <c r="D61" s="24">
        <v>0</v>
      </c>
      <c r="E61" s="24" t="s">
        <v>2178</v>
      </c>
    </row>
    <row r="62" spans="1:5" ht="15.75" customHeight="1" x14ac:dyDescent="0.4">
      <c r="A62" s="24" t="s">
        <v>1126</v>
      </c>
      <c r="B62" s="24">
        <v>4</v>
      </c>
      <c r="C62" s="24">
        <v>4</v>
      </c>
      <c r="D62" s="24">
        <v>0</v>
      </c>
      <c r="E62" s="24" t="s">
        <v>2178</v>
      </c>
    </row>
    <row r="63" spans="1:5" ht="15.75" customHeight="1" x14ac:dyDescent="0.4">
      <c r="A63" s="24" t="s">
        <v>397</v>
      </c>
      <c r="B63" s="24">
        <v>5</v>
      </c>
      <c r="C63" s="24">
        <v>4</v>
      </c>
      <c r="D63" s="24">
        <v>0</v>
      </c>
      <c r="E63" s="24" t="s">
        <v>2178</v>
      </c>
    </row>
    <row r="64" spans="1:5" ht="15.75" customHeight="1" x14ac:dyDescent="0.4">
      <c r="A64" s="24" t="s">
        <v>1528</v>
      </c>
      <c r="B64" s="24">
        <v>5</v>
      </c>
      <c r="C64" s="24">
        <v>1</v>
      </c>
      <c r="D64" s="24">
        <v>0</v>
      </c>
      <c r="E64" s="24" t="s">
        <v>2178</v>
      </c>
    </row>
    <row r="65" spans="1:5" ht="15.75" customHeight="1" x14ac:dyDescent="0.4">
      <c r="A65" s="24" t="s">
        <v>1195</v>
      </c>
      <c r="B65" s="24">
        <v>5</v>
      </c>
      <c r="C65" s="24">
        <v>5</v>
      </c>
      <c r="D65" s="24">
        <v>1</v>
      </c>
      <c r="E65" s="24" t="s">
        <v>2178</v>
      </c>
    </row>
    <row r="66" spans="1:5" ht="15.75" customHeight="1" x14ac:dyDescent="0.4">
      <c r="A66" s="24" t="s">
        <v>1399</v>
      </c>
      <c r="B66" s="24">
        <v>5</v>
      </c>
      <c r="C66" s="24">
        <v>5</v>
      </c>
      <c r="D66" s="24">
        <v>0</v>
      </c>
      <c r="E66" s="24" t="s">
        <v>2178</v>
      </c>
    </row>
    <row r="67" spans="1:5" ht="15.75" customHeight="1" x14ac:dyDescent="0.4">
      <c r="A67" s="24" t="s">
        <v>647</v>
      </c>
      <c r="B67" s="24">
        <v>5</v>
      </c>
      <c r="C67" s="24">
        <v>4</v>
      </c>
      <c r="D67" s="24">
        <v>0</v>
      </c>
      <c r="E67" s="24" t="s">
        <v>2178</v>
      </c>
    </row>
    <row r="68" spans="1:5" ht="15.75" customHeight="1" x14ac:dyDescent="0.4">
      <c r="A68" s="24" t="s">
        <v>1685</v>
      </c>
      <c r="B68" s="24">
        <v>5</v>
      </c>
      <c r="C68" s="24">
        <v>5</v>
      </c>
      <c r="D68" s="24">
        <v>1</v>
      </c>
      <c r="E68" s="24" t="s">
        <v>2178</v>
      </c>
    </row>
    <row r="69" spans="1:5" ht="15.75" customHeight="1" x14ac:dyDescent="0.4">
      <c r="A69" s="24" t="s">
        <v>1121</v>
      </c>
      <c r="B69" s="24">
        <v>1</v>
      </c>
      <c r="C69" s="24">
        <v>0</v>
      </c>
      <c r="D69" s="24">
        <v>0</v>
      </c>
      <c r="E69" s="24" t="s">
        <v>2178</v>
      </c>
    </row>
    <row r="70" spans="1:5" ht="15.75" customHeight="1" x14ac:dyDescent="0.4">
      <c r="A70" s="24" t="s">
        <v>1924</v>
      </c>
      <c r="B70" s="24">
        <v>5</v>
      </c>
      <c r="C70" s="24">
        <v>5</v>
      </c>
      <c r="D70" s="24">
        <v>0</v>
      </c>
      <c r="E70" s="24" t="s">
        <v>2178</v>
      </c>
    </row>
    <row r="71" spans="1:5" ht="15.75" customHeight="1" x14ac:dyDescent="0.4">
      <c r="A71" s="24" t="s">
        <v>323</v>
      </c>
      <c r="B71" s="24">
        <v>5</v>
      </c>
      <c r="C71" s="24">
        <v>5</v>
      </c>
      <c r="D71" s="24">
        <v>0</v>
      </c>
      <c r="E71" s="24" t="s">
        <v>2178</v>
      </c>
    </row>
    <row r="72" spans="1:5" ht="15.75" customHeight="1" x14ac:dyDescent="0.4">
      <c r="A72" s="24" t="s">
        <v>591</v>
      </c>
      <c r="B72" s="24">
        <v>1</v>
      </c>
      <c r="C72" s="24">
        <v>1</v>
      </c>
      <c r="D72" s="24">
        <v>1</v>
      </c>
      <c r="E72" s="24" t="s">
        <v>2178</v>
      </c>
    </row>
    <row r="73" spans="1:5" ht="15.75" customHeight="1" x14ac:dyDescent="0.4">
      <c r="A73" s="24" t="s">
        <v>1564</v>
      </c>
      <c r="B73" s="24">
        <v>1</v>
      </c>
      <c r="C73" s="24">
        <v>1</v>
      </c>
      <c r="D73" s="24">
        <v>0</v>
      </c>
      <c r="E73" s="24" t="s">
        <v>2178</v>
      </c>
    </row>
    <row r="74" spans="1:5" ht="15.75" customHeight="1" x14ac:dyDescent="0.4">
      <c r="A74" s="24" t="s">
        <v>391</v>
      </c>
      <c r="B74" s="24">
        <v>5</v>
      </c>
      <c r="C74" s="24">
        <v>5</v>
      </c>
      <c r="D74" s="24">
        <v>0</v>
      </c>
      <c r="E74" s="24" t="s">
        <v>2178</v>
      </c>
    </row>
    <row r="75" spans="1:5" ht="15.75" customHeight="1" x14ac:dyDescent="0.4">
      <c r="A75" s="24" t="s">
        <v>1082</v>
      </c>
      <c r="B75" s="24">
        <v>5</v>
      </c>
      <c r="C75" s="24">
        <v>4</v>
      </c>
      <c r="D75" s="24">
        <v>0</v>
      </c>
      <c r="E75" s="24" t="s">
        <v>2178</v>
      </c>
    </row>
    <row r="76" spans="1:5" ht="15.75" customHeight="1" x14ac:dyDescent="0.4">
      <c r="A76" s="24" t="s">
        <v>1206</v>
      </c>
      <c r="B76" s="24">
        <v>5</v>
      </c>
      <c r="C76" s="24">
        <v>5</v>
      </c>
      <c r="D76" s="24">
        <v>2</v>
      </c>
      <c r="E76" s="24" t="s">
        <v>2178</v>
      </c>
    </row>
    <row r="77" spans="1:5" ht="15.75" customHeight="1" x14ac:dyDescent="0.4">
      <c r="A77" s="24" t="s">
        <v>2161</v>
      </c>
      <c r="B77" s="24">
        <v>5</v>
      </c>
      <c r="C77" s="24">
        <v>0</v>
      </c>
      <c r="D77" s="24">
        <v>0</v>
      </c>
      <c r="E77" s="24" t="s">
        <v>2178</v>
      </c>
    </row>
    <row r="78" spans="1:5" ht="15.75" customHeight="1" x14ac:dyDescent="0.4">
      <c r="A78" s="24" t="s">
        <v>1310</v>
      </c>
      <c r="B78" s="24">
        <v>1</v>
      </c>
      <c r="C78" s="24">
        <v>1</v>
      </c>
      <c r="D78" s="24">
        <v>0</v>
      </c>
      <c r="E78" s="24" t="s">
        <v>2178</v>
      </c>
    </row>
    <row r="79" spans="1:5" ht="15.75" customHeight="1" x14ac:dyDescent="0.4">
      <c r="A79" s="24" t="s">
        <v>1368</v>
      </c>
      <c r="B79" s="24">
        <v>1</v>
      </c>
      <c r="C79" s="24">
        <v>1</v>
      </c>
      <c r="D79" s="24">
        <v>0</v>
      </c>
      <c r="E79" s="24" t="s">
        <v>2178</v>
      </c>
    </row>
    <row r="80" spans="1:5" ht="15.75" customHeight="1" x14ac:dyDescent="0.4">
      <c r="A80" s="24" t="s">
        <v>1555</v>
      </c>
      <c r="B80" s="24">
        <v>5</v>
      </c>
      <c r="C80" s="24">
        <v>1</v>
      </c>
      <c r="D80" s="24">
        <v>0</v>
      </c>
      <c r="E80" s="24" t="s">
        <v>2178</v>
      </c>
    </row>
    <row r="81" spans="1:5" ht="15.75" customHeight="1" x14ac:dyDescent="0.4">
      <c r="A81" s="24" t="s">
        <v>1499</v>
      </c>
      <c r="B81" s="24">
        <v>1</v>
      </c>
      <c r="C81" s="24">
        <v>1</v>
      </c>
      <c r="D81" s="24">
        <v>0</v>
      </c>
      <c r="E81" s="24" t="s">
        <v>2178</v>
      </c>
    </row>
    <row r="82" spans="1:5" ht="15.75" customHeight="1" x14ac:dyDescent="0.4">
      <c r="A82" s="24" t="s">
        <v>230</v>
      </c>
      <c r="B82" s="24">
        <v>5</v>
      </c>
      <c r="C82" s="24">
        <v>1</v>
      </c>
      <c r="D82" s="24">
        <v>0</v>
      </c>
      <c r="E82" s="24" t="s">
        <v>2178</v>
      </c>
    </row>
    <row r="83" spans="1:5" ht="15.75" customHeight="1" x14ac:dyDescent="0.4">
      <c r="A83" s="24" t="s">
        <v>750</v>
      </c>
      <c r="B83" s="24">
        <v>5</v>
      </c>
      <c r="C83" s="24">
        <v>1</v>
      </c>
      <c r="D83" s="24">
        <v>0</v>
      </c>
      <c r="E83" s="24" t="s">
        <v>2178</v>
      </c>
    </row>
    <row r="84" spans="1:5" ht="15.75" customHeight="1" x14ac:dyDescent="0.4">
      <c r="A84" s="24" t="s">
        <v>887</v>
      </c>
      <c r="B84" s="24">
        <v>5</v>
      </c>
      <c r="C84" s="24">
        <v>0</v>
      </c>
      <c r="D84" s="24">
        <v>0</v>
      </c>
      <c r="E84" s="24" t="s">
        <v>2178</v>
      </c>
    </row>
    <row r="85" spans="1:5" ht="15.75" customHeight="1" x14ac:dyDescent="0.4">
      <c r="A85" s="24" t="s">
        <v>1127</v>
      </c>
      <c r="B85" s="24">
        <v>1</v>
      </c>
      <c r="C85" s="24">
        <v>1</v>
      </c>
      <c r="D85" s="24">
        <v>0</v>
      </c>
      <c r="E85" s="24" t="s">
        <v>2178</v>
      </c>
    </row>
    <row r="86" spans="1:5" ht="15.75" customHeight="1" x14ac:dyDescent="0.4">
      <c r="A86" s="24" t="s">
        <v>943</v>
      </c>
      <c r="B86" s="24">
        <v>1</v>
      </c>
      <c r="C86" s="24">
        <v>1</v>
      </c>
      <c r="D86" s="24">
        <v>0</v>
      </c>
      <c r="E86" s="24" t="s">
        <v>2178</v>
      </c>
    </row>
    <row r="87" spans="1:5" ht="15.75" customHeight="1" x14ac:dyDescent="0.4">
      <c r="A87" s="24" t="s">
        <v>1598</v>
      </c>
      <c r="B87" s="24">
        <v>5</v>
      </c>
      <c r="C87" s="24">
        <v>4</v>
      </c>
      <c r="D87" s="24">
        <v>0</v>
      </c>
      <c r="E87" s="24" t="s">
        <v>2178</v>
      </c>
    </row>
    <row r="88" spans="1:5" ht="15.75" customHeight="1" x14ac:dyDescent="0.4">
      <c r="A88" s="24" t="s">
        <v>1342</v>
      </c>
      <c r="B88" s="24">
        <v>5</v>
      </c>
      <c r="C88" s="24">
        <v>5</v>
      </c>
      <c r="D88" s="24">
        <v>0</v>
      </c>
      <c r="E88" s="24" t="s">
        <v>2178</v>
      </c>
    </row>
    <row r="89" spans="1:5" ht="15.75" customHeight="1" x14ac:dyDescent="0.4">
      <c r="A89" s="24" t="s">
        <v>2071</v>
      </c>
      <c r="B89" s="24">
        <v>1</v>
      </c>
      <c r="C89" s="24">
        <v>1</v>
      </c>
      <c r="D89" s="24">
        <v>0</v>
      </c>
      <c r="E89" s="24" t="s">
        <v>2178</v>
      </c>
    </row>
    <row r="90" spans="1:5" ht="15.75" customHeight="1" x14ac:dyDescent="0.4">
      <c r="A90" s="24" t="s">
        <v>1294</v>
      </c>
      <c r="B90" s="24">
        <v>5</v>
      </c>
      <c r="C90" s="24">
        <v>5</v>
      </c>
      <c r="D90" s="24">
        <v>0</v>
      </c>
      <c r="E90" s="24" t="s">
        <v>2178</v>
      </c>
    </row>
    <row r="91" spans="1:5" ht="15.75" customHeight="1" x14ac:dyDescent="0.4">
      <c r="A91" s="24" t="s">
        <v>758</v>
      </c>
      <c r="B91" s="24">
        <v>5</v>
      </c>
      <c r="C91" s="24">
        <v>4</v>
      </c>
      <c r="D91" s="24">
        <v>1</v>
      </c>
      <c r="E91" s="24" t="s">
        <v>2178</v>
      </c>
    </row>
    <row r="92" spans="1:5" ht="15.75" customHeight="1" x14ac:dyDescent="0.4">
      <c r="A92" s="24" t="s">
        <v>996</v>
      </c>
      <c r="B92" s="24">
        <v>5</v>
      </c>
      <c r="C92" s="24">
        <v>5</v>
      </c>
      <c r="D92" s="24">
        <v>1</v>
      </c>
      <c r="E92" s="24" t="s">
        <v>2178</v>
      </c>
    </row>
    <row r="93" spans="1:5" ht="15.75" customHeight="1" x14ac:dyDescent="0.4">
      <c r="A93" s="24" t="s">
        <v>742</v>
      </c>
      <c r="B93" s="24">
        <v>1</v>
      </c>
      <c r="C93" s="24">
        <v>1</v>
      </c>
      <c r="D93" s="24">
        <v>1</v>
      </c>
      <c r="E93" s="24" t="s">
        <v>2178</v>
      </c>
    </row>
    <row r="94" spans="1:5" ht="15.75" customHeight="1" x14ac:dyDescent="0.4">
      <c r="A94" s="24" t="s">
        <v>426</v>
      </c>
      <c r="B94" s="24">
        <v>1</v>
      </c>
      <c r="C94" s="24">
        <v>1</v>
      </c>
      <c r="D94" s="24">
        <v>1</v>
      </c>
      <c r="E94" s="24" t="s">
        <v>2178</v>
      </c>
    </row>
    <row r="95" spans="1:5" ht="15.75" customHeight="1" x14ac:dyDescent="0.4">
      <c r="A95" s="24" t="s">
        <v>1117</v>
      </c>
      <c r="B95" s="24">
        <v>5</v>
      </c>
      <c r="C95" s="24">
        <v>5</v>
      </c>
      <c r="D95" s="24">
        <v>2</v>
      </c>
      <c r="E95" s="24" t="s">
        <v>2178</v>
      </c>
    </row>
    <row r="96" spans="1:5" ht="15.75" customHeight="1" x14ac:dyDescent="0.4">
      <c r="A96" s="24" t="s">
        <v>838</v>
      </c>
      <c r="B96" s="24">
        <v>5</v>
      </c>
      <c r="C96" s="24">
        <v>5</v>
      </c>
      <c r="D96" s="24">
        <v>0</v>
      </c>
      <c r="E96" s="24" t="s">
        <v>2178</v>
      </c>
    </row>
    <row r="97" spans="1:5" ht="15.75" customHeight="1" x14ac:dyDescent="0.4">
      <c r="A97" s="24" t="s">
        <v>1372</v>
      </c>
      <c r="B97" s="24">
        <v>5</v>
      </c>
      <c r="C97" s="24">
        <v>2</v>
      </c>
      <c r="D97" s="24">
        <v>0</v>
      </c>
      <c r="E97" s="24" t="s">
        <v>2178</v>
      </c>
    </row>
    <row r="98" spans="1:5" ht="15.75" customHeight="1" x14ac:dyDescent="0.4">
      <c r="A98" s="24" t="s">
        <v>415</v>
      </c>
      <c r="B98" s="24">
        <v>5</v>
      </c>
      <c r="C98" s="24">
        <v>5</v>
      </c>
      <c r="D98" s="24">
        <v>0</v>
      </c>
      <c r="E98" s="24" t="s">
        <v>2178</v>
      </c>
    </row>
    <row r="99" spans="1:5" ht="15.75" customHeight="1" x14ac:dyDescent="0.4">
      <c r="A99" s="24" t="s">
        <v>952</v>
      </c>
      <c r="B99" s="24">
        <v>5</v>
      </c>
      <c r="C99" s="24">
        <v>5</v>
      </c>
      <c r="D99" s="24">
        <v>0</v>
      </c>
      <c r="E99" s="24" t="s">
        <v>2178</v>
      </c>
    </row>
    <row r="100" spans="1:5" ht="15.75" customHeight="1" x14ac:dyDescent="0.4">
      <c r="A100" s="24" t="s">
        <v>1449</v>
      </c>
      <c r="B100" s="24">
        <v>1</v>
      </c>
      <c r="C100" s="24">
        <v>1</v>
      </c>
      <c r="D100" s="24">
        <v>0</v>
      </c>
      <c r="E100" s="24" t="s">
        <v>2178</v>
      </c>
    </row>
    <row r="101" spans="1:5" ht="15.75" customHeight="1" x14ac:dyDescent="0.4">
      <c r="A101" s="24" t="s">
        <v>1803</v>
      </c>
      <c r="B101" s="24">
        <v>7</v>
      </c>
      <c r="C101" s="24">
        <v>4</v>
      </c>
      <c r="D101" s="24">
        <v>0</v>
      </c>
      <c r="E101" s="24" t="s">
        <v>2178</v>
      </c>
    </row>
    <row r="102" spans="1:5" ht="15.75" customHeight="1" x14ac:dyDescent="0.4">
      <c r="A102" s="24" t="s">
        <v>1169</v>
      </c>
      <c r="B102" s="24">
        <v>7</v>
      </c>
      <c r="C102" s="24">
        <v>5</v>
      </c>
      <c r="D102" s="24">
        <v>0</v>
      </c>
      <c r="E102" s="24" t="s">
        <v>2178</v>
      </c>
    </row>
    <row r="103" spans="1:5" ht="15.75" customHeight="1" x14ac:dyDescent="0.4">
      <c r="A103" s="24" t="s">
        <v>1762</v>
      </c>
      <c r="B103" s="24">
        <v>5</v>
      </c>
      <c r="C103" s="24">
        <v>5</v>
      </c>
      <c r="D103" s="24">
        <v>0</v>
      </c>
      <c r="E103" s="24" t="s">
        <v>2178</v>
      </c>
    </row>
    <row r="104" spans="1:5" ht="15.75" customHeight="1" x14ac:dyDescent="0.4">
      <c r="A104" s="24" t="s">
        <v>752</v>
      </c>
      <c r="B104" s="24">
        <v>5</v>
      </c>
      <c r="C104" s="24">
        <v>5</v>
      </c>
      <c r="D104" s="24">
        <v>3</v>
      </c>
      <c r="E104" s="24" t="s">
        <v>2178</v>
      </c>
    </row>
    <row r="105" spans="1:5" ht="15.75" customHeight="1" x14ac:dyDescent="0.4">
      <c r="A105" s="24" t="s">
        <v>1423</v>
      </c>
      <c r="B105" s="24">
        <v>2</v>
      </c>
      <c r="C105" s="24">
        <v>1</v>
      </c>
      <c r="D105" s="24">
        <v>0</v>
      </c>
      <c r="E105" s="24" t="s">
        <v>2178</v>
      </c>
    </row>
    <row r="106" spans="1:5" ht="15.75" customHeight="1" x14ac:dyDescent="0.4">
      <c r="A106" s="24" t="s">
        <v>525</v>
      </c>
      <c r="B106" s="24">
        <v>7</v>
      </c>
      <c r="C106" s="24">
        <v>5</v>
      </c>
      <c r="D106" s="24">
        <v>0</v>
      </c>
      <c r="E106" s="24" t="s">
        <v>2178</v>
      </c>
    </row>
    <row r="107" spans="1:5" ht="15.75" customHeight="1" x14ac:dyDescent="0.4">
      <c r="A107" s="24" t="s">
        <v>2047</v>
      </c>
      <c r="B107" s="24">
        <v>7</v>
      </c>
      <c r="C107" s="24">
        <v>6</v>
      </c>
      <c r="D107" s="24">
        <v>0</v>
      </c>
      <c r="E107" s="24" t="s">
        <v>2178</v>
      </c>
    </row>
    <row r="108" spans="1:5" ht="15.75" customHeight="1" x14ac:dyDescent="0.4">
      <c r="A108" s="24" t="s">
        <v>975</v>
      </c>
      <c r="B108" s="24">
        <v>7</v>
      </c>
      <c r="C108" s="24">
        <v>5</v>
      </c>
      <c r="D108" s="24">
        <v>2</v>
      </c>
      <c r="E108" s="24" t="s">
        <v>2178</v>
      </c>
    </row>
    <row r="109" spans="1:5" ht="15.75" customHeight="1" x14ac:dyDescent="0.4">
      <c r="A109" s="24" t="s">
        <v>1190</v>
      </c>
      <c r="B109" s="24">
        <v>7</v>
      </c>
      <c r="C109" s="24">
        <v>3</v>
      </c>
      <c r="D109" s="24">
        <v>0</v>
      </c>
      <c r="E109" s="24" t="s">
        <v>2178</v>
      </c>
    </row>
    <row r="110" spans="1:5" ht="15.75" customHeight="1" x14ac:dyDescent="0.4">
      <c r="A110" s="24" t="s">
        <v>685</v>
      </c>
      <c r="B110" s="24">
        <v>7</v>
      </c>
      <c r="C110" s="24">
        <v>1</v>
      </c>
      <c r="D110" s="24">
        <v>0</v>
      </c>
      <c r="E110" s="24" t="s">
        <v>2178</v>
      </c>
    </row>
    <row r="111" spans="1:5" ht="15.75" customHeight="1" x14ac:dyDescent="0.4">
      <c r="A111" s="24" t="s">
        <v>1658</v>
      </c>
      <c r="B111" s="24">
        <v>7</v>
      </c>
      <c r="C111" s="24">
        <v>4</v>
      </c>
      <c r="D111" s="24">
        <v>0</v>
      </c>
      <c r="E111" s="24" t="s">
        <v>2178</v>
      </c>
    </row>
    <row r="112" spans="1:5" ht="15.75" customHeight="1" x14ac:dyDescent="0.4">
      <c r="A112" s="24" t="s">
        <v>829</v>
      </c>
      <c r="B112" s="24">
        <v>7</v>
      </c>
      <c r="C112" s="24">
        <v>5</v>
      </c>
      <c r="D112" s="24">
        <v>1</v>
      </c>
      <c r="E112" s="24" t="s">
        <v>2178</v>
      </c>
    </row>
    <row r="113" spans="1:5" ht="15.75" customHeight="1" x14ac:dyDescent="0.4">
      <c r="A113" s="24" t="s">
        <v>1011</v>
      </c>
      <c r="B113" s="24">
        <v>1</v>
      </c>
      <c r="C113" s="24">
        <v>1</v>
      </c>
      <c r="D113" s="24">
        <v>1</v>
      </c>
      <c r="E113" s="24" t="s">
        <v>2178</v>
      </c>
    </row>
    <row r="114" spans="1:5" ht="15.75" customHeight="1" x14ac:dyDescent="0.4">
      <c r="A114" s="24" t="s">
        <v>375</v>
      </c>
      <c r="B114" s="24">
        <v>8</v>
      </c>
      <c r="C114" s="24">
        <v>2</v>
      </c>
      <c r="D114" s="24">
        <v>0</v>
      </c>
      <c r="E114" s="24" t="s">
        <v>2178</v>
      </c>
    </row>
    <row r="115" spans="1:5" ht="15.75" customHeight="1" x14ac:dyDescent="0.4">
      <c r="A115" s="24" t="s">
        <v>1716</v>
      </c>
      <c r="B115" s="24">
        <v>8</v>
      </c>
      <c r="C115" s="24">
        <v>6</v>
      </c>
      <c r="D115" s="24">
        <v>2</v>
      </c>
      <c r="E115" s="24" t="s">
        <v>2178</v>
      </c>
    </row>
    <row r="116" spans="1:5" ht="15.75" customHeight="1" x14ac:dyDescent="0.4">
      <c r="A116" s="24" t="s">
        <v>583</v>
      </c>
      <c r="B116" s="24">
        <v>3</v>
      </c>
      <c r="C116" s="24">
        <v>1</v>
      </c>
      <c r="D116" s="24">
        <v>0</v>
      </c>
      <c r="E116" s="24" t="s">
        <v>2178</v>
      </c>
    </row>
    <row r="117" spans="1:5" ht="15.75" customHeight="1" x14ac:dyDescent="0.4">
      <c r="A117" s="24" t="s">
        <v>2105</v>
      </c>
      <c r="B117" s="24">
        <v>10</v>
      </c>
      <c r="C117" s="24">
        <v>8</v>
      </c>
      <c r="D117" s="24">
        <v>2</v>
      </c>
      <c r="E117" s="24" t="s">
        <v>2178</v>
      </c>
    </row>
    <row r="118" spans="1:5" ht="15.75" customHeight="1" x14ac:dyDescent="0.4">
      <c r="A118" s="24" t="s">
        <v>842</v>
      </c>
      <c r="B118" s="24">
        <v>10</v>
      </c>
      <c r="C118" s="24">
        <v>6</v>
      </c>
      <c r="D118" s="24">
        <v>0</v>
      </c>
      <c r="E118" s="24" t="s">
        <v>2178</v>
      </c>
    </row>
    <row r="119" spans="1:5" ht="15.75" customHeight="1" x14ac:dyDescent="0.4">
      <c r="A119" s="24" t="s">
        <v>1750</v>
      </c>
      <c r="B119" s="24">
        <v>10</v>
      </c>
      <c r="C119" s="24">
        <v>9</v>
      </c>
      <c r="D119" s="24">
        <v>1</v>
      </c>
      <c r="E119" s="24" t="s">
        <v>2178</v>
      </c>
    </row>
    <row r="120" spans="1:5" ht="15.75" customHeight="1" x14ac:dyDescent="0.4">
      <c r="A120" s="24" t="s">
        <v>1320</v>
      </c>
      <c r="B120" s="24">
        <v>10</v>
      </c>
      <c r="C120" s="24">
        <v>8</v>
      </c>
      <c r="D120" s="24">
        <v>1</v>
      </c>
      <c r="E120" s="24" t="s">
        <v>2178</v>
      </c>
    </row>
    <row r="121" spans="1:5" ht="15.75" customHeight="1" x14ac:dyDescent="0.4">
      <c r="A121" s="24" t="s">
        <v>1198</v>
      </c>
      <c r="B121" s="24">
        <v>3</v>
      </c>
      <c r="C121" s="24">
        <v>0</v>
      </c>
      <c r="D121" s="24">
        <v>0</v>
      </c>
      <c r="E121" s="24" t="s">
        <v>2178</v>
      </c>
    </row>
    <row r="122" spans="1:5" ht="15.75" customHeight="1" x14ac:dyDescent="0.4">
      <c r="A122" s="24" t="s">
        <v>1897</v>
      </c>
      <c r="B122" s="24">
        <v>3</v>
      </c>
      <c r="C122" s="24">
        <v>3</v>
      </c>
      <c r="D122" s="24">
        <v>1</v>
      </c>
      <c r="E122" s="24" t="s">
        <v>2178</v>
      </c>
    </row>
    <row r="123" spans="1:5" ht="15.75" customHeight="1" x14ac:dyDescent="0.4">
      <c r="A123" s="24" t="s">
        <v>220</v>
      </c>
      <c r="B123" s="24">
        <v>8</v>
      </c>
      <c r="C123" s="24">
        <v>6</v>
      </c>
      <c r="D123" s="24">
        <v>0</v>
      </c>
      <c r="E123" s="24" t="s">
        <v>2178</v>
      </c>
    </row>
    <row r="124" spans="1:5" ht="15.75" customHeight="1" x14ac:dyDescent="0.4">
      <c r="A124" s="24" t="s">
        <v>1841</v>
      </c>
      <c r="B124" s="24">
        <v>3</v>
      </c>
      <c r="C124" s="24">
        <v>1</v>
      </c>
      <c r="D124" s="24">
        <v>0</v>
      </c>
      <c r="E124" s="24" t="s">
        <v>2178</v>
      </c>
    </row>
    <row r="125" spans="1:5" ht="15.75" customHeight="1" x14ac:dyDescent="0.4">
      <c r="A125" s="24" t="s">
        <v>1944</v>
      </c>
      <c r="B125" s="24">
        <v>10</v>
      </c>
      <c r="C125" s="24">
        <v>3</v>
      </c>
      <c r="D125" s="24">
        <v>0</v>
      </c>
      <c r="E125" s="24" t="s">
        <v>2178</v>
      </c>
    </row>
    <row r="126" spans="1:5" ht="15.75" customHeight="1" x14ac:dyDescent="0.4">
      <c r="A126" s="24" t="s">
        <v>1212</v>
      </c>
      <c r="B126" s="24">
        <v>10</v>
      </c>
      <c r="C126" s="24">
        <v>9</v>
      </c>
      <c r="D126" s="24">
        <v>2</v>
      </c>
      <c r="E126" s="24" t="s">
        <v>2178</v>
      </c>
    </row>
    <row r="127" spans="1:5" ht="15.75" customHeight="1" x14ac:dyDescent="0.4">
      <c r="A127" s="24" t="s">
        <v>1879</v>
      </c>
      <c r="B127" s="24">
        <v>2</v>
      </c>
      <c r="C127" s="24">
        <v>2</v>
      </c>
      <c r="D127" s="24">
        <v>1</v>
      </c>
      <c r="E127" s="24" t="s">
        <v>2178</v>
      </c>
    </row>
    <row r="128" spans="1:5" ht="15.75" customHeight="1" x14ac:dyDescent="0.4">
      <c r="A128" s="24" t="s">
        <v>1409</v>
      </c>
      <c r="B128" s="24">
        <v>3</v>
      </c>
      <c r="C128" s="24">
        <v>2</v>
      </c>
      <c r="D128" s="24">
        <v>1</v>
      </c>
      <c r="E128" s="24" t="s">
        <v>2178</v>
      </c>
    </row>
    <row r="129" spans="1:5" ht="15.75" customHeight="1" x14ac:dyDescent="0.4">
      <c r="A129" s="24" t="s">
        <v>1326</v>
      </c>
      <c r="B129" s="24">
        <v>8</v>
      </c>
      <c r="C129" s="24">
        <v>2</v>
      </c>
      <c r="D129" s="24">
        <v>1</v>
      </c>
      <c r="E129" s="24" t="s">
        <v>2178</v>
      </c>
    </row>
    <row r="130" spans="1:5" ht="15.75" customHeight="1" x14ac:dyDescent="0.4">
      <c r="A130" s="24" t="s">
        <v>565</v>
      </c>
      <c r="B130" s="24">
        <v>3</v>
      </c>
      <c r="C130" s="24">
        <v>2</v>
      </c>
      <c r="D130" s="24">
        <v>0</v>
      </c>
      <c r="E130" s="24" t="s">
        <v>2178</v>
      </c>
    </row>
    <row r="131" spans="1:5" ht="15.75" customHeight="1" x14ac:dyDescent="0.4">
      <c r="A131" s="24" t="s">
        <v>1215</v>
      </c>
      <c r="B131" s="24">
        <v>10</v>
      </c>
      <c r="C131" s="24">
        <v>4</v>
      </c>
      <c r="D131" s="24">
        <v>2</v>
      </c>
      <c r="E131" s="24" t="s">
        <v>2178</v>
      </c>
    </row>
    <row r="132" spans="1:5" ht="15.75" customHeight="1" x14ac:dyDescent="0.4">
      <c r="A132" s="24" t="s">
        <v>1604</v>
      </c>
      <c r="B132" s="24">
        <v>3</v>
      </c>
      <c r="C132" s="24">
        <v>1</v>
      </c>
      <c r="D132" s="24">
        <v>0</v>
      </c>
      <c r="E132" s="24" t="s">
        <v>2178</v>
      </c>
    </row>
    <row r="133" spans="1:5" ht="15.75" customHeight="1" x14ac:dyDescent="0.4">
      <c r="A133" s="24" t="s">
        <v>1149</v>
      </c>
      <c r="B133" s="24">
        <v>9</v>
      </c>
      <c r="C133" s="24">
        <v>6</v>
      </c>
      <c r="D133" s="24">
        <v>0</v>
      </c>
      <c r="E133" s="24" t="s">
        <v>2178</v>
      </c>
    </row>
    <row r="134" spans="1:5" ht="15.75" customHeight="1" x14ac:dyDescent="0.4">
      <c r="A134" s="24" t="s">
        <v>1086</v>
      </c>
      <c r="B134" s="24">
        <v>10</v>
      </c>
      <c r="C134" s="24">
        <v>9</v>
      </c>
      <c r="D134" s="24">
        <v>3</v>
      </c>
      <c r="E134" s="24" t="s">
        <v>2178</v>
      </c>
    </row>
    <row r="135" spans="1:5" ht="15.75" customHeight="1" x14ac:dyDescent="0.4">
      <c r="A135" s="24" t="s">
        <v>1128</v>
      </c>
      <c r="B135" s="24">
        <v>10</v>
      </c>
      <c r="C135" s="24">
        <v>9</v>
      </c>
      <c r="D135" s="24">
        <v>3</v>
      </c>
      <c r="E135" s="24" t="s">
        <v>2178</v>
      </c>
    </row>
    <row r="136" spans="1:5" ht="15.75" customHeight="1" x14ac:dyDescent="0.4">
      <c r="A136" s="24" t="s">
        <v>543</v>
      </c>
      <c r="B136" s="24">
        <v>10</v>
      </c>
      <c r="C136" s="24">
        <v>9</v>
      </c>
      <c r="D136" s="24">
        <v>0</v>
      </c>
      <c r="E136" s="24" t="s">
        <v>2178</v>
      </c>
    </row>
    <row r="137" spans="1:5" ht="15.75" customHeight="1" x14ac:dyDescent="0.4">
      <c r="A137" s="24" t="s">
        <v>1021</v>
      </c>
      <c r="B137" s="24">
        <v>10</v>
      </c>
      <c r="C137" s="24">
        <v>8</v>
      </c>
      <c r="D137" s="24">
        <v>1</v>
      </c>
      <c r="E137" s="24" t="s">
        <v>2178</v>
      </c>
    </row>
    <row r="138" spans="1:5" ht="15.75" customHeight="1" x14ac:dyDescent="0.4">
      <c r="A138" s="24" t="s">
        <v>617</v>
      </c>
      <c r="B138" s="24">
        <v>10</v>
      </c>
      <c r="C138" s="24">
        <v>8</v>
      </c>
      <c r="D138" s="24">
        <v>2</v>
      </c>
      <c r="E138" s="24" t="s">
        <v>2178</v>
      </c>
    </row>
    <row r="139" spans="1:5" ht="15.75" customHeight="1" x14ac:dyDescent="0.4">
      <c r="A139" s="24" t="s">
        <v>1591</v>
      </c>
      <c r="B139" s="24">
        <v>10</v>
      </c>
      <c r="C139" s="24">
        <v>10</v>
      </c>
      <c r="D139" s="24">
        <v>0</v>
      </c>
      <c r="E139" s="24" t="s">
        <v>2178</v>
      </c>
    </row>
    <row r="140" spans="1:5" ht="15.75" customHeight="1" x14ac:dyDescent="0.4">
      <c r="A140" s="24" t="s">
        <v>2170</v>
      </c>
      <c r="B140" s="24">
        <v>10</v>
      </c>
      <c r="C140" s="24">
        <v>6</v>
      </c>
      <c r="D140" s="24">
        <v>0</v>
      </c>
      <c r="E140" s="24" t="s">
        <v>2178</v>
      </c>
    </row>
    <row r="141" spans="1:5" ht="15.75" customHeight="1" x14ac:dyDescent="0.4">
      <c r="A141" s="24" t="s">
        <v>1179</v>
      </c>
      <c r="B141" s="24">
        <v>3</v>
      </c>
      <c r="C141" s="24">
        <v>2</v>
      </c>
      <c r="D141" s="24">
        <v>1</v>
      </c>
      <c r="E141" s="24" t="s">
        <v>2178</v>
      </c>
    </row>
    <row r="142" spans="1:5" ht="15.75" customHeight="1" x14ac:dyDescent="0.4">
      <c r="A142" s="24" t="s">
        <v>718</v>
      </c>
      <c r="B142" s="24">
        <v>3</v>
      </c>
      <c r="C142" s="24">
        <v>2</v>
      </c>
      <c r="D142" s="24">
        <v>2</v>
      </c>
      <c r="E142" s="24" t="s">
        <v>2178</v>
      </c>
    </row>
    <row r="143" spans="1:5" ht="15.75" customHeight="1" x14ac:dyDescent="0.4">
      <c r="A143" s="24" t="s">
        <v>1745</v>
      </c>
      <c r="B143" s="24">
        <v>3</v>
      </c>
      <c r="C143" s="24">
        <v>3</v>
      </c>
      <c r="D143" s="24">
        <v>0</v>
      </c>
      <c r="E143" s="24" t="s">
        <v>2178</v>
      </c>
    </row>
    <row r="144" spans="1:5" ht="15.75" customHeight="1" x14ac:dyDescent="0.4">
      <c r="A144" s="24" t="s">
        <v>1926</v>
      </c>
      <c r="B144" s="24">
        <v>5</v>
      </c>
      <c r="C144" s="24">
        <v>4</v>
      </c>
      <c r="D144" s="24">
        <v>1</v>
      </c>
      <c r="E144" s="24" t="s">
        <v>2178</v>
      </c>
    </row>
    <row r="145" spans="1:5" ht="15.75" customHeight="1" x14ac:dyDescent="0.4">
      <c r="A145" s="24" t="s">
        <v>1807</v>
      </c>
      <c r="B145" s="24">
        <v>4</v>
      </c>
      <c r="C145" s="24">
        <v>2</v>
      </c>
      <c r="D145" s="24">
        <v>0</v>
      </c>
      <c r="E145" s="24" t="s">
        <v>2178</v>
      </c>
    </row>
    <row r="146" spans="1:5" ht="15.75" customHeight="1" x14ac:dyDescent="0.4">
      <c r="A146" s="24" t="s">
        <v>663</v>
      </c>
      <c r="B146" s="24">
        <v>3</v>
      </c>
      <c r="C146" s="24">
        <v>2</v>
      </c>
      <c r="D146" s="24">
        <v>0</v>
      </c>
      <c r="E146" s="24" t="s">
        <v>2178</v>
      </c>
    </row>
    <row r="147" spans="1:5" ht="15.75" customHeight="1" x14ac:dyDescent="0.4">
      <c r="A147" s="24" t="s">
        <v>964</v>
      </c>
      <c r="B147" s="24">
        <v>8</v>
      </c>
      <c r="C147" s="24">
        <v>1</v>
      </c>
      <c r="D147" s="24">
        <v>0</v>
      </c>
      <c r="E147" s="24" t="s">
        <v>2178</v>
      </c>
    </row>
    <row r="148" spans="1:5" ht="15.75" customHeight="1" x14ac:dyDescent="0.4">
      <c r="A148" s="24" t="s">
        <v>1048</v>
      </c>
      <c r="B148" s="24">
        <v>10</v>
      </c>
      <c r="C148" s="24">
        <v>9</v>
      </c>
      <c r="D148" s="24">
        <v>0</v>
      </c>
      <c r="E148" s="24" t="s">
        <v>2178</v>
      </c>
    </row>
    <row r="149" spans="1:5" ht="15.75" customHeight="1" x14ac:dyDescent="0.4">
      <c r="A149" s="24" t="s">
        <v>1540</v>
      </c>
      <c r="B149" s="24">
        <v>6</v>
      </c>
      <c r="C149" s="24">
        <v>3</v>
      </c>
      <c r="D149" s="24">
        <v>0</v>
      </c>
      <c r="E149" s="24" t="s">
        <v>2178</v>
      </c>
    </row>
    <row r="150" spans="1:5" ht="15.75" customHeight="1" x14ac:dyDescent="0.4">
      <c r="A150" s="24" t="s">
        <v>1654</v>
      </c>
      <c r="B150" s="24">
        <v>10</v>
      </c>
      <c r="C150" s="24">
        <v>9</v>
      </c>
      <c r="D150" s="24">
        <v>4</v>
      </c>
      <c r="E150" s="24" t="s">
        <v>2178</v>
      </c>
    </row>
    <row r="151" spans="1:5" ht="15.75" customHeight="1" x14ac:dyDescent="0.4">
      <c r="A151" s="24" t="s">
        <v>882</v>
      </c>
      <c r="B151" s="24">
        <v>10</v>
      </c>
      <c r="C151" s="24">
        <v>6</v>
      </c>
      <c r="D151" s="24">
        <v>0</v>
      </c>
      <c r="E151" s="24" t="s">
        <v>2178</v>
      </c>
    </row>
    <row r="152" spans="1:5" ht="15.75" customHeight="1" x14ac:dyDescent="0.4">
      <c r="A152" s="24" t="s">
        <v>1322</v>
      </c>
      <c r="B152" s="24">
        <v>3</v>
      </c>
      <c r="C152" s="24">
        <v>0</v>
      </c>
      <c r="D152" s="24">
        <v>0</v>
      </c>
      <c r="E152" s="24" t="s">
        <v>2178</v>
      </c>
    </row>
    <row r="153" spans="1:5" ht="15.75" customHeight="1" x14ac:dyDescent="0.4">
      <c r="A153" s="24" t="s">
        <v>2082</v>
      </c>
      <c r="B153" s="24">
        <v>3</v>
      </c>
      <c r="C153" s="24">
        <v>1</v>
      </c>
      <c r="D153" s="24">
        <v>0</v>
      </c>
      <c r="E153" s="24" t="s">
        <v>2178</v>
      </c>
    </row>
    <row r="154" spans="1:5" ht="15.75" customHeight="1" x14ac:dyDescent="0.4">
      <c r="A154" s="24" t="s">
        <v>1898</v>
      </c>
      <c r="B154" s="24">
        <v>2</v>
      </c>
      <c r="C154" s="24">
        <v>1</v>
      </c>
      <c r="D154" s="24">
        <v>0</v>
      </c>
      <c r="E154" s="24" t="s">
        <v>2178</v>
      </c>
    </row>
    <row r="155" spans="1:5" ht="15.75" customHeight="1" x14ac:dyDescent="0.4">
      <c r="A155" s="24" t="s">
        <v>521</v>
      </c>
      <c r="B155" s="24">
        <v>10</v>
      </c>
      <c r="C155" s="24">
        <v>2</v>
      </c>
      <c r="D155" s="24">
        <v>1</v>
      </c>
      <c r="E155" s="24" t="s">
        <v>2178</v>
      </c>
    </row>
    <row r="156" spans="1:5" ht="15.75" customHeight="1" x14ac:dyDescent="0.4">
      <c r="A156" s="24" t="s">
        <v>1031</v>
      </c>
      <c r="B156" s="24">
        <v>10</v>
      </c>
      <c r="C156" s="24">
        <v>10</v>
      </c>
      <c r="D156" s="24">
        <v>0</v>
      </c>
      <c r="E156" s="24" t="s">
        <v>2178</v>
      </c>
    </row>
    <row r="157" spans="1:5" ht="15.75" customHeight="1" x14ac:dyDescent="0.4">
      <c r="A157" s="24" t="s">
        <v>613</v>
      </c>
      <c r="B157" s="24">
        <v>10</v>
      </c>
      <c r="C157" s="24">
        <v>10</v>
      </c>
      <c r="D157" s="24">
        <v>1</v>
      </c>
      <c r="E157" s="24" t="s">
        <v>2178</v>
      </c>
    </row>
    <row r="158" spans="1:5" ht="15.75" customHeight="1" x14ac:dyDescent="0.4">
      <c r="A158" s="24" t="s">
        <v>645</v>
      </c>
      <c r="B158" s="24">
        <v>10</v>
      </c>
      <c r="C158" s="24">
        <v>7</v>
      </c>
      <c r="D158" s="24">
        <v>3</v>
      </c>
      <c r="E158" s="24" t="s">
        <v>2178</v>
      </c>
    </row>
    <row r="159" spans="1:5" ht="15.75" customHeight="1" x14ac:dyDescent="0.4">
      <c r="A159" s="24" t="s">
        <v>373</v>
      </c>
      <c r="B159" s="24">
        <v>7</v>
      </c>
      <c r="C159" s="24">
        <v>5</v>
      </c>
      <c r="D159" s="24">
        <v>1</v>
      </c>
      <c r="E159" s="24" t="s">
        <v>2178</v>
      </c>
    </row>
    <row r="160" spans="1:5" ht="15.75" customHeight="1" x14ac:dyDescent="0.4">
      <c r="A160" s="24" t="s">
        <v>1105</v>
      </c>
      <c r="B160" s="24">
        <v>9</v>
      </c>
      <c r="C160" s="24">
        <v>8</v>
      </c>
      <c r="D160" s="24">
        <v>4</v>
      </c>
      <c r="E160" s="24" t="s">
        <v>2178</v>
      </c>
    </row>
    <row r="161" spans="1:5" ht="15.75" customHeight="1" x14ac:dyDescent="0.4">
      <c r="A161" s="24" t="s">
        <v>1340</v>
      </c>
      <c r="B161" s="24">
        <v>3</v>
      </c>
      <c r="C161" s="24">
        <v>1</v>
      </c>
      <c r="D161" s="24">
        <v>0</v>
      </c>
      <c r="E161" s="24" t="s">
        <v>2178</v>
      </c>
    </row>
    <row r="162" spans="1:5" ht="15.75" customHeight="1" x14ac:dyDescent="0.4">
      <c r="A162" s="24" t="s">
        <v>1042</v>
      </c>
      <c r="B162" s="24">
        <v>10</v>
      </c>
      <c r="C162" s="24">
        <v>10</v>
      </c>
      <c r="D162" s="24">
        <v>3</v>
      </c>
      <c r="E162" s="24" t="s">
        <v>2178</v>
      </c>
    </row>
    <row r="163" spans="1:5" ht="15.75" customHeight="1" x14ac:dyDescent="0.4">
      <c r="A163" s="24" t="s">
        <v>1722</v>
      </c>
      <c r="B163" s="24">
        <v>10</v>
      </c>
      <c r="C163" s="24">
        <v>9</v>
      </c>
      <c r="D163" s="24">
        <v>0</v>
      </c>
      <c r="E163" s="24" t="s">
        <v>2178</v>
      </c>
    </row>
    <row r="164" spans="1:5" ht="15.75" customHeight="1" x14ac:dyDescent="0.4">
      <c r="A164" s="24" t="s">
        <v>1644</v>
      </c>
      <c r="B164" s="24">
        <v>10</v>
      </c>
      <c r="C164" s="24">
        <v>3</v>
      </c>
      <c r="D164" s="24">
        <v>0</v>
      </c>
      <c r="E164" s="24" t="s">
        <v>2178</v>
      </c>
    </row>
    <row r="165" spans="1:5" ht="15.75" customHeight="1" x14ac:dyDescent="0.4">
      <c r="A165" s="24" t="s">
        <v>2094</v>
      </c>
      <c r="B165" s="24">
        <v>23</v>
      </c>
      <c r="C165" s="24">
        <v>18</v>
      </c>
      <c r="D165" s="24">
        <v>0</v>
      </c>
      <c r="E165" s="24" t="s">
        <v>2178</v>
      </c>
    </row>
    <row r="166" spans="1:5" ht="15.75" customHeight="1" x14ac:dyDescent="0.4">
      <c r="A166" s="24" t="s">
        <v>1651</v>
      </c>
      <c r="B166" s="24">
        <v>10</v>
      </c>
      <c r="C166" s="24">
        <v>1</v>
      </c>
      <c r="D166" s="24">
        <v>1</v>
      </c>
      <c r="E166" s="24" t="s">
        <v>2178</v>
      </c>
    </row>
    <row r="167" spans="1:5" ht="15.75" customHeight="1" x14ac:dyDescent="0.4">
      <c r="A167" s="24" t="s">
        <v>1972</v>
      </c>
      <c r="B167" s="24">
        <v>10</v>
      </c>
      <c r="C167" s="24">
        <v>10</v>
      </c>
      <c r="D167" s="24">
        <v>2</v>
      </c>
      <c r="E167" s="24" t="s">
        <v>2178</v>
      </c>
    </row>
    <row r="168" spans="1:5" ht="15.75" customHeight="1" x14ac:dyDescent="0.4">
      <c r="A168" s="24" t="s">
        <v>1749</v>
      </c>
      <c r="B168" s="24">
        <v>3</v>
      </c>
      <c r="C168" s="24">
        <v>2</v>
      </c>
      <c r="D168" s="24">
        <v>0</v>
      </c>
      <c r="E168" s="24" t="s">
        <v>2178</v>
      </c>
    </row>
    <row r="169" spans="1:5" ht="15.75" customHeight="1" x14ac:dyDescent="0.4">
      <c r="A169" s="24" t="s">
        <v>945</v>
      </c>
      <c r="B169" s="24">
        <v>10</v>
      </c>
      <c r="C169" s="24">
        <v>10</v>
      </c>
      <c r="D169" s="24">
        <v>2</v>
      </c>
      <c r="E169" s="24" t="s">
        <v>2178</v>
      </c>
    </row>
    <row r="170" spans="1:5" ht="15.75" customHeight="1" x14ac:dyDescent="0.4">
      <c r="A170" s="24" t="s">
        <v>232</v>
      </c>
      <c r="B170" s="24">
        <v>8</v>
      </c>
      <c r="C170" s="24">
        <v>8</v>
      </c>
      <c r="D170" s="24">
        <v>2</v>
      </c>
      <c r="E170" s="24" t="s">
        <v>2178</v>
      </c>
    </row>
    <row r="171" spans="1:5" ht="15.75" customHeight="1" x14ac:dyDescent="0.4">
      <c r="A171" s="24" t="s">
        <v>906</v>
      </c>
      <c r="B171" s="24">
        <v>10</v>
      </c>
      <c r="C171" s="24">
        <v>8</v>
      </c>
      <c r="D171" s="24">
        <v>2</v>
      </c>
      <c r="E171" s="24" t="s">
        <v>2178</v>
      </c>
    </row>
    <row r="172" spans="1:5" ht="15.75" customHeight="1" x14ac:dyDescent="0.4">
      <c r="A172" s="24" t="s">
        <v>1985</v>
      </c>
      <c r="B172" s="24">
        <v>6</v>
      </c>
      <c r="C172" s="24">
        <v>3</v>
      </c>
      <c r="D172" s="24">
        <v>0</v>
      </c>
      <c r="E172" s="24" t="s">
        <v>2178</v>
      </c>
    </row>
    <row r="173" spans="1:5" ht="15.75" customHeight="1" x14ac:dyDescent="0.4">
      <c r="A173" s="24" t="s">
        <v>1471</v>
      </c>
      <c r="B173" s="24">
        <v>10</v>
      </c>
      <c r="C173" s="24">
        <v>6</v>
      </c>
      <c r="D173" s="24">
        <v>0</v>
      </c>
      <c r="E173" s="24" t="s">
        <v>2178</v>
      </c>
    </row>
    <row r="174" spans="1:5" ht="15.75" customHeight="1" x14ac:dyDescent="0.4">
      <c r="A174" s="24" t="s">
        <v>2050</v>
      </c>
      <c r="B174" s="24">
        <v>10</v>
      </c>
      <c r="C174" s="24">
        <v>8</v>
      </c>
      <c r="D174" s="24">
        <v>0</v>
      </c>
      <c r="E174" s="24" t="s">
        <v>2178</v>
      </c>
    </row>
    <row r="175" spans="1:5" ht="15.75" customHeight="1" x14ac:dyDescent="0.4">
      <c r="A175" s="24" t="s">
        <v>1298</v>
      </c>
      <c r="B175" s="24">
        <v>3</v>
      </c>
      <c r="C175" s="24">
        <v>2</v>
      </c>
      <c r="D175" s="24">
        <v>0</v>
      </c>
      <c r="E175" s="24" t="s">
        <v>2178</v>
      </c>
    </row>
    <row r="176" spans="1:5" ht="15.75" customHeight="1" x14ac:dyDescent="0.4">
      <c r="A176" s="24" t="s">
        <v>1366</v>
      </c>
      <c r="B176" s="24">
        <v>10</v>
      </c>
      <c r="C176" s="24">
        <v>3</v>
      </c>
      <c r="D176" s="24">
        <v>3</v>
      </c>
      <c r="E176" s="24" t="s">
        <v>2178</v>
      </c>
    </row>
    <row r="177" spans="1:5" ht="15.75" customHeight="1" x14ac:dyDescent="0.4">
      <c r="A177" s="24" t="s">
        <v>1357</v>
      </c>
      <c r="B177" s="24">
        <v>10</v>
      </c>
      <c r="C177" s="24">
        <v>10</v>
      </c>
      <c r="D177" s="24">
        <v>3</v>
      </c>
      <c r="E177" s="24" t="s">
        <v>2178</v>
      </c>
    </row>
    <row r="178" spans="1:5" ht="15.75" customHeight="1" x14ac:dyDescent="0.4">
      <c r="A178" s="24" t="s">
        <v>2021</v>
      </c>
      <c r="B178" s="24">
        <v>3</v>
      </c>
      <c r="C178" s="24">
        <v>3</v>
      </c>
      <c r="D178" s="24">
        <v>0</v>
      </c>
      <c r="E178" s="24" t="s">
        <v>2178</v>
      </c>
    </row>
    <row r="179" spans="1:5" ht="15.75" customHeight="1" x14ac:dyDescent="0.4">
      <c r="A179" s="24" t="s">
        <v>2042</v>
      </c>
      <c r="B179" s="24">
        <v>3</v>
      </c>
      <c r="C179" s="24">
        <v>3</v>
      </c>
      <c r="D179" s="24">
        <v>1</v>
      </c>
      <c r="E179" s="24" t="s">
        <v>2178</v>
      </c>
    </row>
    <row r="180" spans="1:5" ht="15.75" customHeight="1" x14ac:dyDescent="0.4">
      <c r="A180" s="24" t="s">
        <v>2086</v>
      </c>
      <c r="B180" s="24">
        <v>10</v>
      </c>
      <c r="C180" s="24">
        <v>7</v>
      </c>
      <c r="D180" s="24">
        <v>0</v>
      </c>
      <c r="E180" s="24" t="s">
        <v>2178</v>
      </c>
    </row>
    <row r="181" spans="1:5" ht="15.75" customHeight="1" x14ac:dyDescent="0.4">
      <c r="A181" s="24" t="s">
        <v>1829</v>
      </c>
      <c r="B181" s="24">
        <v>9</v>
      </c>
      <c r="C181" s="24">
        <v>6</v>
      </c>
      <c r="D181" s="24">
        <v>2</v>
      </c>
      <c r="E181" s="24" t="s">
        <v>2178</v>
      </c>
    </row>
    <row r="182" spans="1:5" ht="15.75" customHeight="1" x14ac:dyDescent="0.4">
      <c r="A182" s="24" t="s">
        <v>1077</v>
      </c>
      <c r="B182" s="24">
        <v>10</v>
      </c>
      <c r="C182" s="24">
        <v>6</v>
      </c>
      <c r="D182" s="24">
        <v>4</v>
      </c>
      <c r="E182" s="24" t="s">
        <v>2178</v>
      </c>
    </row>
    <row r="183" spans="1:5" ht="15.75" customHeight="1" x14ac:dyDescent="0.4">
      <c r="A183" s="24" t="s">
        <v>1447</v>
      </c>
      <c r="B183" s="24">
        <v>10</v>
      </c>
      <c r="C183" s="24">
        <v>5</v>
      </c>
      <c r="D183" s="24">
        <v>2</v>
      </c>
      <c r="E183" s="24" t="s">
        <v>2178</v>
      </c>
    </row>
    <row r="184" spans="1:5" ht="15.75" customHeight="1" x14ac:dyDescent="0.4">
      <c r="A184" s="24" t="s">
        <v>1640</v>
      </c>
      <c r="B184" s="24">
        <v>10</v>
      </c>
      <c r="C184" s="24">
        <v>10</v>
      </c>
      <c r="D184" s="24">
        <v>0</v>
      </c>
      <c r="E184" s="24" t="s">
        <v>2178</v>
      </c>
    </row>
    <row r="185" spans="1:5" ht="15.75" customHeight="1" x14ac:dyDescent="0.4">
      <c r="A185" s="24" t="s">
        <v>1219</v>
      </c>
      <c r="B185" s="24">
        <v>10</v>
      </c>
      <c r="C185" s="24">
        <v>9</v>
      </c>
      <c r="D185" s="24">
        <v>2</v>
      </c>
      <c r="E185" s="24" t="s">
        <v>2178</v>
      </c>
    </row>
    <row r="186" spans="1:5" ht="15.75" customHeight="1" x14ac:dyDescent="0.4">
      <c r="A186" s="24" t="s">
        <v>499</v>
      </c>
      <c r="B186" s="24">
        <v>3</v>
      </c>
      <c r="C186" s="24">
        <v>3</v>
      </c>
      <c r="D186" s="24">
        <v>1</v>
      </c>
      <c r="E186" s="24" t="s">
        <v>2178</v>
      </c>
    </row>
    <row r="187" spans="1:5" ht="15.75" customHeight="1" x14ac:dyDescent="0.4">
      <c r="A187" s="24" t="s">
        <v>2034</v>
      </c>
      <c r="B187" s="24">
        <v>9</v>
      </c>
      <c r="C187" s="24">
        <v>8</v>
      </c>
      <c r="D187" s="24">
        <v>0</v>
      </c>
      <c r="E187" s="24" t="s">
        <v>2178</v>
      </c>
    </row>
    <row r="188" spans="1:5" ht="15.75" customHeight="1" x14ac:dyDescent="0.4">
      <c r="A188" s="24" t="s">
        <v>1844</v>
      </c>
      <c r="B188" s="24">
        <v>3</v>
      </c>
      <c r="C188" s="24">
        <v>3</v>
      </c>
      <c r="D188" s="24">
        <v>3</v>
      </c>
      <c r="E188" s="24" t="s">
        <v>2178</v>
      </c>
    </row>
    <row r="189" spans="1:5" ht="15.75" customHeight="1" x14ac:dyDescent="0.4">
      <c r="A189" s="24" t="s">
        <v>1116</v>
      </c>
      <c r="B189" s="24">
        <v>10</v>
      </c>
      <c r="C189" s="24">
        <v>10</v>
      </c>
      <c r="D189" s="24">
        <v>3</v>
      </c>
      <c r="E189" s="24" t="s">
        <v>2178</v>
      </c>
    </row>
    <row r="190" spans="1:5" ht="15.75" customHeight="1" x14ac:dyDescent="0.4">
      <c r="A190" s="24" t="s">
        <v>1752</v>
      </c>
      <c r="B190" s="24">
        <v>6</v>
      </c>
      <c r="C190" s="24">
        <v>5</v>
      </c>
      <c r="D190" s="24">
        <v>0</v>
      </c>
      <c r="E190" s="24" t="s">
        <v>2178</v>
      </c>
    </row>
    <row r="191" spans="1:5" ht="15.75" customHeight="1" x14ac:dyDescent="0.4">
      <c r="A191" s="24" t="s">
        <v>1015</v>
      </c>
      <c r="B191" s="24">
        <v>10</v>
      </c>
      <c r="C191" s="24">
        <v>7</v>
      </c>
      <c r="D191" s="24">
        <v>0</v>
      </c>
      <c r="E191" s="24" t="s">
        <v>2178</v>
      </c>
    </row>
    <row r="192" spans="1:5" ht="15.75" customHeight="1" x14ac:dyDescent="0.4">
      <c r="A192" s="24" t="s">
        <v>1599</v>
      </c>
      <c r="B192" s="24">
        <v>3</v>
      </c>
      <c r="C192" s="24">
        <v>3</v>
      </c>
      <c r="D192" s="24">
        <v>1</v>
      </c>
      <c r="E192" s="24" t="s">
        <v>2178</v>
      </c>
    </row>
    <row r="193" spans="1:5" ht="15.75" customHeight="1" x14ac:dyDescent="0.4">
      <c r="A193" s="24" t="s">
        <v>389</v>
      </c>
      <c r="B193" s="24">
        <v>10</v>
      </c>
      <c r="C193" s="24">
        <v>9</v>
      </c>
      <c r="D193" s="24">
        <v>2</v>
      </c>
      <c r="E193" s="24" t="s">
        <v>2178</v>
      </c>
    </row>
    <row r="194" spans="1:5" ht="15.75" customHeight="1" x14ac:dyDescent="0.4">
      <c r="A194" s="24" t="s">
        <v>240</v>
      </c>
      <c r="B194" s="24">
        <v>8</v>
      </c>
      <c r="C194" s="24">
        <v>7</v>
      </c>
      <c r="D194" s="24">
        <v>3</v>
      </c>
      <c r="E194" s="24" t="s">
        <v>2178</v>
      </c>
    </row>
    <row r="195" spans="1:5" ht="15.75" customHeight="1" x14ac:dyDescent="0.4">
      <c r="A195" s="24" t="s">
        <v>2095</v>
      </c>
      <c r="B195" s="24">
        <v>10</v>
      </c>
      <c r="C195" s="24">
        <v>10</v>
      </c>
      <c r="D195" s="24">
        <v>3</v>
      </c>
      <c r="E195" s="24" t="s">
        <v>2178</v>
      </c>
    </row>
    <row r="196" spans="1:5" ht="15.75" customHeight="1" x14ac:dyDescent="0.4">
      <c r="A196" s="24" t="s">
        <v>659</v>
      </c>
      <c r="B196" s="24">
        <v>5</v>
      </c>
      <c r="C196" s="24">
        <v>5</v>
      </c>
      <c r="D196" s="24">
        <v>1</v>
      </c>
      <c r="E196" s="24" t="s">
        <v>2178</v>
      </c>
    </row>
    <row r="197" spans="1:5" ht="15.75" customHeight="1" x14ac:dyDescent="0.4">
      <c r="A197" s="24" t="s">
        <v>1889</v>
      </c>
      <c r="B197" s="24">
        <v>3</v>
      </c>
      <c r="C197" s="24">
        <v>1</v>
      </c>
      <c r="D197" s="24">
        <v>0</v>
      </c>
      <c r="E197" s="24" t="s">
        <v>2178</v>
      </c>
    </row>
    <row r="198" spans="1:5" ht="15.75" customHeight="1" x14ac:dyDescent="0.4">
      <c r="A198" s="24" t="s">
        <v>1230</v>
      </c>
      <c r="B198" s="24">
        <v>12</v>
      </c>
      <c r="C198" s="24">
        <v>6</v>
      </c>
      <c r="D198" s="24">
        <v>2</v>
      </c>
      <c r="E198" s="24" t="s">
        <v>2178</v>
      </c>
    </row>
    <row r="199" spans="1:5" ht="15.75" customHeight="1" x14ac:dyDescent="0.4">
      <c r="A199" s="24" t="s">
        <v>527</v>
      </c>
      <c r="B199" s="24">
        <v>10</v>
      </c>
      <c r="C199" s="24">
        <v>9</v>
      </c>
      <c r="D199" s="24">
        <v>1</v>
      </c>
      <c r="E199" s="24" t="s">
        <v>2178</v>
      </c>
    </row>
    <row r="200" spans="1:5" ht="15.75" customHeight="1" x14ac:dyDescent="0.4">
      <c r="A200" s="24" t="s">
        <v>949</v>
      </c>
      <c r="B200" s="24">
        <v>3</v>
      </c>
      <c r="C200" s="24">
        <v>2</v>
      </c>
      <c r="D200" s="24">
        <v>0</v>
      </c>
      <c r="E200" s="24" t="s">
        <v>2178</v>
      </c>
    </row>
    <row r="201" spans="1:5" ht="15.75" customHeight="1" x14ac:dyDescent="0.4">
      <c r="A201" s="24" t="s">
        <v>365</v>
      </c>
      <c r="B201" s="24">
        <v>10</v>
      </c>
      <c r="C201" s="24">
        <v>7</v>
      </c>
      <c r="D201" s="24">
        <v>0</v>
      </c>
      <c r="E201" s="24" t="s">
        <v>2178</v>
      </c>
    </row>
    <row r="202" spans="1:5" ht="15.75" customHeight="1" x14ac:dyDescent="0.4">
      <c r="A202" s="24" t="s">
        <v>243</v>
      </c>
      <c r="B202" s="24">
        <v>10</v>
      </c>
      <c r="C202" s="24">
        <v>7</v>
      </c>
      <c r="D202" s="24">
        <v>0</v>
      </c>
      <c r="E202" s="24" t="s">
        <v>2178</v>
      </c>
    </row>
    <row r="203" spans="1:5" ht="15.75" customHeight="1" x14ac:dyDescent="0.4">
      <c r="A203" s="24" t="s">
        <v>1737</v>
      </c>
      <c r="B203" s="24">
        <v>3</v>
      </c>
      <c r="C203" s="24">
        <v>2</v>
      </c>
      <c r="D203" s="24">
        <v>1</v>
      </c>
      <c r="E203" s="24" t="s">
        <v>2178</v>
      </c>
    </row>
    <row r="204" spans="1:5" ht="15.75" customHeight="1" x14ac:dyDescent="0.4">
      <c r="A204" s="24" t="s">
        <v>1088</v>
      </c>
      <c r="B204" s="24">
        <v>10</v>
      </c>
      <c r="C204" s="24">
        <v>10</v>
      </c>
      <c r="D204" s="24">
        <v>1</v>
      </c>
      <c r="E204" s="24" t="s">
        <v>2178</v>
      </c>
    </row>
    <row r="205" spans="1:5" ht="15.75" customHeight="1" x14ac:dyDescent="0.4">
      <c r="A205" s="24" t="s">
        <v>1563</v>
      </c>
      <c r="B205" s="24">
        <v>0</v>
      </c>
      <c r="C205" s="24">
        <v>0</v>
      </c>
      <c r="D205" s="24">
        <v>0</v>
      </c>
      <c r="E205" s="24" t="s">
        <v>2178</v>
      </c>
    </row>
    <row r="206" spans="1:5" ht="15.75" customHeight="1" x14ac:dyDescent="0.4">
      <c r="A206" s="24" t="s">
        <v>1600</v>
      </c>
      <c r="B206" s="24">
        <v>10</v>
      </c>
      <c r="C206" s="24">
        <v>4</v>
      </c>
      <c r="D206" s="24">
        <v>1</v>
      </c>
      <c r="E206" s="24" t="s">
        <v>2178</v>
      </c>
    </row>
    <row r="207" spans="1:5" ht="15.75" customHeight="1" x14ac:dyDescent="0.4">
      <c r="A207" s="24" t="s">
        <v>953</v>
      </c>
      <c r="B207" s="24">
        <v>4</v>
      </c>
      <c r="C207" s="24">
        <v>2</v>
      </c>
      <c r="D207" s="24">
        <v>1</v>
      </c>
      <c r="E207" s="24" t="s">
        <v>2178</v>
      </c>
    </row>
    <row r="208" spans="1:5" ht="15.75" customHeight="1" x14ac:dyDescent="0.4">
      <c r="A208" s="24" t="s">
        <v>1076</v>
      </c>
      <c r="B208" s="24">
        <v>10</v>
      </c>
      <c r="C208" s="24">
        <v>9</v>
      </c>
      <c r="D208" s="24">
        <v>2</v>
      </c>
      <c r="E208" s="24" t="s">
        <v>2178</v>
      </c>
    </row>
    <row r="209" spans="1:5" ht="15.75" customHeight="1" x14ac:dyDescent="0.4">
      <c r="A209" s="24" t="s">
        <v>1684</v>
      </c>
      <c r="B209" s="24">
        <v>10</v>
      </c>
      <c r="C209" s="24">
        <v>7</v>
      </c>
      <c r="D209" s="24">
        <v>0</v>
      </c>
      <c r="E209" s="24" t="s">
        <v>2178</v>
      </c>
    </row>
    <row r="210" spans="1:5" ht="15.75" customHeight="1" x14ac:dyDescent="0.4">
      <c r="A210" s="24" t="s">
        <v>921</v>
      </c>
      <c r="B210" s="24">
        <v>8</v>
      </c>
      <c r="C210" s="24">
        <v>7</v>
      </c>
      <c r="D210" s="24">
        <v>1</v>
      </c>
      <c r="E210" s="24" t="s">
        <v>2178</v>
      </c>
    </row>
    <row r="211" spans="1:5" ht="15.75" customHeight="1" x14ac:dyDescent="0.4">
      <c r="A211" s="24" t="s">
        <v>469</v>
      </c>
      <c r="B211" s="24">
        <v>10</v>
      </c>
      <c r="C211" s="24">
        <v>1</v>
      </c>
      <c r="D211" s="24">
        <v>1</v>
      </c>
      <c r="E211" s="24" t="s">
        <v>2178</v>
      </c>
    </row>
    <row r="212" spans="1:5" ht="15.75" customHeight="1" x14ac:dyDescent="0.4">
      <c r="A212" s="24" t="s">
        <v>1461</v>
      </c>
      <c r="B212" s="24">
        <v>10</v>
      </c>
      <c r="C212" s="24">
        <v>1</v>
      </c>
      <c r="D212" s="24">
        <v>1</v>
      </c>
      <c r="E212" s="24" t="s">
        <v>2178</v>
      </c>
    </row>
    <row r="213" spans="1:5" ht="15.75" customHeight="1" x14ac:dyDescent="0.4">
      <c r="A213" s="24" t="s">
        <v>1333</v>
      </c>
      <c r="B213" s="24">
        <v>10</v>
      </c>
      <c r="C213" s="24">
        <v>5</v>
      </c>
      <c r="D213" s="24">
        <v>0</v>
      </c>
      <c r="E213" s="24" t="s">
        <v>2178</v>
      </c>
    </row>
    <row r="214" spans="1:5" ht="15.75" customHeight="1" x14ac:dyDescent="0.4">
      <c r="A214" s="24" t="s">
        <v>1385</v>
      </c>
      <c r="B214" s="24">
        <v>10</v>
      </c>
      <c r="C214" s="24">
        <v>9</v>
      </c>
      <c r="D214" s="24">
        <v>2</v>
      </c>
      <c r="E214" s="24" t="s">
        <v>2178</v>
      </c>
    </row>
    <row r="215" spans="1:5" ht="15.75" customHeight="1" x14ac:dyDescent="0.4">
      <c r="A215" s="24" t="s">
        <v>1371</v>
      </c>
      <c r="B215" s="24">
        <v>2</v>
      </c>
      <c r="C215" s="24">
        <v>1</v>
      </c>
      <c r="D215" s="24">
        <v>1</v>
      </c>
      <c r="E215" s="24" t="s">
        <v>2178</v>
      </c>
    </row>
    <row r="216" spans="1:5" ht="15.75" customHeight="1" x14ac:dyDescent="0.4">
      <c r="A216" s="24" t="s">
        <v>1115</v>
      </c>
      <c r="B216" s="24">
        <v>3</v>
      </c>
      <c r="C216" s="24">
        <v>0</v>
      </c>
      <c r="D216" s="24">
        <v>0</v>
      </c>
      <c r="E216" s="24" t="s">
        <v>2178</v>
      </c>
    </row>
    <row r="217" spans="1:5" ht="15.75" customHeight="1" x14ac:dyDescent="0.4">
      <c r="A217" s="24" t="s">
        <v>2096</v>
      </c>
      <c r="B217" s="24">
        <v>10</v>
      </c>
      <c r="C217" s="24">
        <v>5</v>
      </c>
      <c r="D217" s="24">
        <v>4</v>
      </c>
      <c r="E217" s="24" t="s">
        <v>2178</v>
      </c>
    </row>
    <row r="218" spans="1:5" ht="15.75" customHeight="1" x14ac:dyDescent="0.4">
      <c r="A218" s="24" t="s">
        <v>760</v>
      </c>
      <c r="B218" s="24">
        <v>10</v>
      </c>
      <c r="C218" s="24">
        <v>7</v>
      </c>
      <c r="D218" s="24">
        <v>0</v>
      </c>
      <c r="E218" s="24" t="s">
        <v>2178</v>
      </c>
    </row>
    <row r="219" spans="1:5" ht="15.75" customHeight="1" x14ac:dyDescent="0.4">
      <c r="A219" s="24" t="s">
        <v>1383</v>
      </c>
      <c r="B219" s="24">
        <v>6</v>
      </c>
      <c r="C219" s="24">
        <v>4</v>
      </c>
      <c r="D219" s="24">
        <v>2</v>
      </c>
      <c r="E219" s="24" t="s">
        <v>2178</v>
      </c>
    </row>
    <row r="220" spans="1:5" ht="15.75" customHeight="1" x14ac:dyDescent="0.4">
      <c r="A220" s="24" t="s">
        <v>651</v>
      </c>
      <c r="B220" s="24">
        <v>3</v>
      </c>
      <c r="C220" s="24">
        <v>3</v>
      </c>
      <c r="D220" s="24">
        <v>0</v>
      </c>
      <c r="E220" s="24" t="s">
        <v>2178</v>
      </c>
    </row>
    <row r="221" spans="1:5" ht="15.75" customHeight="1" x14ac:dyDescent="0.4">
      <c r="A221" s="24" t="s">
        <v>1392</v>
      </c>
      <c r="B221" s="24">
        <v>8</v>
      </c>
      <c r="C221" s="24">
        <v>7</v>
      </c>
      <c r="D221" s="24">
        <v>0</v>
      </c>
      <c r="E221" s="24" t="s">
        <v>2178</v>
      </c>
    </row>
    <row r="222" spans="1:5" ht="15.75" customHeight="1" x14ac:dyDescent="0.4">
      <c r="A222" s="24" t="s">
        <v>2142</v>
      </c>
      <c r="B222" s="24">
        <v>3</v>
      </c>
      <c r="C222" s="24">
        <v>3</v>
      </c>
      <c r="D222" s="24">
        <v>0</v>
      </c>
      <c r="E222" s="24" t="s">
        <v>2178</v>
      </c>
    </row>
    <row r="223" spans="1:5" ht="15.75" customHeight="1" x14ac:dyDescent="0.4">
      <c r="A223" s="24" t="s">
        <v>1188</v>
      </c>
      <c r="B223" s="24">
        <v>3</v>
      </c>
      <c r="C223" s="24">
        <v>2</v>
      </c>
      <c r="D223" s="24">
        <v>1</v>
      </c>
      <c r="E223" s="24" t="s">
        <v>2178</v>
      </c>
    </row>
    <row r="224" spans="1:5" ht="15.75" customHeight="1" x14ac:dyDescent="0.4">
      <c r="A224" s="24" t="s">
        <v>541</v>
      </c>
      <c r="B224" s="24">
        <v>2</v>
      </c>
      <c r="C224" s="24">
        <v>2</v>
      </c>
      <c r="D224" s="24">
        <v>1</v>
      </c>
      <c r="E224" s="24" t="s">
        <v>2178</v>
      </c>
    </row>
    <row r="225" spans="1:5" ht="15.75" customHeight="1" x14ac:dyDescent="0.4">
      <c r="A225" s="24" t="s">
        <v>1374</v>
      </c>
      <c r="B225" s="24">
        <v>3</v>
      </c>
      <c r="C225" s="24">
        <v>3</v>
      </c>
      <c r="D225" s="24">
        <v>0</v>
      </c>
      <c r="E225" s="24" t="s">
        <v>2178</v>
      </c>
    </row>
    <row r="226" spans="1:5" ht="15.75" customHeight="1" x14ac:dyDescent="0.4">
      <c r="A226" s="24" t="s">
        <v>657</v>
      </c>
      <c r="B226" s="24">
        <v>8</v>
      </c>
      <c r="C226" s="24">
        <v>8</v>
      </c>
      <c r="D226" s="24">
        <v>2</v>
      </c>
      <c r="E226" s="24" t="s">
        <v>2178</v>
      </c>
    </row>
    <row r="227" spans="1:5" ht="15.75" customHeight="1" x14ac:dyDescent="0.4">
      <c r="A227" s="24" t="s">
        <v>2045</v>
      </c>
      <c r="B227" s="24">
        <v>3</v>
      </c>
      <c r="C227" s="24">
        <v>3</v>
      </c>
      <c r="D227" s="24">
        <v>2</v>
      </c>
      <c r="E227" s="24" t="s">
        <v>2178</v>
      </c>
    </row>
    <row r="228" spans="1:5" ht="15.75" customHeight="1" x14ac:dyDescent="0.4">
      <c r="A228" s="24" t="s">
        <v>244</v>
      </c>
      <c r="B228" s="24">
        <v>8</v>
      </c>
      <c r="C228" s="24">
        <v>8</v>
      </c>
      <c r="D228" s="24">
        <v>0</v>
      </c>
      <c r="E228" s="24" t="s">
        <v>2178</v>
      </c>
    </row>
    <row r="229" spans="1:5" ht="15.75" customHeight="1" x14ac:dyDescent="0.4">
      <c r="A229" s="24" t="s">
        <v>885</v>
      </c>
      <c r="B229" s="24">
        <v>3</v>
      </c>
      <c r="C229" s="24">
        <v>0</v>
      </c>
      <c r="D229" s="24">
        <v>0</v>
      </c>
      <c r="E229" s="24" t="s">
        <v>2178</v>
      </c>
    </row>
    <row r="230" spans="1:5" ht="15.75" customHeight="1" x14ac:dyDescent="0.4">
      <c r="A230" s="24" t="s">
        <v>529</v>
      </c>
      <c r="B230" s="24">
        <v>10</v>
      </c>
      <c r="C230" s="24">
        <v>9</v>
      </c>
      <c r="D230" s="24">
        <v>2</v>
      </c>
      <c r="E230" s="24" t="s">
        <v>2178</v>
      </c>
    </row>
    <row r="231" spans="1:5" ht="15.75" customHeight="1" x14ac:dyDescent="0.4">
      <c r="A231" s="24" t="s">
        <v>2106</v>
      </c>
      <c r="B231" s="24">
        <v>10</v>
      </c>
      <c r="C231" s="24">
        <v>7</v>
      </c>
      <c r="D231" s="24">
        <v>2</v>
      </c>
      <c r="E231" s="24" t="s">
        <v>2178</v>
      </c>
    </row>
    <row r="232" spans="1:5" ht="15.75" customHeight="1" x14ac:dyDescent="0.4">
      <c r="A232" s="24" t="s">
        <v>1057</v>
      </c>
      <c r="B232" s="24">
        <v>3</v>
      </c>
      <c r="C232" s="24">
        <v>2</v>
      </c>
      <c r="D232" s="24">
        <v>0</v>
      </c>
      <c r="E232" s="24" t="s">
        <v>2178</v>
      </c>
    </row>
    <row r="233" spans="1:5" ht="15.75" customHeight="1" x14ac:dyDescent="0.4">
      <c r="A233" s="24" t="s">
        <v>2160</v>
      </c>
      <c r="B233" s="24">
        <v>10</v>
      </c>
      <c r="C233" s="24">
        <v>2</v>
      </c>
      <c r="D233" s="24">
        <v>1</v>
      </c>
      <c r="E233" s="24" t="s">
        <v>2178</v>
      </c>
    </row>
    <row r="234" spans="1:5" ht="15.75" customHeight="1" x14ac:dyDescent="0.4">
      <c r="A234" s="24" t="s">
        <v>1800</v>
      </c>
      <c r="B234" s="24">
        <v>10</v>
      </c>
      <c r="C234" s="24">
        <v>7</v>
      </c>
      <c r="D234" s="24">
        <v>1</v>
      </c>
      <c r="E234" s="24" t="s">
        <v>2178</v>
      </c>
    </row>
    <row r="235" spans="1:5" ht="15.75" customHeight="1" x14ac:dyDescent="0.4">
      <c r="A235" s="24" t="s">
        <v>1133</v>
      </c>
      <c r="B235" s="24">
        <v>10</v>
      </c>
      <c r="C235" s="24">
        <v>6</v>
      </c>
      <c r="D235" s="24">
        <v>3</v>
      </c>
      <c r="E235" s="24" t="s">
        <v>2178</v>
      </c>
    </row>
    <row r="236" spans="1:5" ht="15.75" customHeight="1" x14ac:dyDescent="0.4">
      <c r="A236" s="24" t="s">
        <v>1512</v>
      </c>
      <c r="B236" s="24">
        <v>3</v>
      </c>
      <c r="C236" s="24">
        <v>2</v>
      </c>
      <c r="D236" s="24">
        <v>0</v>
      </c>
      <c r="E236" s="24" t="s">
        <v>2178</v>
      </c>
    </row>
    <row r="237" spans="1:5" ht="15.75" customHeight="1" x14ac:dyDescent="0.4">
      <c r="A237" s="24" t="s">
        <v>1921</v>
      </c>
      <c r="B237" s="24">
        <v>3</v>
      </c>
      <c r="C237" s="24">
        <v>2</v>
      </c>
      <c r="D237" s="24">
        <v>0</v>
      </c>
      <c r="E237" s="24" t="s">
        <v>2178</v>
      </c>
    </row>
    <row r="238" spans="1:5" ht="15.75" customHeight="1" x14ac:dyDescent="0.4">
      <c r="A238" s="24" t="s">
        <v>2012</v>
      </c>
      <c r="B238" s="24">
        <v>0</v>
      </c>
      <c r="C238" s="24">
        <v>0</v>
      </c>
      <c r="D238" s="24">
        <v>0</v>
      </c>
      <c r="E238" s="24" t="s">
        <v>2178</v>
      </c>
    </row>
    <row r="239" spans="1:5" ht="15.75" customHeight="1" x14ac:dyDescent="0.4">
      <c r="A239" s="24" t="s">
        <v>1226</v>
      </c>
      <c r="B239" s="24">
        <v>10</v>
      </c>
      <c r="C239" s="24">
        <v>10</v>
      </c>
      <c r="D239" s="24">
        <v>5</v>
      </c>
      <c r="E239" s="24" t="s">
        <v>2178</v>
      </c>
    </row>
    <row r="240" spans="1:5" ht="15.75" customHeight="1" x14ac:dyDescent="0.4">
      <c r="A240" s="24" t="s">
        <v>1702</v>
      </c>
      <c r="B240" s="24">
        <v>9</v>
      </c>
      <c r="C240" s="24">
        <v>7</v>
      </c>
      <c r="D240" s="24">
        <v>2</v>
      </c>
      <c r="E240" s="24" t="s">
        <v>2178</v>
      </c>
    </row>
    <row r="241" spans="1:5" ht="15.75" customHeight="1" x14ac:dyDescent="0.4">
      <c r="A241" s="24" t="s">
        <v>357</v>
      </c>
      <c r="B241" s="24">
        <v>10</v>
      </c>
      <c r="C241" s="24">
        <v>10</v>
      </c>
      <c r="D241" s="24">
        <v>3</v>
      </c>
      <c r="E241" s="24" t="s">
        <v>2178</v>
      </c>
    </row>
    <row r="242" spans="1:5" ht="15.75" customHeight="1" x14ac:dyDescent="0.4">
      <c r="A242" s="24" t="s">
        <v>1302</v>
      </c>
      <c r="B242" s="24">
        <v>3</v>
      </c>
      <c r="C242" s="24">
        <v>1</v>
      </c>
      <c r="D242" s="24">
        <v>1</v>
      </c>
      <c r="E242" s="24" t="s">
        <v>2178</v>
      </c>
    </row>
    <row r="243" spans="1:5" ht="15.75" customHeight="1" x14ac:dyDescent="0.4">
      <c r="A243" s="24" t="s">
        <v>1961</v>
      </c>
      <c r="B243" s="24">
        <v>10</v>
      </c>
      <c r="C243" s="24">
        <v>10</v>
      </c>
      <c r="D243" s="24">
        <v>2</v>
      </c>
      <c r="E243" s="24" t="s">
        <v>2178</v>
      </c>
    </row>
    <row r="244" spans="1:5" ht="15.75" customHeight="1" x14ac:dyDescent="0.4">
      <c r="A244" s="24" t="s">
        <v>1249</v>
      </c>
      <c r="B244" s="24">
        <v>3</v>
      </c>
      <c r="C244" s="24">
        <v>3</v>
      </c>
      <c r="D244" s="24">
        <v>0</v>
      </c>
      <c r="E244" s="24" t="s">
        <v>2178</v>
      </c>
    </row>
    <row r="245" spans="1:5" ht="15.75" customHeight="1" x14ac:dyDescent="0.4">
      <c r="A245" s="24" t="s">
        <v>1952</v>
      </c>
      <c r="B245" s="24">
        <v>10</v>
      </c>
      <c r="C245" s="24">
        <v>7</v>
      </c>
      <c r="D245" s="24">
        <v>6</v>
      </c>
      <c r="E245" s="24" t="s">
        <v>2178</v>
      </c>
    </row>
    <row r="246" spans="1:5" ht="15.75" customHeight="1" x14ac:dyDescent="0.4">
      <c r="A246" s="24" t="s">
        <v>1784</v>
      </c>
      <c r="B246" s="24">
        <v>10</v>
      </c>
      <c r="C246" s="24">
        <v>10</v>
      </c>
      <c r="D246" s="24">
        <v>1</v>
      </c>
      <c r="E246" s="24" t="s">
        <v>2178</v>
      </c>
    </row>
    <row r="247" spans="1:5" ht="15.75" customHeight="1" x14ac:dyDescent="0.4">
      <c r="A247" s="24" t="s">
        <v>2141</v>
      </c>
      <c r="B247" s="24">
        <v>8</v>
      </c>
      <c r="C247" s="24">
        <v>7</v>
      </c>
      <c r="D247" s="24">
        <v>0</v>
      </c>
      <c r="E247" s="24" t="s">
        <v>2178</v>
      </c>
    </row>
    <row r="248" spans="1:5" ht="15.75" customHeight="1" x14ac:dyDescent="0.4">
      <c r="A248" s="24" t="s">
        <v>1405</v>
      </c>
      <c r="B248" s="24">
        <v>10</v>
      </c>
      <c r="C248" s="24">
        <v>9</v>
      </c>
      <c r="D248" s="24">
        <v>0</v>
      </c>
      <c r="E248" s="24" t="s">
        <v>2178</v>
      </c>
    </row>
    <row r="249" spans="1:5" ht="15.75" customHeight="1" x14ac:dyDescent="0.4">
      <c r="A249" s="24" t="s">
        <v>1410</v>
      </c>
      <c r="B249" s="24">
        <v>6</v>
      </c>
      <c r="C249" s="24">
        <v>4</v>
      </c>
      <c r="D249" s="24">
        <v>0</v>
      </c>
      <c r="E249" s="24" t="s">
        <v>2178</v>
      </c>
    </row>
    <row r="250" spans="1:5" ht="15.75" customHeight="1" x14ac:dyDescent="0.4">
      <c r="A250" s="24" t="s">
        <v>868</v>
      </c>
      <c r="B250" s="24">
        <v>3</v>
      </c>
      <c r="C250" s="24">
        <v>3</v>
      </c>
      <c r="D250" s="24">
        <v>0</v>
      </c>
      <c r="E250" s="24" t="s">
        <v>2178</v>
      </c>
    </row>
    <row r="251" spans="1:5" ht="15.75" customHeight="1" x14ac:dyDescent="0.4">
      <c r="A251" s="24" t="s">
        <v>1043</v>
      </c>
      <c r="B251" s="24">
        <v>10</v>
      </c>
      <c r="C251" s="24">
        <v>7</v>
      </c>
      <c r="D251" s="24">
        <v>1</v>
      </c>
      <c r="E251" s="24" t="s">
        <v>2178</v>
      </c>
    </row>
    <row r="252" spans="1:5" ht="15.75" customHeight="1" x14ac:dyDescent="0.4">
      <c r="A252" s="24" t="s">
        <v>1771</v>
      </c>
      <c r="B252" s="24">
        <v>3</v>
      </c>
      <c r="C252" s="24">
        <v>0</v>
      </c>
      <c r="D252" s="24">
        <v>0</v>
      </c>
      <c r="E252" s="24" t="s">
        <v>2178</v>
      </c>
    </row>
    <row r="253" spans="1:5" ht="15.75" customHeight="1" x14ac:dyDescent="0.4">
      <c r="A253" s="24" t="s">
        <v>904</v>
      </c>
      <c r="B253" s="24">
        <v>10</v>
      </c>
      <c r="C253" s="24">
        <v>8</v>
      </c>
      <c r="D253" s="24">
        <v>3</v>
      </c>
      <c r="E253" s="24" t="s">
        <v>2178</v>
      </c>
    </row>
    <row r="254" spans="1:5" ht="15.75" customHeight="1" x14ac:dyDescent="0.4">
      <c r="A254" s="24" t="s">
        <v>1785</v>
      </c>
      <c r="B254" s="24">
        <v>8</v>
      </c>
      <c r="C254" s="24">
        <v>8</v>
      </c>
      <c r="D254" s="24">
        <v>3</v>
      </c>
      <c r="E254" s="24" t="s">
        <v>2178</v>
      </c>
    </row>
    <row r="255" spans="1:5" ht="15.75" customHeight="1" x14ac:dyDescent="0.4">
      <c r="A255" s="24" t="s">
        <v>234</v>
      </c>
      <c r="B255" s="24">
        <v>6</v>
      </c>
      <c r="C255" s="24">
        <v>5</v>
      </c>
      <c r="D255" s="24">
        <v>2</v>
      </c>
      <c r="E255" s="24" t="s">
        <v>2178</v>
      </c>
    </row>
    <row r="256" spans="1:5" ht="15.75" customHeight="1" x14ac:dyDescent="0.4">
      <c r="A256" s="24" t="s">
        <v>1060</v>
      </c>
      <c r="B256" s="24">
        <v>3</v>
      </c>
      <c r="C256" s="24">
        <v>1</v>
      </c>
      <c r="D256" s="24">
        <v>0</v>
      </c>
      <c r="E256" s="24" t="s">
        <v>2178</v>
      </c>
    </row>
    <row r="257" spans="1:5" ht="15.75" customHeight="1" x14ac:dyDescent="0.4">
      <c r="A257" s="24" t="s">
        <v>1067</v>
      </c>
      <c r="B257" s="24">
        <v>3</v>
      </c>
      <c r="C257" s="24">
        <v>3</v>
      </c>
      <c r="D257" s="24">
        <v>0</v>
      </c>
      <c r="E257" s="24" t="s">
        <v>2178</v>
      </c>
    </row>
    <row r="258" spans="1:5" ht="15.75" customHeight="1" x14ac:dyDescent="0.4">
      <c r="A258" s="24" t="s">
        <v>706</v>
      </c>
      <c r="B258" s="24">
        <v>10</v>
      </c>
      <c r="C258" s="24">
        <v>6</v>
      </c>
      <c r="D258" s="24">
        <v>2</v>
      </c>
      <c r="E258" s="24" t="s">
        <v>2178</v>
      </c>
    </row>
    <row r="259" spans="1:5" ht="15.75" customHeight="1" x14ac:dyDescent="0.4">
      <c r="A259" s="24" t="s">
        <v>1020</v>
      </c>
      <c r="B259" s="24">
        <v>10</v>
      </c>
      <c r="C259" s="24">
        <v>2</v>
      </c>
      <c r="D259" s="24">
        <v>0</v>
      </c>
      <c r="E259" s="24" t="s">
        <v>2178</v>
      </c>
    </row>
    <row r="260" spans="1:5" ht="15.75" customHeight="1" x14ac:dyDescent="0.4">
      <c r="A260" s="24" t="s">
        <v>744</v>
      </c>
      <c r="B260" s="24">
        <v>10</v>
      </c>
      <c r="C260" s="24">
        <v>10</v>
      </c>
      <c r="D260" s="24">
        <v>1</v>
      </c>
      <c r="E260" s="24" t="s">
        <v>2178</v>
      </c>
    </row>
    <row r="261" spans="1:5" ht="15.75" customHeight="1" x14ac:dyDescent="0.4">
      <c r="A261" s="24" t="s">
        <v>2111</v>
      </c>
      <c r="B261" s="24">
        <v>3</v>
      </c>
      <c r="C261" s="24">
        <v>3</v>
      </c>
      <c r="D261" s="24">
        <v>1</v>
      </c>
      <c r="E261" s="24" t="s">
        <v>2178</v>
      </c>
    </row>
    <row r="262" spans="1:5" ht="15.75" customHeight="1" x14ac:dyDescent="0.4">
      <c r="A262" s="24" t="s">
        <v>2152</v>
      </c>
      <c r="B262" s="24">
        <v>10</v>
      </c>
      <c r="C262" s="24">
        <v>3</v>
      </c>
      <c r="D262" s="24">
        <v>2</v>
      </c>
      <c r="E262" s="24" t="s">
        <v>2178</v>
      </c>
    </row>
    <row r="263" spans="1:5" ht="15.75" customHeight="1" x14ac:dyDescent="0.4">
      <c r="A263" s="24" t="s">
        <v>1488</v>
      </c>
      <c r="B263" s="24">
        <v>8</v>
      </c>
      <c r="C263" s="24">
        <v>6</v>
      </c>
      <c r="D263" s="24">
        <v>3</v>
      </c>
      <c r="E263" s="24" t="s">
        <v>2178</v>
      </c>
    </row>
    <row r="264" spans="1:5" ht="15.75" customHeight="1" x14ac:dyDescent="0.4">
      <c r="A264" s="24" t="s">
        <v>1778</v>
      </c>
      <c r="B264" s="24">
        <v>10</v>
      </c>
      <c r="C264" s="24">
        <v>8</v>
      </c>
      <c r="D264" s="24">
        <v>2</v>
      </c>
      <c r="E264" s="24" t="s">
        <v>2178</v>
      </c>
    </row>
    <row r="265" spans="1:5" ht="15.75" customHeight="1" x14ac:dyDescent="0.4">
      <c r="A265" s="24" t="s">
        <v>1787</v>
      </c>
      <c r="B265" s="24">
        <v>10</v>
      </c>
      <c r="C265" s="24">
        <v>9</v>
      </c>
      <c r="D265" s="24">
        <v>3</v>
      </c>
      <c r="E265" s="24" t="s">
        <v>2178</v>
      </c>
    </row>
    <row r="266" spans="1:5" ht="15.75" customHeight="1" x14ac:dyDescent="0.4">
      <c r="A266" s="24" t="s">
        <v>1391</v>
      </c>
      <c r="B266" s="24">
        <v>8</v>
      </c>
      <c r="C266" s="24">
        <v>8</v>
      </c>
      <c r="D266" s="24">
        <v>3</v>
      </c>
      <c r="E266" s="24" t="s">
        <v>2178</v>
      </c>
    </row>
    <row r="267" spans="1:5" ht="15.75" customHeight="1" x14ac:dyDescent="0.4">
      <c r="A267" s="24" t="s">
        <v>1820</v>
      </c>
      <c r="B267" s="24">
        <v>8</v>
      </c>
      <c r="C267" s="24">
        <v>4</v>
      </c>
      <c r="D267" s="24">
        <v>0</v>
      </c>
      <c r="E267" s="24" t="s">
        <v>2178</v>
      </c>
    </row>
    <row r="268" spans="1:5" ht="15.75" customHeight="1" x14ac:dyDescent="0.4">
      <c r="A268" s="24" t="s">
        <v>1832</v>
      </c>
      <c r="B268" s="24">
        <v>3</v>
      </c>
      <c r="C268" s="24">
        <v>2</v>
      </c>
      <c r="D268" s="24">
        <v>0</v>
      </c>
      <c r="E268" s="24" t="s">
        <v>2178</v>
      </c>
    </row>
    <row r="269" spans="1:5" ht="15.75" customHeight="1" x14ac:dyDescent="0.4">
      <c r="A269" s="24" t="s">
        <v>1049</v>
      </c>
      <c r="B269" s="24">
        <v>8</v>
      </c>
      <c r="C269" s="24">
        <v>8</v>
      </c>
      <c r="D269" s="24">
        <v>2</v>
      </c>
      <c r="E269" s="24" t="s">
        <v>2178</v>
      </c>
    </row>
    <row r="270" spans="1:5" ht="15.75" customHeight="1" x14ac:dyDescent="0.4">
      <c r="A270" s="24" t="s">
        <v>1183</v>
      </c>
      <c r="B270" s="24">
        <v>3</v>
      </c>
      <c r="C270" s="24">
        <v>3</v>
      </c>
      <c r="D270" s="24">
        <v>1</v>
      </c>
      <c r="E270" s="24" t="s">
        <v>2178</v>
      </c>
    </row>
    <row r="271" spans="1:5" ht="15.75" customHeight="1" x14ac:dyDescent="0.4">
      <c r="A271" s="24" t="s">
        <v>553</v>
      </c>
      <c r="B271" s="24">
        <v>10</v>
      </c>
      <c r="C271" s="24">
        <v>9</v>
      </c>
      <c r="D271" s="24">
        <v>0</v>
      </c>
      <c r="E271" s="24" t="s">
        <v>2178</v>
      </c>
    </row>
    <row r="272" spans="1:5" ht="15.75" customHeight="1" x14ac:dyDescent="0.4">
      <c r="A272" s="24" t="s">
        <v>2092</v>
      </c>
      <c r="B272" s="24">
        <v>10</v>
      </c>
      <c r="C272" s="24">
        <v>9</v>
      </c>
      <c r="D272" s="24">
        <v>1</v>
      </c>
      <c r="E272" s="24" t="s">
        <v>2178</v>
      </c>
    </row>
    <row r="273" spans="1:5" ht="15.75" customHeight="1" x14ac:dyDescent="0.4">
      <c r="A273" s="24" t="s">
        <v>782</v>
      </c>
      <c r="B273" s="24">
        <v>3</v>
      </c>
      <c r="C273" s="24">
        <v>3</v>
      </c>
      <c r="D273" s="24">
        <v>0</v>
      </c>
      <c r="E273" s="24" t="s">
        <v>2178</v>
      </c>
    </row>
    <row r="274" spans="1:5" ht="15.75" customHeight="1" x14ac:dyDescent="0.4">
      <c r="A274" s="24" t="s">
        <v>836</v>
      </c>
      <c r="B274" s="24">
        <v>3</v>
      </c>
      <c r="C274" s="24">
        <v>2</v>
      </c>
      <c r="D274" s="24">
        <v>0</v>
      </c>
      <c r="E274" s="24" t="s">
        <v>2178</v>
      </c>
    </row>
    <row r="275" spans="1:5" ht="15.75" customHeight="1" x14ac:dyDescent="0.4">
      <c r="A275" s="24" t="s">
        <v>1696</v>
      </c>
      <c r="B275" s="24">
        <v>10</v>
      </c>
      <c r="C275" s="24">
        <v>9</v>
      </c>
      <c r="D275" s="24">
        <v>2</v>
      </c>
      <c r="E275" s="24" t="s">
        <v>2178</v>
      </c>
    </row>
    <row r="276" spans="1:5" ht="15.75" customHeight="1" x14ac:dyDescent="0.4">
      <c r="A276" s="24" t="s">
        <v>413</v>
      </c>
      <c r="B276" s="24">
        <v>2</v>
      </c>
      <c r="C276" s="24">
        <v>2</v>
      </c>
      <c r="D276" s="24">
        <v>0</v>
      </c>
      <c r="E276" s="24" t="s">
        <v>2178</v>
      </c>
    </row>
    <row r="277" spans="1:5" ht="15.75" customHeight="1" x14ac:dyDescent="0.4">
      <c r="A277" s="24" t="s">
        <v>863</v>
      </c>
      <c r="B277" s="24">
        <v>10</v>
      </c>
      <c r="C277" s="24">
        <v>8</v>
      </c>
      <c r="D277" s="24">
        <v>3</v>
      </c>
      <c r="E277" s="24" t="s">
        <v>2178</v>
      </c>
    </row>
    <row r="278" spans="1:5" ht="15.75" customHeight="1" x14ac:dyDescent="0.4">
      <c r="A278" s="24" t="s">
        <v>1344</v>
      </c>
      <c r="B278" s="24">
        <v>10</v>
      </c>
      <c r="C278" s="24">
        <v>6</v>
      </c>
      <c r="D278" s="24">
        <v>0</v>
      </c>
      <c r="E278" s="24" t="s">
        <v>2178</v>
      </c>
    </row>
    <row r="279" spans="1:5" ht="15.75" customHeight="1" x14ac:dyDescent="0.4">
      <c r="A279" s="24" t="s">
        <v>1047</v>
      </c>
      <c r="B279" s="24">
        <v>8</v>
      </c>
      <c r="C279" s="24">
        <v>7</v>
      </c>
      <c r="D279" s="24">
        <v>3</v>
      </c>
      <c r="E279" s="24" t="s">
        <v>2178</v>
      </c>
    </row>
    <row r="280" spans="1:5" ht="15.75" customHeight="1" x14ac:dyDescent="0.4">
      <c r="A280" s="24" t="s">
        <v>976</v>
      </c>
      <c r="B280" s="24">
        <v>10</v>
      </c>
      <c r="C280" s="24">
        <v>9</v>
      </c>
      <c r="D280" s="24">
        <v>3</v>
      </c>
      <c r="E280" s="24" t="s">
        <v>2178</v>
      </c>
    </row>
    <row r="281" spans="1:5" ht="15.75" customHeight="1" x14ac:dyDescent="0.4">
      <c r="A281" s="24" t="s">
        <v>1256</v>
      </c>
      <c r="B281" s="24">
        <v>3</v>
      </c>
      <c r="C281" s="24">
        <v>2</v>
      </c>
      <c r="D281" s="24">
        <v>1</v>
      </c>
      <c r="E281" s="24" t="s">
        <v>2178</v>
      </c>
    </row>
    <row r="282" spans="1:5" ht="15.75" customHeight="1" x14ac:dyDescent="0.4">
      <c r="A282" s="24" t="s">
        <v>597</v>
      </c>
      <c r="B282" s="24">
        <v>3</v>
      </c>
      <c r="C282" s="24">
        <v>3</v>
      </c>
      <c r="D282" s="24">
        <v>2</v>
      </c>
      <c r="E282" s="24" t="s">
        <v>2178</v>
      </c>
    </row>
    <row r="283" spans="1:5" ht="15.75" customHeight="1" x14ac:dyDescent="0.4">
      <c r="A283" s="24" t="s">
        <v>545</v>
      </c>
      <c r="B283" s="24">
        <v>3</v>
      </c>
      <c r="C283" s="24">
        <v>3</v>
      </c>
      <c r="D283" s="24">
        <v>0</v>
      </c>
      <c r="E283" s="24" t="s">
        <v>2178</v>
      </c>
    </row>
    <row r="284" spans="1:5" ht="15.75" customHeight="1" x14ac:dyDescent="0.4">
      <c r="A284" s="24" t="s">
        <v>511</v>
      </c>
      <c r="B284" s="24">
        <v>10</v>
      </c>
      <c r="C284" s="24">
        <v>10</v>
      </c>
      <c r="D284" s="24">
        <v>2</v>
      </c>
      <c r="E284" s="24" t="s">
        <v>2178</v>
      </c>
    </row>
    <row r="285" spans="1:5" ht="15.75" customHeight="1" x14ac:dyDescent="0.4">
      <c r="A285" s="24" t="s">
        <v>1767</v>
      </c>
      <c r="B285" s="24">
        <v>2</v>
      </c>
      <c r="C285" s="24">
        <v>0</v>
      </c>
      <c r="D285" s="24">
        <v>0</v>
      </c>
      <c r="E285" s="24" t="s">
        <v>2178</v>
      </c>
    </row>
    <row r="286" spans="1:5" ht="15.75" customHeight="1" x14ac:dyDescent="0.4">
      <c r="A286" s="24" t="s">
        <v>1013</v>
      </c>
      <c r="B286" s="24">
        <v>10</v>
      </c>
      <c r="C286" s="24">
        <v>10</v>
      </c>
      <c r="D286" s="24">
        <v>1</v>
      </c>
      <c r="E286" s="24" t="s">
        <v>2178</v>
      </c>
    </row>
    <row r="287" spans="1:5" ht="15.75" customHeight="1" x14ac:dyDescent="0.4">
      <c r="A287" s="24" t="s">
        <v>1662</v>
      </c>
      <c r="B287" s="24">
        <v>3</v>
      </c>
      <c r="C287" s="24">
        <v>2</v>
      </c>
      <c r="D287" s="24">
        <v>0</v>
      </c>
      <c r="E287" s="24" t="s">
        <v>2178</v>
      </c>
    </row>
    <row r="288" spans="1:5" ht="15.75" customHeight="1" x14ac:dyDescent="0.4">
      <c r="A288" s="24" t="s">
        <v>1553</v>
      </c>
      <c r="B288" s="24">
        <v>3</v>
      </c>
      <c r="C288" s="24">
        <v>2</v>
      </c>
      <c r="D288" s="24">
        <v>0</v>
      </c>
      <c r="E288" s="24" t="s">
        <v>2178</v>
      </c>
    </row>
    <row r="289" spans="1:5" ht="15.75" customHeight="1" x14ac:dyDescent="0.4">
      <c r="A289" s="24" t="s">
        <v>2143</v>
      </c>
      <c r="B289" s="24">
        <v>8</v>
      </c>
      <c r="C289" s="24">
        <v>7</v>
      </c>
      <c r="D289" s="24">
        <v>1</v>
      </c>
      <c r="E289" s="24" t="s">
        <v>2178</v>
      </c>
    </row>
    <row r="290" spans="1:5" ht="15.75" customHeight="1" x14ac:dyDescent="0.4">
      <c r="A290" s="24" t="s">
        <v>935</v>
      </c>
      <c r="B290" s="24">
        <v>10</v>
      </c>
      <c r="C290" s="24">
        <v>9</v>
      </c>
      <c r="D290" s="24">
        <v>1</v>
      </c>
      <c r="E290" s="24" t="s">
        <v>2178</v>
      </c>
    </row>
    <row r="291" spans="1:5" ht="15.75" customHeight="1" x14ac:dyDescent="0.4">
      <c r="A291" s="24" t="s">
        <v>1251</v>
      </c>
      <c r="B291" s="24">
        <v>10</v>
      </c>
      <c r="C291" s="24">
        <v>8</v>
      </c>
      <c r="D291" s="24">
        <v>2</v>
      </c>
      <c r="E291" s="24" t="s">
        <v>2178</v>
      </c>
    </row>
    <row r="292" spans="1:5" ht="15.75" customHeight="1" x14ac:dyDescent="0.4">
      <c r="A292" s="24" t="s">
        <v>1497</v>
      </c>
      <c r="B292" s="24">
        <v>10</v>
      </c>
      <c r="C292" s="24">
        <v>8</v>
      </c>
      <c r="D292" s="24">
        <v>0</v>
      </c>
      <c r="E292" s="24" t="s">
        <v>2178</v>
      </c>
    </row>
    <row r="293" spans="1:5" ht="15.75" customHeight="1" x14ac:dyDescent="0.4">
      <c r="A293" s="24" t="s">
        <v>844</v>
      </c>
      <c r="B293" s="24">
        <v>10</v>
      </c>
      <c r="C293" s="24">
        <v>8</v>
      </c>
      <c r="D293" s="24">
        <v>2</v>
      </c>
      <c r="E293" s="24" t="s">
        <v>2178</v>
      </c>
    </row>
    <row r="294" spans="1:5" ht="15.75" customHeight="1" x14ac:dyDescent="0.4">
      <c r="A294" s="24" t="s">
        <v>1486</v>
      </c>
      <c r="B294" s="24">
        <v>3</v>
      </c>
      <c r="C294" s="24">
        <v>1</v>
      </c>
      <c r="D294" s="24">
        <v>0</v>
      </c>
      <c r="E294" s="24" t="s">
        <v>2178</v>
      </c>
    </row>
    <row r="295" spans="1:5" ht="15.75" customHeight="1" x14ac:dyDescent="0.4">
      <c r="A295" s="24" t="s">
        <v>1868</v>
      </c>
      <c r="B295" s="24">
        <v>2</v>
      </c>
      <c r="C295" s="24">
        <v>0</v>
      </c>
      <c r="D295" s="24">
        <v>0</v>
      </c>
      <c r="E295" s="24" t="s">
        <v>2178</v>
      </c>
    </row>
    <row r="296" spans="1:5" ht="15.75" customHeight="1" x14ac:dyDescent="0.4">
      <c r="A296" s="24" t="s">
        <v>239</v>
      </c>
      <c r="B296" s="24">
        <v>10</v>
      </c>
      <c r="C296" s="24">
        <v>9</v>
      </c>
      <c r="D296" s="24">
        <v>2</v>
      </c>
      <c r="E296" s="24" t="s">
        <v>2178</v>
      </c>
    </row>
    <row r="297" spans="1:5" ht="15.75" customHeight="1" x14ac:dyDescent="0.4">
      <c r="A297" s="24" t="s">
        <v>247</v>
      </c>
      <c r="B297" s="24">
        <v>3</v>
      </c>
      <c r="C297" s="24">
        <v>1</v>
      </c>
      <c r="D297" s="24">
        <v>0</v>
      </c>
      <c r="E297" s="24" t="s">
        <v>2178</v>
      </c>
    </row>
    <row r="298" spans="1:5" ht="15.75" customHeight="1" x14ac:dyDescent="0.4">
      <c r="A298" s="24" t="s">
        <v>1241</v>
      </c>
      <c r="B298" s="24">
        <v>3</v>
      </c>
      <c r="C298" s="24">
        <v>2</v>
      </c>
      <c r="D298" s="24">
        <v>0</v>
      </c>
      <c r="E298" s="24" t="s">
        <v>2178</v>
      </c>
    </row>
    <row r="299" spans="1:5" ht="15.75" customHeight="1" x14ac:dyDescent="0.4">
      <c r="A299" s="24" t="s">
        <v>2113</v>
      </c>
      <c r="B299" s="24">
        <v>10</v>
      </c>
      <c r="C299" s="24">
        <v>10</v>
      </c>
      <c r="D299" s="24">
        <v>0</v>
      </c>
      <c r="E299" s="24" t="s">
        <v>2178</v>
      </c>
    </row>
    <row r="300" spans="1:5" ht="15.75" customHeight="1" x14ac:dyDescent="0.4">
      <c r="A300" s="24" t="s">
        <v>347</v>
      </c>
      <c r="B300" s="24">
        <v>3</v>
      </c>
      <c r="C300" s="24">
        <v>3</v>
      </c>
      <c r="D300" s="24">
        <v>0</v>
      </c>
      <c r="E300" s="24" t="s">
        <v>2178</v>
      </c>
    </row>
    <row r="301" spans="1:5" ht="15.75" customHeight="1" x14ac:dyDescent="0.4">
      <c r="A301" s="24" t="s">
        <v>1118</v>
      </c>
      <c r="B301" s="24">
        <v>3</v>
      </c>
      <c r="C301" s="24">
        <v>1</v>
      </c>
      <c r="D301" s="24">
        <v>0</v>
      </c>
      <c r="E301" s="24" t="s">
        <v>2178</v>
      </c>
    </row>
    <row r="302" spans="1:5" ht="15.75" customHeight="1" x14ac:dyDescent="0.4">
      <c r="A302" s="24" t="s">
        <v>974</v>
      </c>
      <c r="B302" s="24">
        <v>10</v>
      </c>
      <c r="C302" s="24">
        <v>6</v>
      </c>
      <c r="D302" s="24">
        <v>4</v>
      </c>
      <c r="E302" s="24" t="s">
        <v>2178</v>
      </c>
    </row>
    <row r="303" spans="1:5" ht="15.75" customHeight="1" x14ac:dyDescent="0.4">
      <c r="A303" s="24" t="s">
        <v>489</v>
      </c>
      <c r="B303" s="24">
        <v>10</v>
      </c>
      <c r="C303" s="24">
        <v>9</v>
      </c>
      <c r="D303" s="24">
        <v>0</v>
      </c>
      <c r="E303" s="24" t="s">
        <v>2178</v>
      </c>
    </row>
    <row r="304" spans="1:5" ht="15.75" customHeight="1" x14ac:dyDescent="0.4">
      <c r="A304" s="24" t="s">
        <v>1146</v>
      </c>
      <c r="B304" s="24">
        <v>10</v>
      </c>
      <c r="C304" s="24">
        <v>8</v>
      </c>
      <c r="D304" s="24">
        <v>3</v>
      </c>
      <c r="E304" s="24" t="s">
        <v>2178</v>
      </c>
    </row>
    <row r="305" spans="1:5" ht="15.75" customHeight="1" x14ac:dyDescent="0.4">
      <c r="A305" s="24" t="s">
        <v>1828</v>
      </c>
      <c r="B305" s="24">
        <v>10</v>
      </c>
      <c r="C305" s="24">
        <v>8</v>
      </c>
      <c r="D305" s="24">
        <v>1</v>
      </c>
      <c r="E305" s="24" t="s">
        <v>2178</v>
      </c>
    </row>
    <row r="306" spans="1:5" ht="15.75" customHeight="1" x14ac:dyDescent="0.4">
      <c r="A306" s="24" t="s">
        <v>861</v>
      </c>
      <c r="B306" s="24">
        <v>6</v>
      </c>
      <c r="C306" s="24">
        <v>4</v>
      </c>
      <c r="D306" s="24">
        <v>2</v>
      </c>
      <c r="E306" s="24" t="s">
        <v>2178</v>
      </c>
    </row>
    <row r="307" spans="1:5" ht="15.75" customHeight="1" x14ac:dyDescent="0.4">
      <c r="A307" s="24" t="s">
        <v>2033</v>
      </c>
      <c r="B307" s="24">
        <v>10</v>
      </c>
      <c r="C307" s="24">
        <v>10</v>
      </c>
      <c r="D307" s="24">
        <v>1</v>
      </c>
      <c r="E307" s="24" t="s">
        <v>2178</v>
      </c>
    </row>
    <row r="308" spans="1:5" ht="15.75" customHeight="1" x14ac:dyDescent="0.4">
      <c r="A308" s="24" t="s">
        <v>1986</v>
      </c>
      <c r="B308" s="24">
        <v>5</v>
      </c>
      <c r="C308" s="24">
        <v>2</v>
      </c>
      <c r="D308" s="24">
        <v>0</v>
      </c>
      <c r="E308" s="24" t="s">
        <v>2178</v>
      </c>
    </row>
    <row r="309" spans="1:5" ht="15.75" customHeight="1" x14ac:dyDescent="0.4">
      <c r="A309" s="24" t="s">
        <v>463</v>
      </c>
      <c r="B309" s="24">
        <v>10</v>
      </c>
      <c r="C309" s="24">
        <v>8</v>
      </c>
      <c r="D309" s="24">
        <v>0</v>
      </c>
      <c r="E309" s="24" t="s">
        <v>2178</v>
      </c>
    </row>
    <row r="310" spans="1:5" ht="15.75" customHeight="1" x14ac:dyDescent="0.4">
      <c r="A310" s="24" t="s">
        <v>1291</v>
      </c>
      <c r="B310" s="24">
        <v>10</v>
      </c>
      <c r="C310" s="24">
        <v>10</v>
      </c>
      <c r="D310" s="24">
        <v>3</v>
      </c>
      <c r="E310" s="24" t="s">
        <v>2178</v>
      </c>
    </row>
    <row r="311" spans="1:5" ht="15.75" customHeight="1" x14ac:dyDescent="0.4">
      <c r="A311" s="24" t="s">
        <v>1056</v>
      </c>
      <c r="B311" s="24">
        <v>10</v>
      </c>
      <c r="C311" s="24">
        <v>9</v>
      </c>
      <c r="D311" s="24">
        <v>2</v>
      </c>
      <c r="E311" s="24" t="s">
        <v>2178</v>
      </c>
    </row>
    <row r="312" spans="1:5" ht="15.75" customHeight="1" x14ac:dyDescent="0.4">
      <c r="A312" s="24" t="s">
        <v>1402</v>
      </c>
      <c r="B312" s="24">
        <v>3</v>
      </c>
      <c r="C312" s="24">
        <v>0</v>
      </c>
      <c r="D312" s="24">
        <v>0</v>
      </c>
      <c r="E312" s="24" t="s">
        <v>2178</v>
      </c>
    </row>
    <row r="313" spans="1:5" ht="15.75" customHeight="1" x14ac:dyDescent="0.4">
      <c r="A313" s="24" t="s">
        <v>1846</v>
      </c>
      <c r="B313" s="24">
        <v>3</v>
      </c>
      <c r="C313" s="24">
        <v>3</v>
      </c>
      <c r="D313" s="24">
        <v>0</v>
      </c>
      <c r="E313" s="24" t="s">
        <v>2178</v>
      </c>
    </row>
    <row r="314" spans="1:5" ht="15.75" customHeight="1" x14ac:dyDescent="0.4">
      <c r="A314" s="24" t="s">
        <v>2110</v>
      </c>
      <c r="B314" s="24">
        <v>10</v>
      </c>
      <c r="C314" s="24">
        <v>10</v>
      </c>
      <c r="D314" s="24">
        <v>2</v>
      </c>
      <c r="E314" s="24" t="s">
        <v>2178</v>
      </c>
    </row>
    <row r="315" spans="1:5" ht="15.75" customHeight="1" x14ac:dyDescent="0.4">
      <c r="A315" s="24" t="s">
        <v>792</v>
      </c>
      <c r="B315" s="24">
        <v>10</v>
      </c>
      <c r="C315" s="24">
        <v>9</v>
      </c>
      <c r="D315" s="24">
        <v>4</v>
      </c>
      <c r="E315" s="24" t="s">
        <v>2178</v>
      </c>
    </row>
    <row r="316" spans="1:5" ht="15.75" customHeight="1" x14ac:dyDescent="0.4">
      <c r="A316" s="24" t="s">
        <v>1962</v>
      </c>
      <c r="B316" s="24">
        <v>3</v>
      </c>
      <c r="C316" s="24">
        <v>3</v>
      </c>
      <c r="D316" s="24">
        <v>1</v>
      </c>
      <c r="E316" s="24" t="s">
        <v>2178</v>
      </c>
    </row>
    <row r="317" spans="1:5" ht="15.75" customHeight="1" x14ac:dyDescent="0.4">
      <c r="A317" s="24" t="s">
        <v>1293</v>
      </c>
      <c r="B317" s="24">
        <v>10</v>
      </c>
      <c r="C317" s="24">
        <v>8</v>
      </c>
      <c r="D317" s="24">
        <v>2</v>
      </c>
      <c r="E317" s="24" t="s">
        <v>2178</v>
      </c>
    </row>
    <row r="318" spans="1:5" ht="15.75" customHeight="1" x14ac:dyDescent="0.4">
      <c r="A318" s="24" t="s">
        <v>2039</v>
      </c>
      <c r="B318" s="24">
        <v>0</v>
      </c>
      <c r="C318" s="24">
        <v>0</v>
      </c>
      <c r="D318" s="24">
        <v>0</v>
      </c>
      <c r="E318" s="24" t="s">
        <v>2178</v>
      </c>
    </row>
    <row r="319" spans="1:5" ht="15.75" customHeight="1" x14ac:dyDescent="0.4">
      <c r="A319" s="24" t="s">
        <v>401</v>
      </c>
      <c r="B319" s="24">
        <v>3</v>
      </c>
      <c r="C319" s="24">
        <v>3</v>
      </c>
      <c r="D319" s="24">
        <v>2</v>
      </c>
      <c r="E319" s="24" t="s">
        <v>2178</v>
      </c>
    </row>
    <row r="320" spans="1:5" ht="15.75" customHeight="1" x14ac:dyDescent="0.4">
      <c r="A320" s="24" t="s">
        <v>1099</v>
      </c>
      <c r="B320" s="24">
        <v>3</v>
      </c>
      <c r="C320" s="24">
        <v>2</v>
      </c>
      <c r="D320" s="24">
        <v>2</v>
      </c>
      <c r="E320" s="24" t="s">
        <v>2178</v>
      </c>
    </row>
    <row r="321" spans="1:5" ht="15.75" customHeight="1" x14ac:dyDescent="0.4">
      <c r="A321" s="24" t="s">
        <v>233</v>
      </c>
      <c r="B321" s="24">
        <v>10</v>
      </c>
      <c r="C321" s="24">
        <v>7</v>
      </c>
      <c r="D321" s="24">
        <v>3</v>
      </c>
      <c r="E321" s="24" t="s">
        <v>2178</v>
      </c>
    </row>
    <row r="322" spans="1:5" ht="15.75" customHeight="1" x14ac:dyDescent="0.4">
      <c r="A322" s="24" t="s">
        <v>1066</v>
      </c>
      <c r="B322" s="24">
        <v>8</v>
      </c>
      <c r="C322" s="24">
        <v>7</v>
      </c>
      <c r="D322" s="24">
        <v>3</v>
      </c>
      <c r="E322" s="24" t="s">
        <v>2178</v>
      </c>
    </row>
    <row r="323" spans="1:5" ht="15.75" customHeight="1" x14ac:dyDescent="0.4">
      <c r="A323" s="24" t="s">
        <v>1588</v>
      </c>
      <c r="B323" s="24">
        <v>10</v>
      </c>
      <c r="C323" s="24">
        <v>10</v>
      </c>
      <c r="D323" s="24">
        <v>3</v>
      </c>
      <c r="E323" s="24" t="s">
        <v>2178</v>
      </c>
    </row>
    <row r="324" spans="1:5" ht="15.75" customHeight="1" x14ac:dyDescent="0.4">
      <c r="A324" s="24" t="s">
        <v>1018</v>
      </c>
      <c r="B324" s="24">
        <v>10</v>
      </c>
      <c r="C324" s="24">
        <v>9</v>
      </c>
      <c r="D324" s="24">
        <v>0</v>
      </c>
      <c r="E324" s="24" t="s">
        <v>2178</v>
      </c>
    </row>
    <row r="325" spans="1:5" ht="15.75" customHeight="1" x14ac:dyDescent="0.4">
      <c r="A325" s="24" t="s">
        <v>1369</v>
      </c>
      <c r="B325" s="24">
        <v>10</v>
      </c>
      <c r="C325" s="24">
        <v>3</v>
      </c>
      <c r="D325" s="24">
        <v>4</v>
      </c>
      <c r="E325" s="24" t="s">
        <v>2178</v>
      </c>
    </row>
    <row r="326" spans="1:5" ht="15.75" customHeight="1" x14ac:dyDescent="0.4">
      <c r="A326" s="24" t="s">
        <v>475</v>
      </c>
      <c r="B326" s="24">
        <v>10</v>
      </c>
      <c r="C326" s="24">
        <v>8</v>
      </c>
      <c r="D326" s="24">
        <v>0</v>
      </c>
      <c r="E326" s="24" t="s">
        <v>2178</v>
      </c>
    </row>
    <row r="327" spans="1:5" ht="15.75" customHeight="1" x14ac:dyDescent="0.4">
      <c r="A327" s="24" t="s">
        <v>223</v>
      </c>
      <c r="B327" s="24">
        <v>3</v>
      </c>
      <c r="C327" s="24">
        <v>3</v>
      </c>
      <c r="D327" s="24">
        <v>0</v>
      </c>
      <c r="E327" s="24" t="s">
        <v>2178</v>
      </c>
    </row>
    <row r="328" spans="1:5" ht="15.75" customHeight="1" x14ac:dyDescent="0.4">
      <c r="A328" s="24" t="s">
        <v>1093</v>
      </c>
      <c r="B328" s="24">
        <v>10</v>
      </c>
      <c r="C328" s="24">
        <v>10</v>
      </c>
      <c r="D328" s="24">
        <v>2</v>
      </c>
      <c r="E328" s="24" t="s">
        <v>2178</v>
      </c>
    </row>
    <row r="329" spans="1:5" ht="15.75" customHeight="1" x14ac:dyDescent="0.4">
      <c r="A329" s="24" t="s">
        <v>457</v>
      </c>
      <c r="B329" s="24">
        <v>3</v>
      </c>
      <c r="C329" s="24">
        <v>2</v>
      </c>
      <c r="D329" s="24">
        <v>0</v>
      </c>
      <c r="E329" s="24" t="s">
        <v>2178</v>
      </c>
    </row>
    <row r="330" spans="1:5" ht="15.75" customHeight="1" x14ac:dyDescent="0.4">
      <c r="A330" s="24" t="s">
        <v>1032</v>
      </c>
      <c r="B330" s="24">
        <v>3</v>
      </c>
      <c r="C330" s="24">
        <v>3</v>
      </c>
      <c r="D330" s="24">
        <v>2</v>
      </c>
      <c r="E330" s="24" t="s">
        <v>2178</v>
      </c>
    </row>
    <row r="331" spans="1:5" ht="15.75" customHeight="1" x14ac:dyDescent="0.4">
      <c r="A331" s="24" t="s">
        <v>726</v>
      </c>
      <c r="B331" s="24">
        <v>10</v>
      </c>
      <c r="C331" s="24">
        <v>8</v>
      </c>
      <c r="D331" s="24">
        <v>1</v>
      </c>
      <c r="E331" s="24" t="s">
        <v>2178</v>
      </c>
    </row>
    <row r="332" spans="1:5" ht="15.75" customHeight="1" x14ac:dyDescent="0.4">
      <c r="A332" s="24" t="s">
        <v>1154</v>
      </c>
      <c r="B332" s="24">
        <v>10</v>
      </c>
      <c r="C332" s="24">
        <v>9</v>
      </c>
      <c r="D332" s="24">
        <v>0</v>
      </c>
      <c r="E332" s="24" t="s">
        <v>2178</v>
      </c>
    </row>
    <row r="333" spans="1:5" ht="15.75" customHeight="1" x14ac:dyDescent="0.4">
      <c r="A333" s="24" t="s">
        <v>1993</v>
      </c>
      <c r="B333" s="24">
        <v>3</v>
      </c>
      <c r="C333" s="24">
        <v>1</v>
      </c>
      <c r="D333" s="24">
        <v>0</v>
      </c>
      <c r="E333" s="24" t="s">
        <v>2178</v>
      </c>
    </row>
    <row r="334" spans="1:5" ht="15.75" customHeight="1" x14ac:dyDescent="0.4">
      <c r="A334" s="24" t="s">
        <v>1760</v>
      </c>
      <c r="B334" s="24">
        <v>3</v>
      </c>
      <c r="C334" s="24">
        <v>2</v>
      </c>
      <c r="D334" s="24">
        <v>1</v>
      </c>
      <c r="E334" s="24" t="s">
        <v>2178</v>
      </c>
    </row>
    <row r="335" spans="1:5" ht="15.75" customHeight="1" x14ac:dyDescent="0.4">
      <c r="A335" s="24" t="s">
        <v>1908</v>
      </c>
      <c r="B335" s="24">
        <v>10</v>
      </c>
      <c r="C335" s="24">
        <v>8</v>
      </c>
      <c r="D335" s="24">
        <v>3</v>
      </c>
      <c r="E335" s="24" t="s">
        <v>2178</v>
      </c>
    </row>
    <row r="336" spans="1:5" ht="15.75" customHeight="1" x14ac:dyDescent="0.4">
      <c r="A336" s="24" t="s">
        <v>1711</v>
      </c>
      <c r="B336" s="24">
        <v>10</v>
      </c>
      <c r="C336" s="24">
        <v>9</v>
      </c>
      <c r="D336" s="24">
        <v>1</v>
      </c>
      <c r="E336" s="24" t="s">
        <v>2178</v>
      </c>
    </row>
    <row r="337" spans="1:5" ht="15.75" customHeight="1" x14ac:dyDescent="0.4">
      <c r="A337" s="24" t="s">
        <v>519</v>
      </c>
      <c r="B337" s="24">
        <v>8</v>
      </c>
      <c r="C337" s="24">
        <v>7</v>
      </c>
      <c r="D337" s="24">
        <v>2</v>
      </c>
      <c r="E337" s="24" t="s">
        <v>2178</v>
      </c>
    </row>
    <row r="338" spans="1:5" ht="15.75" customHeight="1" x14ac:dyDescent="0.4">
      <c r="A338" s="24" t="s">
        <v>1851</v>
      </c>
      <c r="B338" s="24">
        <v>3</v>
      </c>
      <c r="C338" s="24">
        <v>2</v>
      </c>
      <c r="D338" s="24">
        <v>0</v>
      </c>
      <c r="E338" s="24" t="s">
        <v>2178</v>
      </c>
    </row>
    <row r="339" spans="1:5" ht="15.75" customHeight="1" x14ac:dyDescent="0.4">
      <c r="A339" s="24" t="s">
        <v>1757</v>
      </c>
      <c r="B339" s="24">
        <v>10</v>
      </c>
      <c r="C339" s="24">
        <v>8</v>
      </c>
      <c r="D339" s="24">
        <v>0</v>
      </c>
      <c r="E339" s="24" t="s">
        <v>2178</v>
      </c>
    </row>
    <row r="340" spans="1:5" ht="15.75" customHeight="1" x14ac:dyDescent="0.4">
      <c r="A340" s="24" t="s">
        <v>1265</v>
      </c>
      <c r="B340" s="24">
        <v>10</v>
      </c>
      <c r="C340" s="24">
        <v>6</v>
      </c>
      <c r="D340" s="24">
        <v>1</v>
      </c>
      <c r="E340" s="24" t="s">
        <v>2178</v>
      </c>
    </row>
    <row r="341" spans="1:5" ht="15.75" customHeight="1" x14ac:dyDescent="0.4">
      <c r="A341" s="24" t="s">
        <v>443</v>
      </c>
      <c r="B341" s="24">
        <v>10</v>
      </c>
      <c r="C341" s="24">
        <v>9</v>
      </c>
      <c r="D341" s="24">
        <v>6</v>
      </c>
      <c r="E341" s="24" t="s">
        <v>2178</v>
      </c>
    </row>
    <row r="342" spans="1:5" ht="15.75" customHeight="1" x14ac:dyDescent="0.4">
      <c r="A342" s="24" t="s">
        <v>1318</v>
      </c>
      <c r="B342" s="24">
        <v>3</v>
      </c>
      <c r="C342" s="24">
        <v>3</v>
      </c>
      <c r="D342" s="24">
        <v>2</v>
      </c>
      <c r="E342" s="24" t="s">
        <v>2178</v>
      </c>
    </row>
    <row r="343" spans="1:5" ht="15.75" customHeight="1" x14ac:dyDescent="0.4">
      <c r="A343" s="24" t="s">
        <v>1487</v>
      </c>
      <c r="B343" s="24">
        <v>11</v>
      </c>
      <c r="C343" s="24">
        <v>10</v>
      </c>
      <c r="D343" s="24">
        <v>4</v>
      </c>
      <c r="E343" s="24" t="s">
        <v>2178</v>
      </c>
    </row>
    <row r="344" spans="1:5" ht="15.75" customHeight="1" x14ac:dyDescent="0.4">
      <c r="A344" s="24" t="s">
        <v>736</v>
      </c>
      <c r="B344" s="24">
        <v>10</v>
      </c>
      <c r="C344" s="24">
        <v>3</v>
      </c>
      <c r="D344" s="24">
        <v>0</v>
      </c>
      <c r="E344" s="24" t="s">
        <v>2178</v>
      </c>
    </row>
    <row r="345" spans="1:5" ht="15.75" customHeight="1" x14ac:dyDescent="0.4">
      <c r="A345" s="24" t="s">
        <v>1936</v>
      </c>
      <c r="B345" s="24">
        <v>8</v>
      </c>
      <c r="C345" s="24">
        <v>1</v>
      </c>
      <c r="D345" s="24">
        <v>0</v>
      </c>
      <c r="E345" s="24" t="s">
        <v>2178</v>
      </c>
    </row>
    <row r="346" spans="1:5" ht="15.75" customHeight="1" x14ac:dyDescent="0.4">
      <c r="A346" s="24" t="s">
        <v>1422</v>
      </c>
      <c r="B346" s="24">
        <v>5</v>
      </c>
      <c r="C346" s="24">
        <v>5</v>
      </c>
      <c r="D346" s="24">
        <v>0</v>
      </c>
      <c r="E346" s="24" t="s">
        <v>2180</v>
      </c>
    </row>
    <row r="347" spans="1:5" ht="15.75" customHeight="1" x14ac:dyDescent="0.4">
      <c r="A347" s="24" t="s">
        <v>1479</v>
      </c>
      <c r="B347" s="24">
        <v>8</v>
      </c>
      <c r="C347" s="24">
        <v>6</v>
      </c>
      <c r="D347" s="24">
        <v>0</v>
      </c>
      <c r="E347" s="24" t="s">
        <v>2178</v>
      </c>
    </row>
    <row r="348" spans="1:5" ht="15.75" customHeight="1" x14ac:dyDescent="0.4">
      <c r="A348" s="24" t="s">
        <v>1483</v>
      </c>
      <c r="B348" s="24">
        <v>13</v>
      </c>
      <c r="C348" s="24">
        <v>12</v>
      </c>
      <c r="D348" s="24">
        <v>0</v>
      </c>
      <c r="E348" s="24" t="s">
        <v>2178</v>
      </c>
    </row>
    <row r="349" spans="1:5" ht="15.75" customHeight="1" x14ac:dyDescent="0.4">
      <c r="A349" s="24" t="s">
        <v>1166</v>
      </c>
      <c r="B349" s="24">
        <v>13</v>
      </c>
      <c r="C349" s="24">
        <v>12</v>
      </c>
      <c r="D349" s="24">
        <v>3</v>
      </c>
      <c r="E349" s="24" t="s">
        <v>2178</v>
      </c>
    </row>
    <row r="350" spans="1:5" ht="15.75" customHeight="1" x14ac:dyDescent="0.4">
      <c r="A350" s="24" t="s">
        <v>2104</v>
      </c>
      <c r="B350" s="24">
        <v>12</v>
      </c>
      <c r="C350" s="24">
        <v>13</v>
      </c>
      <c r="D350" s="24">
        <v>5</v>
      </c>
      <c r="E350" s="24" t="s">
        <v>2178</v>
      </c>
    </row>
    <row r="351" spans="1:5" ht="15.75" customHeight="1" x14ac:dyDescent="0.4">
      <c r="A351" s="24" t="s">
        <v>1712</v>
      </c>
      <c r="B351" s="24">
        <v>4</v>
      </c>
      <c r="C351" s="24">
        <v>4</v>
      </c>
      <c r="D351" s="24">
        <v>0</v>
      </c>
      <c r="E351" s="24" t="s">
        <v>2178</v>
      </c>
    </row>
    <row r="352" spans="1:5" ht="15.75" customHeight="1" x14ac:dyDescent="0.4">
      <c r="A352" s="24" t="s">
        <v>2133</v>
      </c>
      <c r="B352" s="24">
        <v>6</v>
      </c>
      <c r="C352" s="24">
        <v>6</v>
      </c>
      <c r="D352" s="24">
        <v>1</v>
      </c>
      <c r="E352" s="24" t="s">
        <v>2178</v>
      </c>
    </row>
    <row r="353" spans="1:5" ht="15.75" customHeight="1" x14ac:dyDescent="0.4">
      <c r="A353" s="24" t="s">
        <v>1969</v>
      </c>
      <c r="B353" s="24">
        <v>4</v>
      </c>
      <c r="C353" s="24">
        <v>4</v>
      </c>
      <c r="D353" s="24">
        <v>0</v>
      </c>
      <c r="E353" s="24" t="s">
        <v>2178</v>
      </c>
    </row>
    <row r="354" spans="1:5" ht="15.75" customHeight="1" x14ac:dyDescent="0.4">
      <c r="A354" s="24" t="s">
        <v>933</v>
      </c>
      <c r="B354" s="24">
        <v>13</v>
      </c>
      <c r="C354" s="24">
        <v>12</v>
      </c>
      <c r="D354" s="24">
        <v>3</v>
      </c>
      <c r="E354" s="24" t="s">
        <v>2178</v>
      </c>
    </row>
    <row r="355" spans="1:5" ht="15.75" customHeight="1" x14ac:dyDescent="0.4">
      <c r="A355" s="24" t="s">
        <v>1710</v>
      </c>
      <c r="B355" s="24">
        <v>13</v>
      </c>
      <c r="C355" s="24">
        <v>11</v>
      </c>
      <c r="D355" s="24">
        <v>3</v>
      </c>
      <c r="E355" s="24" t="s">
        <v>2178</v>
      </c>
    </row>
    <row r="356" spans="1:5" ht="15.75" customHeight="1" x14ac:dyDescent="0.4">
      <c r="A356" s="24" t="s">
        <v>1657</v>
      </c>
      <c r="B356" s="24">
        <v>4</v>
      </c>
      <c r="C356" s="24">
        <v>4</v>
      </c>
      <c r="D356" s="24">
        <v>0</v>
      </c>
      <c r="E356" s="24" t="s">
        <v>2178</v>
      </c>
    </row>
    <row r="357" spans="1:5" ht="15.75" customHeight="1" x14ac:dyDescent="0.4">
      <c r="A357" s="24" t="s">
        <v>1790</v>
      </c>
      <c r="B357" s="24">
        <v>12</v>
      </c>
      <c r="C357" s="24">
        <v>9</v>
      </c>
      <c r="D357" s="24">
        <v>6</v>
      </c>
      <c r="E357" s="24" t="s">
        <v>2178</v>
      </c>
    </row>
    <row r="358" spans="1:5" ht="15.75" customHeight="1" x14ac:dyDescent="0.4">
      <c r="A358" s="24" t="s">
        <v>683</v>
      </c>
      <c r="B358" s="24">
        <v>13</v>
      </c>
      <c r="C358" s="24">
        <v>3</v>
      </c>
      <c r="D358" s="24">
        <v>0</v>
      </c>
      <c r="E358" s="24" t="s">
        <v>2178</v>
      </c>
    </row>
    <row r="359" spans="1:5" ht="15.75" customHeight="1" x14ac:dyDescent="0.4">
      <c r="A359" s="24" t="s">
        <v>879</v>
      </c>
      <c r="B359" s="24">
        <v>4</v>
      </c>
      <c r="C359" s="24">
        <v>4</v>
      </c>
      <c r="D359" s="24">
        <v>3</v>
      </c>
      <c r="E359" s="24" t="s">
        <v>2178</v>
      </c>
    </row>
    <row r="360" spans="1:5" ht="15.75" customHeight="1" x14ac:dyDescent="0.4">
      <c r="A360" s="24" t="s">
        <v>1444</v>
      </c>
      <c r="B360" s="24">
        <v>13</v>
      </c>
      <c r="C360" s="24">
        <v>6</v>
      </c>
      <c r="D360" s="24">
        <v>0</v>
      </c>
      <c r="E360" s="24" t="s">
        <v>2178</v>
      </c>
    </row>
    <row r="361" spans="1:5" ht="15.75" customHeight="1" x14ac:dyDescent="0.4">
      <c r="A361" s="24" t="s">
        <v>875</v>
      </c>
      <c r="B361" s="24">
        <v>13</v>
      </c>
      <c r="C361" s="24">
        <v>3</v>
      </c>
      <c r="D361" s="24">
        <v>1</v>
      </c>
      <c r="E361" s="24" t="s">
        <v>2178</v>
      </c>
    </row>
    <row r="362" spans="1:5" ht="15.75" customHeight="1" x14ac:dyDescent="0.4">
      <c r="A362" s="24" t="s">
        <v>2146</v>
      </c>
      <c r="B362" s="24">
        <v>13</v>
      </c>
      <c r="C362" s="24">
        <v>6</v>
      </c>
      <c r="D362" s="24">
        <v>0</v>
      </c>
      <c r="E362" s="24" t="s">
        <v>2178</v>
      </c>
    </row>
    <row r="363" spans="1:5" ht="15.75" customHeight="1" x14ac:dyDescent="0.4">
      <c r="A363" s="24" t="s">
        <v>1708</v>
      </c>
      <c r="B363" s="24">
        <v>12</v>
      </c>
      <c r="C363" s="24">
        <v>7</v>
      </c>
      <c r="D363" s="24">
        <v>0</v>
      </c>
      <c r="E363" s="24" t="s">
        <v>2178</v>
      </c>
    </row>
    <row r="364" spans="1:5" ht="15.75" customHeight="1" x14ac:dyDescent="0.4">
      <c r="A364" s="24" t="s">
        <v>1044</v>
      </c>
      <c r="B364" s="24">
        <v>13</v>
      </c>
      <c r="C364" s="24">
        <v>8</v>
      </c>
      <c r="D364" s="24">
        <v>4</v>
      </c>
      <c r="E364" s="24" t="s">
        <v>2178</v>
      </c>
    </row>
    <row r="365" spans="1:5" ht="15.75" customHeight="1" x14ac:dyDescent="0.4">
      <c r="A365" s="24" t="s">
        <v>877</v>
      </c>
      <c r="B365" s="24">
        <v>26</v>
      </c>
      <c r="C365" s="24">
        <v>16</v>
      </c>
      <c r="D365" s="24">
        <v>3</v>
      </c>
      <c r="E365" s="24" t="s">
        <v>2178</v>
      </c>
    </row>
    <row r="366" spans="1:5" ht="15.75" customHeight="1" x14ac:dyDescent="0.4">
      <c r="A366" s="24" t="s">
        <v>2085</v>
      </c>
      <c r="B366" s="24">
        <v>4</v>
      </c>
      <c r="C366" s="24">
        <v>4</v>
      </c>
      <c r="D366" s="24">
        <v>4</v>
      </c>
      <c r="E366" s="24" t="s">
        <v>2178</v>
      </c>
    </row>
    <row r="367" spans="1:5" ht="15.75" customHeight="1" x14ac:dyDescent="0.4">
      <c r="A367" s="24" t="s">
        <v>1428</v>
      </c>
      <c r="B367" s="24">
        <v>1</v>
      </c>
      <c r="C367" s="24">
        <v>1</v>
      </c>
      <c r="D367" s="24">
        <v>0</v>
      </c>
      <c r="E367" s="24" t="s">
        <v>2181</v>
      </c>
    </row>
    <row r="368" spans="1:5" ht="15.75" customHeight="1" x14ac:dyDescent="0.4">
      <c r="A368" s="24" t="s">
        <v>1731</v>
      </c>
      <c r="B368" s="24">
        <v>10</v>
      </c>
      <c r="C368" s="24">
        <v>10</v>
      </c>
      <c r="D368" s="24">
        <v>4</v>
      </c>
      <c r="E368" s="24" t="s">
        <v>2178</v>
      </c>
    </row>
    <row r="369" spans="1:5" ht="15.75" customHeight="1" x14ac:dyDescent="0.4">
      <c r="A369" s="24" t="s">
        <v>1473</v>
      </c>
      <c r="B369" s="24">
        <v>4</v>
      </c>
      <c r="C369" s="24">
        <v>1</v>
      </c>
      <c r="D369" s="24">
        <v>0</v>
      </c>
      <c r="E369" s="24" t="s">
        <v>2178</v>
      </c>
    </row>
    <row r="370" spans="1:5" ht="15.75" customHeight="1" x14ac:dyDescent="0.4">
      <c r="A370" s="24" t="s">
        <v>1590</v>
      </c>
      <c r="B370" s="24">
        <v>12</v>
      </c>
      <c r="C370" s="24">
        <v>4</v>
      </c>
      <c r="D370" s="24">
        <v>1</v>
      </c>
      <c r="E370" s="24" t="s">
        <v>2178</v>
      </c>
    </row>
    <row r="371" spans="1:5" ht="15.75" customHeight="1" x14ac:dyDescent="0.4">
      <c r="A371" s="24" t="s">
        <v>1254</v>
      </c>
      <c r="B371" s="24">
        <v>13</v>
      </c>
      <c r="C371" s="24">
        <v>4</v>
      </c>
      <c r="D371" s="24">
        <v>1</v>
      </c>
      <c r="E371" s="24" t="s">
        <v>2178</v>
      </c>
    </row>
    <row r="372" spans="1:5" ht="15.75" customHeight="1" x14ac:dyDescent="0.4">
      <c r="A372" s="24" t="s">
        <v>734</v>
      </c>
      <c r="B372" s="24">
        <v>13</v>
      </c>
      <c r="C372" s="24">
        <v>13</v>
      </c>
      <c r="D372" s="24">
        <v>1</v>
      </c>
      <c r="E372" s="24" t="s">
        <v>2178</v>
      </c>
    </row>
    <row r="373" spans="1:5" ht="15.75" customHeight="1" x14ac:dyDescent="0.4">
      <c r="A373" s="24" t="s">
        <v>790</v>
      </c>
      <c r="B373" s="24">
        <v>13</v>
      </c>
      <c r="C373" s="24">
        <v>12</v>
      </c>
      <c r="D373" s="24">
        <v>2</v>
      </c>
      <c r="E373" s="24" t="s">
        <v>2178</v>
      </c>
    </row>
    <row r="374" spans="1:5" ht="15.75" customHeight="1" x14ac:dyDescent="0.4">
      <c r="A374" s="24" t="s">
        <v>1053</v>
      </c>
      <c r="B374" s="24">
        <v>4</v>
      </c>
      <c r="C374" s="24">
        <v>1</v>
      </c>
      <c r="D374" s="24">
        <v>0</v>
      </c>
      <c r="E374" s="24" t="s">
        <v>2178</v>
      </c>
    </row>
    <row r="375" spans="1:5" ht="15.75" customHeight="1" x14ac:dyDescent="0.4">
      <c r="A375" s="24" t="s">
        <v>2006</v>
      </c>
      <c r="B375" s="24">
        <v>12</v>
      </c>
      <c r="C375" s="24">
        <v>11</v>
      </c>
      <c r="D375" s="24">
        <v>6</v>
      </c>
      <c r="E375" s="24" t="s">
        <v>2178</v>
      </c>
    </row>
    <row r="376" spans="1:5" ht="15.75" customHeight="1" x14ac:dyDescent="0.4">
      <c r="A376" s="24" t="s">
        <v>483</v>
      </c>
      <c r="B376" s="24">
        <v>4</v>
      </c>
      <c r="C376" s="24">
        <v>3</v>
      </c>
      <c r="D376" s="24">
        <v>0</v>
      </c>
      <c r="E376" s="24" t="s">
        <v>2178</v>
      </c>
    </row>
    <row r="377" spans="1:5" ht="15.75" customHeight="1" x14ac:dyDescent="0.4">
      <c r="A377" s="24" t="s">
        <v>1207</v>
      </c>
      <c r="B377" s="24">
        <v>13</v>
      </c>
      <c r="C377" s="24">
        <v>10</v>
      </c>
      <c r="D377" s="24">
        <v>2</v>
      </c>
      <c r="E377" s="24" t="s">
        <v>2178</v>
      </c>
    </row>
    <row r="378" spans="1:5" ht="15.75" customHeight="1" x14ac:dyDescent="0.4">
      <c r="A378" s="24" t="s">
        <v>960</v>
      </c>
      <c r="B378" s="24">
        <v>12</v>
      </c>
      <c r="C378" s="24">
        <v>3</v>
      </c>
      <c r="D378" s="24">
        <v>2</v>
      </c>
      <c r="E378" s="24" t="s">
        <v>2178</v>
      </c>
    </row>
    <row r="379" spans="1:5" ht="15.75" customHeight="1" x14ac:dyDescent="0.4">
      <c r="A379" s="24" t="s">
        <v>1468</v>
      </c>
      <c r="B379" s="24">
        <v>4</v>
      </c>
      <c r="C379" s="24">
        <v>3</v>
      </c>
      <c r="D379" s="24">
        <v>1</v>
      </c>
      <c r="E379" s="24" t="s">
        <v>2178</v>
      </c>
    </row>
    <row r="380" spans="1:5" ht="15.75" customHeight="1" x14ac:dyDescent="0.4">
      <c r="A380" s="24" t="s">
        <v>1259</v>
      </c>
      <c r="B380" s="24">
        <v>4</v>
      </c>
      <c r="C380" s="24">
        <v>3</v>
      </c>
      <c r="D380" s="24">
        <v>1</v>
      </c>
      <c r="E380" s="24" t="s">
        <v>2178</v>
      </c>
    </row>
    <row r="381" spans="1:5" ht="15.75" customHeight="1" x14ac:dyDescent="0.4">
      <c r="A381" s="24" t="s">
        <v>2108</v>
      </c>
      <c r="B381" s="24">
        <v>13</v>
      </c>
      <c r="C381" s="24">
        <v>13</v>
      </c>
      <c r="D381" s="24">
        <v>4</v>
      </c>
      <c r="E381" s="24" t="s">
        <v>2178</v>
      </c>
    </row>
    <row r="382" spans="1:5" ht="15.75" customHeight="1" x14ac:dyDescent="0.4">
      <c r="A382" s="24" t="s">
        <v>1119</v>
      </c>
      <c r="B382" s="24">
        <v>13</v>
      </c>
      <c r="C382" s="24">
        <v>6</v>
      </c>
      <c r="D382" s="24">
        <v>2</v>
      </c>
      <c r="E382" s="24" t="s">
        <v>2178</v>
      </c>
    </row>
    <row r="383" spans="1:5" ht="15.75" customHeight="1" x14ac:dyDescent="0.4">
      <c r="A383" s="24" t="s">
        <v>1331</v>
      </c>
      <c r="B383" s="24">
        <v>3</v>
      </c>
      <c r="C383" s="24">
        <v>3</v>
      </c>
      <c r="D383" s="24">
        <v>3</v>
      </c>
      <c r="E383" s="24" t="s">
        <v>2178</v>
      </c>
    </row>
    <row r="384" spans="1:5" ht="15.75" customHeight="1" x14ac:dyDescent="0.4">
      <c r="A384" s="24" t="s">
        <v>1519</v>
      </c>
      <c r="B384" s="24">
        <v>13</v>
      </c>
      <c r="C384" s="24">
        <v>7</v>
      </c>
      <c r="D384" s="24">
        <v>2</v>
      </c>
      <c r="E384" s="24" t="s">
        <v>2178</v>
      </c>
    </row>
    <row r="385" spans="1:5" ht="15.75" customHeight="1" x14ac:dyDescent="0.4">
      <c r="A385" s="24" t="s">
        <v>1055</v>
      </c>
      <c r="B385" s="24">
        <v>5</v>
      </c>
      <c r="C385" s="24">
        <v>3</v>
      </c>
      <c r="D385" s="24">
        <v>1</v>
      </c>
      <c r="E385" s="24" t="s">
        <v>2178</v>
      </c>
    </row>
    <row r="386" spans="1:5" ht="15.75" customHeight="1" x14ac:dyDescent="0.4">
      <c r="A386" s="24" t="s">
        <v>1669</v>
      </c>
      <c r="B386" s="24">
        <v>7</v>
      </c>
      <c r="C386" s="24">
        <v>3</v>
      </c>
      <c r="D386" s="24">
        <v>0</v>
      </c>
      <c r="E386" s="24" t="s">
        <v>2178</v>
      </c>
    </row>
    <row r="387" spans="1:5" ht="15.75" customHeight="1" x14ac:dyDescent="0.4">
      <c r="A387" s="24" t="s">
        <v>1764</v>
      </c>
      <c r="B387" s="24">
        <v>4</v>
      </c>
      <c r="C387" s="24">
        <v>3</v>
      </c>
      <c r="D387" s="24">
        <v>0</v>
      </c>
      <c r="E387" s="24" t="s">
        <v>2178</v>
      </c>
    </row>
    <row r="388" spans="1:5" ht="15.75" customHeight="1" x14ac:dyDescent="0.4">
      <c r="A388" s="24" t="s">
        <v>2126</v>
      </c>
      <c r="B388" s="24">
        <v>13</v>
      </c>
      <c r="C388" s="24">
        <v>8</v>
      </c>
      <c r="D388" s="24">
        <v>2</v>
      </c>
      <c r="E388" s="24" t="s">
        <v>2178</v>
      </c>
    </row>
    <row r="389" spans="1:5" ht="15.75" customHeight="1" x14ac:dyDescent="0.4">
      <c r="A389" s="24" t="s">
        <v>383</v>
      </c>
      <c r="B389" s="24">
        <v>4</v>
      </c>
      <c r="C389" s="24">
        <v>3</v>
      </c>
      <c r="D389" s="24">
        <v>0</v>
      </c>
      <c r="E389" s="24" t="s">
        <v>2178</v>
      </c>
    </row>
    <row r="390" spans="1:5" ht="15.75" customHeight="1" x14ac:dyDescent="0.4">
      <c r="A390" s="24" t="s">
        <v>1830</v>
      </c>
      <c r="B390" s="24">
        <v>13</v>
      </c>
      <c r="C390" s="24">
        <v>8</v>
      </c>
      <c r="D390" s="24">
        <v>3</v>
      </c>
      <c r="E390" s="24" t="s">
        <v>2178</v>
      </c>
    </row>
    <row r="391" spans="1:5" ht="15.75" customHeight="1" x14ac:dyDescent="0.4">
      <c r="A391" s="24" t="s">
        <v>1943</v>
      </c>
      <c r="B391" s="24">
        <v>13</v>
      </c>
      <c r="C391" s="24">
        <v>13</v>
      </c>
      <c r="D391" s="24">
        <v>3</v>
      </c>
      <c r="E391" s="24" t="s">
        <v>2178</v>
      </c>
    </row>
    <row r="392" spans="1:5" ht="15.75" customHeight="1" x14ac:dyDescent="0.4">
      <c r="A392" s="24" t="s">
        <v>2070</v>
      </c>
      <c r="B392" s="24">
        <v>13</v>
      </c>
      <c r="C392" s="24">
        <v>3</v>
      </c>
      <c r="D392" s="24">
        <v>1</v>
      </c>
      <c r="E392" s="24" t="s">
        <v>2178</v>
      </c>
    </row>
    <row r="393" spans="1:5" ht="15.75" customHeight="1" x14ac:dyDescent="0.4">
      <c r="A393" s="24" t="s">
        <v>1789</v>
      </c>
      <c r="B393" s="24">
        <v>4</v>
      </c>
      <c r="C393" s="24">
        <v>4</v>
      </c>
      <c r="D393" s="24">
        <v>0</v>
      </c>
      <c r="E393" s="24" t="s">
        <v>2178</v>
      </c>
    </row>
    <row r="394" spans="1:5" ht="15.75" customHeight="1" x14ac:dyDescent="0.4">
      <c r="A394" s="24" t="s">
        <v>999</v>
      </c>
      <c r="B394" s="24">
        <v>4</v>
      </c>
      <c r="C394" s="24">
        <v>3</v>
      </c>
      <c r="D394" s="24">
        <v>0</v>
      </c>
      <c r="E394" s="24" t="s">
        <v>2178</v>
      </c>
    </row>
    <row r="395" spans="1:5" ht="15.75" customHeight="1" x14ac:dyDescent="0.4">
      <c r="A395" s="24" t="s">
        <v>776</v>
      </c>
      <c r="B395" s="24">
        <v>4</v>
      </c>
      <c r="C395" s="24">
        <v>2</v>
      </c>
      <c r="D395" s="24">
        <v>0</v>
      </c>
      <c r="E395" s="24" t="s">
        <v>2178</v>
      </c>
    </row>
    <row r="396" spans="1:5" ht="15.75" customHeight="1" x14ac:dyDescent="0.4">
      <c r="A396" s="24" t="s">
        <v>1280</v>
      </c>
      <c r="B396" s="24">
        <v>12</v>
      </c>
      <c r="C396" s="24">
        <v>9</v>
      </c>
      <c r="D396" s="24">
        <v>0</v>
      </c>
      <c r="E396" s="24" t="s">
        <v>2178</v>
      </c>
    </row>
    <row r="397" spans="1:5" ht="15.75" customHeight="1" x14ac:dyDescent="0.4">
      <c r="A397" s="24" t="s">
        <v>982</v>
      </c>
      <c r="B397" s="24">
        <v>13</v>
      </c>
      <c r="C397" s="24">
        <v>7</v>
      </c>
      <c r="D397" s="24">
        <v>0</v>
      </c>
      <c r="E397" s="24" t="s">
        <v>2178</v>
      </c>
    </row>
    <row r="398" spans="1:5" ht="15.75" customHeight="1" x14ac:dyDescent="0.4">
      <c r="A398" s="24" t="s">
        <v>1650</v>
      </c>
      <c r="B398" s="24">
        <v>3</v>
      </c>
      <c r="C398" s="24">
        <v>2</v>
      </c>
      <c r="D398" s="24">
        <v>0</v>
      </c>
      <c r="E398" s="24" t="s">
        <v>2178</v>
      </c>
    </row>
    <row r="399" spans="1:5" ht="15.75" customHeight="1" x14ac:dyDescent="0.4">
      <c r="A399" s="24" t="s">
        <v>361</v>
      </c>
      <c r="B399" s="24">
        <v>4</v>
      </c>
      <c r="C399" s="24">
        <v>2</v>
      </c>
      <c r="D399" s="24">
        <v>0</v>
      </c>
      <c r="E399" s="24" t="s">
        <v>2178</v>
      </c>
    </row>
    <row r="400" spans="1:5" ht="15.75" customHeight="1" x14ac:dyDescent="0.4">
      <c r="A400" s="24" t="s">
        <v>1398</v>
      </c>
      <c r="B400" s="24">
        <v>13</v>
      </c>
      <c r="C400" s="24">
        <v>10</v>
      </c>
      <c r="D400" s="24">
        <v>0</v>
      </c>
      <c r="E400" s="24" t="s">
        <v>2178</v>
      </c>
    </row>
    <row r="401" spans="1:5" ht="15.75" customHeight="1" x14ac:dyDescent="0.4">
      <c r="A401" s="24" t="s">
        <v>1793</v>
      </c>
      <c r="B401" s="24">
        <v>13</v>
      </c>
      <c r="C401" s="24">
        <v>12</v>
      </c>
      <c r="D401" s="24">
        <v>1</v>
      </c>
      <c r="E401" s="24" t="s">
        <v>2179</v>
      </c>
    </row>
    <row r="402" spans="1:5" ht="15.75" customHeight="1" x14ac:dyDescent="0.4">
      <c r="A402" s="24" t="s">
        <v>2097</v>
      </c>
      <c r="B402" s="24">
        <v>10</v>
      </c>
      <c r="C402" s="24">
        <v>8</v>
      </c>
      <c r="D402" s="24">
        <v>2</v>
      </c>
      <c r="E402" s="24" t="s">
        <v>2178</v>
      </c>
    </row>
    <row r="403" spans="1:5" ht="15.75" customHeight="1" x14ac:dyDescent="0.4">
      <c r="A403" s="24" t="s">
        <v>1902</v>
      </c>
      <c r="B403" s="24">
        <v>13</v>
      </c>
      <c r="C403" s="24">
        <v>12</v>
      </c>
      <c r="D403" s="24">
        <v>1</v>
      </c>
      <c r="E403" s="24" t="s">
        <v>2178</v>
      </c>
    </row>
    <row r="404" spans="1:5" ht="15.75" customHeight="1" x14ac:dyDescent="0.4">
      <c r="A404" s="24" t="s">
        <v>2120</v>
      </c>
      <c r="B404" s="24">
        <v>13</v>
      </c>
      <c r="C404" s="24">
        <v>0</v>
      </c>
      <c r="D404" s="24">
        <v>2</v>
      </c>
      <c r="E404" s="24" t="s">
        <v>2178</v>
      </c>
    </row>
    <row r="405" spans="1:5" ht="15.75" customHeight="1" x14ac:dyDescent="0.4">
      <c r="A405" s="24" t="s">
        <v>381</v>
      </c>
      <c r="B405" s="24">
        <v>13</v>
      </c>
      <c r="C405" s="24">
        <v>9</v>
      </c>
      <c r="D405" s="24">
        <v>2</v>
      </c>
      <c r="E405" s="24" t="s">
        <v>2178</v>
      </c>
    </row>
    <row r="406" spans="1:5" ht="15.75" customHeight="1" x14ac:dyDescent="0.4">
      <c r="A406" s="24" t="s">
        <v>447</v>
      </c>
      <c r="B406" s="24">
        <v>13</v>
      </c>
      <c r="C406" s="24">
        <v>13</v>
      </c>
      <c r="D406" s="24">
        <v>3</v>
      </c>
      <c r="E406" s="24" t="s">
        <v>2178</v>
      </c>
    </row>
    <row r="407" spans="1:5" ht="15.75" customHeight="1" x14ac:dyDescent="0.4">
      <c r="A407" s="24" t="s">
        <v>897</v>
      </c>
      <c r="B407" s="24">
        <v>13</v>
      </c>
      <c r="C407" s="24">
        <v>8</v>
      </c>
      <c r="D407" s="24">
        <v>0</v>
      </c>
      <c r="E407" s="24" t="s">
        <v>2178</v>
      </c>
    </row>
    <row r="408" spans="1:5" ht="15.75" customHeight="1" x14ac:dyDescent="0.4">
      <c r="A408" s="24" t="s">
        <v>559</v>
      </c>
      <c r="B408" s="24">
        <v>13</v>
      </c>
      <c r="C408" s="24">
        <v>4</v>
      </c>
      <c r="D408" s="24">
        <v>1</v>
      </c>
      <c r="E408" s="24" t="s">
        <v>2178</v>
      </c>
    </row>
    <row r="409" spans="1:5" ht="15.75" customHeight="1" x14ac:dyDescent="0.4">
      <c r="A409" s="24" t="s">
        <v>1239</v>
      </c>
      <c r="B409" s="24">
        <v>13</v>
      </c>
      <c r="C409" s="24">
        <v>10</v>
      </c>
      <c r="D409" s="24">
        <v>0</v>
      </c>
      <c r="E409" s="24" t="s">
        <v>2180</v>
      </c>
    </row>
    <row r="410" spans="1:5" ht="15.75" customHeight="1" x14ac:dyDescent="0.4">
      <c r="A410" s="24" t="s">
        <v>1676</v>
      </c>
      <c r="B410" s="24">
        <v>10</v>
      </c>
      <c r="C410" s="24">
        <v>9</v>
      </c>
      <c r="D410" s="24">
        <v>2</v>
      </c>
      <c r="E410" s="24" t="s">
        <v>2178</v>
      </c>
    </row>
    <row r="411" spans="1:5" ht="15.75" customHeight="1" x14ac:dyDescent="0.4">
      <c r="A411" s="24" t="s">
        <v>1734</v>
      </c>
      <c r="B411" s="24">
        <v>10</v>
      </c>
      <c r="C411" s="24">
        <v>10</v>
      </c>
      <c r="D411" s="24">
        <v>3</v>
      </c>
      <c r="E411" s="24" t="s">
        <v>2178</v>
      </c>
    </row>
    <row r="412" spans="1:5" ht="15.75" customHeight="1" x14ac:dyDescent="0.4">
      <c r="A412" s="24" t="s">
        <v>1441</v>
      </c>
      <c r="B412" s="24">
        <v>12</v>
      </c>
      <c r="C412" s="24">
        <v>8</v>
      </c>
      <c r="D412" s="24">
        <v>0</v>
      </c>
      <c r="E412" s="24" t="s">
        <v>2178</v>
      </c>
    </row>
    <row r="413" spans="1:5" ht="15.75" customHeight="1" x14ac:dyDescent="0.4">
      <c r="A413" s="24" t="s">
        <v>1707</v>
      </c>
      <c r="B413" s="24">
        <v>12</v>
      </c>
      <c r="C413" s="24">
        <v>10</v>
      </c>
      <c r="D413" s="24">
        <v>1</v>
      </c>
      <c r="E413" s="24" t="s">
        <v>2178</v>
      </c>
    </row>
    <row r="414" spans="1:5" ht="15.75" customHeight="1" x14ac:dyDescent="0.4">
      <c r="A414" s="24" t="s">
        <v>1572</v>
      </c>
      <c r="B414" s="24">
        <v>8</v>
      </c>
      <c r="C414" s="24">
        <v>7</v>
      </c>
      <c r="D414" s="24">
        <v>1</v>
      </c>
      <c r="E414" s="24" t="s">
        <v>2178</v>
      </c>
    </row>
    <row r="415" spans="1:5" ht="15.75" customHeight="1" x14ac:dyDescent="0.4">
      <c r="A415" s="24" t="s">
        <v>1656</v>
      </c>
      <c r="B415" s="24">
        <v>4</v>
      </c>
      <c r="C415" s="24">
        <v>3</v>
      </c>
      <c r="D415" s="24">
        <v>0</v>
      </c>
      <c r="E415" s="24" t="s">
        <v>2178</v>
      </c>
    </row>
    <row r="416" spans="1:5" ht="15.75" customHeight="1" x14ac:dyDescent="0.4">
      <c r="A416" s="24" t="s">
        <v>1313</v>
      </c>
      <c r="B416" s="24">
        <v>4</v>
      </c>
      <c r="C416" s="24">
        <v>4</v>
      </c>
      <c r="D416" s="24">
        <v>1</v>
      </c>
      <c r="E416" s="24" t="s">
        <v>2178</v>
      </c>
    </row>
    <row r="417" spans="1:5" ht="15.75" customHeight="1" x14ac:dyDescent="0.4">
      <c r="A417" s="24" t="s">
        <v>1332</v>
      </c>
      <c r="B417" s="24">
        <v>13</v>
      </c>
      <c r="C417" s="24">
        <v>12</v>
      </c>
      <c r="D417" s="24">
        <v>2</v>
      </c>
      <c r="E417" s="24" t="s">
        <v>2178</v>
      </c>
    </row>
    <row r="418" spans="1:5" ht="15.75" customHeight="1" x14ac:dyDescent="0.4">
      <c r="A418" s="24" t="s">
        <v>880</v>
      </c>
      <c r="B418" s="24">
        <v>13</v>
      </c>
      <c r="C418" s="24">
        <v>12</v>
      </c>
      <c r="D418" s="24">
        <v>5</v>
      </c>
      <c r="E418" s="24" t="s">
        <v>2178</v>
      </c>
    </row>
    <row r="419" spans="1:5" ht="15.75" customHeight="1" x14ac:dyDescent="0.4">
      <c r="A419" s="24" t="s">
        <v>403</v>
      </c>
      <c r="B419" s="24">
        <v>10</v>
      </c>
      <c r="C419" s="24">
        <v>3</v>
      </c>
      <c r="D419" s="24">
        <v>2</v>
      </c>
      <c r="E419" s="24" t="s">
        <v>2178</v>
      </c>
    </row>
    <row r="420" spans="1:5" ht="15.75" customHeight="1" x14ac:dyDescent="0.4">
      <c r="A420" s="24" t="s">
        <v>495</v>
      </c>
      <c r="B420" s="24">
        <v>4</v>
      </c>
      <c r="C420" s="24">
        <v>0</v>
      </c>
      <c r="D420" s="24">
        <v>0</v>
      </c>
      <c r="E420" s="24" t="s">
        <v>2178</v>
      </c>
    </row>
    <row r="421" spans="1:5" ht="15.75" customHeight="1" x14ac:dyDescent="0.4">
      <c r="A421" s="24" t="s">
        <v>1017</v>
      </c>
      <c r="B421" s="24">
        <v>13</v>
      </c>
      <c r="C421" s="24">
        <v>5</v>
      </c>
      <c r="D421" s="24">
        <v>0</v>
      </c>
      <c r="E421" s="24" t="s">
        <v>2178</v>
      </c>
    </row>
    <row r="422" spans="1:5" ht="15.75" customHeight="1" x14ac:dyDescent="0.4">
      <c r="A422" s="24" t="s">
        <v>1012</v>
      </c>
      <c r="B422" s="24">
        <v>8</v>
      </c>
      <c r="C422" s="24">
        <v>6</v>
      </c>
      <c r="D422" s="24">
        <v>1</v>
      </c>
      <c r="E422" s="24" t="s">
        <v>2178</v>
      </c>
    </row>
    <row r="423" spans="1:5" ht="15.75" customHeight="1" x14ac:dyDescent="0.4">
      <c r="A423" s="24" t="s">
        <v>2020</v>
      </c>
      <c r="B423" s="24">
        <v>3</v>
      </c>
      <c r="C423" s="24">
        <v>3</v>
      </c>
      <c r="D423" s="24">
        <v>2</v>
      </c>
      <c r="E423" s="24" t="s">
        <v>2178</v>
      </c>
    </row>
    <row r="424" spans="1:5" ht="15.75" customHeight="1" x14ac:dyDescent="0.4">
      <c r="A424" s="24" t="s">
        <v>575</v>
      </c>
      <c r="B424" s="24">
        <v>13</v>
      </c>
      <c r="C424" s="24">
        <v>10</v>
      </c>
      <c r="D424" s="24">
        <v>0</v>
      </c>
      <c r="E424" s="24" t="s">
        <v>2178</v>
      </c>
    </row>
    <row r="425" spans="1:5" ht="15.75" customHeight="1" x14ac:dyDescent="0.4">
      <c r="A425" s="24" t="s">
        <v>1991</v>
      </c>
      <c r="B425" s="24">
        <v>4</v>
      </c>
      <c r="C425" s="24">
        <v>4</v>
      </c>
      <c r="D425" s="24">
        <v>1</v>
      </c>
      <c r="E425" s="24" t="s">
        <v>2178</v>
      </c>
    </row>
    <row r="426" spans="1:5" ht="15.75" customHeight="1" x14ac:dyDescent="0.4">
      <c r="A426" s="24" t="s">
        <v>957</v>
      </c>
      <c r="B426" s="24">
        <v>13</v>
      </c>
      <c r="C426" s="24">
        <v>9</v>
      </c>
      <c r="D426" s="24">
        <v>1</v>
      </c>
      <c r="E426" s="24" t="s">
        <v>2178</v>
      </c>
    </row>
    <row r="427" spans="1:5" ht="15.75" customHeight="1" x14ac:dyDescent="0.4">
      <c r="A427" s="24" t="s">
        <v>557</v>
      </c>
      <c r="B427" s="24">
        <v>12</v>
      </c>
      <c r="C427" s="24">
        <v>8</v>
      </c>
      <c r="D427" s="24">
        <v>1</v>
      </c>
      <c r="E427" s="24" t="s">
        <v>2178</v>
      </c>
    </row>
    <row r="428" spans="1:5" ht="15.75" customHeight="1" x14ac:dyDescent="0.4">
      <c r="A428" s="24" t="s">
        <v>387</v>
      </c>
      <c r="B428" s="24">
        <v>13</v>
      </c>
      <c r="C428" s="24">
        <v>4</v>
      </c>
      <c r="D428" s="24">
        <v>1</v>
      </c>
      <c r="E428" s="24" t="s">
        <v>2178</v>
      </c>
    </row>
    <row r="429" spans="1:5" ht="15.75" customHeight="1" x14ac:dyDescent="0.4">
      <c r="A429" s="24" t="s">
        <v>845</v>
      </c>
      <c r="B429" s="24">
        <v>13</v>
      </c>
      <c r="C429" s="24">
        <v>1</v>
      </c>
      <c r="D429" s="24">
        <v>0</v>
      </c>
      <c r="E429" s="24" t="s">
        <v>2178</v>
      </c>
    </row>
    <row r="430" spans="1:5" ht="15.75" customHeight="1" x14ac:dyDescent="0.4">
      <c r="A430" s="24" t="s">
        <v>1348</v>
      </c>
      <c r="B430" s="24">
        <v>4</v>
      </c>
      <c r="C430" s="24">
        <v>4</v>
      </c>
      <c r="D430" s="24">
        <v>2</v>
      </c>
      <c r="E430" s="24" t="s">
        <v>2178</v>
      </c>
    </row>
    <row r="431" spans="1:5" ht="15.75" customHeight="1" x14ac:dyDescent="0.4">
      <c r="A431" s="24" t="s">
        <v>681</v>
      </c>
      <c r="B431" s="24">
        <v>13</v>
      </c>
      <c r="C431" s="24">
        <v>9</v>
      </c>
      <c r="D431" s="24">
        <v>1</v>
      </c>
      <c r="E431" s="24" t="s">
        <v>2178</v>
      </c>
    </row>
    <row r="432" spans="1:5" ht="15.75" customHeight="1" x14ac:dyDescent="0.4">
      <c r="A432" s="24" t="s">
        <v>1974</v>
      </c>
      <c r="B432" s="24">
        <v>4</v>
      </c>
      <c r="C432" s="24">
        <v>1</v>
      </c>
      <c r="D432" s="24">
        <v>1</v>
      </c>
      <c r="E432" s="24" t="s">
        <v>2178</v>
      </c>
    </row>
    <row r="433" spans="1:5" ht="15.75" customHeight="1" x14ac:dyDescent="0.4">
      <c r="A433" s="24" t="s">
        <v>2075</v>
      </c>
      <c r="B433" s="24">
        <v>12</v>
      </c>
      <c r="C433" s="24">
        <v>3</v>
      </c>
      <c r="D433" s="24">
        <v>1</v>
      </c>
      <c r="E433" s="24" t="s">
        <v>2178</v>
      </c>
    </row>
    <row r="434" spans="1:5" ht="15.75" customHeight="1" x14ac:dyDescent="0.4">
      <c r="A434" s="24" t="s">
        <v>1151</v>
      </c>
      <c r="B434" s="24">
        <v>4</v>
      </c>
      <c r="C434" s="24">
        <v>3</v>
      </c>
      <c r="D434" s="24">
        <v>1</v>
      </c>
      <c r="E434" s="24" t="s">
        <v>2178</v>
      </c>
    </row>
    <row r="435" spans="1:5" ht="15.75" customHeight="1" x14ac:dyDescent="0.4">
      <c r="A435" s="24" t="s">
        <v>1304</v>
      </c>
      <c r="B435" s="24">
        <v>12</v>
      </c>
      <c r="C435" s="24">
        <v>11</v>
      </c>
      <c r="D435" s="24">
        <v>3</v>
      </c>
      <c r="E435" s="24" t="s">
        <v>2178</v>
      </c>
    </row>
    <row r="436" spans="1:5" ht="15.75" customHeight="1" x14ac:dyDescent="0.4">
      <c r="A436" s="24" t="s">
        <v>1513</v>
      </c>
      <c r="B436" s="24">
        <v>13</v>
      </c>
      <c r="C436" s="24">
        <v>12</v>
      </c>
      <c r="D436" s="24">
        <v>1</v>
      </c>
      <c r="E436" s="24" t="s">
        <v>2178</v>
      </c>
    </row>
    <row r="437" spans="1:5" ht="15.75" customHeight="1" x14ac:dyDescent="0.4">
      <c r="A437" s="24" t="s">
        <v>1970</v>
      </c>
      <c r="B437" s="24">
        <v>6</v>
      </c>
      <c r="C437" s="24">
        <v>6</v>
      </c>
      <c r="D437" s="24">
        <v>1</v>
      </c>
      <c r="E437" s="24" t="s">
        <v>2178</v>
      </c>
    </row>
    <row r="438" spans="1:5" ht="15.75" customHeight="1" x14ac:dyDescent="0.4">
      <c r="A438" s="24" t="s">
        <v>1193</v>
      </c>
      <c r="B438" s="24">
        <v>4</v>
      </c>
      <c r="C438" s="24">
        <v>4</v>
      </c>
      <c r="D438" s="24">
        <v>0</v>
      </c>
      <c r="E438" s="24" t="s">
        <v>2178</v>
      </c>
    </row>
    <row r="439" spans="1:5" ht="15.75" customHeight="1" x14ac:dyDescent="0.4">
      <c r="A439" s="24" t="s">
        <v>2010</v>
      </c>
      <c r="B439" s="24">
        <v>12</v>
      </c>
      <c r="C439" s="24">
        <v>12</v>
      </c>
      <c r="D439" s="24">
        <v>0</v>
      </c>
      <c r="E439" s="24" t="s">
        <v>2178</v>
      </c>
    </row>
    <row r="440" spans="1:5" ht="15.75" customHeight="1" x14ac:dyDescent="0.4">
      <c r="A440" s="24" t="s">
        <v>1148</v>
      </c>
      <c r="B440" s="24">
        <v>6</v>
      </c>
      <c r="C440" s="24">
        <v>6</v>
      </c>
      <c r="D440" s="24">
        <v>0</v>
      </c>
      <c r="E440" s="24" t="s">
        <v>2178</v>
      </c>
    </row>
    <row r="441" spans="1:5" ht="15.75" customHeight="1" x14ac:dyDescent="0.4">
      <c r="A441" s="24" t="s">
        <v>1360</v>
      </c>
      <c r="B441" s="24">
        <v>13</v>
      </c>
      <c r="C441" s="24">
        <v>6</v>
      </c>
      <c r="D441" s="24">
        <v>2</v>
      </c>
      <c r="E441" s="24" t="s">
        <v>2178</v>
      </c>
    </row>
    <row r="442" spans="1:5" ht="15.75" customHeight="1" x14ac:dyDescent="0.4">
      <c r="A442" s="24" t="s">
        <v>1674</v>
      </c>
      <c r="B442" s="24">
        <v>7</v>
      </c>
      <c r="C442" s="24">
        <v>5</v>
      </c>
      <c r="D442" s="24">
        <v>2</v>
      </c>
      <c r="E442" s="24" t="s">
        <v>2178</v>
      </c>
    </row>
    <row r="443" spans="1:5" ht="15.75" customHeight="1" x14ac:dyDescent="0.4">
      <c r="A443" s="24" t="s">
        <v>1817</v>
      </c>
      <c r="B443" s="24">
        <v>12</v>
      </c>
      <c r="C443" s="24">
        <v>3</v>
      </c>
      <c r="D443" s="24">
        <v>0</v>
      </c>
      <c r="E443" s="24" t="s">
        <v>2178</v>
      </c>
    </row>
    <row r="444" spans="1:5" ht="15.75" customHeight="1" x14ac:dyDescent="0.4">
      <c r="A444" s="24" t="s">
        <v>2072</v>
      </c>
      <c r="B444" s="24">
        <v>12</v>
      </c>
      <c r="C444" s="24">
        <v>8</v>
      </c>
      <c r="D444" s="24">
        <v>3</v>
      </c>
      <c r="E444" s="24" t="s">
        <v>2178</v>
      </c>
    </row>
    <row r="445" spans="1:5" ht="15.75" customHeight="1" x14ac:dyDescent="0.4">
      <c r="A445" s="24" t="s">
        <v>1801</v>
      </c>
      <c r="B445" s="24">
        <v>12</v>
      </c>
      <c r="C445" s="24">
        <v>9</v>
      </c>
      <c r="D445" s="24">
        <v>1</v>
      </c>
      <c r="E445" s="24" t="s">
        <v>2178</v>
      </c>
    </row>
    <row r="446" spans="1:5" ht="15.75" customHeight="1" x14ac:dyDescent="0.4">
      <c r="A446" s="24" t="s">
        <v>1426</v>
      </c>
      <c r="B446" s="24">
        <v>4</v>
      </c>
      <c r="C446" s="24">
        <v>3</v>
      </c>
      <c r="D446" s="24">
        <v>1</v>
      </c>
      <c r="E446" s="24" t="s">
        <v>2178</v>
      </c>
    </row>
    <row r="447" spans="1:5" ht="15.75" customHeight="1" x14ac:dyDescent="0.4">
      <c r="A447" s="24" t="s">
        <v>1774</v>
      </c>
      <c r="B447" s="24">
        <v>14</v>
      </c>
      <c r="C447" s="24">
        <v>12</v>
      </c>
      <c r="D447" s="24">
        <v>3</v>
      </c>
      <c r="E447" s="24" t="s">
        <v>2178</v>
      </c>
    </row>
    <row r="448" spans="1:5" ht="15.75" customHeight="1" x14ac:dyDescent="0.4">
      <c r="A448" s="24" t="s">
        <v>1051</v>
      </c>
      <c r="B448" s="24">
        <v>4</v>
      </c>
      <c r="C448" s="24">
        <v>3</v>
      </c>
      <c r="D448" s="24">
        <v>2</v>
      </c>
      <c r="E448" s="24" t="s">
        <v>2178</v>
      </c>
    </row>
    <row r="449" spans="1:5" ht="15.75" customHeight="1" x14ac:dyDescent="0.4">
      <c r="A449" s="24" t="s">
        <v>1156</v>
      </c>
      <c r="B449" s="24">
        <v>13</v>
      </c>
      <c r="C449" s="24">
        <v>7</v>
      </c>
      <c r="D449" s="24">
        <v>1</v>
      </c>
      <c r="E449" s="24" t="s">
        <v>2178</v>
      </c>
    </row>
    <row r="450" spans="1:5" ht="15.75" customHeight="1" x14ac:dyDescent="0.4">
      <c r="A450" s="24" t="s">
        <v>1853</v>
      </c>
      <c r="B450" s="24">
        <v>12</v>
      </c>
      <c r="C450" s="24">
        <v>9</v>
      </c>
      <c r="D450" s="24">
        <v>2</v>
      </c>
      <c r="E450" s="24" t="s">
        <v>2178</v>
      </c>
    </row>
    <row r="451" spans="1:5" ht="15.75" customHeight="1" x14ac:dyDescent="0.4">
      <c r="A451" s="24" t="s">
        <v>1223</v>
      </c>
      <c r="B451" s="24">
        <v>9</v>
      </c>
      <c r="C451" s="24">
        <v>6</v>
      </c>
      <c r="D451" s="24">
        <v>1</v>
      </c>
      <c r="E451" s="24" t="s">
        <v>2178</v>
      </c>
    </row>
    <row r="452" spans="1:5" ht="15.75" customHeight="1" x14ac:dyDescent="0.4">
      <c r="A452" s="24" t="s">
        <v>1407</v>
      </c>
      <c r="B452" s="24">
        <v>13</v>
      </c>
      <c r="C452" s="24">
        <v>12</v>
      </c>
      <c r="D452" s="24">
        <v>1</v>
      </c>
      <c r="E452" s="24" t="s">
        <v>2178</v>
      </c>
    </row>
    <row r="453" spans="1:5" ht="15.75" customHeight="1" x14ac:dyDescent="0.4">
      <c r="A453" s="24" t="s">
        <v>1890</v>
      </c>
      <c r="B453" s="24">
        <v>13</v>
      </c>
      <c r="C453" s="24">
        <v>0</v>
      </c>
      <c r="D453" s="24">
        <v>0</v>
      </c>
      <c r="E453" s="24" t="s">
        <v>2178</v>
      </c>
    </row>
    <row r="454" spans="1:5" ht="15.75" customHeight="1" x14ac:dyDescent="0.4">
      <c r="A454" s="24" t="s">
        <v>523</v>
      </c>
      <c r="B454" s="24">
        <v>13</v>
      </c>
      <c r="C454" s="24">
        <v>0</v>
      </c>
      <c r="D454" s="24">
        <v>0</v>
      </c>
      <c r="E454" s="24" t="s">
        <v>2178</v>
      </c>
    </row>
    <row r="455" spans="1:5" ht="15.75" customHeight="1" x14ac:dyDescent="0.4">
      <c r="A455" s="24" t="s">
        <v>1554</v>
      </c>
      <c r="B455" s="24">
        <v>0</v>
      </c>
      <c r="C455" s="24">
        <v>0</v>
      </c>
      <c r="D455" s="24">
        <v>0</v>
      </c>
      <c r="E455" s="24" t="s">
        <v>2178</v>
      </c>
    </row>
    <row r="456" spans="1:5" ht="15.75" customHeight="1" x14ac:dyDescent="0.4">
      <c r="A456" s="24" t="s">
        <v>1769</v>
      </c>
      <c r="B456" s="24">
        <v>13</v>
      </c>
      <c r="C456" s="24">
        <v>1</v>
      </c>
      <c r="D456" s="24">
        <v>0</v>
      </c>
      <c r="E456" s="24" t="s">
        <v>2178</v>
      </c>
    </row>
    <row r="457" spans="1:5" ht="15.75" customHeight="1" x14ac:dyDescent="0.4">
      <c r="A457" s="24" t="s">
        <v>1623</v>
      </c>
      <c r="B457" s="24">
        <v>13</v>
      </c>
      <c r="C457" s="24">
        <v>13</v>
      </c>
      <c r="D457" s="24">
        <v>0</v>
      </c>
      <c r="E457" s="24" t="s">
        <v>2178</v>
      </c>
    </row>
    <row r="458" spans="1:5" ht="15.75" customHeight="1" x14ac:dyDescent="0.4">
      <c r="A458" s="24" t="s">
        <v>2084</v>
      </c>
      <c r="B458" s="24">
        <v>4</v>
      </c>
      <c r="C458" s="24">
        <v>3</v>
      </c>
      <c r="D458" s="24">
        <v>2</v>
      </c>
      <c r="E458" s="24" t="s">
        <v>2178</v>
      </c>
    </row>
    <row r="459" spans="1:5" ht="15.75" customHeight="1" x14ac:dyDescent="0.4">
      <c r="A459" s="24" t="s">
        <v>1363</v>
      </c>
      <c r="B459" s="24">
        <v>3</v>
      </c>
      <c r="C459" s="24">
        <v>2</v>
      </c>
      <c r="D459" s="24">
        <v>2</v>
      </c>
      <c r="E459" s="24" t="s">
        <v>2178</v>
      </c>
    </row>
    <row r="460" spans="1:5" ht="15.75" customHeight="1" x14ac:dyDescent="0.4">
      <c r="A460" s="24" t="s">
        <v>1956</v>
      </c>
      <c r="B460" s="24">
        <v>12</v>
      </c>
      <c r="C460" s="24">
        <v>9</v>
      </c>
      <c r="D460" s="24">
        <v>1</v>
      </c>
      <c r="E460" s="24" t="s">
        <v>2178</v>
      </c>
    </row>
    <row r="461" spans="1:5" ht="15.75" customHeight="1" x14ac:dyDescent="0.4">
      <c r="A461" s="24" t="s">
        <v>507</v>
      </c>
      <c r="B461" s="24">
        <v>13</v>
      </c>
      <c r="C461" s="24">
        <v>0</v>
      </c>
      <c r="D461" s="24">
        <v>1</v>
      </c>
      <c r="E461" s="24" t="s">
        <v>2178</v>
      </c>
    </row>
    <row r="462" spans="1:5" ht="15.75" customHeight="1" x14ac:dyDescent="0.4">
      <c r="A462" s="24" t="s">
        <v>1607</v>
      </c>
      <c r="B462" s="24">
        <v>4</v>
      </c>
      <c r="C462" s="24">
        <v>3</v>
      </c>
      <c r="D462" s="24">
        <v>1</v>
      </c>
      <c r="E462" s="24" t="s">
        <v>2178</v>
      </c>
    </row>
    <row r="463" spans="1:5" ht="15.75" customHeight="1" x14ac:dyDescent="0.4">
      <c r="A463" s="24" t="s">
        <v>1537</v>
      </c>
      <c r="B463" s="24">
        <v>12</v>
      </c>
      <c r="C463" s="24">
        <v>8</v>
      </c>
      <c r="D463" s="24">
        <v>3</v>
      </c>
      <c r="E463" s="24" t="s">
        <v>2178</v>
      </c>
    </row>
    <row r="464" spans="1:5" ht="15.75" customHeight="1" x14ac:dyDescent="0.4">
      <c r="A464" s="24" t="s">
        <v>1546</v>
      </c>
      <c r="B464" s="24">
        <v>13</v>
      </c>
      <c r="C464" s="24">
        <v>13</v>
      </c>
      <c r="D464" s="24">
        <v>1</v>
      </c>
      <c r="E464" s="24" t="s">
        <v>2178</v>
      </c>
    </row>
    <row r="465" spans="1:5" ht="15.75" customHeight="1" x14ac:dyDescent="0.4">
      <c r="A465" s="24" t="s">
        <v>1321</v>
      </c>
      <c r="B465" s="24">
        <v>4</v>
      </c>
      <c r="C465" s="24">
        <v>3</v>
      </c>
      <c r="D465" s="24">
        <v>2</v>
      </c>
      <c r="E465" s="24" t="s">
        <v>2178</v>
      </c>
    </row>
    <row r="466" spans="1:5" ht="15.75" customHeight="1" x14ac:dyDescent="0.4">
      <c r="A466" s="24" t="s">
        <v>1261</v>
      </c>
      <c r="B466" s="24">
        <v>4</v>
      </c>
      <c r="C466" s="24">
        <v>4</v>
      </c>
      <c r="D466" s="24">
        <v>1</v>
      </c>
      <c r="E466" s="24" t="s">
        <v>2178</v>
      </c>
    </row>
    <row r="467" spans="1:5" ht="15.75" customHeight="1" x14ac:dyDescent="0.4">
      <c r="A467" s="24" t="s">
        <v>2043</v>
      </c>
      <c r="B467" s="24">
        <v>10</v>
      </c>
      <c r="C467" s="24">
        <v>9</v>
      </c>
      <c r="D467" s="24">
        <v>0</v>
      </c>
      <c r="E467" s="24" t="s">
        <v>2178</v>
      </c>
    </row>
    <row r="468" spans="1:5" ht="15.75" customHeight="1" x14ac:dyDescent="0.4">
      <c r="A468" s="24" t="s">
        <v>1646</v>
      </c>
      <c r="B468" s="24">
        <v>10</v>
      </c>
      <c r="C468" s="24">
        <v>8</v>
      </c>
      <c r="D468" s="24">
        <v>0</v>
      </c>
      <c r="E468" s="24" t="s">
        <v>2178</v>
      </c>
    </row>
    <row r="469" spans="1:5" ht="15.75" customHeight="1" x14ac:dyDescent="0.4">
      <c r="A469" s="24" t="s">
        <v>633</v>
      </c>
      <c r="B469" s="24">
        <v>13</v>
      </c>
      <c r="C469" s="24">
        <v>10</v>
      </c>
      <c r="D469" s="24">
        <v>1</v>
      </c>
      <c r="E469" s="24" t="s">
        <v>2178</v>
      </c>
    </row>
    <row r="470" spans="1:5" ht="15.75" customHeight="1" x14ac:dyDescent="0.4">
      <c r="A470" s="24" t="s">
        <v>1197</v>
      </c>
      <c r="B470" s="24">
        <v>12</v>
      </c>
      <c r="C470" s="24">
        <v>10</v>
      </c>
      <c r="D470" s="24">
        <v>1</v>
      </c>
      <c r="E470" s="24" t="s">
        <v>2178</v>
      </c>
    </row>
    <row r="471" spans="1:5" ht="15.75" customHeight="1" x14ac:dyDescent="0.4">
      <c r="A471" s="24" t="s">
        <v>379</v>
      </c>
      <c r="B471" s="24">
        <v>4</v>
      </c>
      <c r="C471" s="24">
        <v>0</v>
      </c>
      <c r="D471" s="24">
        <v>0</v>
      </c>
      <c r="E471" s="24" t="s">
        <v>2178</v>
      </c>
    </row>
    <row r="472" spans="1:5" ht="15.75" customHeight="1" x14ac:dyDescent="0.4">
      <c r="A472" s="24" t="s">
        <v>1194</v>
      </c>
      <c r="B472" s="24">
        <v>13</v>
      </c>
      <c r="C472" s="24">
        <v>13</v>
      </c>
      <c r="D472" s="24">
        <v>1</v>
      </c>
      <c r="E472" s="24" t="s">
        <v>2178</v>
      </c>
    </row>
    <row r="473" spans="1:5" ht="15.75" customHeight="1" x14ac:dyDescent="0.4">
      <c r="A473" s="24" t="s">
        <v>1659</v>
      </c>
      <c r="B473" s="24">
        <v>12</v>
      </c>
      <c r="C473" s="24">
        <v>4</v>
      </c>
      <c r="D473" s="24">
        <v>0</v>
      </c>
      <c r="E473" s="24" t="s">
        <v>2178</v>
      </c>
    </row>
    <row r="474" spans="1:5" ht="15.75" customHeight="1" x14ac:dyDescent="0.4">
      <c r="A474" s="24" t="s">
        <v>866</v>
      </c>
      <c r="B474" s="24">
        <v>12</v>
      </c>
      <c r="C474" s="24">
        <v>8</v>
      </c>
      <c r="D474" s="24">
        <v>0</v>
      </c>
      <c r="E474" s="24" t="s">
        <v>2178</v>
      </c>
    </row>
    <row r="475" spans="1:5" ht="15.75" customHeight="1" x14ac:dyDescent="0.4">
      <c r="A475" s="24" t="s">
        <v>1443</v>
      </c>
      <c r="B475" s="24">
        <v>4</v>
      </c>
      <c r="C475" s="24">
        <v>3</v>
      </c>
      <c r="D475" s="24">
        <v>0</v>
      </c>
      <c r="E475" s="24" t="s">
        <v>2178</v>
      </c>
    </row>
    <row r="476" spans="1:5" ht="15.75" customHeight="1" x14ac:dyDescent="0.4">
      <c r="A476" s="24" t="s">
        <v>746</v>
      </c>
      <c r="B476" s="24">
        <v>4</v>
      </c>
      <c r="C476" s="24">
        <v>0</v>
      </c>
      <c r="D476" s="24">
        <v>0</v>
      </c>
      <c r="E476" s="24" t="s">
        <v>2178</v>
      </c>
    </row>
    <row r="477" spans="1:5" ht="15.75" customHeight="1" x14ac:dyDescent="0.4">
      <c r="A477" s="24" t="s">
        <v>1145</v>
      </c>
      <c r="B477" s="24">
        <v>13</v>
      </c>
      <c r="C477" s="24">
        <v>8</v>
      </c>
      <c r="D477" s="24">
        <v>0</v>
      </c>
      <c r="E477" s="24" t="s">
        <v>2178</v>
      </c>
    </row>
    <row r="478" spans="1:5" ht="15.75" customHeight="1" x14ac:dyDescent="0.4">
      <c r="A478" s="24" t="s">
        <v>1691</v>
      </c>
      <c r="B478" s="24">
        <v>4</v>
      </c>
      <c r="C478" s="24">
        <v>3</v>
      </c>
      <c r="D478" s="24">
        <v>0</v>
      </c>
      <c r="E478" s="24" t="s">
        <v>2178</v>
      </c>
    </row>
    <row r="479" spans="1:5" ht="15.75" customHeight="1" x14ac:dyDescent="0.4">
      <c r="A479" s="24" t="s">
        <v>2149</v>
      </c>
      <c r="B479" s="24">
        <v>12</v>
      </c>
      <c r="C479" s="24">
        <v>8</v>
      </c>
      <c r="D479" s="24">
        <v>3</v>
      </c>
      <c r="E479" s="24" t="s">
        <v>2178</v>
      </c>
    </row>
    <row r="480" spans="1:5" ht="15.75" customHeight="1" x14ac:dyDescent="0.4">
      <c r="A480" s="24" t="s">
        <v>857</v>
      </c>
      <c r="B480" s="24">
        <v>13</v>
      </c>
      <c r="C480" s="24">
        <v>10</v>
      </c>
      <c r="D480" s="24">
        <v>0</v>
      </c>
      <c r="E480" s="24" t="s">
        <v>2178</v>
      </c>
    </row>
    <row r="481" spans="1:5" ht="15.75" customHeight="1" x14ac:dyDescent="0.4">
      <c r="A481" s="24" t="s">
        <v>1802</v>
      </c>
      <c r="B481" s="24">
        <v>13</v>
      </c>
      <c r="C481" s="24">
        <v>11</v>
      </c>
      <c r="D481" s="24">
        <v>3</v>
      </c>
      <c r="E481" s="24" t="s">
        <v>2178</v>
      </c>
    </row>
    <row r="482" spans="1:5" ht="15.75" customHeight="1" x14ac:dyDescent="0.4">
      <c r="A482" s="24" t="s">
        <v>1438</v>
      </c>
      <c r="B482" s="24">
        <v>13</v>
      </c>
      <c r="C482" s="24">
        <v>10</v>
      </c>
      <c r="D482" s="24">
        <v>1</v>
      </c>
      <c r="E482" s="24" t="s">
        <v>2178</v>
      </c>
    </row>
    <row r="483" spans="1:5" ht="15.75" customHeight="1" x14ac:dyDescent="0.4">
      <c r="A483" s="24" t="s">
        <v>1474</v>
      </c>
      <c r="B483" s="24">
        <v>13</v>
      </c>
      <c r="C483" s="24">
        <v>8</v>
      </c>
      <c r="D483" s="24">
        <v>0</v>
      </c>
      <c r="E483" s="24" t="s">
        <v>2178</v>
      </c>
    </row>
    <row r="484" spans="1:5" ht="15.75" customHeight="1" x14ac:dyDescent="0.4">
      <c r="A484" s="24" t="s">
        <v>1025</v>
      </c>
      <c r="B484" s="24">
        <v>7</v>
      </c>
      <c r="C484" s="24">
        <v>7</v>
      </c>
      <c r="D484" s="24">
        <v>0</v>
      </c>
      <c r="E484" s="24" t="s">
        <v>2178</v>
      </c>
    </row>
    <row r="485" spans="1:5" ht="15.75" customHeight="1" x14ac:dyDescent="0.4">
      <c r="A485" s="24" t="s">
        <v>1954</v>
      </c>
      <c r="B485" s="24">
        <v>5</v>
      </c>
      <c r="C485" s="24">
        <v>2</v>
      </c>
      <c r="D485" s="24">
        <v>0</v>
      </c>
      <c r="E485" s="24" t="s">
        <v>2178</v>
      </c>
    </row>
    <row r="486" spans="1:5" ht="15.75" customHeight="1" x14ac:dyDescent="0.4">
      <c r="A486" s="24" t="s">
        <v>1000</v>
      </c>
      <c r="B486" s="24">
        <v>4</v>
      </c>
      <c r="C486" s="24">
        <v>4</v>
      </c>
      <c r="D486" s="24">
        <v>1</v>
      </c>
      <c r="E486" s="24" t="s">
        <v>2178</v>
      </c>
    </row>
    <row r="487" spans="1:5" ht="15.75" customHeight="1" x14ac:dyDescent="0.4">
      <c r="A487" s="24" t="s">
        <v>1517</v>
      </c>
      <c r="B487" s="24">
        <v>4</v>
      </c>
      <c r="C487" s="24">
        <v>2</v>
      </c>
      <c r="D487" s="24">
        <v>1</v>
      </c>
      <c r="E487" s="24" t="s">
        <v>2178</v>
      </c>
    </row>
    <row r="488" spans="1:5" ht="15.75" customHeight="1" x14ac:dyDescent="0.4">
      <c r="A488" s="24" t="s">
        <v>1611</v>
      </c>
      <c r="B488" s="24">
        <v>7</v>
      </c>
      <c r="C488" s="24">
        <v>1</v>
      </c>
      <c r="D488" s="24">
        <v>0</v>
      </c>
      <c r="E488" s="24" t="s">
        <v>2181</v>
      </c>
    </row>
    <row r="489" spans="1:5" ht="15.75" customHeight="1" x14ac:dyDescent="0.4">
      <c r="A489" s="24" t="s">
        <v>1992</v>
      </c>
      <c r="B489" s="24">
        <v>13</v>
      </c>
      <c r="C489" s="24">
        <v>7</v>
      </c>
      <c r="D489" s="24">
        <v>1</v>
      </c>
      <c r="E489" s="24" t="s">
        <v>2178</v>
      </c>
    </row>
    <row r="490" spans="1:5" ht="15.75" customHeight="1" x14ac:dyDescent="0.4">
      <c r="A490" s="24" t="s">
        <v>471</v>
      </c>
      <c r="B490" s="24">
        <v>4</v>
      </c>
      <c r="C490" s="24">
        <v>4</v>
      </c>
      <c r="D490" s="24">
        <v>0</v>
      </c>
      <c r="E490" s="24" t="s">
        <v>2178</v>
      </c>
    </row>
    <row r="491" spans="1:5" ht="15.75" customHeight="1" x14ac:dyDescent="0.4">
      <c r="A491" s="24" t="s">
        <v>1647</v>
      </c>
      <c r="B491" s="24">
        <v>13</v>
      </c>
      <c r="C491" s="24">
        <v>0</v>
      </c>
      <c r="D491" s="24">
        <v>1</v>
      </c>
      <c r="E491" s="24" t="s">
        <v>2178</v>
      </c>
    </row>
    <row r="492" spans="1:5" ht="15.75" customHeight="1" x14ac:dyDescent="0.4">
      <c r="A492" s="24" t="s">
        <v>1632</v>
      </c>
      <c r="B492" s="24">
        <v>13</v>
      </c>
      <c r="C492" s="24">
        <v>6</v>
      </c>
      <c r="D492" s="24">
        <v>1</v>
      </c>
      <c r="E492" s="24" t="s">
        <v>2178</v>
      </c>
    </row>
    <row r="493" spans="1:5" ht="15.75" customHeight="1" x14ac:dyDescent="0.4">
      <c r="A493" s="24" t="s">
        <v>1863</v>
      </c>
      <c r="B493" s="24">
        <v>9</v>
      </c>
      <c r="C493" s="24">
        <v>3</v>
      </c>
      <c r="D493" s="24">
        <v>0</v>
      </c>
      <c r="E493" s="24" t="s">
        <v>2178</v>
      </c>
    </row>
    <row r="494" spans="1:5" ht="15.75" customHeight="1" x14ac:dyDescent="0.4">
      <c r="A494" s="24" t="s">
        <v>1052</v>
      </c>
      <c r="B494" s="24">
        <v>8</v>
      </c>
      <c r="C494" s="24">
        <v>7</v>
      </c>
      <c r="D494" s="24">
        <v>0</v>
      </c>
      <c r="E494" s="24" t="s">
        <v>2178</v>
      </c>
    </row>
    <row r="495" spans="1:5" ht="15.75" customHeight="1" x14ac:dyDescent="0.4">
      <c r="A495" s="24" t="s">
        <v>1064</v>
      </c>
      <c r="B495" s="24">
        <v>13</v>
      </c>
      <c r="C495" s="24">
        <v>7</v>
      </c>
      <c r="D495" s="24">
        <v>0</v>
      </c>
      <c r="E495" s="24" t="s">
        <v>2179</v>
      </c>
    </row>
    <row r="496" spans="1:5" ht="15.75" customHeight="1" x14ac:dyDescent="0.4">
      <c r="A496" s="24" t="s">
        <v>1885</v>
      </c>
      <c r="B496" s="24">
        <v>13</v>
      </c>
      <c r="C496" s="24">
        <v>7</v>
      </c>
      <c r="D496" s="24">
        <v>0</v>
      </c>
      <c r="E496" s="24" t="s">
        <v>2178</v>
      </c>
    </row>
    <row r="497" spans="1:5" ht="15.75" customHeight="1" x14ac:dyDescent="0.4">
      <c r="A497" s="24" t="s">
        <v>1481</v>
      </c>
      <c r="B497" s="24">
        <v>7</v>
      </c>
      <c r="C497" s="24">
        <v>6</v>
      </c>
      <c r="D497" s="24">
        <v>2</v>
      </c>
      <c r="E497" s="24" t="s">
        <v>2178</v>
      </c>
    </row>
    <row r="498" spans="1:5" ht="15.75" customHeight="1" x14ac:dyDescent="0.4">
      <c r="A498" s="24" t="s">
        <v>1815</v>
      </c>
      <c r="B498" s="24">
        <v>13</v>
      </c>
      <c r="C498" s="24">
        <v>10</v>
      </c>
      <c r="D498" s="24">
        <v>0</v>
      </c>
      <c r="E498" s="24" t="s">
        <v>2178</v>
      </c>
    </row>
    <row r="499" spans="1:5" ht="15.75" customHeight="1" x14ac:dyDescent="0.4">
      <c r="A499" s="24" t="s">
        <v>241</v>
      </c>
      <c r="B499" s="24">
        <v>4</v>
      </c>
      <c r="C499" s="24">
        <v>2</v>
      </c>
      <c r="D499" s="24">
        <v>0</v>
      </c>
      <c r="E499" s="24" t="s">
        <v>2178</v>
      </c>
    </row>
    <row r="500" spans="1:5" ht="15.75" customHeight="1" x14ac:dyDescent="0.4">
      <c r="A500" s="24" t="s">
        <v>1196</v>
      </c>
      <c r="B500" s="24">
        <v>13</v>
      </c>
      <c r="C500" s="24">
        <v>12</v>
      </c>
      <c r="D500" s="24">
        <v>1</v>
      </c>
      <c r="E500" s="24" t="s">
        <v>2178</v>
      </c>
    </row>
    <row r="501" spans="1:5" ht="15.75" customHeight="1" x14ac:dyDescent="0.4">
      <c r="A501" s="24" t="s">
        <v>1001</v>
      </c>
      <c r="B501" s="24">
        <v>13</v>
      </c>
      <c r="C501" s="24">
        <v>8</v>
      </c>
      <c r="D501" s="24">
        <v>1</v>
      </c>
      <c r="E501" s="24" t="s">
        <v>2178</v>
      </c>
    </row>
    <row r="502" spans="1:5" ht="15.75" customHeight="1" x14ac:dyDescent="0.4">
      <c r="A502" s="24" t="s">
        <v>399</v>
      </c>
      <c r="B502" s="24">
        <v>10</v>
      </c>
      <c r="C502" s="24">
        <v>3</v>
      </c>
      <c r="D502" s="24">
        <v>1</v>
      </c>
      <c r="E502" s="24" t="s">
        <v>2178</v>
      </c>
    </row>
    <row r="503" spans="1:5" ht="15.75" customHeight="1" x14ac:dyDescent="0.4">
      <c r="A503" s="24" t="s">
        <v>1007</v>
      </c>
      <c r="B503" s="24">
        <v>11</v>
      </c>
      <c r="C503" s="24">
        <v>7</v>
      </c>
      <c r="D503" s="24">
        <v>0</v>
      </c>
      <c r="E503" s="24" t="s">
        <v>2178</v>
      </c>
    </row>
    <row r="504" spans="1:5" ht="15.75" customHeight="1" x14ac:dyDescent="0.4">
      <c r="A504" s="24" t="s">
        <v>1319</v>
      </c>
      <c r="B504" s="24">
        <v>13</v>
      </c>
      <c r="C504" s="24">
        <v>13</v>
      </c>
      <c r="D504" s="24">
        <v>1</v>
      </c>
      <c r="E504" s="24" t="s">
        <v>2178</v>
      </c>
    </row>
    <row r="505" spans="1:5" ht="15.75" customHeight="1" x14ac:dyDescent="0.4">
      <c r="A505" s="24" t="s">
        <v>1382</v>
      </c>
      <c r="B505" s="24">
        <v>10</v>
      </c>
      <c r="C505" s="24">
        <v>9</v>
      </c>
      <c r="D505" s="24">
        <v>1</v>
      </c>
      <c r="E505" s="24" t="s">
        <v>2178</v>
      </c>
    </row>
    <row r="506" spans="1:5" ht="15.75" customHeight="1" x14ac:dyDescent="0.4">
      <c r="A506" s="24" t="s">
        <v>1445</v>
      </c>
      <c r="B506" s="24">
        <v>13</v>
      </c>
      <c r="C506" s="24">
        <v>9</v>
      </c>
      <c r="D506" s="24">
        <v>1</v>
      </c>
      <c r="E506" s="24" t="s">
        <v>2178</v>
      </c>
    </row>
    <row r="507" spans="1:5" ht="15.75" customHeight="1" x14ac:dyDescent="0.4">
      <c r="A507" s="24" t="s">
        <v>1922</v>
      </c>
      <c r="B507" s="24">
        <v>13</v>
      </c>
      <c r="C507" s="24">
        <v>7</v>
      </c>
      <c r="D507" s="24">
        <v>0</v>
      </c>
      <c r="E507" s="24" t="s">
        <v>2178</v>
      </c>
    </row>
    <row r="508" spans="1:5" ht="15.75" customHeight="1" x14ac:dyDescent="0.4">
      <c r="A508" s="24" t="s">
        <v>1228</v>
      </c>
      <c r="B508" s="24">
        <v>12</v>
      </c>
      <c r="C508" s="24">
        <v>11</v>
      </c>
      <c r="D508" s="24">
        <v>3</v>
      </c>
      <c r="E508" s="24" t="s">
        <v>2178</v>
      </c>
    </row>
    <row r="509" spans="1:5" ht="15.75" customHeight="1" x14ac:dyDescent="0.4">
      <c r="A509" s="24" t="s">
        <v>621</v>
      </c>
      <c r="B509" s="24">
        <v>13</v>
      </c>
      <c r="C509" s="24">
        <v>4</v>
      </c>
      <c r="D509" s="24">
        <v>1</v>
      </c>
      <c r="E509" s="24" t="s">
        <v>2178</v>
      </c>
    </row>
    <row r="510" spans="1:5" ht="15.75" customHeight="1" x14ac:dyDescent="0.4">
      <c r="A510" s="24" t="s">
        <v>1268</v>
      </c>
      <c r="B510" s="24">
        <v>10</v>
      </c>
      <c r="C510" s="24">
        <v>2</v>
      </c>
      <c r="D510" s="24">
        <v>1</v>
      </c>
      <c r="E510" s="24" t="s">
        <v>2178</v>
      </c>
    </row>
    <row r="511" spans="1:5" ht="15.75" customHeight="1" x14ac:dyDescent="0.4">
      <c r="A511" s="24" t="s">
        <v>992</v>
      </c>
      <c r="B511" s="24">
        <v>13</v>
      </c>
      <c r="C511" s="24">
        <v>4</v>
      </c>
      <c r="D511" s="24">
        <v>2</v>
      </c>
      <c r="E511" s="24" t="s">
        <v>2178</v>
      </c>
    </row>
    <row r="512" spans="1:5" ht="15.75" customHeight="1" x14ac:dyDescent="0.4">
      <c r="A512" s="24" t="s">
        <v>1147</v>
      </c>
      <c r="B512" s="24">
        <v>9</v>
      </c>
      <c r="C512" s="24">
        <v>6</v>
      </c>
      <c r="D512" s="24">
        <v>0</v>
      </c>
      <c r="E512" s="24" t="s">
        <v>2178</v>
      </c>
    </row>
    <row r="513" spans="1:5" ht="15.75" customHeight="1" x14ac:dyDescent="0.4">
      <c r="A513" s="24" t="s">
        <v>1910</v>
      </c>
      <c r="B513" s="24">
        <v>13</v>
      </c>
      <c r="C513" s="24">
        <v>10</v>
      </c>
      <c r="D513" s="24">
        <v>1</v>
      </c>
      <c r="E513" s="24" t="s">
        <v>2178</v>
      </c>
    </row>
    <row r="514" spans="1:5" ht="15.75" customHeight="1" x14ac:dyDescent="0.4">
      <c r="A514" s="24" t="s">
        <v>1903</v>
      </c>
      <c r="B514" s="24">
        <v>13</v>
      </c>
      <c r="C514" s="24">
        <v>9</v>
      </c>
      <c r="D514" s="24">
        <v>0</v>
      </c>
      <c r="E514" s="24" t="s">
        <v>2178</v>
      </c>
    </row>
    <row r="515" spans="1:5" ht="15.75" customHeight="1" x14ac:dyDescent="0.4">
      <c r="A515" s="24" t="s">
        <v>1850</v>
      </c>
      <c r="B515" s="24">
        <v>4</v>
      </c>
      <c r="C515" s="24">
        <v>3</v>
      </c>
      <c r="D515" s="24">
        <v>2</v>
      </c>
      <c r="E515" s="24" t="s">
        <v>2178</v>
      </c>
    </row>
    <row r="516" spans="1:5" ht="15.75" customHeight="1" x14ac:dyDescent="0.4">
      <c r="A516" s="24" t="s">
        <v>2163</v>
      </c>
      <c r="B516" s="24">
        <v>10</v>
      </c>
      <c r="C516" s="24">
        <v>4</v>
      </c>
      <c r="D516" s="24">
        <v>0</v>
      </c>
      <c r="E516" s="24" t="s">
        <v>2178</v>
      </c>
    </row>
    <row r="517" spans="1:5" ht="15.75" customHeight="1" x14ac:dyDescent="0.4">
      <c r="A517" s="24" t="s">
        <v>1896</v>
      </c>
      <c r="B517" s="24">
        <v>13</v>
      </c>
      <c r="C517" s="24">
        <v>3</v>
      </c>
      <c r="D517" s="24">
        <v>0</v>
      </c>
      <c r="E517" s="24" t="s">
        <v>2179</v>
      </c>
    </row>
    <row r="518" spans="1:5" ht="15.75" customHeight="1" x14ac:dyDescent="0.4">
      <c r="A518" s="24" t="s">
        <v>2128</v>
      </c>
      <c r="B518" s="24">
        <v>10</v>
      </c>
      <c r="C518" s="24">
        <v>8</v>
      </c>
      <c r="D518" s="24">
        <v>0</v>
      </c>
      <c r="E518" s="24" t="s">
        <v>2178</v>
      </c>
    </row>
    <row r="519" spans="1:5" ht="15.75" customHeight="1" x14ac:dyDescent="0.4">
      <c r="A519" s="24" t="s">
        <v>1136</v>
      </c>
      <c r="B519" s="24">
        <v>13</v>
      </c>
      <c r="C519" s="24">
        <v>10</v>
      </c>
      <c r="D519" s="24">
        <v>1</v>
      </c>
      <c r="E519" s="24" t="s">
        <v>2178</v>
      </c>
    </row>
    <row r="520" spans="1:5" ht="15.75" customHeight="1" x14ac:dyDescent="0.4">
      <c r="A520" s="24" t="s">
        <v>505</v>
      </c>
      <c r="B520" s="24">
        <v>13</v>
      </c>
      <c r="C520" s="24">
        <v>12</v>
      </c>
      <c r="D520" s="24">
        <v>2</v>
      </c>
      <c r="E520" s="24" t="s">
        <v>2178</v>
      </c>
    </row>
    <row r="521" spans="1:5" ht="15.75" customHeight="1" x14ac:dyDescent="0.4">
      <c r="A521" s="24" t="s">
        <v>385</v>
      </c>
      <c r="B521" s="24">
        <v>13</v>
      </c>
      <c r="C521" s="24">
        <v>13</v>
      </c>
      <c r="D521" s="24">
        <v>1</v>
      </c>
      <c r="E521" s="24" t="s">
        <v>2178</v>
      </c>
    </row>
    <row r="522" spans="1:5" ht="15.75" customHeight="1" x14ac:dyDescent="0.4">
      <c r="A522" s="24" t="s">
        <v>1233</v>
      </c>
      <c r="B522" s="24">
        <v>13</v>
      </c>
      <c r="C522" s="24">
        <v>4</v>
      </c>
      <c r="D522" s="24">
        <v>3</v>
      </c>
      <c r="E522" s="24" t="s">
        <v>2178</v>
      </c>
    </row>
    <row r="523" spans="1:5" ht="15.75" customHeight="1" x14ac:dyDescent="0.4">
      <c r="A523" s="24" t="s">
        <v>1260</v>
      </c>
      <c r="B523" s="24">
        <v>10</v>
      </c>
      <c r="C523" s="24">
        <v>9</v>
      </c>
      <c r="D523" s="24">
        <v>4</v>
      </c>
      <c r="E523" s="24" t="s">
        <v>2178</v>
      </c>
    </row>
    <row r="524" spans="1:5" ht="15.75" customHeight="1" x14ac:dyDescent="0.4">
      <c r="A524" s="24" t="s">
        <v>1999</v>
      </c>
      <c r="B524" s="24">
        <v>11</v>
      </c>
      <c r="C524" s="24">
        <v>7</v>
      </c>
      <c r="D524" s="24">
        <v>1</v>
      </c>
      <c r="E524" s="24" t="s">
        <v>2178</v>
      </c>
    </row>
    <row r="525" spans="1:5" ht="15.75" customHeight="1" x14ac:dyDescent="0.4">
      <c r="A525" s="24" t="s">
        <v>909</v>
      </c>
      <c r="B525" s="24">
        <v>13</v>
      </c>
      <c r="C525" s="24">
        <v>0</v>
      </c>
      <c r="D525" s="24">
        <v>1</v>
      </c>
      <c r="E525" s="24" t="s">
        <v>2178</v>
      </c>
    </row>
    <row r="526" spans="1:5" ht="15.75" customHeight="1" x14ac:dyDescent="0.4">
      <c r="A526" s="24" t="s">
        <v>1263</v>
      </c>
      <c r="B526" s="24">
        <v>10</v>
      </c>
      <c r="C526" s="24">
        <v>9</v>
      </c>
      <c r="D526" s="24">
        <v>2</v>
      </c>
      <c r="E526" s="24" t="s">
        <v>2178</v>
      </c>
    </row>
    <row r="527" spans="1:5" ht="15.75" customHeight="1" x14ac:dyDescent="0.4">
      <c r="A527" s="24" t="s">
        <v>1439</v>
      </c>
      <c r="B527" s="24">
        <v>0</v>
      </c>
      <c r="C527" s="24">
        <v>0</v>
      </c>
      <c r="D527" s="24">
        <v>0</v>
      </c>
      <c r="E527" s="24" t="s">
        <v>2178</v>
      </c>
    </row>
    <row r="528" spans="1:5" ht="15.75" customHeight="1" x14ac:dyDescent="0.4">
      <c r="A528" s="24" t="s">
        <v>627</v>
      </c>
      <c r="B528" s="24">
        <v>13</v>
      </c>
      <c r="C528" s="24">
        <v>11</v>
      </c>
      <c r="D528" s="24">
        <v>3</v>
      </c>
      <c r="E528" s="24" t="s">
        <v>2178</v>
      </c>
    </row>
    <row r="529" spans="1:5" ht="15.75" customHeight="1" x14ac:dyDescent="0.4">
      <c r="A529" s="24" t="s">
        <v>1236</v>
      </c>
      <c r="B529" s="24">
        <v>13</v>
      </c>
      <c r="C529" s="24">
        <v>12</v>
      </c>
      <c r="D529" s="24">
        <v>3</v>
      </c>
      <c r="E529" s="24" t="s">
        <v>2178</v>
      </c>
    </row>
    <row r="530" spans="1:5" ht="15.75" customHeight="1" x14ac:dyDescent="0.4">
      <c r="A530" s="24" t="s">
        <v>1200</v>
      </c>
      <c r="B530" s="24">
        <v>13</v>
      </c>
      <c r="C530" s="24">
        <v>11</v>
      </c>
      <c r="D530" s="24">
        <v>1</v>
      </c>
      <c r="E530" s="24" t="s">
        <v>2178</v>
      </c>
    </row>
    <row r="531" spans="1:5" ht="15.75" customHeight="1" x14ac:dyDescent="0.4">
      <c r="A531" s="24" t="s">
        <v>1759</v>
      </c>
      <c r="B531" s="24">
        <v>13</v>
      </c>
      <c r="C531" s="24">
        <v>13</v>
      </c>
      <c r="D531" s="24">
        <v>2</v>
      </c>
      <c r="E531" s="24" t="s">
        <v>2178</v>
      </c>
    </row>
    <row r="532" spans="1:5" ht="15.75" customHeight="1" x14ac:dyDescent="0.4">
      <c r="A532" s="24" t="s">
        <v>1427</v>
      </c>
      <c r="B532" s="24">
        <v>6</v>
      </c>
      <c r="C532" s="24">
        <v>5</v>
      </c>
      <c r="D532" s="24">
        <v>1</v>
      </c>
      <c r="E532" s="24" t="s">
        <v>2178</v>
      </c>
    </row>
    <row r="533" spans="1:5" ht="15.75" customHeight="1" x14ac:dyDescent="0.4">
      <c r="A533" s="24" t="s">
        <v>679</v>
      </c>
      <c r="B533" s="24">
        <v>12</v>
      </c>
      <c r="C533" s="24">
        <v>12</v>
      </c>
      <c r="D533" s="24">
        <v>2</v>
      </c>
      <c r="E533" s="24" t="s">
        <v>2178</v>
      </c>
    </row>
    <row r="534" spans="1:5" ht="15.75" customHeight="1" x14ac:dyDescent="0.4">
      <c r="A534" s="24" t="s">
        <v>319</v>
      </c>
      <c r="B534" s="24">
        <v>12</v>
      </c>
      <c r="C534" s="24">
        <v>12</v>
      </c>
      <c r="D534" s="24">
        <v>3</v>
      </c>
      <c r="E534" s="24" t="s">
        <v>2178</v>
      </c>
    </row>
    <row r="535" spans="1:5" ht="15.75" customHeight="1" x14ac:dyDescent="0.4">
      <c r="A535" s="24" t="s">
        <v>1328</v>
      </c>
      <c r="B535" s="24">
        <v>13</v>
      </c>
      <c r="C535" s="24">
        <v>11</v>
      </c>
      <c r="D535" s="24">
        <v>0</v>
      </c>
      <c r="E535" s="24" t="s">
        <v>2178</v>
      </c>
    </row>
    <row r="536" spans="1:5" ht="15.75" customHeight="1" x14ac:dyDescent="0.4">
      <c r="A536" s="24" t="s">
        <v>1823</v>
      </c>
      <c r="B536" s="24">
        <v>10</v>
      </c>
      <c r="C536" s="24">
        <v>8</v>
      </c>
      <c r="D536" s="24">
        <v>3</v>
      </c>
      <c r="E536" s="24" t="s">
        <v>2178</v>
      </c>
    </row>
    <row r="537" spans="1:5" ht="15.75" customHeight="1" x14ac:dyDescent="0.4">
      <c r="A537" s="24" t="s">
        <v>1511</v>
      </c>
      <c r="B537" s="24">
        <v>12</v>
      </c>
      <c r="C537" s="24">
        <v>4</v>
      </c>
      <c r="D537" s="24">
        <v>3</v>
      </c>
      <c r="E537" s="24" t="s">
        <v>2178</v>
      </c>
    </row>
    <row r="538" spans="1:5" ht="15.75" customHeight="1" x14ac:dyDescent="0.4">
      <c r="A538" s="24" t="s">
        <v>1160</v>
      </c>
      <c r="B538" s="24">
        <v>13</v>
      </c>
      <c r="C538" s="24">
        <v>1</v>
      </c>
      <c r="D538" s="24">
        <v>1</v>
      </c>
      <c r="E538" s="24" t="s">
        <v>2178</v>
      </c>
    </row>
    <row r="539" spans="1:5" ht="15.75" customHeight="1" x14ac:dyDescent="0.4">
      <c r="A539" s="24" t="s">
        <v>501</v>
      </c>
      <c r="B539" s="24">
        <v>13</v>
      </c>
      <c r="C539" s="24">
        <v>11</v>
      </c>
      <c r="D539" s="24">
        <v>1</v>
      </c>
      <c r="E539" s="24" t="s">
        <v>2178</v>
      </c>
    </row>
    <row r="540" spans="1:5" ht="15.75" customHeight="1" x14ac:dyDescent="0.4">
      <c r="A540" s="24" t="s">
        <v>1906</v>
      </c>
      <c r="B540" s="24">
        <v>4</v>
      </c>
      <c r="C540" s="24">
        <v>0</v>
      </c>
      <c r="D540" s="24">
        <v>0</v>
      </c>
      <c r="E540" s="24" t="s">
        <v>2178</v>
      </c>
    </row>
    <row r="541" spans="1:5" ht="15.75" customHeight="1" x14ac:dyDescent="0.4">
      <c r="A541" s="24" t="s">
        <v>1217</v>
      </c>
      <c r="B541" s="24">
        <v>7</v>
      </c>
      <c r="C541" s="24">
        <v>5</v>
      </c>
      <c r="D541" s="24">
        <v>4</v>
      </c>
      <c r="E541" s="24" t="s">
        <v>2178</v>
      </c>
    </row>
    <row r="542" spans="1:5" ht="15.75" customHeight="1" x14ac:dyDescent="0.4">
      <c r="A542" s="24" t="s">
        <v>1680</v>
      </c>
      <c r="B542" s="24">
        <v>13</v>
      </c>
      <c r="C542" s="24">
        <v>12</v>
      </c>
      <c r="D542" s="24">
        <v>5</v>
      </c>
      <c r="E542" s="24" t="s">
        <v>2178</v>
      </c>
    </row>
    <row r="543" spans="1:5" ht="15.75" customHeight="1" x14ac:dyDescent="0.4">
      <c r="A543" s="24" t="s">
        <v>1565</v>
      </c>
      <c r="B543" s="24">
        <v>12</v>
      </c>
      <c r="C543" s="24">
        <v>10</v>
      </c>
      <c r="D543" s="24">
        <v>2</v>
      </c>
      <c r="E543" s="24" t="s">
        <v>2178</v>
      </c>
    </row>
    <row r="544" spans="1:5" ht="15.75" customHeight="1" x14ac:dyDescent="0.4">
      <c r="A544" s="24" t="s">
        <v>1003</v>
      </c>
      <c r="B544" s="24">
        <v>13</v>
      </c>
      <c r="C544" s="24">
        <v>13</v>
      </c>
      <c r="D544" s="24">
        <v>1</v>
      </c>
      <c r="E544" s="24" t="s">
        <v>2178</v>
      </c>
    </row>
    <row r="545" spans="1:5" ht="15.75" customHeight="1" x14ac:dyDescent="0.4">
      <c r="A545" s="24" t="s">
        <v>778</v>
      </c>
      <c r="B545" s="24">
        <v>4</v>
      </c>
      <c r="C545" s="24">
        <v>2</v>
      </c>
      <c r="D545" s="24">
        <v>0</v>
      </c>
      <c r="E545" s="24" t="s">
        <v>2178</v>
      </c>
    </row>
    <row r="546" spans="1:5" ht="15.75" customHeight="1" x14ac:dyDescent="0.4">
      <c r="A546" s="24" t="s">
        <v>1297</v>
      </c>
      <c r="B546" s="24">
        <v>13</v>
      </c>
      <c r="C546" s="24">
        <v>12</v>
      </c>
      <c r="D546" s="24">
        <v>1</v>
      </c>
      <c r="E546" s="24" t="s">
        <v>2178</v>
      </c>
    </row>
    <row r="547" spans="1:5" ht="15.75" customHeight="1" x14ac:dyDescent="0.4">
      <c r="A547" s="24" t="s">
        <v>1498</v>
      </c>
      <c r="B547" s="24">
        <v>6</v>
      </c>
      <c r="C547" s="24">
        <v>6</v>
      </c>
      <c r="D547" s="24">
        <v>1</v>
      </c>
      <c r="E547" s="24" t="s">
        <v>2178</v>
      </c>
    </row>
    <row r="548" spans="1:5" ht="15.75" customHeight="1" x14ac:dyDescent="0.4">
      <c r="A548" s="24" t="s">
        <v>1648</v>
      </c>
      <c r="B548" s="24">
        <v>4</v>
      </c>
      <c r="C548" s="24">
        <v>4</v>
      </c>
      <c r="D548" s="24">
        <v>3</v>
      </c>
      <c r="E548" s="24" t="s">
        <v>2178</v>
      </c>
    </row>
    <row r="549" spans="1:5" ht="15.75" customHeight="1" x14ac:dyDescent="0.4">
      <c r="A549" s="24" t="s">
        <v>2059</v>
      </c>
      <c r="B549" s="24">
        <v>3</v>
      </c>
      <c r="C549" s="24">
        <v>3</v>
      </c>
      <c r="D549" s="24">
        <v>1</v>
      </c>
      <c r="E549" s="24" t="s">
        <v>2178</v>
      </c>
    </row>
    <row r="550" spans="1:5" ht="15.75" customHeight="1" x14ac:dyDescent="0.4">
      <c r="A550" s="24" t="s">
        <v>989</v>
      </c>
      <c r="B550" s="24">
        <v>5</v>
      </c>
      <c r="C550" s="24">
        <v>4</v>
      </c>
      <c r="D550" s="24">
        <v>2</v>
      </c>
      <c r="E550" s="24" t="s">
        <v>2178</v>
      </c>
    </row>
    <row r="551" spans="1:5" ht="15.75" customHeight="1" x14ac:dyDescent="0.4">
      <c r="A551" s="24" t="s">
        <v>1705</v>
      </c>
      <c r="B551" s="24">
        <v>4</v>
      </c>
      <c r="C551" s="24">
        <v>2</v>
      </c>
      <c r="D551" s="24">
        <v>0</v>
      </c>
      <c r="E551" s="24" t="s">
        <v>2178</v>
      </c>
    </row>
    <row r="552" spans="1:5" ht="15.75" customHeight="1" x14ac:dyDescent="0.4">
      <c r="A552" s="24" t="s">
        <v>1079</v>
      </c>
      <c r="B552" s="24">
        <v>8</v>
      </c>
      <c r="C552" s="24">
        <v>6</v>
      </c>
      <c r="D552" s="24">
        <v>0</v>
      </c>
      <c r="E552" s="24" t="s">
        <v>2179</v>
      </c>
    </row>
    <row r="553" spans="1:5" ht="15.75" customHeight="1" x14ac:dyDescent="0.4">
      <c r="A553" s="24" t="s">
        <v>2167</v>
      </c>
      <c r="B553" s="24">
        <v>13</v>
      </c>
      <c r="C553" s="24">
        <v>11</v>
      </c>
      <c r="D553" s="24">
        <v>3</v>
      </c>
      <c r="E553" s="24" t="s">
        <v>2178</v>
      </c>
    </row>
    <row r="554" spans="1:5" ht="15.75" customHeight="1" x14ac:dyDescent="0.4">
      <c r="A554" s="24" t="s">
        <v>1492</v>
      </c>
      <c r="B554" s="24">
        <v>12</v>
      </c>
      <c r="C554" s="24">
        <v>9</v>
      </c>
      <c r="D554" s="24">
        <v>2</v>
      </c>
      <c r="E554" s="24" t="s">
        <v>2178</v>
      </c>
    </row>
    <row r="555" spans="1:5" ht="15.75" customHeight="1" x14ac:dyDescent="0.4">
      <c r="A555" s="24" t="s">
        <v>1667</v>
      </c>
      <c r="B555" s="24">
        <v>13</v>
      </c>
      <c r="C555" s="24">
        <v>11</v>
      </c>
      <c r="D555" s="24">
        <v>3</v>
      </c>
      <c r="E555" s="24" t="s">
        <v>2178</v>
      </c>
    </row>
    <row r="556" spans="1:5" ht="15.75" customHeight="1" x14ac:dyDescent="0.4">
      <c r="A556" s="24" t="s">
        <v>428</v>
      </c>
      <c r="B556" s="24">
        <v>3</v>
      </c>
      <c r="C556" s="24">
        <v>3</v>
      </c>
      <c r="D556" s="24">
        <v>3</v>
      </c>
      <c r="E556" s="24" t="s">
        <v>2178</v>
      </c>
    </row>
    <row r="557" spans="1:5" ht="15.75" customHeight="1" x14ac:dyDescent="0.4">
      <c r="A557" s="24" t="s">
        <v>1725</v>
      </c>
      <c r="B557" s="24">
        <v>4</v>
      </c>
      <c r="C557" s="24">
        <v>4</v>
      </c>
      <c r="D557" s="24">
        <v>1</v>
      </c>
      <c r="E557" s="24" t="s">
        <v>2178</v>
      </c>
    </row>
    <row r="558" spans="1:5" ht="15.75" customHeight="1" x14ac:dyDescent="0.4">
      <c r="A558" s="24" t="s">
        <v>238</v>
      </c>
      <c r="B558" s="24">
        <v>13</v>
      </c>
      <c r="C558" s="24">
        <v>13</v>
      </c>
      <c r="D558" s="24">
        <v>2</v>
      </c>
      <c r="E558" s="24" t="s">
        <v>2178</v>
      </c>
    </row>
    <row r="559" spans="1:5" ht="15.75" customHeight="1" x14ac:dyDescent="0.4">
      <c r="A559" s="24" t="s">
        <v>986</v>
      </c>
      <c r="B559" s="24">
        <v>13</v>
      </c>
      <c r="C559" s="24">
        <v>12</v>
      </c>
      <c r="D559" s="24">
        <v>2</v>
      </c>
      <c r="E559" s="24" t="s">
        <v>2178</v>
      </c>
    </row>
    <row r="560" spans="1:5" ht="15.75" customHeight="1" x14ac:dyDescent="0.4">
      <c r="A560" s="24" t="s">
        <v>1354</v>
      </c>
      <c r="B560" s="24">
        <v>13</v>
      </c>
      <c r="C560" s="24">
        <v>8</v>
      </c>
      <c r="D560" s="24">
        <v>1</v>
      </c>
      <c r="E560" s="24" t="s">
        <v>2178</v>
      </c>
    </row>
    <row r="561" spans="1:5" ht="15.75" customHeight="1" x14ac:dyDescent="0.4">
      <c r="A561" s="24" t="s">
        <v>690</v>
      </c>
      <c r="B561" s="24">
        <v>13</v>
      </c>
      <c r="C561" s="24">
        <v>2</v>
      </c>
      <c r="D561" s="24">
        <v>0</v>
      </c>
      <c r="E561" s="24" t="s">
        <v>2178</v>
      </c>
    </row>
    <row r="562" spans="1:5" ht="15.75" customHeight="1" x14ac:dyDescent="0.4">
      <c r="A562" s="24" t="s">
        <v>461</v>
      </c>
      <c r="B562" s="24">
        <v>9</v>
      </c>
      <c r="C562" s="24">
        <v>9</v>
      </c>
      <c r="D562" s="24">
        <v>0</v>
      </c>
      <c r="E562" s="24" t="s">
        <v>2178</v>
      </c>
    </row>
    <row r="563" spans="1:5" ht="15.75" customHeight="1" x14ac:dyDescent="0.4">
      <c r="A563" s="24" t="s">
        <v>730</v>
      </c>
      <c r="B563" s="24">
        <v>9</v>
      </c>
      <c r="C563" s="24">
        <v>5</v>
      </c>
      <c r="D563" s="24">
        <v>0</v>
      </c>
      <c r="E563" s="24" t="s">
        <v>2178</v>
      </c>
    </row>
    <row r="564" spans="1:5" ht="15.75" customHeight="1" x14ac:dyDescent="0.4">
      <c r="A564" s="24" t="s">
        <v>555</v>
      </c>
      <c r="B564" s="24">
        <v>12</v>
      </c>
      <c r="C564" s="24">
        <v>12</v>
      </c>
      <c r="D564" s="24">
        <v>4</v>
      </c>
      <c r="E564" s="24" t="s">
        <v>2178</v>
      </c>
    </row>
    <row r="565" spans="1:5" ht="15.75" customHeight="1" x14ac:dyDescent="0.4">
      <c r="A565" s="24" t="s">
        <v>1373</v>
      </c>
      <c r="B565" s="24">
        <v>13</v>
      </c>
      <c r="C565" s="24">
        <v>8</v>
      </c>
      <c r="D565" s="24">
        <v>3</v>
      </c>
      <c r="E565" s="24" t="s">
        <v>2178</v>
      </c>
    </row>
    <row r="566" spans="1:5" ht="15.75" customHeight="1" x14ac:dyDescent="0.4">
      <c r="A566" s="24" t="s">
        <v>1464</v>
      </c>
      <c r="B566" s="24">
        <v>13</v>
      </c>
      <c r="C566" s="24">
        <v>10</v>
      </c>
      <c r="D566" s="24">
        <v>0</v>
      </c>
      <c r="E566" s="24" t="s">
        <v>2178</v>
      </c>
    </row>
    <row r="567" spans="1:5" ht="15.75" customHeight="1" x14ac:dyDescent="0.4">
      <c r="A567" s="24" t="s">
        <v>1414</v>
      </c>
      <c r="B567" s="24">
        <v>6</v>
      </c>
      <c r="C567" s="24">
        <v>6</v>
      </c>
      <c r="D567" s="24">
        <v>2</v>
      </c>
      <c r="E567" s="24" t="s">
        <v>2178</v>
      </c>
    </row>
    <row r="568" spans="1:5" ht="15.75" customHeight="1" x14ac:dyDescent="0.4">
      <c r="A568" s="24" t="s">
        <v>1951</v>
      </c>
      <c r="B568" s="24">
        <v>5</v>
      </c>
      <c r="C568" s="24">
        <v>5</v>
      </c>
      <c r="D568" s="24">
        <v>2</v>
      </c>
      <c r="E568" s="24" t="s">
        <v>2178</v>
      </c>
    </row>
    <row r="569" spans="1:5" ht="15.75" customHeight="1" x14ac:dyDescent="0.4">
      <c r="A569" s="24" t="s">
        <v>724</v>
      </c>
      <c r="B569" s="24">
        <v>4</v>
      </c>
      <c r="C569" s="24">
        <v>4</v>
      </c>
      <c r="D569" s="24">
        <v>0</v>
      </c>
      <c r="E569" s="24" t="s">
        <v>2178</v>
      </c>
    </row>
    <row r="570" spans="1:5" ht="15.75" customHeight="1" x14ac:dyDescent="0.4">
      <c r="A570" s="24" t="s">
        <v>1917</v>
      </c>
      <c r="B570" s="24">
        <v>13</v>
      </c>
      <c r="C570" s="24">
        <v>4</v>
      </c>
      <c r="D570" s="24">
        <v>5</v>
      </c>
      <c r="E570" s="24" t="s">
        <v>2178</v>
      </c>
    </row>
    <row r="571" spans="1:5" ht="15.75" customHeight="1" x14ac:dyDescent="0.4">
      <c r="A571" s="24" t="s">
        <v>1463</v>
      </c>
      <c r="B571" s="24">
        <v>17</v>
      </c>
      <c r="C571" s="24">
        <v>11</v>
      </c>
      <c r="D571" s="24">
        <v>3</v>
      </c>
      <c r="E571" s="24" t="s">
        <v>2179</v>
      </c>
    </row>
    <row r="572" spans="1:5" ht="15.75" customHeight="1" x14ac:dyDescent="0.4">
      <c r="A572" s="24" t="s">
        <v>985</v>
      </c>
      <c r="B572" s="24">
        <v>8</v>
      </c>
      <c r="C572" s="24">
        <v>4</v>
      </c>
      <c r="D572" s="24">
        <v>0</v>
      </c>
      <c r="E572" s="24" t="s">
        <v>2178</v>
      </c>
    </row>
    <row r="573" spans="1:5" ht="15.75" customHeight="1" x14ac:dyDescent="0.4">
      <c r="A573" s="24" t="s">
        <v>2069</v>
      </c>
      <c r="B573" s="24">
        <v>5</v>
      </c>
      <c r="C573" s="24">
        <v>5</v>
      </c>
      <c r="D573" s="24">
        <v>0</v>
      </c>
      <c r="E573" s="24" t="s">
        <v>2178</v>
      </c>
    </row>
    <row r="574" spans="1:5" ht="15.75" customHeight="1" x14ac:dyDescent="0.4">
      <c r="A574" s="24" t="s">
        <v>1234</v>
      </c>
      <c r="B574" s="24">
        <v>4</v>
      </c>
      <c r="C574" s="24">
        <v>1</v>
      </c>
      <c r="D574" s="24">
        <v>1</v>
      </c>
      <c r="E574" s="24" t="s">
        <v>2178</v>
      </c>
    </row>
    <row r="575" spans="1:5" ht="15.75" customHeight="1" x14ac:dyDescent="0.4">
      <c r="A575" s="24" t="s">
        <v>1161</v>
      </c>
      <c r="B575" s="24">
        <v>12</v>
      </c>
      <c r="C575" s="24">
        <v>4</v>
      </c>
      <c r="D575" s="24">
        <v>1</v>
      </c>
      <c r="E575" s="24" t="s">
        <v>2178</v>
      </c>
    </row>
    <row r="576" spans="1:5" ht="15.75" customHeight="1" x14ac:dyDescent="0.4">
      <c r="A576" s="24" t="s">
        <v>1809</v>
      </c>
      <c r="B576" s="24">
        <v>4</v>
      </c>
      <c r="C576" s="24">
        <v>3</v>
      </c>
      <c r="D576" s="24">
        <v>0</v>
      </c>
      <c r="E576" s="24" t="s">
        <v>2178</v>
      </c>
    </row>
    <row r="577" spans="1:5" ht="15.75" customHeight="1" x14ac:dyDescent="0.4">
      <c r="A577" s="24" t="s">
        <v>1309</v>
      </c>
      <c r="B577" s="24">
        <v>4</v>
      </c>
      <c r="C577" s="24">
        <v>4</v>
      </c>
      <c r="D577" s="24">
        <v>2</v>
      </c>
      <c r="E577" s="24" t="s">
        <v>2178</v>
      </c>
    </row>
    <row r="578" spans="1:5" ht="15.75" customHeight="1" x14ac:dyDescent="0.4">
      <c r="A578" s="24" t="s">
        <v>1688</v>
      </c>
      <c r="B578" s="24">
        <v>13</v>
      </c>
      <c r="C578" s="24">
        <v>4</v>
      </c>
      <c r="D578" s="24">
        <v>0</v>
      </c>
      <c r="E578" s="24" t="s">
        <v>2178</v>
      </c>
    </row>
    <row r="579" spans="1:5" ht="15.75" customHeight="1" x14ac:dyDescent="0.4">
      <c r="A579" s="24" t="s">
        <v>2159</v>
      </c>
      <c r="B579" s="24">
        <v>4</v>
      </c>
      <c r="C579" s="24">
        <v>4</v>
      </c>
      <c r="D579" s="24">
        <v>0</v>
      </c>
      <c r="E579" s="24" t="s">
        <v>2178</v>
      </c>
    </row>
    <row r="580" spans="1:5" ht="15.75" customHeight="1" x14ac:dyDescent="0.4">
      <c r="A580" s="24" t="s">
        <v>1819</v>
      </c>
      <c r="B580" s="24">
        <v>13</v>
      </c>
      <c r="C580" s="24">
        <v>12</v>
      </c>
      <c r="D580" s="24">
        <v>0</v>
      </c>
      <c r="E580" s="24" t="s">
        <v>2178</v>
      </c>
    </row>
    <row r="581" spans="1:5" ht="15.75" customHeight="1" x14ac:dyDescent="0.4">
      <c r="A581" s="24" t="s">
        <v>925</v>
      </c>
      <c r="B581" s="24">
        <v>13</v>
      </c>
      <c r="C581" s="24">
        <v>7</v>
      </c>
      <c r="D581" s="24">
        <v>3</v>
      </c>
      <c r="E581" s="24" t="s">
        <v>2178</v>
      </c>
    </row>
    <row r="582" spans="1:5" ht="15.75" customHeight="1" x14ac:dyDescent="0.4">
      <c r="A582" s="24" t="s">
        <v>1584</v>
      </c>
      <c r="B582" s="24">
        <v>10</v>
      </c>
      <c r="C582" s="24">
        <v>9</v>
      </c>
      <c r="D582" s="24">
        <v>3</v>
      </c>
      <c r="E582" s="24" t="s">
        <v>2178</v>
      </c>
    </row>
    <row r="583" spans="1:5" ht="15.75" customHeight="1" x14ac:dyDescent="0.4">
      <c r="A583" s="24" t="s">
        <v>1619</v>
      </c>
      <c r="B583" s="24">
        <v>13</v>
      </c>
      <c r="C583" s="24">
        <v>5</v>
      </c>
      <c r="D583" s="24">
        <v>0</v>
      </c>
      <c r="E583" s="24" t="s">
        <v>2178</v>
      </c>
    </row>
    <row r="584" spans="1:5" ht="15.75" customHeight="1" x14ac:dyDescent="0.4">
      <c r="A584" s="24" t="s">
        <v>1159</v>
      </c>
      <c r="B584" s="24">
        <v>12</v>
      </c>
      <c r="C584" s="24">
        <v>4</v>
      </c>
      <c r="D584" s="24">
        <v>1</v>
      </c>
      <c r="E584" s="24" t="s">
        <v>2178</v>
      </c>
    </row>
    <row r="585" spans="1:5" ht="15.75" customHeight="1" x14ac:dyDescent="0.4">
      <c r="A585" s="24" t="s">
        <v>1199</v>
      </c>
      <c r="B585" s="24">
        <v>12</v>
      </c>
      <c r="C585" s="24">
        <v>10</v>
      </c>
      <c r="D585" s="24">
        <v>1</v>
      </c>
      <c r="E585" s="24" t="s">
        <v>2178</v>
      </c>
    </row>
    <row r="586" spans="1:5" ht="15.75" customHeight="1" x14ac:dyDescent="0.4">
      <c r="A586" s="24" t="s">
        <v>900</v>
      </c>
      <c r="B586" s="24">
        <v>4</v>
      </c>
      <c r="C586" s="24">
        <v>4</v>
      </c>
      <c r="D586" s="24">
        <v>0</v>
      </c>
      <c r="E586" s="24" t="s">
        <v>2178</v>
      </c>
    </row>
    <row r="587" spans="1:5" ht="15.75" customHeight="1" x14ac:dyDescent="0.4">
      <c r="A587" s="24" t="s">
        <v>1085</v>
      </c>
      <c r="B587" s="24">
        <v>4</v>
      </c>
      <c r="C587" s="24">
        <v>2</v>
      </c>
      <c r="D587" s="24">
        <v>1</v>
      </c>
      <c r="E587" s="24" t="s">
        <v>2178</v>
      </c>
    </row>
    <row r="588" spans="1:5" ht="15.75" customHeight="1" x14ac:dyDescent="0.4">
      <c r="A588" s="24" t="s">
        <v>1743</v>
      </c>
      <c r="B588" s="24">
        <v>13</v>
      </c>
      <c r="C588" s="24">
        <v>13</v>
      </c>
      <c r="D588" s="24">
        <v>3</v>
      </c>
      <c r="E588" s="24" t="s">
        <v>2178</v>
      </c>
    </row>
    <row r="589" spans="1:5" ht="15.75" customHeight="1" x14ac:dyDescent="0.4">
      <c r="A589" s="24" t="s">
        <v>1314</v>
      </c>
      <c r="B589" s="24">
        <v>4</v>
      </c>
      <c r="C589" s="24">
        <v>4</v>
      </c>
      <c r="D589" s="24">
        <v>1</v>
      </c>
      <c r="E589" s="24" t="s">
        <v>2178</v>
      </c>
    </row>
    <row r="590" spans="1:5" ht="15.75" customHeight="1" x14ac:dyDescent="0.4">
      <c r="A590" s="24" t="s">
        <v>1425</v>
      </c>
      <c r="B590" s="24">
        <v>10</v>
      </c>
      <c r="C590" s="24">
        <v>8</v>
      </c>
      <c r="D590" s="24">
        <v>3</v>
      </c>
      <c r="E590" s="24" t="s">
        <v>2178</v>
      </c>
    </row>
    <row r="591" spans="1:5" ht="15.75" customHeight="1" x14ac:dyDescent="0.4">
      <c r="A591" s="24" t="s">
        <v>1163</v>
      </c>
      <c r="B591" s="24">
        <v>9</v>
      </c>
      <c r="C591" s="24">
        <v>7</v>
      </c>
      <c r="D591" s="24">
        <v>2</v>
      </c>
      <c r="E591" s="24" t="s">
        <v>2178</v>
      </c>
    </row>
    <row r="592" spans="1:5" ht="15.75" customHeight="1" x14ac:dyDescent="0.4">
      <c r="A592" s="24" t="s">
        <v>1751</v>
      </c>
      <c r="B592" s="24">
        <v>10</v>
      </c>
      <c r="C592" s="24">
        <v>2</v>
      </c>
      <c r="D592" s="24">
        <v>1</v>
      </c>
      <c r="E592" s="24" t="s">
        <v>2178</v>
      </c>
    </row>
    <row r="593" spans="1:5" ht="15.75" customHeight="1" x14ac:dyDescent="0.4">
      <c r="A593" s="24" t="s">
        <v>1506</v>
      </c>
      <c r="B593" s="24">
        <v>4</v>
      </c>
      <c r="C593" s="24">
        <v>3</v>
      </c>
      <c r="D593" s="24">
        <v>0</v>
      </c>
      <c r="E593" s="24" t="s">
        <v>2178</v>
      </c>
    </row>
    <row r="594" spans="1:5" ht="15.75" customHeight="1" x14ac:dyDescent="0.4">
      <c r="A594" s="24" t="s">
        <v>625</v>
      </c>
      <c r="B594" s="24">
        <v>13</v>
      </c>
      <c r="C594" s="24">
        <v>0</v>
      </c>
      <c r="D594" s="24">
        <v>0</v>
      </c>
      <c r="E594" s="24" t="s">
        <v>2178</v>
      </c>
    </row>
    <row r="595" spans="1:5" ht="15.75" customHeight="1" x14ac:dyDescent="0.4">
      <c r="A595" s="24" t="s">
        <v>2067</v>
      </c>
      <c r="B595" s="24">
        <v>9</v>
      </c>
      <c r="C595" s="24">
        <v>4</v>
      </c>
      <c r="D595" s="24">
        <v>1</v>
      </c>
      <c r="E595" s="24" t="s">
        <v>2178</v>
      </c>
    </row>
    <row r="596" spans="1:5" ht="15.75" customHeight="1" x14ac:dyDescent="0.4">
      <c r="A596" s="24" t="s">
        <v>2165</v>
      </c>
      <c r="B596" s="24">
        <v>9</v>
      </c>
      <c r="C596" s="24">
        <v>6</v>
      </c>
      <c r="D596" s="24">
        <v>0</v>
      </c>
      <c r="E596" s="24" t="s">
        <v>2178</v>
      </c>
    </row>
    <row r="597" spans="1:5" ht="15.75" customHeight="1" x14ac:dyDescent="0.4">
      <c r="A597" s="24" t="s">
        <v>1569</v>
      </c>
      <c r="B597" s="24">
        <v>13</v>
      </c>
      <c r="C597" s="24">
        <v>8</v>
      </c>
      <c r="D597" s="24">
        <v>0</v>
      </c>
      <c r="E597" s="24" t="s">
        <v>2178</v>
      </c>
    </row>
    <row r="598" spans="1:5" ht="15.75" customHeight="1" x14ac:dyDescent="0.4">
      <c r="A598" s="24" t="s">
        <v>1645</v>
      </c>
      <c r="B598" s="24">
        <v>13</v>
      </c>
      <c r="C598" s="24">
        <v>13</v>
      </c>
      <c r="D598" s="24">
        <v>4</v>
      </c>
      <c r="E598" s="24" t="s">
        <v>2178</v>
      </c>
    </row>
    <row r="599" spans="1:5" ht="15.75" customHeight="1" x14ac:dyDescent="0.4">
      <c r="A599" s="24" t="s">
        <v>1125</v>
      </c>
      <c r="B599" s="24">
        <v>4</v>
      </c>
      <c r="C599" s="24">
        <v>4</v>
      </c>
      <c r="D599" s="24">
        <v>2</v>
      </c>
      <c r="E599" s="24" t="s">
        <v>2178</v>
      </c>
    </row>
    <row r="600" spans="1:5" ht="15.75" customHeight="1" x14ac:dyDescent="0.4">
      <c r="A600" s="24" t="s">
        <v>827</v>
      </c>
      <c r="B600" s="24">
        <v>4</v>
      </c>
      <c r="C600" s="24">
        <v>2</v>
      </c>
      <c r="D600" s="24">
        <v>1</v>
      </c>
      <c r="E600" s="24" t="s">
        <v>2178</v>
      </c>
    </row>
    <row r="601" spans="1:5" ht="15.75" customHeight="1" x14ac:dyDescent="0.4">
      <c r="A601" s="24" t="s">
        <v>493</v>
      </c>
      <c r="B601" s="24">
        <v>13</v>
      </c>
      <c r="C601" s="24">
        <v>10</v>
      </c>
      <c r="D601" s="24">
        <v>0</v>
      </c>
      <c r="E601" s="24" t="s">
        <v>2178</v>
      </c>
    </row>
    <row r="602" spans="1:5" ht="15.75" customHeight="1" x14ac:dyDescent="0.4">
      <c r="A602" s="24" t="s">
        <v>912</v>
      </c>
      <c r="B602" s="24">
        <v>9</v>
      </c>
      <c r="C602" s="24">
        <v>9</v>
      </c>
      <c r="D602" s="24">
        <v>2</v>
      </c>
      <c r="E602" s="24" t="s">
        <v>2178</v>
      </c>
    </row>
    <row r="603" spans="1:5" ht="15.75" customHeight="1" x14ac:dyDescent="0.4">
      <c r="A603" s="24" t="s">
        <v>1034</v>
      </c>
      <c r="B603" s="24">
        <v>9</v>
      </c>
      <c r="C603" s="24">
        <v>7</v>
      </c>
      <c r="D603" s="24">
        <v>2</v>
      </c>
      <c r="E603" s="24" t="s">
        <v>2179</v>
      </c>
    </row>
    <row r="604" spans="1:5" ht="15.75" customHeight="1" x14ac:dyDescent="0.4">
      <c r="A604" s="24" t="s">
        <v>587</v>
      </c>
      <c r="B604" s="24">
        <v>13</v>
      </c>
      <c r="C604" s="24">
        <v>7</v>
      </c>
      <c r="D604" s="24">
        <v>2</v>
      </c>
      <c r="E604" s="24" t="s">
        <v>2178</v>
      </c>
    </row>
    <row r="605" spans="1:5" ht="15.75" customHeight="1" x14ac:dyDescent="0.4">
      <c r="A605" s="24" t="s">
        <v>1854</v>
      </c>
      <c r="B605" s="24">
        <v>4</v>
      </c>
      <c r="C605" s="24">
        <v>4</v>
      </c>
      <c r="D605" s="24">
        <v>3</v>
      </c>
      <c r="E605" s="24" t="s">
        <v>2178</v>
      </c>
    </row>
    <row r="606" spans="1:5" ht="15.75" customHeight="1" x14ac:dyDescent="0.4">
      <c r="A606" s="24" t="s">
        <v>1231</v>
      </c>
      <c r="B606" s="24">
        <v>23</v>
      </c>
      <c r="C606" s="24">
        <v>14</v>
      </c>
      <c r="D606" s="24">
        <v>2</v>
      </c>
      <c r="E606" s="24" t="s">
        <v>2179</v>
      </c>
    </row>
    <row r="607" spans="1:5" ht="15.75" customHeight="1" x14ac:dyDescent="0.4">
      <c r="A607" s="24" t="s">
        <v>2098</v>
      </c>
      <c r="B607" s="24">
        <v>13</v>
      </c>
      <c r="C607" s="24">
        <v>4</v>
      </c>
      <c r="D607" s="24">
        <v>4</v>
      </c>
      <c r="E607" s="24" t="s">
        <v>2178</v>
      </c>
    </row>
    <row r="608" spans="1:5" ht="15.75" customHeight="1" x14ac:dyDescent="0.4">
      <c r="A608" s="24" t="s">
        <v>235</v>
      </c>
      <c r="B608" s="24">
        <v>13</v>
      </c>
      <c r="C608" s="24">
        <v>10</v>
      </c>
      <c r="D608" s="24">
        <v>2</v>
      </c>
      <c r="E608" s="24" t="s">
        <v>2178</v>
      </c>
    </row>
    <row r="609" spans="1:5" ht="15.75" customHeight="1" x14ac:dyDescent="0.4">
      <c r="A609" s="24" t="s">
        <v>1170</v>
      </c>
      <c r="B609" s="24">
        <v>13</v>
      </c>
      <c r="C609" s="24">
        <v>12</v>
      </c>
      <c r="D609" s="24">
        <v>4</v>
      </c>
      <c r="E609" s="24" t="s">
        <v>2178</v>
      </c>
    </row>
    <row r="610" spans="1:5" ht="15.75" customHeight="1" x14ac:dyDescent="0.4">
      <c r="A610" s="24" t="s">
        <v>1061</v>
      </c>
      <c r="B610" s="24">
        <v>17</v>
      </c>
      <c r="C610" s="24">
        <v>14</v>
      </c>
      <c r="D610" s="24">
        <v>6</v>
      </c>
      <c r="E610" s="24" t="s">
        <v>2179</v>
      </c>
    </row>
    <row r="611" spans="1:5" ht="15.75" customHeight="1" x14ac:dyDescent="0.4">
      <c r="A611" s="24" t="s">
        <v>2015</v>
      </c>
      <c r="B611" s="24">
        <v>13</v>
      </c>
      <c r="C611" s="24">
        <v>11</v>
      </c>
      <c r="D611" s="24">
        <v>1</v>
      </c>
      <c r="E611" s="24" t="s">
        <v>2179</v>
      </c>
    </row>
    <row r="612" spans="1:5" ht="15.75" customHeight="1" x14ac:dyDescent="0.4">
      <c r="A612" s="24" t="s">
        <v>926</v>
      </c>
      <c r="B612" s="24">
        <v>3</v>
      </c>
      <c r="C612" s="24">
        <v>3</v>
      </c>
      <c r="D612" s="24">
        <v>0</v>
      </c>
      <c r="E612" s="24" t="s">
        <v>2179</v>
      </c>
    </row>
    <row r="613" spans="1:5" ht="15.75" customHeight="1" x14ac:dyDescent="0.4">
      <c r="A613" s="24" t="s">
        <v>950</v>
      </c>
      <c r="B613" s="24">
        <v>13</v>
      </c>
      <c r="C613" s="24">
        <v>10</v>
      </c>
      <c r="D613" s="24">
        <v>0</v>
      </c>
      <c r="E613" s="24" t="s">
        <v>2179</v>
      </c>
    </row>
    <row r="614" spans="1:5" ht="15.75" customHeight="1" x14ac:dyDescent="0.4">
      <c r="A614" s="24" t="s">
        <v>503</v>
      </c>
      <c r="B614" s="24">
        <v>13</v>
      </c>
      <c r="C614" s="24">
        <v>8</v>
      </c>
      <c r="D614" s="24">
        <v>1</v>
      </c>
      <c r="E614" s="24" t="s">
        <v>2179</v>
      </c>
    </row>
    <row r="615" spans="1:5" ht="15.75" customHeight="1" x14ac:dyDescent="0.4">
      <c r="A615" s="24" t="s">
        <v>1866</v>
      </c>
      <c r="B615" s="24">
        <v>3</v>
      </c>
      <c r="C615" s="24">
        <v>0</v>
      </c>
      <c r="D615" s="24">
        <v>0</v>
      </c>
      <c r="E615" s="24" t="s">
        <v>2179</v>
      </c>
    </row>
    <row r="616" spans="1:5" ht="15.75" customHeight="1" x14ac:dyDescent="0.4">
      <c r="A616" s="24" t="s">
        <v>1816</v>
      </c>
      <c r="B616" s="24">
        <v>13</v>
      </c>
      <c r="C616" s="24">
        <v>13</v>
      </c>
      <c r="D616" s="24">
        <v>0</v>
      </c>
      <c r="E616" s="24" t="s">
        <v>2179</v>
      </c>
    </row>
    <row r="617" spans="1:5" ht="15.75" customHeight="1" x14ac:dyDescent="0.4">
      <c r="A617" s="24" t="s">
        <v>1772</v>
      </c>
      <c r="B617" s="24">
        <v>13</v>
      </c>
      <c r="C617" s="24">
        <v>11</v>
      </c>
      <c r="D617" s="24">
        <v>4</v>
      </c>
      <c r="E617" s="24" t="s">
        <v>2179</v>
      </c>
    </row>
    <row r="618" spans="1:5" ht="15.75" customHeight="1" x14ac:dyDescent="0.4">
      <c r="A618" s="24" t="s">
        <v>961</v>
      </c>
      <c r="B618" s="24">
        <v>13</v>
      </c>
      <c r="C618" s="24">
        <v>4</v>
      </c>
      <c r="D618" s="24">
        <v>0</v>
      </c>
      <c r="E618" s="24" t="s">
        <v>2179</v>
      </c>
    </row>
    <row r="619" spans="1:5" ht="15.75" customHeight="1" x14ac:dyDescent="0.4">
      <c r="A619" s="24" t="s">
        <v>1008</v>
      </c>
      <c r="B619" s="24">
        <v>12</v>
      </c>
      <c r="C619" s="24">
        <v>9</v>
      </c>
      <c r="D619" s="24">
        <v>4</v>
      </c>
      <c r="E619" s="24" t="s">
        <v>2179</v>
      </c>
    </row>
    <row r="620" spans="1:5" ht="15.75" customHeight="1" x14ac:dyDescent="0.4">
      <c r="A620" s="24" t="s">
        <v>756</v>
      </c>
      <c r="B620" s="24">
        <v>2</v>
      </c>
      <c r="C620" s="24">
        <v>2</v>
      </c>
      <c r="D620" s="24">
        <v>1</v>
      </c>
      <c r="E620" s="24" t="s">
        <v>2179</v>
      </c>
    </row>
    <row r="621" spans="1:5" ht="15.75" customHeight="1" x14ac:dyDescent="0.4">
      <c r="A621" s="24" t="s">
        <v>1699</v>
      </c>
      <c r="B621" s="24">
        <v>13</v>
      </c>
      <c r="C621" s="24">
        <v>11</v>
      </c>
      <c r="D621" s="24">
        <v>4</v>
      </c>
      <c r="E621" s="24" t="s">
        <v>2179</v>
      </c>
    </row>
    <row r="622" spans="1:5" ht="15.75" customHeight="1" x14ac:dyDescent="0.4">
      <c r="A622" s="24" t="s">
        <v>831</v>
      </c>
      <c r="B622" s="24">
        <v>13</v>
      </c>
      <c r="C622" s="24">
        <v>11</v>
      </c>
      <c r="D622" s="24">
        <v>3</v>
      </c>
      <c r="E622" s="24" t="s">
        <v>2179</v>
      </c>
    </row>
    <row r="623" spans="1:5" ht="15.75" customHeight="1" x14ac:dyDescent="0.4">
      <c r="A623" s="24" t="s">
        <v>1937</v>
      </c>
      <c r="B623" s="24">
        <v>13</v>
      </c>
      <c r="C623" s="24">
        <v>2</v>
      </c>
      <c r="D623" s="24">
        <v>4</v>
      </c>
      <c r="E623" s="24" t="s">
        <v>2179</v>
      </c>
    </row>
    <row r="624" spans="1:5" ht="15.75" customHeight="1" x14ac:dyDescent="0.4">
      <c r="A624" s="24" t="s">
        <v>1687</v>
      </c>
      <c r="B624" s="24">
        <v>13</v>
      </c>
      <c r="C624" s="24">
        <v>12</v>
      </c>
      <c r="D624" s="24">
        <v>4</v>
      </c>
      <c r="E624" s="24" t="s">
        <v>2179</v>
      </c>
    </row>
    <row r="625" spans="1:5" ht="15.75" customHeight="1" x14ac:dyDescent="0.4">
      <c r="A625" s="24" t="s">
        <v>435</v>
      </c>
      <c r="B625" s="24">
        <v>3</v>
      </c>
      <c r="C625" s="24">
        <v>2</v>
      </c>
      <c r="D625" s="24">
        <v>1</v>
      </c>
      <c r="E625" s="24" t="s">
        <v>2179</v>
      </c>
    </row>
    <row r="626" spans="1:5" ht="15.75" customHeight="1" x14ac:dyDescent="0.4">
      <c r="A626" s="24" t="s">
        <v>1107</v>
      </c>
      <c r="B626" s="24">
        <v>8</v>
      </c>
      <c r="C626" s="24">
        <v>0</v>
      </c>
      <c r="D626" s="24">
        <v>3</v>
      </c>
      <c r="E626" s="24" t="s">
        <v>2179</v>
      </c>
    </row>
    <row r="627" spans="1:5" ht="15.75" customHeight="1" x14ac:dyDescent="0.4">
      <c r="A627" s="24" t="s">
        <v>1351</v>
      </c>
      <c r="B627" s="24">
        <v>13</v>
      </c>
      <c r="C627" s="24">
        <v>13</v>
      </c>
      <c r="D627" s="24">
        <v>3</v>
      </c>
      <c r="E627" s="24" t="s">
        <v>2179</v>
      </c>
    </row>
    <row r="628" spans="1:5" ht="15.75" customHeight="1" x14ac:dyDescent="0.4">
      <c r="A628" s="24" t="s">
        <v>453</v>
      </c>
      <c r="B628" s="24">
        <v>12</v>
      </c>
      <c r="C628" s="24">
        <v>5</v>
      </c>
      <c r="D628" s="24">
        <v>1</v>
      </c>
      <c r="E628" s="24" t="s">
        <v>2179</v>
      </c>
    </row>
    <row r="629" spans="1:5" ht="15.75" customHeight="1" x14ac:dyDescent="0.4">
      <c r="A629" s="24" t="s">
        <v>1835</v>
      </c>
      <c r="B629" s="24">
        <v>3</v>
      </c>
      <c r="C629" s="24">
        <v>3</v>
      </c>
      <c r="D629" s="24">
        <v>2</v>
      </c>
      <c r="E629" s="24" t="s">
        <v>2179</v>
      </c>
    </row>
    <row r="630" spans="1:5" ht="15.75" customHeight="1" x14ac:dyDescent="0.4">
      <c r="A630" s="24" t="s">
        <v>1269</v>
      </c>
      <c r="B630" s="24">
        <v>12</v>
      </c>
      <c r="C630" s="24">
        <v>0</v>
      </c>
      <c r="D630" s="24">
        <v>1</v>
      </c>
      <c r="E630" s="24" t="s">
        <v>2179</v>
      </c>
    </row>
    <row r="631" spans="1:5" ht="15.75" customHeight="1" x14ac:dyDescent="0.4">
      <c r="A631" s="24" t="s">
        <v>1431</v>
      </c>
      <c r="B631" s="24">
        <v>13</v>
      </c>
      <c r="C631" s="24">
        <v>10</v>
      </c>
      <c r="D631" s="24">
        <v>0</v>
      </c>
      <c r="E631" s="24" t="s">
        <v>2179</v>
      </c>
    </row>
    <row r="632" spans="1:5" ht="15.75" customHeight="1" x14ac:dyDescent="0.4">
      <c r="A632" s="24" t="s">
        <v>704</v>
      </c>
      <c r="B632" s="24">
        <v>13</v>
      </c>
      <c r="C632" s="24">
        <v>12</v>
      </c>
      <c r="D632" s="24">
        <v>1</v>
      </c>
      <c r="E632" s="24" t="s">
        <v>2179</v>
      </c>
    </row>
    <row r="633" spans="1:5" ht="15.75" customHeight="1" x14ac:dyDescent="0.4">
      <c r="A633" s="24" t="s">
        <v>1295</v>
      </c>
      <c r="B633" s="24">
        <v>13</v>
      </c>
      <c r="C633" s="24">
        <v>13</v>
      </c>
      <c r="D633" s="24">
        <v>2</v>
      </c>
      <c r="E633" s="24" t="s">
        <v>2179</v>
      </c>
    </row>
    <row r="634" spans="1:5" ht="15.75" customHeight="1" x14ac:dyDescent="0.4">
      <c r="A634" s="24" t="s">
        <v>902</v>
      </c>
      <c r="B634" s="24">
        <v>13</v>
      </c>
      <c r="C634" s="24">
        <v>5</v>
      </c>
      <c r="D634" s="24">
        <v>3</v>
      </c>
      <c r="E634" s="24" t="s">
        <v>2179</v>
      </c>
    </row>
    <row r="635" spans="1:5" ht="15.75" customHeight="1" x14ac:dyDescent="0.4">
      <c r="A635" s="24" t="s">
        <v>849</v>
      </c>
      <c r="B635" s="24">
        <v>13</v>
      </c>
      <c r="C635" s="24">
        <v>7</v>
      </c>
      <c r="D635" s="24">
        <v>1</v>
      </c>
      <c r="E635" s="24" t="s">
        <v>2179</v>
      </c>
    </row>
    <row r="636" spans="1:5" ht="15.75" customHeight="1" x14ac:dyDescent="0.4">
      <c r="A636" s="24" t="s">
        <v>1131</v>
      </c>
      <c r="B636" s="24">
        <v>13</v>
      </c>
      <c r="C636" s="24">
        <v>10</v>
      </c>
      <c r="D636" s="24">
        <v>6</v>
      </c>
      <c r="E636" s="24" t="s">
        <v>2179</v>
      </c>
    </row>
    <row r="637" spans="1:5" ht="15.75" customHeight="1" x14ac:dyDescent="0.4">
      <c r="A637" s="24" t="s">
        <v>2022</v>
      </c>
      <c r="B637" s="24">
        <v>3</v>
      </c>
      <c r="C637" s="24">
        <v>3</v>
      </c>
      <c r="D637" s="24">
        <v>2</v>
      </c>
      <c r="E637" s="24" t="s">
        <v>2179</v>
      </c>
    </row>
    <row r="638" spans="1:5" ht="15.75" customHeight="1" x14ac:dyDescent="0.4">
      <c r="A638" s="24" t="s">
        <v>1350</v>
      </c>
      <c r="B638" s="24">
        <v>10</v>
      </c>
      <c r="C638" s="24">
        <v>10</v>
      </c>
      <c r="D638" s="24">
        <v>0</v>
      </c>
      <c r="E638" s="24" t="s">
        <v>2179</v>
      </c>
    </row>
    <row r="639" spans="1:5" ht="15.75" customHeight="1" x14ac:dyDescent="0.4">
      <c r="A639" s="24" t="s">
        <v>2014</v>
      </c>
      <c r="B639" s="24">
        <v>13</v>
      </c>
      <c r="C639" s="24">
        <v>10</v>
      </c>
      <c r="D639" s="24">
        <v>4</v>
      </c>
      <c r="E639" s="24" t="s">
        <v>2179</v>
      </c>
    </row>
    <row r="640" spans="1:5" ht="15.75" customHeight="1" x14ac:dyDescent="0.4">
      <c r="A640" s="24" t="s">
        <v>547</v>
      </c>
      <c r="B640" s="24">
        <v>13</v>
      </c>
      <c r="C640" s="24">
        <v>12</v>
      </c>
      <c r="D640" s="24">
        <v>1</v>
      </c>
      <c r="E640" s="24" t="s">
        <v>2179</v>
      </c>
    </row>
    <row r="641" spans="1:5" ht="15.75" customHeight="1" x14ac:dyDescent="0.4">
      <c r="A641" s="24" t="s">
        <v>1514</v>
      </c>
      <c r="B641" s="24">
        <v>13</v>
      </c>
      <c r="C641" s="24">
        <v>3</v>
      </c>
      <c r="D641" s="24">
        <v>3</v>
      </c>
      <c r="E641" s="24" t="s">
        <v>2179</v>
      </c>
    </row>
    <row r="642" spans="1:5" ht="15.75" customHeight="1" x14ac:dyDescent="0.4">
      <c r="A642" s="24" t="s">
        <v>1009</v>
      </c>
      <c r="B642" s="24">
        <v>3</v>
      </c>
      <c r="C642" s="24">
        <v>3</v>
      </c>
      <c r="D642" s="24">
        <v>1</v>
      </c>
      <c r="E642" s="24" t="s">
        <v>2179</v>
      </c>
    </row>
    <row r="643" spans="1:5" ht="15.75" customHeight="1" x14ac:dyDescent="0.4">
      <c r="A643" s="24" t="s">
        <v>1808</v>
      </c>
      <c r="B643" s="24">
        <v>13</v>
      </c>
      <c r="C643" s="24">
        <v>13</v>
      </c>
      <c r="D643" s="24">
        <v>2</v>
      </c>
      <c r="E643" s="24" t="s">
        <v>2179</v>
      </c>
    </row>
    <row r="644" spans="1:5" ht="15.75" customHeight="1" x14ac:dyDescent="0.4">
      <c r="A644" s="24" t="s">
        <v>2153</v>
      </c>
      <c r="B644" s="24">
        <v>13</v>
      </c>
      <c r="C644" s="24">
        <v>10</v>
      </c>
      <c r="D644" s="24">
        <v>2</v>
      </c>
      <c r="E644" s="24" t="s">
        <v>2179</v>
      </c>
    </row>
    <row r="645" spans="1:5" ht="15.75" customHeight="1" x14ac:dyDescent="0.4">
      <c r="A645" s="24" t="s">
        <v>1110</v>
      </c>
      <c r="B645" s="24">
        <v>3</v>
      </c>
      <c r="C645" s="24">
        <v>3</v>
      </c>
      <c r="D645" s="24">
        <v>1</v>
      </c>
      <c r="E645" s="24" t="s">
        <v>2179</v>
      </c>
    </row>
    <row r="646" spans="1:5" ht="15.75" customHeight="1" x14ac:dyDescent="0.4">
      <c r="A646" s="24" t="s">
        <v>1465</v>
      </c>
      <c r="B646" s="24">
        <v>13</v>
      </c>
      <c r="C646" s="24">
        <v>12</v>
      </c>
      <c r="D646" s="24">
        <v>1</v>
      </c>
      <c r="E646" s="24" t="s">
        <v>2179</v>
      </c>
    </row>
    <row r="647" spans="1:5" ht="15.75" customHeight="1" x14ac:dyDescent="0.4">
      <c r="A647" s="24" t="s">
        <v>932</v>
      </c>
      <c r="B647" s="24">
        <v>13</v>
      </c>
      <c r="C647" s="24">
        <v>1</v>
      </c>
      <c r="D647" s="24">
        <v>1</v>
      </c>
      <c r="E647" s="24" t="s">
        <v>2179</v>
      </c>
    </row>
    <row r="648" spans="1:5" ht="15.75" customHeight="1" x14ac:dyDescent="0.4">
      <c r="A648" s="24" t="s">
        <v>843</v>
      </c>
      <c r="B648" s="24">
        <v>13</v>
      </c>
      <c r="C648" s="24">
        <v>8</v>
      </c>
      <c r="D648" s="24">
        <v>2</v>
      </c>
      <c r="E648" s="24" t="s">
        <v>2179</v>
      </c>
    </row>
    <row r="649" spans="1:5" ht="15.75" customHeight="1" x14ac:dyDescent="0.4">
      <c r="A649" s="24" t="s">
        <v>1681</v>
      </c>
      <c r="B649" s="24">
        <v>13</v>
      </c>
      <c r="C649" s="24">
        <v>13</v>
      </c>
      <c r="D649" s="24">
        <v>2</v>
      </c>
      <c r="E649" s="24" t="s">
        <v>2179</v>
      </c>
    </row>
    <row r="650" spans="1:5" ht="15.75" customHeight="1" x14ac:dyDescent="0.4">
      <c r="A650" s="24" t="s">
        <v>1583</v>
      </c>
      <c r="B650" s="24">
        <v>3</v>
      </c>
      <c r="C650" s="24">
        <v>3</v>
      </c>
      <c r="D650" s="24">
        <v>1</v>
      </c>
      <c r="E650" s="24" t="s">
        <v>2179</v>
      </c>
    </row>
    <row r="651" spans="1:5" ht="15.75" customHeight="1" x14ac:dyDescent="0.4">
      <c r="A651" s="24" t="s">
        <v>942</v>
      </c>
      <c r="B651" s="24">
        <v>13</v>
      </c>
      <c r="C651" s="24">
        <v>8</v>
      </c>
      <c r="D651" s="24">
        <v>2</v>
      </c>
      <c r="E651" s="24" t="s">
        <v>2179</v>
      </c>
    </row>
    <row r="652" spans="1:5" ht="15.75" customHeight="1" x14ac:dyDescent="0.4">
      <c r="A652" s="24" t="s">
        <v>1763</v>
      </c>
      <c r="B652" s="24">
        <v>8</v>
      </c>
      <c r="C652" s="24">
        <v>7</v>
      </c>
      <c r="D652" s="24">
        <v>3</v>
      </c>
      <c r="E652" s="24" t="s">
        <v>2179</v>
      </c>
    </row>
    <row r="653" spans="1:5" ht="15.75" customHeight="1" x14ac:dyDescent="0.4">
      <c r="A653" s="24" t="s">
        <v>569</v>
      </c>
      <c r="B653" s="24">
        <v>3</v>
      </c>
      <c r="C653" s="24">
        <v>1</v>
      </c>
      <c r="D653" s="24">
        <v>0</v>
      </c>
      <c r="E653" s="24" t="s">
        <v>2179</v>
      </c>
    </row>
    <row r="654" spans="1:5" ht="15.75" customHeight="1" x14ac:dyDescent="0.4">
      <c r="A654" s="24" t="s">
        <v>947</v>
      </c>
      <c r="B654" s="24">
        <v>13</v>
      </c>
      <c r="C654" s="24">
        <v>8</v>
      </c>
      <c r="D654" s="24">
        <v>0</v>
      </c>
      <c r="E654" s="24" t="s">
        <v>2179</v>
      </c>
    </row>
    <row r="655" spans="1:5" ht="15.75" customHeight="1" x14ac:dyDescent="0.4">
      <c r="A655" s="24" t="s">
        <v>1429</v>
      </c>
      <c r="B655" s="24">
        <v>13</v>
      </c>
      <c r="C655" s="24">
        <v>10</v>
      </c>
      <c r="D655" s="24">
        <v>0</v>
      </c>
      <c r="E655" s="24" t="s">
        <v>2179</v>
      </c>
    </row>
    <row r="656" spans="1:5" ht="15.75" customHeight="1" x14ac:dyDescent="0.4">
      <c r="A656" s="24" t="s">
        <v>2151</v>
      </c>
      <c r="B656" s="24">
        <v>10</v>
      </c>
      <c r="C656" s="24">
        <v>8</v>
      </c>
      <c r="D656" s="24">
        <v>0</v>
      </c>
      <c r="E656" s="24" t="s">
        <v>2179</v>
      </c>
    </row>
    <row r="657" spans="1:5" ht="15.75" customHeight="1" x14ac:dyDescent="0.4">
      <c r="A657" s="24" t="s">
        <v>1670</v>
      </c>
      <c r="B657" s="24">
        <v>13</v>
      </c>
      <c r="C657" s="24">
        <v>12</v>
      </c>
      <c r="D657" s="24">
        <v>1</v>
      </c>
      <c r="E657" s="24" t="s">
        <v>2179</v>
      </c>
    </row>
    <row r="658" spans="1:5" ht="15.75" customHeight="1" x14ac:dyDescent="0.4">
      <c r="A658" s="24" t="s">
        <v>1994</v>
      </c>
      <c r="B658" s="24">
        <v>10</v>
      </c>
      <c r="C658" s="24">
        <v>8</v>
      </c>
      <c r="D658" s="24">
        <v>0</v>
      </c>
      <c r="E658" s="24" t="s">
        <v>2179</v>
      </c>
    </row>
    <row r="659" spans="1:5" ht="15.75" customHeight="1" x14ac:dyDescent="0.4">
      <c r="A659" s="24" t="s">
        <v>1138</v>
      </c>
      <c r="B659" s="24">
        <v>3</v>
      </c>
      <c r="C659" s="24">
        <v>3</v>
      </c>
      <c r="D659" s="24">
        <v>1</v>
      </c>
      <c r="E659" s="24" t="s">
        <v>2179</v>
      </c>
    </row>
    <row r="660" spans="1:5" ht="15.75" customHeight="1" x14ac:dyDescent="0.4">
      <c r="A660" s="24" t="s">
        <v>1545</v>
      </c>
      <c r="B660" s="24">
        <v>13</v>
      </c>
      <c r="C660" s="24">
        <v>7</v>
      </c>
      <c r="D660" s="24">
        <v>2</v>
      </c>
      <c r="E660" s="24" t="s">
        <v>2179</v>
      </c>
    </row>
    <row r="661" spans="1:5" ht="15.75" customHeight="1" x14ac:dyDescent="0.4">
      <c r="A661" s="24" t="s">
        <v>2090</v>
      </c>
      <c r="B661" s="24">
        <v>3</v>
      </c>
      <c r="C661" s="24">
        <v>1</v>
      </c>
      <c r="D661" s="24">
        <v>0</v>
      </c>
      <c r="E661" s="24" t="s">
        <v>2179</v>
      </c>
    </row>
    <row r="662" spans="1:5" ht="15.75" customHeight="1" x14ac:dyDescent="0.4">
      <c r="A662" s="24" t="s">
        <v>325</v>
      </c>
      <c r="B662" s="24">
        <v>15</v>
      </c>
      <c r="C662" s="24">
        <v>12</v>
      </c>
      <c r="D662" s="24">
        <v>4</v>
      </c>
      <c r="E662" s="24" t="s">
        <v>2179</v>
      </c>
    </row>
    <row r="663" spans="1:5" ht="15.75" customHeight="1" x14ac:dyDescent="0.4">
      <c r="A663" s="24" t="s">
        <v>1840</v>
      </c>
      <c r="B663" s="24">
        <v>4</v>
      </c>
      <c r="C663" s="24">
        <v>0</v>
      </c>
      <c r="D663" s="24">
        <v>0</v>
      </c>
      <c r="E663" s="24" t="s">
        <v>2179</v>
      </c>
    </row>
    <row r="664" spans="1:5" ht="15.75" customHeight="1" x14ac:dyDescent="0.4">
      <c r="A664" s="24" t="s">
        <v>1987</v>
      </c>
      <c r="B664" s="24">
        <v>15</v>
      </c>
      <c r="C664" s="24">
        <v>12</v>
      </c>
      <c r="D664" s="24">
        <v>5</v>
      </c>
      <c r="E664" s="24" t="s">
        <v>2179</v>
      </c>
    </row>
    <row r="665" spans="1:5" ht="15.75" customHeight="1" x14ac:dyDescent="0.4">
      <c r="A665" s="24" t="s">
        <v>1286</v>
      </c>
      <c r="B665" s="24">
        <v>12</v>
      </c>
      <c r="C665" s="24">
        <v>12</v>
      </c>
      <c r="D665" s="24">
        <v>4</v>
      </c>
      <c r="E665" s="24" t="s">
        <v>2179</v>
      </c>
    </row>
    <row r="666" spans="1:5" ht="15.75" customHeight="1" x14ac:dyDescent="0.4">
      <c r="A666" s="24" t="s">
        <v>1353</v>
      </c>
      <c r="B666" s="24">
        <v>15</v>
      </c>
      <c r="C666" s="24">
        <v>13</v>
      </c>
      <c r="D666" s="24">
        <v>1</v>
      </c>
      <c r="E666" s="24" t="s">
        <v>2179</v>
      </c>
    </row>
    <row r="667" spans="1:5" ht="15.75" customHeight="1" x14ac:dyDescent="0.4">
      <c r="A667" s="24" t="s">
        <v>407</v>
      </c>
      <c r="B667" s="24">
        <v>15</v>
      </c>
      <c r="C667" s="24">
        <v>10</v>
      </c>
      <c r="D667" s="24">
        <v>0</v>
      </c>
      <c r="E667" s="24" t="s">
        <v>2179</v>
      </c>
    </row>
    <row r="668" spans="1:5" ht="15.75" customHeight="1" x14ac:dyDescent="0.4">
      <c r="A668" s="24" t="s">
        <v>343</v>
      </c>
      <c r="B668" s="24">
        <v>12</v>
      </c>
      <c r="C668" s="24">
        <v>12</v>
      </c>
      <c r="D668" s="24">
        <v>4</v>
      </c>
      <c r="E668" s="24" t="s">
        <v>2179</v>
      </c>
    </row>
    <row r="669" spans="1:5" ht="15.75" customHeight="1" x14ac:dyDescent="0.4">
      <c r="A669" s="24" t="s">
        <v>577</v>
      </c>
      <c r="B669" s="24">
        <v>14</v>
      </c>
      <c r="C669" s="24">
        <v>11</v>
      </c>
      <c r="D669" s="24">
        <v>1</v>
      </c>
      <c r="E669" s="24" t="s">
        <v>2179</v>
      </c>
    </row>
    <row r="670" spans="1:5" ht="15.75" customHeight="1" x14ac:dyDescent="0.4">
      <c r="A670" s="24" t="s">
        <v>1467</v>
      </c>
      <c r="B670" s="24">
        <v>15</v>
      </c>
      <c r="C670" s="24">
        <v>6</v>
      </c>
      <c r="D670" s="24">
        <v>0</v>
      </c>
      <c r="E670" s="24" t="s">
        <v>2179</v>
      </c>
    </row>
    <row r="671" spans="1:5" ht="15.75" customHeight="1" x14ac:dyDescent="0.4">
      <c r="A671" s="24" t="s">
        <v>1663</v>
      </c>
      <c r="B671" s="24">
        <v>12</v>
      </c>
      <c r="C671" s="24">
        <v>11</v>
      </c>
      <c r="D671" s="24">
        <v>2</v>
      </c>
      <c r="E671" s="24" t="s">
        <v>2179</v>
      </c>
    </row>
    <row r="672" spans="1:5" ht="15.75" customHeight="1" x14ac:dyDescent="0.4">
      <c r="A672" s="24" t="s">
        <v>1108</v>
      </c>
      <c r="B672" s="24">
        <v>3</v>
      </c>
      <c r="C672" s="24">
        <v>3</v>
      </c>
      <c r="D672" s="24">
        <v>1</v>
      </c>
      <c r="E672" s="24" t="s">
        <v>2179</v>
      </c>
    </row>
    <row r="673" spans="1:5" ht="15.75" customHeight="1" x14ac:dyDescent="0.4">
      <c r="A673" s="24" t="s">
        <v>1746</v>
      </c>
      <c r="B673" s="24">
        <v>4</v>
      </c>
      <c r="C673" s="24">
        <v>2</v>
      </c>
      <c r="D673" s="24">
        <v>0</v>
      </c>
      <c r="E673" s="24" t="s">
        <v>2179</v>
      </c>
    </row>
    <row r="674" spans="1:5" ht="15.75" customHeight="1" x14ac:dyDescent="0.4">
      <c r="A674" s="24" t="s">
        <v>337</v>
      </c>
      <c r="B674" s="24">
        <v>15</v>
      </c>
      <c r="C674" s="24">
        <v>4</v>
      </c>
      <c r="D674" s="24">
        <v>4</v>
      </c>
      <c r="E674" s="24" t="s">
        <v>2179</v>
      </c>
    </row>
    <row r="675" spans="1:5" ht="15.75" customHeight="1" x14ac:dyDescent="0.4">
      <c r="A675" s="24" t="s">
        <v>2003</v>
      </c>
      <c r="B675" s="24">
        <v>12</v>
      </c>
      <c r="C675" s="24">
        <v>12</v>
      </c>
      <c r="D675" s="24">
        <v>0</v>
      </c>
      <c r="E675" s="24" t="s">
        <v>2179</v>
      </c>
    </row>
    <row r="676" spans="1:5" ht="15.75" customHeight="1" x14ac:dyDescent="0.4">
      <c r="A676" s="24" t="s">
        <v>722</v>
      </c>
      <c r="B676" s="24">
        <v>15</v>
      </c>
      <c r="C676" s="24">
        <v>12</v>
      </c>
      <c r="D676" s="24">
        <v>3</v>
      </c>
      <c r="E676" s="24" t="s">
        <v>2179</v>
      </c>
    </row>
    <row r="677" spans="1:5" ht="15.75" customHeight="1" x14ac:dyDescent="0.4">
      <c r="A677" s="24" t="s">
        <v>1462</v>
      </c>
      <c r="B677" s="24">
        <v>3</v>
      </c>
      <c r="C677" s="24">
        <v>3</v>
      </c>
      <c r="D677" s="24">
        <v>0</v>
      </c>
      <c r="E677" s="24" t="s">
        <v>2179</v>
      </c>
    </row>
    <row r="678" spans="1:5" ht="15.75" customHeight="1" x14ac:dyDescent="0.4">
      <c r="A678" s="24" t="s">
        <v>865</v>
      </c>
      <c r="B678" s="24">
        <v>15</v>
      </c>
      <c r="C678" s="24">
        <v>14</v>
      </c>
      <c r="D678" s="24">
        <v>1</v>
      </c>
      <c r="E678" s="24" t="s">
        <v>2179</v>
      </c>
    </row>
    <row r="679" spans="1:5" ht="15.75" customHeight="1" x14ac:dyDescent="0.4">
      <c r="A679" s="24" t="s">
        <v>1919</v>
      </c>
      <c r="B679" s="24">
        <v>15</v>
      </c>
      <c r="C679" s="24">
        <v>7</v>
      </c>
      <c r="D679" s="24">
        <v>1</v>
      </c>
      <c r="E679" s="24" t="s">
        <v>2179</v>
      </c>
    </row>
    <row r="680" spans="1:5" ht="15.75" customHeight="1" x14ac:dyDescent="0.4">
      <c r="A680" s="24" t="s">
        <v>641</v>
      </c>
      <c r="B680" s="24">
        <v>4</v>
      </c>
      <c r="C680" s="24">
        <v>4</v>
      </c>
      <c r="D680" s="24">
        <v>1</v>
      </c>
      <c r="E680" s="24" t="s">
        <v>2179</v>
      </c>
    </row>
    <row r="681" spans="1:5" ht="15.75" customHeight="1" x14ac:dyDescent="0.4">
      <c r="A681" s="24" t="s">
        <v>1595</v>
      </c>
      <c r="B681" s="24">
        <v>4</v>
      </c>
      <c r="C681" s="24">
        <v>4</v>
      </c>
      <c r="D681" s="24">
        <v>2</v>
      </c>
      <c r="E681" s="24" t="s">
        <v>2179</v>
      </c>
    </row>
    <row r="682" spans="1:5" ht="15.75" customHeight="1" x14ac:dyDescent="0.4">
      <c r="A682" s="24" t="s">
        <v>599</v>
      </c>
      <c r="B682" s="24">
        <v>4</v>
      </c>
      <c r="C682" s="24">
        <v>4</v>
      </c>
      <c r="D682" s="24">
        <v>0</v>
      </c>
      <c r="E682" s="24" t="s">
        <v>2179</v>
      </c>
    </row>
    <row r="683" spans="1:5" ht="15.75" customHeight="1" x14ac:dyDescent="0.4">
      <c r="A683" s="24" t="s">
        <v>1098</v>
      </c>
      <c r="B683" s="24">
        <v>15</v>
      </c>
      <c r="C683" s="24">
        <v>13</v>
      </c>
      <c r="D683" s="24">
        <v>7</v>
      </c>
      <c r="E683" s="24" t="s">
        <v>2179</v>
      </c>
    </row>
    <row r="684" spans="1:5" ht="15.75" customHeight="1" x14ac:dyDescent="0.4">
      <c r="A684" s="24" t="s">
        <v>1653</v>
      </c>
      <c r="B684" s="24">
        <v>12</v>
      </c>
      <c r="C684" s="24">
        <v>11</v>
      </c>
      <c r="D684" s="24">
        <v>0</v>
      </c>
      <c r="E684" s="24" t="s">
        <v>2179</v>
      </c>
    </row>
    <row r="685" spans="1:5" ht="15.75" customHeight="1" x14ac:dyDescent="0.4">
      <c r="A685" s="24" t="s">
        <v>1560</v>
      </c>
      <c r="B685" s="24">
        <v>15</v>
      </c>
      <c r="C685" s="24">
        <v>13</v>
      </c>
      <c r="D685" s="24">
        <v>1</v>
      </c>
      <c r="E685" s="24" t="s">
        <v>2179</v>
      </c>
    </row>
    <row r="686" spans="1:5" ht="15.75" customHeight="1" x14ac:dyDescent="0.4">
      <c r="A686" s="24" t="s">
        <v>1925</v>
      </c>
      <c r="B686" s="24">
        <v>15</v>
      </c>
      <c r="C686" s="24">
        <v>11</v>
      </c>
      <c r="D686" s="24">
        <v>2</v>
      </c>
      <c r="E686" s="24" t="s">
        <v>2179</v>
      </c>
    </row>
    <row r="687" spans="1:5" ht="15.75" customHeight="1" x14ac:dyDescent="0.4">
      <c r="A687" s="24" t="s">
        <v>603</v>
      </c>
      <c r="B687" s="24">
        <v>15</v>
      </c>
      <c r="C687" s="24">
        <v>4</v>
      </c>
      <c r="D687" s="24">
        <v>0</v>
      </c>
      <c r="E687" s="24" t="s">
        <v>2179</v>
      </c>
    </row>
    <row r="688" spans="1:5" ht="15.75" customHeight="1" x14ac:dyDescent="0.4">
      <c r="A688" s="24" t="s">
        <v>1113</v>
      </c>
      <c r="B688" s="24">
        <v>15</v>
      </c>
      <c r="C688" s="24">
        <v>12</v>
      </c>
      <c r="D688" s="24">
        <v>2</v>
      </c>
      <c r="E688" s="24" t="s">
        <v>2179</v>
      </c>
    </row>
    <row r="689" spans="1:5" ht="15.75" customHeight="1" x14ac:dyDescent="0.4">
      <c r="A689" s="24" t="s">
        <v>1220</v>
      </c>
      <c r="B689" s="24">
        <v>15</v>
      </c>
      <c r="C689" s="24">
        <v>9</v>
      </c>
      <c r="D689" s="24">
        <v>2</v>
      </c>
      <c r="E689" s="24" t="s">
        <v>2179</v>
      </c>
    </row>
    <row r="690" spans="1:5" ht="15.75" customHeight="1" x14ac:dyDescent="0.4">
      <c r="A690" s="24" t="s">
        <v>1073</v>
      </c>
      <c r="B690" s="24">
        <v>4</v>
      </c>
      <c r="C690" s="24">
        <v>4</v>
      </c>
      <c r="D690" s="24">
        <v>2</v>
      </c>
      <c r="E690" s="24" t="s">
        <v>2179</v>
      </c>
    </row>
    <row r="691" spans="1:5" ht="15.75" customHeight="1" x14ac:dyDescent="0.4">
      <c r="A691" s="24" t="s">
        <v>1965</v>
      </c>
      <c r="B691" s="24">
        <v>15</v>
      </c>
      <c r="C691" s="24">
        <v>14</v>
      </c>
      <c r="D691" s="24">
        <v>5</v>
      </c>
      <c r="E691" s="24" t="s">
        <v>2179</v>
      </c>
    </row>
    <row r="692" spans="1:5" ht="15.75" customHeight="1" x14ac:dyDescent="0.4">
      <c r="A692" s="24" t="s">
        <v>2112</v>
      </c>
      <c r="B692" s="24">
        <v>12</v>
      </c>
      <c r="C692" s="24">
        <v>11</v>
      </c>
      <c r="D692" s="24">
        <v>0</v>
      </c>
      <c r="E692" s="24" t="s">
        <v>2179</v>
      </c>
    </row>
    <row r="693" spans="1:5" ht="15.75" customHeight="1" x14ac:dyDescent="0.4">
      <c r="A693" s="24" t="s">
        <v>973</v>
      </c>
      <c r="B693" s="24">
        <v>12</v>
      </c>
      <c r="C693" s="24">
        <v>6</v>
      </c>
      <c r="D693" s="24">
        <v>1</v>
      </c>
      <c r="E693" s="24" t="s">
        <v>2179</v>
      </c>
    </row>
    <row r="694" spans="1:5" ht="15.75" customHeight="1" x14ac:dyDescent="0.4">
      <c r="A694" s="24" t="s">
        <v>980</v>
      </c>
      <c r="B694" s="24">
        <v>4</v>
      </c>
      <c r="C694" s="24">
        <v>3</v>
      </c>
      <c r="D694" s="24">
        <v>1</v>
      </c>
      <c r="E694" s="24" t="s">
        <v>2179</v>
      </c>
    </row>
    <row r="695" spans="1:5" ht="15.75" customHeight="1" x14ac:dyDescent="0.4">
      <c r="A695" s="24" t="s">
        <v>1592</v>
      </c>
      <c r="B695" s="24">
        <v>11</v>
      </c>
      <c r="C695" s="24">
        <v>3</v>
      </c>
      <c r="D695" s="24">
        <v>1</v>
      </c>
      <c r="E695" s="24" t="s">
        <v>2179</v>
      </c>
    </row>
    <row r="696" spans="1:5" ht="15.75" customHeight="1" x14ac:dyDescent="0.4">
      <c r="A696" s="24" t="s">
        <v>465</v>
      </c>
      <c r="B696" s="24">
        <v>15</v>
      </c>
      <c r="C696" s="24">
        <v>11</v>
      </c>
      <c r="D696" s="24">
        <v>0</v>
      </c>
      <c r="E696" s="24" t="s">
        <v>2179</v>
      </c>
    </row>
    <row r="697" spans="1:5" ht="15.75" customHeight="1" x14ac:dyDescent="0.4">
      <c r="A697" s="24" t="s">
        <v>1765</v>
      </c>
      <c r="B697" s="24">
        <v>6</v>
      </c>
      <c r="C697" s="24">
        <v>6</v>
      </c>
      <c r="D697" s="24">
        <v>4</v>
      </c>
      <c r="E697" s="24" t="s">
        <v>2179</v>
      </c>
    </row>
    <row r="698" spans="1:5" ht="15.75" customHeight="1" x14ac:dyDescent="0.4">
      <c r="A698" s="24" t="s">
        <v>1608</v>
      </c>
      <c r="B698" s="24">
        <v>15</v>
      </c>
      <c r="C698" s="24">
        <v>14</v>
      </c>
      <c r="D698" s="24">
        <v>6</v>
      </c>
      <c r="E698" s="24" t="s">
        <v>2179</v>
      </c>
    </row>
    <row r="699" spans="1:5" ht="15.75" customHeight="1" x14ac:dyDescent="0.4">
      <c r="A699" s="24" t="s">
        <v>1975</v>
      </c>
      <c r="B699" s="24">
        <v>12</v>
      </c>
      <c r="C699" s="24">
        <v>10</v>
      </c>
      <c r="D699" s="24">
        <v>2</v>
      </c>
      <c r="E699" s="24" t="s">
        <v>2179</v>
      </c>
    </row>
    <row r="700" spans="1:5" ht="15.75" customHeight="1" x14ac:dyDescent="0.4">
      <c r="A700" s="24" t="s">
        <v>2164</v>
      </c>
      <c r="B700" s="24">
        <v>15</v>
      </c>
      <c r="C700" s="24">
        <v>3</v>
      </c>
      <c r="D700" s="24">
        <v>2</v>
      </c>
      <c r="E700" s="24" t="s">
        <v>2179</v>
      </c>
    </row>
    <row r="701" spans="1:5" ht="15.75" customHeight="1" x14ac:dyDescent="0.4">
      <c r="A701" s="24" t="s">
        <v>1273</v>
      </c>
      <c r="B701" s="24">
        <v>4</v>
      </c>
      <c r="C701" s="24">
        <v>4</v>
      </c>
      <c r="D701" s="24">
        <v>1</v>
      </c>
      <c r="E701" s="24" t="s">
        <v>2179</v>
      </c>
    </row>
    <row r="702" spans="1:5" ht="15.75" customHeight="1" x14ac:dyDescent="0.4">
      <c r="A702" s="24" t="s">
        <v>1874</v>
      </c>
      <c r="B702" s="24">
        <v>15</v>
      </c>
      <c r="C702" s="24">
        <v>12</v>
      </c>
      <c r="D702" s="24">
        <v>2</v>
      </c>
      <c r="E702" s="24" t="s">
        <v>2179</v>
      </c>
    </row>
    <row r="703" spans="1:5" ht="15.75" customHeight="1" x14ac:dyDescent="0.4">
      <c r="A703" s="24" t="s">
        <v>1090</v>
      </c>
      <c r="B703" s="24">
        <v>15</v>
      </c>
      <c r="C703" s="24">
        <v>15</v>
      </c>
      <c r="D703" s="24">
        <v>2</v>
      </c>
      <c r="E703" s="24" t="s">
        <v>2179</v>
      </c>
    </row>
    <row r="704" spans="1:5" ht="15.75" customHeight="1" x14ac:dyDescent="0.4">
      <c r="A704" s="24" t="s">
        <v>770</v>
      </c>
      <c r="B704" s="24">
        <v>4</v>
      </c>
      <c r="C704" s="24">
        <v>3</v>
      </c>
      <c r="D704" s="24">
        <v>1</v>
      </c>
      <c r="E704" s="24" t="s">
        <v>2179</v>
      </c>
    </row>
    <row r="705" spans="1:5" ht="15.75" customHeight="1" x14ac:dyDescent="0.4">
      <c r="A705" s="24" t="s">
        <v>1532</v>
      </c>
      <c r="B705" s="24">
        <v>4</v>
      </c>
      <c r="C705" s="24">
        <v>4</v>
      </c>
      <c r="D705" s="24">
        <v>3</v>
      </c>
      <c r="E705" s="24" t="s">
        <v>2179</v>
      </c>
    </row>
    <row r="706" spans="1:5" ht="15.75" customHeight="1" x14ac:dyDescent="0.4">
      <c r="A706" s="24" t="s">
        <v>1880</v>
      </c>
      <c r="B706" s="24">
        <v>4</v>
      </c>
      <c r="C706" s="24">
        <v>4</v>
      </c>
      <c r="D706" s="24">
        <v>4</v>
      </c>
      <c r="E706" s="24" t="s">
        <v>2179</v>
      </c>
    </row>
    <row r="707" spans="1:5" ht="15.75" customHeight="1" x14ac:dyDescent="0.4">
      <c r="A707" s="24" t="s">
        <v>1576</v>
      </c>
      <c r="B707" s="24">
        <v>4</v>
      </c>
      <c r="C707" s="24">
        <v>2</v>
      </c>
      <c r="D707" s="24">
        <v>0</v>
      </c>
      <c r="E707" s="24" t="s">
        <v>2179</v>
      </c>
    </row>
    <row r="708" spans="1:5" ht="15.75" customHeight="1" x14ac:dyDescent="0.4">
      <c r="A708" s="24" t="s">
        <v>1330</v>
      </c>
      <c r="B708" s="24">
        <v>14</v>
      </c>
      <c r="C708" s="24">
        <v>12</v>
      </c>
      <c r="D708" s="24">
        <v>4</v>
      </c>
      <c r="E708" s="24" t="s">
        <v>2179</v>
      </c>
    </row>
    <row r="709" spans="1:5" ht="15.75" customHeight="1" x14ac:dyDescent="0.4">
      <c r="A709" s="24" t="s">
        <v>895</v>
      </c>
      <c r="B709" s="24">
        <v>4</v>
      </c>
      <c r="C709" s="24">
        <v>1</v>
      </c>
      <c r="D709" s="24">
        <v>0</v>
      </c>
      <c r="E709" s="24" t="s">
        <v>2179</v>
      </c>
    </row>
    <row r="710" spans="1:5" ht="15.75" customHeight="1" x14ac:dyDescent="0.4">
      <c r="A710" s="24" t="s">
        <v>1010</v>
      </c>
      <c r="B710" s="24">
        <v>4</v>
      </c>
      <c r="C710" s="24">
        <v>3</v>
      </c>
      <c r="D710" s="24">
        <v>2</v>
      </c>
      <c r="E710" s="24" t="s">
        <v>2179</v>
      </c>
    </row>
    <row r="711" spans="1:5" ht="15.75" customHeight="1" x14ac:dyDescent="0.4">
      <c r="A711" s="24" t="s">
        <v>1548</v>
      </c>
      <c r="B711" s="24">
        <v>15</v>
      </c>
      <c r="C711" s="24">
        <v>14</v>
      </c>
      <c r="D711" s="24">
        <v>1</v>
      </c>
      <c r="E711" s="24" t="s">
        <v>2179</v>
      </c>
    </row>
    <row r="712" spans="1:5" ht="15.75" customHeight="1" x14ac:dyDescent="0.4">
      <c r="A712" s="24" t="s">
        <v>1186</v>
      </c>
      <c r="B712" s="24">
        <v>7</v>
      </c>
      <c r="C712" s="24">
        <v>5</v>
      </c>
      <c r="D712" s="24">
        <v>0</v>
      </c>
      <c r="E712" s="24" t="s">
        <v>2179</v>
      </c>
    </row>
    <row r="713" spans="1:5" ht="15.75" customHeight="1" x14ac:dyDescent="0.4">
      <c r="A713" s="24" t="s">
        <v>1111</v>
      </c>
      <c r="B713" s="24">
        <v>15</v>
      </c>
      <c r="C713" s="24">
        <v>14</v>
      </c>
      <c r="D713" s="24">
        <v>0</v>
      </c>
      <c r="E713" s="24" t="s">
        <v>2179</v>
      </c>
    </row>
    <row r="714" spans="1:5" ht="15.75" customHeight="1" x14ac:dyDescent="0.4">
      <c r="A714" s="24" t="s">
        <v>1070</v>
      </c>
      <c r="B714" s="24">
        <v>4</v>
      </c>
      <c r="C714" s="24">
        <v>1</v>
      </c>
      <c r="D714" s="24">
        <v>0</v>
      </c>
      <c r="E714" s="24" t="s">
        <v>2179</v>
      </c>
    </row>
    <row r="715" spans="1:5" ht="15.75" customHeight="1" x14ac:dyDescent="0.4">
      <c r="A715" s="24" t="s">
        <v>1216</v>
      </c>
      <c r="B715" s="24">
        <v>15</v>
      </c>
      <c r="C715" s="24">
        <v>10</v>
      </c>
      <c r="D715" s="24">
        <v>0</v>
      </c>
      <c r="E715" s="24" t="s">
        <v>2179</v>
      </c>
    </row>
    <row r="716" spans="1:5" ht="15.75" customHeight="1" x14ac:dyDescent="0.4">
      <c r="A716" s="24" t="s">
        <v>1176</v>
      </c>
      <c r="B716" s="24">
        <v>4</v>
      </c>
      <c r="C716" s="24">
        <v>4</v>
      </c>
      <c r="D716" s="24">
        <v>1</v>
      </c>
      <c r="E716" s="24" t="s">
        <v>2179</v>
      </c>
    </row>
    <row r="717" spans="1:5" ht="15.75" customHeight="1" x14ac:dyDescent="0.4">
      <c r="A717" s="24" t="s">
        <v>1446</v>
      </c>
      <c r="B717" s="24">
        <v>4</v>
      </c>
      <c r="C717" s="24">
        <v>3</v>
      </c>
      <c r="D717" s="24">
        <v>2</v>
      </c>
      <c r="E717" s="24" t="s">
        <v>2179</v>
      </c>
    </row>
    <row r="718" spans="1:5" ht="15.75" customHeight="1" x14ac:dyDescent="0.4">
      <c r="A718" s="24" t="s">
        <v>1144</v>
      </c>
      <c r="B718" s="24">
        <v>15</v>
      </c>
      <c r="C718" s="24">
        <v>5</v>
      </c>
      <c r="D718" s="24">
        <v>0</v>
      </c>
      <c r="E718" s="24" t="s">
        <v>2179</v>
      </c>
    </row>
    <row r="719" spans="1:5" ht="15.75" customHeight="1" x14ac:dyDescent="0.4">
      <c r="A719" s="24" t="s">
        <v>2029</v>
      </c>
      <c r="B719" s="24">
        <v>15</v>
      </c>
      <c r="C719" s="24">
        <v>5</v>
      </c>
      <c r="D719" s="24">
        <v>0</v>
      </c>
      <c r="E719" s="24" t="s">
        <v>2179</v>
      </c>
    </row>
    <row r="720" spans="1:5" ht="15.75" customHeight="1" x14ac:dyDescent="0.4">
      <c r="A720" s="24" t="s">
        <v>1240</v>
      </c>
      <c r="B720" s="24">
        <v>14</v>
      </c>
      <c r="C720" s="24">
        <v>13</v>
      </c>
      <c r="D720" s="24">
        <v>1</v>
      </c>
      <c r="E720" s="24" t="s">
        <v>2179</v>
      </c>
    </row>
    <row r="721" spans="1:5" ht="15.75" customHeight="1" x14ac:dyDescent="0.4">
      <c r="A721" s="24" t="s">
        <v>883</v>
      </c>
      <c r="B721" s="24">
        <v>12</v>
      </c>
      <c r="C721" s="24">
        <v>7</v>
      </c>
      <c r="D721" s="24">
        <v>1</v>
      </c>
      <c r="E721" s="24" t="s">
        <v>2179</v>
      </c>
    </row>
    <row r="722" spans="1:5" ht="15.75" customHeight="1" x14ac:dyDescent="0.4">
      <c r="A722" s="24" t="s">
        <v>1364</v>
      </c>
      <c r="B722" s="24">
        <v>15</v>
      </c>
      <c r="C722" s="24">
        <v>14</v>
      </c>
      <c r="D722" s="24">
        <v>1</v>
      </c>
      <c r="E722" s="24" t="s">
        <v>2179</v>
      </c>
    </row>
    <row r="723" spans="1:5" ht="15.75" customHeight="1" x14ac:dyDescent="0.4">
      <c r="A723" s="24" t="s">
        <v>1717</v>
      </c>
      <c r="B723" s="24">
        <v>15</v>
      </c>
      <c r="C723" s="24">
        <v>6</v>
      </c>
      <c r="D723" s="24">
        <v>2</v>
      </c>
      <c r="E723" s="24" t="s">
        <v>2179</v>
      </c>
    </row>
    <row r="724" spans="1:5" ht="15.75" customHeight="1" x14ac:dyDescent="0.4">
      <c r="A724" s="24" t="s">
        <v>2007</v>
      </c>
      <c r="B724" s="24">
        <v>15</v>
      </c>
      <c r="C724" s="24">
        <v>11</v>
      </c>
      <c r="D724" s="24">
        <v>2</v>
      </c>
      <c r="E724" s="24" t="s">
        <v>2179</v>
      </c>
    </row>
    <row r="725" spans="1:5" ht="15.75" customHeight="1" x14ac:dyDescent="0.4">
      <c r="A725" s="24" t="s">
        <v>874</v>
      </c>
      <c r="B725" s="24">
        <v>12</v>
      </c>
      <c r="C725" s="24">
        <v>11</v>
      </c>
      <c r="D725" s="24">
        <v>8</v>
      </c>
      <c r="E725" s="24" t="s">
        <v>2179</v>
      </c>
    </row>
    <row r="726" spans="1:5" ht="15.75" customHeight="1" x14ac:dyDescent="0.4">
      <c r="A726" s="24" t="s">
        <v>871</v>
      </c>
      <c r="B726" s="24">
        <v>15</v>
      </c>
      <c r="C726" s="24">
        <v>7</v>
      </c>
      <c r="D726" s="24">
        <v>5</v>
      </c>
      <c r="E726" s="24" t="s">
        <v>2179</v>
      </c>
    </row>
    <row r="727" spans="1:5" ht="15.75" customHeight="1" x14ac:dyDescent="0.4">
      <c r="A727" s="24" t="s">
        <v>1394</v>
      </c>
      <c r="B727" s="24">
        <v>15</v>
      </c>
      <c r="C727" s="24">
        <v>10</v>
      </c>
      <c r="D727" s="24">
        <v>0</v>
      </c>
      <c r="E727" s="24" t="s">
        <v>2179</v>
      </c>
    </row>
    <row r="728" spans="1:5" ht="15.75" customHeight="1" x14ac:dyDescent="0.4">
      <c r="A728" s="24" t="s">
        <v>1494</v>
      </c>
      <c r="B728" s="24">
        <v>5</v>
      </c>
      <c r="C728" s="24">
        <v>4</v>
      </c>
      <c r="D728" s="24">
        <v>1</v>
      </c>
      <c r="E728" s="24" t="s">
        <v>2179</v>
      </c>
    </row>
    <row r="729" spans="1:5" ht="15.75" customHeight="1" x14ac:dyDescent="0.4">
      <c r="A729" s="24" t="s">
        <v>991</v>
      </c>
      <c r="B729" s="24">
        <v>14</v>
      </c>
      <c r="C729" s="24">
        <v>14</v>
      </c>
      <c r="D729" s="24">
        <v>3</v>
      </c>
      <c r="E729" s="24" t="s">
        <v>2179</v>
      </c>
    </row>
    <row r="730" spans="1:5" ht="15.75" customHeight="1" x14ac:dyDescent="0.4">
      <c r="A730" s="24" t="s">
        <v>517</v>
      </c>
      <c r="B730" s="24">
        <v>15</v>
      </c>
      <c r="C730" s="24">
        <v>2</v>
      </c>
      <c r="D730" s="24">
        <v>0</v>
      </c>
      <c r="E730" s="24" t="s">
        <v>2179</v>
      </c>
    </row>
    <row r="731" spans="1:5" ht="15.75" customHeight="1" x14ac:dyDescent="0.4">
      <c r="A731" s="24" t="s">
        <v>1267</v>
      </c>
      <c r="B731" s="24">
        <v>4</v>
      </c>
      <c r="C731" s="24">
        <v>4</v>
      </c>
      <c r="D731" s="24">
        <v>4</v>
      </c>
      <c r="E731" s="24" t="s">
        <v>2179</v>
      </c>
    </row>
    <row r="732" spans="1:5" ht="15.75" customHeight="1" x14ac:dyDescent="0.4">
      <c r="A732" s="24" t="s">
        <v>1339</v>
      </c>
      <c r="B732" s="24">
        <v>4</v>
      </c>
      <c r="C732" s="24">
        <v>1</v>
      </c>
      <c r="D732" s="24">
        <v>0</v>
      </c>
      <c r="E732" s="24" t="s">
        <v>2179</v>
      </c>
    </row>
    <row r="733" spans="1:5" ht="15.75" customHeight="1" x14ac:dyDescent="0.4">
      <c r="A733" s="24" t="s">
        <v>2124</v>
      </c>
      <c r="B733" s="24">
        <v>14</v>
      </c>
      <c r="C733" s="24">
        <v>12</v>
      </c>
      <c r="D733" s="24">
        <v>1</v>
      </c>
      <c r="E733" s="24" t="s">
        <v>2179</v>
      </c>
    </row>
    <row r="734" spans="1:5" ht="15.75" customHeight="1" x14ac:dyDescent="0.4">
      <c r="A734" s="24" t="s">
        <v>1087</v>
      </c>
      <c r="B734" s="24">
        <v>4</v>
      </c>
      <c r="C734" s="24">
        <v>4</v>
      </c>
      <c r="D734" s="24">
        <v>3</v>
      </c>
      <c r="E734" s="24" t="s">
        <v>2179</v>
      </c>
    </row>
    <row r="735" spans="1:5" ht="15.75" customHeight="1" x14ac:dyDescent="0.4">
      <c r="A735" s="24" t="s">
        <v>1915</v>
      </c>
      <c r="B735" s="24">
        <v>3</v>
      </c>
      <c r="C735" s="24">
        <v>3</v>
      </c>
      <c r="D735" s="24">
        <v>0</v>
      </c>
      <c r="E735" s="24" t="s">
        <v>2179</v>
      </c>
    </row>
    <row r="736" spans="1:5" ht="15.75" customHeight="1" x14ac:dyDescent="0.4">
      <c r="A736" s="24" t="s">
        <v>1839</v>
      </c>
      <c r="B736" s="24">
        <v>7</v>
      </c>
      <c r="C736" s="24">
        <v>7</v>
      </c>
      <c r="D736" s="24">
        <v>1</v>
      </c>
      <c r="E736" s="24" t="s">
        <v>2179</v>
      </c>
    </row>
    <row r="737" spans="1:5" ht="15.75" customHeight="1" x14ac:dyDescent="0.4">
      <c r="A737" s="24" t="s">
        <v>1081</v>
      </c>
      <c r="B737" s="24">
        <v>15</v>
      </c>
      <c r="C737" s="24">
        <v>13</v>
      </c>
      <c r="D737" s="24">
        <v>2</v>
      </c>
      <c r="E737" s="24" t="s">
        <v>2179</v>
      </c>
    </row>
    <row r="738" spans="1:5" ht="15.75" customHeight="1" x14ac:dyDescent="0.4">
      <c r="A738" s="24" t="s">
        <v>1252</v>
      </c>
      <c r="B738" s="24">
        <v>15</v>
      </c>
      <c r="C738" s="24">
        <v>11</v>
      </c>
      <c r="D738" s="24">
        <v>7</v>
      </c>
      <c r="E738" s="24" t="s">
        <v>2179</v>
      </c>
    </row>
    <row r="739" spans="1:5" ht="15.75" customHeight="1" x14ac:dyDescent="0.4">
      <c r="A739" s="24" t="s">
        <v>1928</v>
      </c>
      <c r="B739" s="24">
        <v>14</v>
      </c>
      <c r="C739" s="24">
        <v>14</v>
      </c>
      <c r="D739" s="24">
        <v>5</v>
      </c>
      <c r="E739" s="24" t="s">
        <v>2179</v>
      </c>
    </row>
    <row r="740" spans="1:5" ht="15.75" customHeight="1" x14ac:dyDescent="0.4">
      <c r="A740" s="24" t="s">
        <v>2001</v>
      </c>
      <c r="B740" s="24">
        <v>11</v>
      </c>
      <c r="C740" s="24">
        <v>7</v>
      </c>
      <c r="D740" s="24">
        <v>0</v>
      </c>
      <c r="E740" s="24" t="s">
        <v>2179</v>
      </c>
    </row>
    <row r="741" spans="1:5" ht="15.75" customHeight="1" x14ac:dyDescent="0.4">
      <c r="A741" s="24" t="s">
        <v>1958</v>
      </c>
      <c r="B741" s="24">
        <v>15</v>
      </c>
      <c r="C741" s="24">
        <v>12</v>
      </c>
      <c r="D741" s="24">
        <v>0</v>
      </c>
      <c r="E741" s="24" t="s">
        <v>2179</v>
      </c>
    </row>
    <row r="742" spans="1:5" ht="15.75" customHeight="1" x14ac:dyDescent="0.4">
      <c r="A742" s="24" t="s">
        <v>1622</v>
      </c>
      <c r="B742" s="24">
        <v>15</v>
      </c>
      <c r="C742" s="24">
        <v>11</v>
      </c>
      <c r="D742" s="24">
        <v>0</v>
      </c>
      <c r="E742" s="24" t="s">
        <v>2179</v>
      </c>
    </row>
    <row r="743" spans="1:5" ht="15.75" customHeight="1" x14ac:dyDescent="0.4">
      <c r="A743" s="24" t="s">
        <v>1695</v>
      </c>
      <c r="B743" s="24">
        <v>4</v>
      </c>
      <c r="C743" s="24">
        <v>3</v>
      </c>
      <c r="D743" s="24">
        <v>0</v>
      </c>
      <c r="E743" s="24" t="s">
        <v>2179</v>
      </c>
    </row>
    <row r="744" spans="1:5" ht="15.75" customHeight="1" x14ac:dyDescent="0.4">
      <c r="A744" s="24" t="s">
        <v>601</v>
      </c>
      <c r="B744" s="24">
        <v>4</v>
      </c>
      <c r="C744" s="24">
        <v>4</v>
      </c>
      <c r="D744" s="24">
        <v>0</v>
      </c>
      <c r="E744" s="24" t="s">
        <v>2179</v>
      </c>
    </row>
    <row r="745" spans="1:5" ht="15.75" customHeight="1" x14ac:dyDescent="0.4">
      <c r="A745" s="24" t="s">
        <v>637</v>
      </c>
      <c r="B745" s="24">
        <v>4</v>
      </c>
      <c r="C745" s="24">
        <v>1</v>
      </c>
      <c r="D745" s="24">
        <v>0</v>
      </c>
      <c r="E745" s="24" t="s">
        <v>2179</v>
      </c>
    </row>
    <row r="746" spans="1:5" ht="15.75" customHeight="1" x14ac:dyDescent="0.4">
      <c r="A746" s="24" t="s">
        <v>1747</v>
      </c>
      <c r="B746" s="24">
        <v>15</v>
      </c>
      <c r="C746" s="24">
        <v>14</v>
      </c>
      <c r="D746" s="24">
        <v>1</v>
      </c>
      <c r="E746" s="24" t="s">
        <v>2179</v>
      </c>
    </row>
    <row r="747" spans="1:5" ht="15.75" customHeight="1" x14ac:dyDescent="0.4">
      <c r="A747" s="24" t="s">
        <v>944</v>
      </c>
      <c r="B747" s="24">
        <v>4</v>
      </c>
      <c r="C747" s="24">
        <v>4</v>
      </c>
      <c r="D747" s="24">
        <v>2</v>
      </c>
      <c r="E747" s="24" t="s">
        <v>2179</v>
      </c>
    </row>
    <row r="748" spans="1:5" ht="15.75" customHeight="1" x14ac:dyDescent="0.4">
      <c r="A748" s="24" t="s">
        <v>1509</v>
      </c>
      <c r="B748" s="24">
        <v>15</v>
      </c>
      <c r="C748" s="24">
        <v>14</v>
      </c>
      <c r="D748" s="24">
        <v>0</v>
      </c>
      <c r="E748" s="24" t="s">
        <v>2179</v>
      </c>
    </row>
    <row r="749" spans="1:5" ht="15.75" customHeight="1" x14ac:dyDescent="0.4">
      <c r="A749" s="24" t="s">
        <v>2064</v>
      </c>
      <c r="B749" s="24">
        <v>3</v>
      </c>
      <c r="C749" s="24">
        <v>2</v>
      </c>
      <c r="D749" s="24">
        <v>1</v>
      </c>
      <c r="E749" s="24" t="s">
        <v>2179</v>
      </c>
    </row>
    <row r="750" spans="1:5" ht="15.75" customHeight="1" x14ac:dyDescent="0.4">
      <c r="A750" s="24" t="s">
        <v>1971</v>
      </c>
      <c r="B750" s="24">
        <v>8</v>
      </c>
      <c r="C750" s="24">
        <v>8</v>
      </c>
      <c r="D750" s="24">
        <v>5</v>
      </c>
      <c r="E750" s="24" t="s">
        <v>2179</v>
      </c>
    </row>
    <row r="751" spans="1:5" ht="15.75" customHeight="1" x14ac:dyDescent="0.4">
      <c r="A751" s="24" t="s">
        <v>1078</v>
      </c>
      <c r="B751" s="24">
        <v>15</v>
      </c>
      <c r="C751" s="24">
        <v>12</v>
      </c>
      <c r="D751" s="24">
        <v>4</v>
      </c>
      <c r="E751" s="24" t="s">
        <v>2179</v>
      </c>
    </row>
    <row r="752" spans="1:5" ht="15.75" customHeight="1" x14ac:dyDescent="0.4">
      <c r="A752" s="24" t="s">
        <v>2074</v>
      </c>
      <c r="B752" s="24">
        <v>15</v>
      </c>
      <c r="C752" s="24">
        <v>14</v>
      </c>
      <c r="D752" s="24">
        <v>4</v>
      </c>
      <c r="E752" s="24" t="s">
        <v>2179</v>
      </c>
    </row>
    <row r="753" spans="1:5" ht="15.75" customHeight="1" x14ac:dyDescent="0.4">
      <c r="A753" s="24" t="s">
        <v>1875</v>
      </c>
      <c r="B753" s="24">
        <v>15</v>
      </c>
      <c r="C753" s="24">
        <v>12</v>
      </c>
      <c r="D753" s="24">
        <v>1</v>
      </c>
      <c r="E753" s="24" t="s">
        <v>2179</v>
      </c>
    </row>
    <row r="754" spans="1:5" ht="15.75" customHeight="1" x14ac:dyDescent="0.4">
      <c r="A754" s="24" t="s">
        <v>878</v>
      </c>
      <c r="B754" s="24">
        <v>4</v>
      </c>
      <c r="C754" s="24">
        <v>4</v>
      </c>
      <c r="D754" s="24">
        <v>2</v>
      </c>
      <c r="E754" s="24" t="s">
        <v>2179</v>
      </c>
    </row>
    <row r="755" spans="1:5" ht="15.75" customHeight="1" x14ac:dyDescent="0.4">
      <c r="A755" s="24" t="s">
        <v>1390</v>
      </c>
      <c r="B755" s="24">
        <v>4</v>
      </c>
      <c r="C755" s="24">
        <v>0</v>
      </c>
      <c r="D755" s="24">
        <v>0</v>
      </c>
      <c r="E755" s="24" t="s">
        <v>2179</v>
      </c>
    </row>
    <row r="756" spans="1:5" ht="15.75" customHeight="1" x14ac:dyDescent="0.4">
      <c r="A756" s="24" t="s">
        <v>2036</v>
      </c>
      <c r="B756" s="24">
        <v>4</v>
      </c>
      <c r="C756" s="24">
        <v>4</v>
      </c>
      <c r="D756" s="24">
        <v>1</v>
      </c>
      <c r="E756" s="24" t="s">
        <v>2179</v>
      </c>
    </row>
    <row r="757" spans="1:5" ht="15.75" customHeight="1" x14ac:dyDescent="0.4">
      <c r="A757" s="24" t="s">
        <v>1697</v>
      </c>
      <c r="B757" s="24">
        <v>15</v>
      </c>
      <c r="C757" s="24">
        <v>14</v>
      </c>
      <c r="D757" s="24">
        <v>5</v>
      </c>
      <c r="E757" s="24" t="s">
        <v>2179</v>
      </c>
    </row>
    <row r="758" spans="1:5" ht="15.75" customHeight="1" x14ac:dyDescent="0.4">
      <c r="A758" s="24" t="s">
        <v>1455</v>
      </c>
      <c r="B758" s="24">
        <v>15</v>
      </c>
      <c r="C758" s="24">
        <v>11</v>
      </c>
      <c r="D758" s="24">
        <v>1</v>
      </c>
      <c r="E758" s="24" t="s">
        <v>2179</v>
      </c>
    </row>
    <row r="759" spans="1:5" ht="15.75" customHeight="1" x14ac:dyDescent="0.4">
      <c r="A759" s="24" t="s">
        <v>535</v>
      </c>
      <c r="B759" s="24">
        <v>15</v>
      </c>
      <c r="C759" s="24">
        <v>7</v>
      </c>
      <c r="D759" s="24">
        <v>3</v>
      </c>
      <c r="E759" s="24" t="s">
        <v>2179</v>
      </c>
    </row>
    <row r="760" spans="1:5" ht="15.75" customHeight="1" x14ac:dyDescent="0.4">
      <c r="A760" s="24" t="s">
        <v>1095</v>
      </c>
      <c r="B760" s="24">
        <v>15</v>
      </c>
      <c r="C760" s="24">
        <v>12</v>
      </c>
      <c r="D760" s="24">
        <v>6</v>
      </c>
      <c r="E760" s="24" t="s">
        <v>2179</v>
      </c>
    </row>
    <row r="761" spans="1:5" ht="15.75" customHeight="1" x14ac:dyDescent="0.4">
      <c r="A761" s="24" t="s">
        <v>311</v>
      </c>
      <c r="B761" s="24">
        <v>15</v>
      </c>
      <c r="C761" s="24">
        <v>11</v>
      </c>
      <c r="D761" s="24">
        <v>0</v>
      </c>
      <c r="E761" s="24" t="s">
        <v>2179</v>
      </c>
    </row>
    <row r="762" spans="1:5" ht="15.75" customHeight="1" x14ac:dyDescent="0.4">
      <c r="A762" s="24" t="s">
        <v>1660</v>
      </c>
      <c r="B762" s="24">
        <v>15</v>
      </c>
      <c r="C762" s="24">
        <v>14</v>
      </c>
      <c r="D762" s="24">
        <v>6</v>
      </c>
      <c r="E762" s="24" t="s">
        <v>2179</v>
      </c>
    </row>
    <row r="763" spans="1:5" ht="15.75" customHeight="1" x14ac:dyDescent="0.4">
      <c r="A763" s="24" t="s">
        <v>351</v>
      </c>
      <c r="B763" s="24">
        <v>4</v>
      </c>
      <c r="C763" s="24">
        <v>4</v>
      </c>
      <c r="D763" s="24">
        <v>2</v>
      </c>
      <c r="E763" s="24" t="s">
        <v>2179</v>
      </c>
    </row>
    <row r="764" spans="1:5" ht="15.75" customHeight="1" x14ac:dyDescent="0.4">
      <c r="A764" s="24" t="s">
        <v>1914</v>
      </c>
      <c r="B764" s="24">
        <v>4</v>
      </c>
      <c r="C764" s="24">
        <v>3</v>
      </c>
      <c r="D764" s="24">
        <v>0</v>
      </c>
      <c r="E764" s="24" t="s">
        <v>2179</v>
      </c>
    </row>
    <row r="765" spans="1:5" ht="15.75" customHeight="1" x14ac:dyDescent="0.4">
      <c r="A765" s="24" t="s">
        <v>274</v>
      </c>
      <c r="B765" s="24">
        <v>10</v>
      </c>
      <c r="C765" s="24">
        <v>10</v>
      </c>
      <c r="D765" s="24">
        <v>2</v>
      </c>
      <c r="E765" s="24" t="s">
        <v>2179</v>
      </c>
    </row>
    <row r="766" spans="1:5" ht="15.75" customHeight="1" x14ac:dyDescent="0.4">
      <c r="A766" s="24" t="s">
        <v>1046</v>
      </c>
      <c r="B766" s="24">
        <v>4</v>
      </c>
      <c r="C766" s="24">
        <v>4</v>
      </c>
      <c r="D766" s="24">
        <v>2</v>
      </c>
      <c r="E766" s="24" t="s">
        <v>2179</v>
      </c>
    </row>
    <row r="767" spans="1:5" ht="15.75" customHeight="1" x14ac:dyDescent="0.4">
      <c r="A767" s="24" t="s">
        <v>1104</v>
      </c>
      <c r="B767" s="24">
        <v>15</v>
      </c>
      <c r="C767" s="24">
        <v>12</v>
      </c>
      <c r="D767" s="24">
        <v>4</v>
      </c>
      <c r="E767" s="24" t="s">
        <v>2179</v>
      </c>
    </row>
    <row r="768" spans="1:5" ht="15.75" customHeight="1" x14ac:dyDescent="0.4">
      <c r="A768" s="24" t="s">
        <v>439</v>
      </c>
      <c r="B768" s="24">
        <v>10</v>
      </c>
      <c r="C768" s="24">
        <v>5</v>
      </c>
      <c r="D768" s="24">
        <v>2</v>
      </c>
      <c r="E768" s="24" t="s">
        <v>2179</v>
      </c>
    </row>
    <row r="769" spans="1:5" ht="15.75" customHeight="1" x14ac:dyDescent="0.4">
      <c r="A769" s="24" t="s">
        <v>923</v>
      </c>
      <c r="B769" s="24">
        <v>15</v>
      </c>
      <c r="C769" s="24">
        <v>5</v>
      </c>
      <c r="D769" s="24">
        <v>3</v>
      </c>
      <c r="E769" s="24" t="s">
        <v>2179</v>
      </c>
    </row>
    <row r="770" spans="1:5" ht="15.75" customHeight="1" x14ac:dyDescent="0.4">
      <c r="A770" s="24" t="s">
        <v>1709</v>
      </c>
      <c r="B770" s="24">
        <v>12</v>
      </c>
      <c r="C770" s="24">
        <v>9</v>
      </c>
      <c r="D770" s="24">
        <v>1</v>
      </c>
      <c r="E770" s="24" t="s">
        <v>2179</v>
      </c>
    </row>
    <row r="771" spans="1:5" ht="15.75" customHeight="1" x14ac:dyDescent="0.4">
      <c r="A771" s="24" t="s">
        <v>1781</v>
      </c>
      <c r="B771" s="24">
        <v>15</v>
      </c>
      <c r="C771" s="24">
        <v>3</v>
      </c>
      <c r="D771" s="24">
        <v>2</v>
      </c>
      <c r="E771" s="24" t="s">
        <v>2179</v>
      </c>
    </row>
    <row r="772" spans="1:5" ht="15.75" customHeight="1" x14ac:dyDescent="0.4">
      <c r="A772" s="24" t="s">
        <v>931</v>
      </c>
      <c r="B772" s="24">
        <v>15</v>
      </c>
      <c r="C772" s="24">
        <v>13</v>
      </c>
      <c r="D772" s="24">
        <v>1</v>
      </c>
      <c r="E772" s="24" t="s">
        <v>2179</v>
      </c>
    </row>
    <row r="773" spans="1:5" ht="15.75" customHeight="1" x14ac:dyDescent="0.4">
      <c r="A773" s="24" t="s">
        <v>487</v>
      </c>
      <c r="B773" s="24">
        <v>5</v>
      </c>
      <c r="C773" s="24">
        <v>4</v>
      </c>
      <c r="D773" s="24">
        <v>2</v>
      </c>
      <c r="E773" s="24" t="s">
        <v>2179</v>
      </c>
    </row>
    <row r="774" spans="1:5" ht="15.75" customHeight="1" x14ac:dyDescent="0.4">
      <c r="A774" s="24" t="s">
        <v>2076</v>
      </c>
      <c r="B774" s="24">
        <v>8</v>
      </c>
      <c r="C774" s="24">
        <v>7</v>
      </c>
      <c r="D774" s="24">
        <v>2</v>
      </c>
      <c r="E774" s="24" t="s">
        <v>2179</v>
      </c>
    </row>
    <row r="775" spans="1:5" ht="15.75" customHeight="1" x14ac:dyDescent="0.4">
      <c r="A775" s="24" t="s">
        <v>1633</v>
      </c>
      <c r="B775" s="24">
        <v>15</v>
      </c>
      <c r="C775" s="24">
        <v>6</v>
      </c>
      <c r="D775" s="24">
        <v>0</v>
      </c>
      <c r="E775" s="24" t="s">
        <v>2179</v>
      </c>
    </row>
    <row r="776" spans="1:5" ht="15.75" customHeight="1" x14ac:dyDescent="0.4">
      <c r="A776" s="24" t="s">
        <v>1538</v>
      </c>
      <c r="B776" s="24">
        <v>8</v>
      </c>
      <c r="C776" s="24">
        <v>8</v>
      </c>
      <c r="D776" s="24">
        <v>4</v>
      </c>
      <c r="E776" s="24" t="s">
        <v>2179</v>
      </c>
    </row>
    <row r="777" spans="1:5" ht="15.75" customHeight="1" x14ac:dyDescent="0.4">
      <c r="A777" s="24" t="s">
        <v>971</v>
      </c>
      <c r="B777" s="24">
        <v>12</v>
      </c>
      <c r="C777" s="24">
        <v>6</v>
      </c>
      <c r="D777" s="24">
        <v>0</v>
      </c>
      <c r="E777" s="24" t="s">
        <v>2179</v>
      </c>
    </row>
    <row r="778" spans="1:5" ht="15.75" customHeight="1" x14ac:dyDescent="0.4">
      <c r="A778" s="24" t="s">
        <v>1203</v>
      </c>
      <c r="B778" s="24">
        <v>14</v>
      </c>
      <c r="C778" s="24">
        <v>4</v>
      </c>
      <c r="D778" s="24">
        <v>6</v>
      </c>
      <c r="E778" s="24" t="s">
        <v>2179</v>
      </c>
    </row>
    <row r="779" spans="1:5" ht="15.75" customHeight="1" x14ac:dyDescent="0.4">
      <c r="A779" s="24" t="s">
        <v>998</v>
      </c>
      <c r="B779" s="24">
        <v>15</v>
      </c>
      <c r="C779" s="24">
        <v>14</v>
      </c>
      <c r="D779" s="24">
        <v>1</v>
      </c>
      <c r="E779" s="24" t="s">
        <v>2179</v>
      </c>
    </row>
    <row r="780" spans="1:5" ht="15.75" customHeight="1" x14ac:dyDescent="0.4">
      <c r="A780" s="24" t="s">
        <v>441</v>
      </c>
      <c r="B780" s="24">
        <v>15</v>
      </c>
      <c r="C780" s="24">
        <v>12</v>
      </c>
      <c r="D780" s="24">
        <v>2</v>
      </c>
      <c r="E780" s="24" t="s">
        <v>2179</v>
      </c>
    </row>
    <row r="781" spans="1:5" ht="15.75" customHeight="1" x14ac:dyDescent="0.4">
      <c r="A781" s="24" t="s">
        <v>867</v>
      </c>
      <c r="B781" s="24">
        <v>12</v>
      </c>
      <c r="C781" s="24">
        <v>3</v>
      </c>
      <c r="D781" s="24">
        <v>2</v>
      </c>
      <c r="E781" s="24" t="s">
        <v>2179</v>
      </c>
    </row>
    <row r="782" spans="1:5" ht="15.75" customHeight="1" x14ac:dyDescent="0.4">
      <c r="A782" s="24" t="s">
        <v>937</v>
      </c>
      <c r="B782" s="24">
        <v>4</v>
      </c>
      <c r="C782" s="24">
        <v>4</v>
      </c>
      <c r="D782" s="24">
        <v>0</v>
      </c>
      <c r="E782" s="24" t="s">
        <v>2179</v>
      </c>
    </row>
    <row r="783" spans="1:5" ht="15.75" customHeight="1" x14ac:dyDescent="0.4">
      <c r="A783" s="24" t="s">
        <v>1162</v>
      </c>
      <c r="B783" s="24">
        <v>15</v>
      </c>
      <c r="C783" s="24">
        <v>13</v>
      </c>
      <c r="D783" s="24">
        <v>1</v>
      </c>
      <c r="E783" s="24" t="s">
        <v>2179</v>
      </c>
    </row>
    <row r="784" spans="1:5" ht="15.75" customHeight="1" x14ac:dyDescent="0.4">
      <c r="A784" s="24" t="s">
        <v>922</v>
      </c>
      <c r="B784" s="24">
        <v>4</v>
      </c>
      <c r="C784" s="24">
        <v>4</v>
      </c>
      <c r="D784" s="24">
        <v>0</v>
      </c>
      <c r="E784" s="24" t="s">
        <v>2179</v>
      </c>
    </row>
    <row r="785" spans="1:5" ht="15.75" customHeight="1" x14ac:dyDescent="0.4">
      <c r="A785" s="24" t="s">
        <v>1942</v>
      </c>
      <c r="B785" s="24">
        <v>14</v>
      </c>
      <c r="C785" s="24">
        <v>8</v>
      </c>
      <c r="D785" s="24">
        <v>0</v>
      </c>
      <c r="E785" s="24" t="s">
        <v>2179</v>
      </c>
    </row>
    <row r="786" spans="1:5" ht="15.75" customHeight="1" x14ac:dyDescent="0.4">
      <c r="A786" s="24" t="s">
        <v>1327</v>
      </c>
      <c r="B786" s="24">
        <v>15</v>
      </c>
      <c r="C786" s="24">
        <v>11</v>
      </c>
      <c r="D786" s="24">
        <v>1</v>
      </c>
      <c r="E786" s="24" t="s">
        <v>2179</v>
      </c>
    </row>
    <row r="787" spans="1:5" ht="15.75" customHeight="1" x14ac:dyDescent="0.4">
      <c r="A787" s="24" t="s">
        <v>1054</v>
      </c>
      <c r="B787" s="24">
        <v>6</v>
      </c>
      <c r="C787" s="24">
        <v>6</v>
      </c>
      <c r="D787" s="24">
        <v>2</v>
      </c>
      <c r="E787" s="24" t="s">
        <v>2179</v>
      </c>
    </row>
    <row r="788" spans="1:5" ht="15.75" customHeight="1" x14ac:dyDescent="0.4">
      <c r="A788" s="24" t="s">
        <v>1271</v>
      </c>
      <c r="B788" s="24">
        <v>14</v>
      </c>
      <c r="C788" s="24">
        <v>9</v>
      </c>
      <c r="D788" s="24">
        <v>4</v>
      </c>
      <c r="E788" s="24" t="s">
        <v>2179</v>
      </c>
    </row>
    <row r="789" spans="1:5" ht="15.75" customHeight="1" x14ac:dyDescent="0.4">
      <c r="A789" s="24" t="s">
        <v>1864</v>
      </c>
      <c r="B789" s="24">
        <v>15</v>
      </c>
      <c r="C789" s="24">
        <v>9</v>
      </c>
      <c r="D789" s="24">
        <v>4</v>
      </c>
      <c r="E789" s="24" t="s">
        <v>2179</v>
      </c>
    </row>
    <row r="790" spans="1:5" ht="15.75" customHeight="1" x14ac:dyDescent="0.4">
      <c r="A790" s="24" t="s">
        <v>1518</v>
      </c>
      <c r="B790" s="24">
        <v>8</v>
      </c>
      <c r="C790" s="24">
        <v>7</v>
      </c>
      <c r="D790" s="24">
        <v>1</v>
      </c>
      <c r="E790" s="24" t="s">
        <v>2179</v>
      </c>
    </row>
    <row r="791" spans="1:5" ht="15.75" customHeight="1" x14ac:dyDescent="0.4">
      <c r="A791" s="24" t="s">
        <v>1617</v>
      </c>
      <c r="B791" s="24">
        <v>14</v>
      </c>
      <c r="C791" s="24">
        <v>8</v>
      </c>
      <c r="D791" s="24">
        <v>3</v>
      </c>
      <c r="E791" s="24" t="s">
        <v>2179</v>
      </c>
    </row>
    <row r="792" spans="1:5" ht="15.75" customHeight="1" x14ac:dyDescent="0.4">
      <c r="A792" s="24" t="s">
        <v>2058</v>
      </c>
      <c r="B792" s="24">
        <v>15</v>
      </c>
      <c r="C792" s="24">
        <v>14</v>
      </c>
      <c r="D792" s="24">
        <v>1</v>
      </c>
      <c r="E792" s="24" t="s">
        <v>2179</v>
      </c>
    </row>
    <row r="793" spans="1:5" ht="15.75" customHeight="1" x14ac:dyDescent="0.4">
      <c r="A793" s="24" t="s">
        <v>1852</v>
      </c>
      <c r="B793" s="24">
        <v>4</v>
      </c>
      <c r="C793" s="24">
        <v>4</v>
      </c>
      <c r="D793" s="24">
        <v>0</v>
      </c>
      <c r="E793" s="24" t="s">
        <v>2179</v>
      </c>
    </row>
    <row r="794" spans="1:5" ht="15.75" customHeight="1" x14ac:dyDescent="0.4">
      <c r="A794" s="24" t="s">
        <v>1275</v>
      </c>
      <c r="B794" s="24">
        <v>15</v>
      </c>
      <c r="C794" s="24">
        <v>14</v>
      </c>
      <c r="D794" s="24">
        <v>0</v>
      </c>
      <c r="E794" s="24" t="s">
        <v>2179</v>
      </c>
    </row>
    <row r="795" spans="1:5" ht="15.75" customHeight="1" x14ac:dyDescent="0.4">
      <c r="A795" s="24" t="s">
        <v>1804</v>
      </c>
      <c r="B795" s="24">
        <v>4</v>
      </c>
      <c r="C795" s="24">
        <v>1</v>
      </c>
      <c r="D795" s="24">
        <v>0</v>
      </c>
      <c r="E795" s="24" t="s">
        <v>2179</v>
      </c>
    </row>
    <row r="796" spans="1:5" ht="15.75" customHeight="1" x14ac:dyDescent="0.4">
      <c r="A796" s="24" t="s">
        <v>1862</v>
      </c>
      <c r="B796" s="24">
        <v>4</v>
      </c>
      <c r="C796" s="24">
        <v>3</v>
      </c>
      <c r="D796" s="24">
        <v>0</v>
      </c>
      <c r="E796" s="24" t="s">
        <v>2179</v>
      </c>
    </row>
    <row r="797" spans="1:5" ht="15.75" customHeight="1" x14ac:dyDescent="0.4">
      <c r="A797" s="24" t="s">
        <v>607</v>
      </c>
      <c r="B797" s="24">
        <v>15</v>
      </c>
      <c r="C797" s="24">
        <v>3</v>
      </c>
      <c r="D797" s="24">
        <v>0</v>
      </c>
      <c r="E797" s="24" t="s">
        <v>2179</v>
      </c>
    </row>
    <row r="798" spans="1:5" ht="15.75" customHeight="1" x14ac:dyDescent="0.4">
      <c r="A798" s="24" t="s">
        <v>1821</v>
      </c>
      <c r="B798" s="24">
        <v>12</v>
      </c>
      <c r="C798" s="24">
        <v>9</v>
      </c>
      <c r="D798" s="24">
        <v>1</v>
      </c>
      <c r="E798" s="24" t="s">
        <v>2179</v>
      </c>
    </row>
    <row r="799" spans="1:5" ht="15.75" customHeight="1" x14ac:dyDescent="0.4">
      <c r="A799" s="24" t="s">
        <v>1585</v>
      </c>
      <c r="B799" s="24">
        <v>15</v>
      </c>
      <c r="C799" s="24">
        <v>13</v>
      </c>
      <c r="D799" s="24">
        <v>3</v>
      </c>
      <c r="E799" s="24" t="s">
        <v>2179</v>
      </c>
    </row>
    <row r="800" spans="1:5" ht="15.75" customHeight="1" x14ac:dyDescent="0.4">
      <c r="A800" s="24" t="s">
        <v>293</v>
      </c>
      <c r="B800" s="24">
        <v>11</v>
      </c>
      <c r="C800" s="24">
        <v>10</v>
      </c>
      <c r="D800" s="24">
        <v>0</v>
      </c>
      <c r="E800" s="24" t="s">
        <v>2179</v>
      </c>
    </row>
    <row r="801" spans="1:5" ht="15.75" customHeight="1" x14ac:dyDescent="0.4">
      <c r="A801" s="24" t="s">
        <v>714</v>
      </c>
      <c r="B801" s="24">
        <v>15</v>
      </c>
      <c r="C801" s="24">
        <v>13</v>
      </c>
      <c r="D801" s="24">
        <v>0</v>
      </c>
      <c r="E801" s="24" t="s">
        <v>2179</v>
      </c>
    </row>
    <row r="802" spans="1:5" ht="15.75" customHeight="1" x14ac:dyDescent="0.4">
      <c r="A802" s="24" t="s">
        <v>1683</v>
      </c>
      <c r="B802" s="24">
        <v>15</v>
      </c>
      <c r="C802" s="24">
        <v>10</v>
      </c>
      <c r="D802" s="24">
        <v>2</v>
      </c>
      <c r="E802" s="24" t="s">
        <v>2179</v>
      </c>
    </row>
    <row r="803" spans="1:5" ht="15.75" customHeight="1" x14ac:dyDescent="0.4">
      <c r="A803" s="24" t="s">
        <v>1959</v>
      </c>
      <c r="B803" s="24">
        <v>14</v>
      </c>
      <c r="C803" s="24">
        <v>14</v>
      </c>
      <c r="D803" s="24">
        <v>0</v>
      </c>
      <c r="E803" s="24" t="s">
        <v>2179</v>
      </c>
    </row>
    <row r="804" spans="1:5" ht="15.75" customHeight="1" x14ac:dyDescent="0.4">
      <c r="A804" s="24" t="s">
        <v>940</v>
      </c>
      <c r="B804" s="24">
        <v>4</v>
      </c>
      <c r="C804" s="24">
        <v>4</v>
      </c>
      <c r="D804" s="24">
        <v>3</v>
      </c>
      <c r="E804" s="24" t="s">
        <v>2179</v>
      </c>
    </row>
    <row r="805" spans="1:5" ht="15.75" customHeight="1" x14ac:dyDescent="0.4">
      <c r="A805" s="24" t="s">
        <v>1253</v>
      </c>
      <c r="B805" s="24">
        <v>15</v>
      </c>
      <c r="C805" s="24">
        <v>13</v>
      </c>
      <c r="D805" s="24">
        <v>1</v>
      </c>
      <c r="E805" s="24" t="s">
        <v>2179</v>
      </c>
    </row>
    <row r="806" spans="1:5" ht="15.75" customHeight="1" x14ac:dyDescent="0.4">
      <c r="A806" s="24" t="s">
        <v>237</v>
      </c>
      <c r="B806" s="24">
        <v>15</v>
      </c>
      <c r="C806" s="24">
        <v>15</v>
      </c>
      <c r="D806" s="24">
        <v>3</v>
      </c>
      <c r="E806" s="24" t="s">
        <v>2179</v>
      </c>
    </row>
    <row r="807" spans="1:5" ht="15.75" customHeight="1" x14ac:dyDescent="0.4">
      <c r="A807" s="24" t="s">
        <v>1713</v>
      </c>
      <c r="B807" s="24">
        <v>15</v>
      </c>
      <c r="C807" s="24">
        <v>15</v>
      </c>
      <c r="D807" s="24">
        <v>3</v>
      </c>
      <c r="E807" s="24" t="s">
        <v>2179</v>
      </c>
    </row>
    <row r="808" spans="1:5" ht="15.75" customHeight="1" x14ac:dyDescent="0.4">
      <c r="A808" s="24" t="s">
        <v>1526</v>
      </c>
      <c r="B808" s="24">
        <v>12</v>
      </c>
      <c r="C808" s="24">
        <v>9</v>
      </c>
      <c r="D808" s="24">
        <v>1</v>
      </c>
      <c r="E808" s="24" t="s">
        <v>2179</v>
      </c>
    </row>
    <row r="809" spans="1:5" ht="15.75" customHeight="1" x14ac:dyDescent="0.4">
      <c r="A809" s="24" t="s">
        <v>1535</v>
      </c>
      <c r="B809" s="24">
        <v>3</v>
      </c>
      <c r="C809" s="24">
        <v>2</v>
      </c>
      <c r="D809" s="24">
        <v>0</v>
      </c>
      <c r="E809" s="24" t="s">
        <v>2179</v>
      </c>
    </row>
    <row r="810" spans="1:5" ht="15.75" customHeight="1" x14ac:dyDescent="0.4">
      <c r="A810" s="24" t="s">
        <v>809</v>
      </c>
      <c r="B810" s="24">
        <v>4</v>
      </c>
      <c r="C810" s="24">
        <v>3</v>
      </c>
      <c r="D810" s="24">
        <v>0</v>
      </c>
      <c r="E810" s="24" t="s">
        <v>2179</v>
      </c>
    </row>
    <row r="811" spans="1:5" ht="15.75" customHeight="1" x14ac:dyDescent="0.4">
      <c r="A811" s="24" t="s">
        <v>1458</v>
      </c>
      <c r="B811" s="24">
        <v>15</v>
      </c>
      <c r="C811" s="24">
        <v>7</v>
      </c>
      <c r="D811" s="24">
        <v>5</v>
      </c>
      <c r="E811" s="24" t="s">
        <v>2179</v>
      </c>
    </row>
    <row r="812" spans="1:5" ht="15.75" customHeight="1" x14ac:dyDescent="0.4">
      <c r="A812" s="24" t="s">
        <v>1693</v>
      </c>
      <c r="B812" s="24">
        <v>15</v>
      </c>
      <c r="C812" s="24">
        <v>11</v>
      </c>
      <c r="D812" s="24">
        <v>0</v>
      </c>
      <c r="E812" s="24" t="s">
        <v>2179</v>
      </c>
    </row>
    <row r="813" spans="1:5" ht="15.75" customHeight="1" x14ac:dyDescent="0.4">
      <c r="A813" s="24" t="s">
        <v>2154</v>
      </c>
      <c r="B813" s="24">
        <v>15</v>
      </c>
      <c r="C813" s="24">
        <v>2</v>
      </c>
      <c r="D813" s="24">
        <v>1</v>
      </c>
      <c r="E813" s="24" t="s">
        <v>2179</v>
      </c>
    </row>
    <row r="814" spans="1:5" ht="15.75" customHeight="1" x14ac:dyDescent="0.4">
      <c r="A814" s="24" t="s">
        <v>1932</v>
      </c>
      <c r="B814" s="24">
        <v>8</v>
      </c>
      <c r="C814" s="24">
        <v>8</v>
      </c>
      <c r="D814" s="24">
        <v>0</v>
      </c>
      <c r="E814" s="24" t="s">
        <v>2179</v>
      </c>
    </row>
    <row r="815" spans="1:5" ht="15.75" customHeight="1" x14ac:dyDescent="0.4">
      <c r="A815" s="24" t="s">
        <v>716</v>
      </c>
      <c r="B815" s="24">
        <v>4</v>
      </c>
      <c r="C815" s="24">
        <v>0</v>
      </c>
      <c r="D815" s="24">
        <v>0</v>
      </c>
      <c r="E815" s="24" t="s">
        <v>2179</v>
      </c>
    </row>
    <row r="816" spans="1:5" ht="15.75" customHeight="1" x14ac:dyDescent="0.4">
      <c r="A816" s="24" t="s">
        <v>485</v>
      </c>
      <c r="B816" s="24">
        <v>8</v>
      </c>
      <c r="C816" s="24">
        <v>4</v>
      </c>
      <c r="D816" s="24">
        <v>2</v>
      </c>
      <c r="E816" s="24" t="s">
        <v>2179</v>
      </c>
    </row>
    <row r="817" spans="1:5" ht="15.75" customHeight="1" x14ac:dyDescent="0.4">
      <c r="A817" s="24" t="s">
        <v>1244</v>
      </c>
      <c r="B817" s="24">
        <v>8</v>
      </c>
      <c r="C817" s="24">
        <v>7</v>
      </c>
      <c r="D817" s="24">
        <v>2</v>
      </c>
      <c r="E817" s="24" t="s">
        <v>2179</v>
      </c>
    </row>
    <row r="818" spans="1:5" ht="15.75" customHeight="1" x14ac:dyDescent="0.4">
      <c r="A818" s="24" t="s">
        <v>1378</v>
      </c>
      <c r="B818" s="24">
        <v>4</v>
      </c>
      <c r="C818" s="24">
        <v>2</v>
      </c>
      <c r="D818" s="24">
        <v>0</v>
      </c>
      <c r="E818" s="24" t="s">
        <v>2179</v>
      </c>
    </row>
    <row r="819" spans="1:5" ht="15.75" customHeight="1" x14ac:dyDescent="0.4">
      <c r="A819" s="24" t="s">
        <v>631</v>
      </c>
      <c r="B819" s="24">
        <v>12</v>
      </c>
      <c r="C819" s="24">
        <v>11</v>
      </c>
      <c r="D819" s="24">
        <v>3</v>
      </c>
      <c r="E819" s="24" t="s">
        <v>2179</v>
      </c>
    </row>
    <row r="820" spans="1:5" ht="15.75" customHeight="1" x14ac:dyDescent="0.4">
      <c r="A820" s="24" t="s">
        <v>2158</v>
      </c>
      <c r="B820" s="24">
        <v>4</v>
      </c>
      <c r="C820" s="24">
        <v>4</v>
      </c>
      <c r="D820" s="24">
        <v>2</v>
      </c>
      <c r="E820" s="24" t="s">
        <v>2179</v>
      </c>
    </row>
    <row r="821" spans="1:5" ht="15.75" customHeight="1" x14ac:dyDescent="0.4">
      <c r="A821" s="24" t="s">
        <v>1367</v>
      </c>
      <c r="B821" s="24">
        <v>8</v>
      </c>
      <c r="C821" s="24">
        <v>2</v>
      </c>
      <c r="D821" s="24">
        <v>0</v>
      </c>
      <c r="E821" s="24" t="s">
        <v>2179</v>
      </c>
    </row>
    <row r="822" spans="1:5" ht="15.75" customHeight="1" x14ac:dyDescent="0.4">
      <c r="A822" s="24" t="s">
        <v>1515</v>
      </c>
      <c r="B822" s="24">
        <v>10</v>
      </c>
      <c r="C822" s="24">
        <v>7</v>
      </c>
      <c r="D822" s="24">
        <v>5</v>
      </c>
      <c r="E822" s="24" t="s">
        <v>2179</v>
      </c>
    </row>
    <row r="823" spans="1:5" ht="15.75" customHeight="1" x14ac:dyDescent="0.4">
      <c r="A823" s="24" t="s">
        <v>1895</v>
      </c>
      <c r="B823" s="24">
        <v>15</v>
      </c>
      <c r="C823" s="24">
        <v>10</v>
      </c>
      <c r="D823" s="24">
        <v>0</v>
      </c>
      <c r="E823" s="24" t="s">
        <v>2179</v>
      </c>
    </row>
    <row r="824" spans="1:5" ht="15.75" customHeight="1" x14ac:dyDescent="0.4">
      <c r="A824" s="24" t="s">
        <v>1396</v>
      </c>
      <c r="B824" s="24">
        <v>15</v>
      </c>
      <c r="C824" s="24">
        <v>10</v>
      </c>
      <c r="D824" s="24">
        <v>4</v>
      </c>
      <c r="E824" s="24" t="s">
        <v>2179</v>
      </c>
    </row>
    <row r="825" spans="1:5" ht="15.75" customHeight="1" x14ac:dyDescent="0.4">
      <c r="A825" s="24" t="s">
        <v>1071</v>
      </c>
      <c r="B825" s="24">
        <v>17</v>
      </c>
      <c r="C825" s="24">
        <v>13</v>
      </c>
      <c r="D825" s="24">
        <v>5</v>
      </c>
      <c r="E825" s="24" t="s">
        <v>2179</v>
      </c>
    </row>
    <row r="826" spans="1:5" ht="15.75" customHeight="1" x14ac:dyDescent="0.4">
      <c r="A826" s="24" t="s">
        <v>1094</v>
      </c>
      <c r="B826" s="24">
        <v>7</v>
      </c>
      <c r="C826" s="24">
        <v>6</v>
      </c>
      <c r="D826" s="24">
        <v>2</v>
      </c>
      <c r="E826" s="24" t="s">
        <v>2179</v>
      </c>
    </row>
    <row r="827" spans="1:5" ht="15.75" customHeight="1" x14ac:dyDescent="0.4">
      <c r="A827" s="24" t="s">
        <v>1401</v>
      </c>
      <c r="B827" s="24">
        <v>14</v>
      </c>
      <c r="C827" s="24">
        <v>13</v>
      </c>
      <c r="D827" s="24">
        <v>6</v>
      </c>
      <c r="E827" s="24" t="s">
        <v>2179</v>
      </c>
    </row>
    <row r="828" spans="1:5" ht="15.75" customHeight="1" x14ac:dyDescent="0.4">
      <c r="A828" s="24" t="s">
        <v>1218</v>
      </c>
      <c r="B828" s="24">
        <v>8</v>
      </c>
      <c r="C828" s="24">
        <v>7</v>
      </c>
      <c r="D828" s="24">
        <v>2</v>
      </c>
      <c r="E828" s="24" t="s">
        <v>2179</v>
      </c>
    </row>
    <row r="829" spans="1:5" ht="15.75" customHeight="1" x14ac:dyDescent="0.4">
      <c r="A829" s="24" t="s">
        <v>2017</v>
      </c>
      <c r="B829" s="24">
        <v>17</v>
      </c>
      <c r="C829" s="24">
        <v>6</v>
      </c>
      <c r="D829" s="24">
        <v>2</v>
      </c>
      <c r="E829" s="24" t="s">
        <v>2179</v>
      </c>
    </row>
    <row r="830" spans="1:5" ht="15.75" customHeight="1" x14ac:dyDescent="0.4">
      <c r="A830" s="24" t="s">
        <v>1629</v>
      </c>
      <c r="B830" s="24">
        <v>17</v>
      </c>
      <c r="C830" s="24">
        <v>13</v>
      </c>
      <c r="D830" s="24">
        <v>3</v>
      </c>
      <c r="E830" s="24" t="s">
        <v>2179</v>
      </c>
    </row>
    <row r="831" spans="1:5" ht="15.75" customHeight="1" x14ac:dyDescent="0.4">
      <c r="A831" s="24" t="s">
        <v>2046</v>
      </c>
      <c r="B831" s="24">
        <v>5</v>
      </c>
      <c r="C831" s="24">
        <v>5</v>
      </c>
      <c r="D831" s="24">
        <v>0</v>
      </c>
      <c r="E831" s="24" t="s">
        <v>2179</v>
      </c>
    </row>
    <row r="832" spans="1:5" ht="15.75" customHeight="1" x14ac:dyDescent="0.4">
      <c r="A832" s="24" t="s">
        <v>1739</v>
      </c>
      <c r="B832" s="24">
        <v>17</v>
      </c>
      <c r="C832" s="24">
        <v>15</v>
      </c>
      <c r="D832" s="24">
        <v>5</v>
      </c>
      <c r="E832" s="24" t="s">
        <v>2179</v>
      </c>
    </row>
    <row r="833" spans="1:5" ht="15.75" customHeight="1" x14ac:dyDescent="0.4">
      <c r="A833" s="24" t="s">
        <v>1356</v>
      </c>
      <c r="B833" s="24">
        <v>5</v>
      </c>
      <c r="C833" s="24">
        <v>4</v>
      </c>
      <c r="D833" s="24">
        <v>3</v>
      </c>
      <c r="E833" s="24" t="s">
        <v>2179</v>
      </c>
    </row>
    <row r="834" spans="1:5" ht="15.75" customHeight="1" x14ac:dyDescent="0.4">
      <c r="A834" s="24" t="s">
        <v>611</v>
      </c>
      <c r="B834" s="24">
        <v>17</v>
      </c>
      <c r="C834" s="24">
        <v>16</v>
      </c>
      <c r="D834" s="24">
        <v>3</v>
      </c>
      <c r="E834" s="24" t="s">
        <v>2179</v>
      </c>
    </row>
    <row r="835" spans="1:5" ht="15.75" customHeight="1" x14ac:dyDescent="0.4">
      <c r="A835" s="24" t="s">
        <v>1232</v>
      </c>
      <c r="B835" s="24">
        <v>17</v>
      </c>
      <c r="C835" s="24">
        <v>14</v>
      </c>
      <c r="D835" s="24">
        <v>2</v>
      </c>
      <c r="E835" s="24" t="s">
        <v>2179</v>
      </c>
    </row>
    <row r="836" spans="1:5" ht="15.75" customHeight="1" x14ac:dyDescent="0.4">
      <c r="A836" s="24" t="s">
        <v>1173</v>
      </c>
      <c r="B836" s="24">
        <v>17</v>
      </c>
      <c r="C836" s="24">
        <v>17</v>
      </c>
      <c r="D836" s="24">
        <v>6</v>
      </c>
      <c r="E836" s="24" t="s">
        <v>2179</v>
      </c>
    </row>
    <row r="837" spans="1:5" ht="15.75" customHeight="1" x14ac:dyDescent="0.4">
      <c r="A837" s="24" t="s">
        <v>1482</v>
      </c>
      <c r="B837" s="24">
        <v>14</v>
      </c>
      <c r="C837" s="24">
        <v>12</v>
      </c>
      <c r="D837" s="24">
        <v>4</v>
      </c>
      <c r="E837" s="24" t="s">
        <v>2179</v>
      </c>
    </row>
    <row r="838" spans="1:5" ht="15.75" customHeight="1" x14ac:dyDescent="0.4">
      <c r="A838" s="24" t="s">
        <v>2019</v>
      </c>
      <c r="B838" s="24">
        <v>17</v>
      </c>
      <c r="C838" s="24">
        <v>16</v>
      </c>
      <c r="D838" s="24">
        <v>3</v>
      </c>
      <c r="E838" s="24" t="s">
        <v>2179</v>
      </c>
    </row>
    <row r="839" spans="1:5" ht="15.75" customHeight="1" x14ac:dyDescent="0.4">
      <c r="A839" s="24" t="s">
        <v>1139</v>
      </c>
      <c r="B839" s="24">
        <v>5</v>
      </c>
      <c r="C839" s="24">
        <v>5</v>
      </c>
      <c r="D839" s="24">
        <v>1</v>
      </c>
      <c r="E839" s="24" t="s">
        <v>2179</v>
      </c>
    </row>
    <row r="840" spans="1:5" ht="15.75" customHeight="1" x14ac:dyDescent="0.4">
      <c r="A840" s="24" t="s">
        <v>1466</v>
      </c>
      <c r="B840" s="24">
        <v>17</v>
      </c>
      <c r="C840" s="24">
        <v>0</v>
      </c>
      <c r="D840" s="24">
        <v>0</v>
      </c>
      <c r="E840" s="24" t="s">
        <v>2179</v>
      </c>
    </row>
    <row r="841" spans="1:5" ht="15.75" customHeight="1" x14ac:dyDescent="0.4">
      <c r="A841" s="24" t="s">
        <v>1704</v>
      </c>
      <c r="B841" s="24">
        <v>17</v>
      </c>
      <c r="C841" s="24">
        <v>0</v>
      </c>
      <c r="D841" s="24">
        <v>3</v>
      </c>
      <c r="E841" s="24" t="s">
        <v>2179</v>
      </c>
    </row>
    <row r="842" spans="1:5" ht="15.75" customHeight="1" x14ac:dyDescent="0.4">
      <c r="A842" s="24" t="s">
        <v>1529</v>
      </c>
      <c r="B842" s="24">
        <v>5</v>
      </c>
      <c r="C842" s="24">
        <v>0</v>
      </c>
      <c r="D842" s="24">
        <v>0</v>
      </c>
      <c r="E842" s="24" t="s">
        <v>2179</v>
      </c>
    </row>
    <row r="843" spans="1:5" ht="15.75" customHeight="1" x14ac:dyDescent="0.4">
      <c r="A843" s="24" t="s">
        <v>1434</v>
      </c>
      <c r="B843" s="24">
        <v>16</v>
      </c>
      <c r="C843" s="24">
        <v>7</v>
      </c>
      <c r="D843" s="24">
        <v>0</v>
      </c>
      <c r="E843" s="24" t="s">
        <v>2179</v>
      </c>
    </row>
    <row r="844" spans="1:5" ht="15.75" customHeight="1" x14ac:dyDescent="0.4">
      <c r="A844" s="24" t="s">
        <v>959</v>
      </c>
      <c r="B844" s="24">
        <v>8</v>
      </c>
      <c r="C844" s="24">
        <v>7</v>
      </c>
      <c r="D844" s="24">
        <v>3</v>
      </c>
      <c r="E844" s="24" t="s">
        <v>2179</v>
      </c>
    </row>
    <row r="845" spans="1:5" ht="15.75" customHeight="1" x14ac:dyDescent="0.4">
      <c r="A845" s="24" t="s">
        <v>2062</v>
      </c>
      <c r="B845" s="24">
        <v>17</v>
      </c>
      <c r="C845" s="24">
        <v>11</v>
      </c>
      <c r="D845" s="24">
        <v>4</v>
      </c>
      <c r="E845" s="24" t="s">
        <v>2179</v>
      </c>
    </row>
    <row r="846" spans="1:5" ht="15.75" customHeight="1" x14ac:dyDescent="0.4">
      <c r="A846" s="24" t="s">
        <v>1814</v>
      </c>
      <c r="B846" s="24">
        <v>16</v>
      </c>
      <c r="C846" s="24">
        <v>9</v>
      </c>
      <c r="D846" s="24">
        <v>0</v>
      </c>
      <c r="E846" s="24" t="s">
        <v>2179</v>
      </c>
    </row>
    <row r="847" spans="1:5" ht="15.75" customHeight="1" x14ac:dyDescent="0.4">
      <c r="A847" s="24" t="s">
        <v>915</v>
      </c>
      <c r="B847" s="24">
        <v>5</v>
      </c>
      <c r="C847" s="24">
        <v>5</v>
      </c>
      <c r="D847" s="24">
        <v>3</v>
      </c>
      <c r="E847" s="24" t="s">
        <v>2179</v>
      </c>
    </row>
    <row r="848" spans="1:5" ht="15.75" customHeight="1" x14ac:dyDescent="0.4">
      <c r="A848" s="24" t="s">
        <v>619</v>
      </c>
      <c r="B848" s="24">
        <v>16</v>
      </c>
      <c r="C848" s="24">
        <v>5</v>
      </c>
      <c r="D848" s="24">
        <v>5</v>
      </c>
      <c r="E848" s="24" t="s">
        <v>2179</v>
      </c>
    </row>
    <row r="849" spans="1:5" ht="15.75" customHeight="1" x14ac:dyDescent="0.4">
      <c r="A849" s="24" t="s">
        <v>369</v>
      </c>
      <c r="B849" s="24">
        <v>5</v>
      </c>
      <c r="C849" s="24">
        <v>1</v>
      </c>
      <c r="D849" s="24">
        <v>0</v>
      </c>
      <c r="E849" s="24" t="s">
        <v>2179</v>
      </c>
    </row>
    <row r="850" spans="1:5" ht="15.75" customHeight="1" x14ac:dyDescent="0.4">
      <c r="A850" s="24" t="s">
        <v>422</v>
      </c>
      <c r="B850" s="24">
        <v>5</v>
      </c>
      <c r="C850" s="24">
        <v>5</v>
      </c>
      <c r="D850" s="24">
        <v>1</v>
      </c>
      <c r="E850" s="24" t="s">
        <v>2179</v>
      </c>
    </row>
    <row r="851" spans="1:5" ht="15.75" customHeight="1" x14ac:dyDescent="0.4">
      <c r="A851" s="24" t="s">
        <v>1822</v>
      </c>
      <c r="B851" s="24">
        <v>6</v>
      </c>
      <c r="C851" s="24">
        <v>6</v>
      </c>
      <c r="D851" s="24">
        <v>0</v>
      </c>
      <c r="E851" s="24" t="s">
        <v>2179</v>
      </c>
    </row>
    <row r="852" spans="1:5" ht="15.75" customHeight="1" x14ac:dyDescent="0.4">
      <c r="A852" s="24" t="s">
        <v>1581</v>
      </c>
      <c r="B852" s="24">
        <v>17</v>
      </c>
      <c r="C852" s="24">
        <v>12</v>
      </c>
      <c r="D852" s="24">
        <v>0</v>
      </c>
      <c r="E852" s="24" t="s">
        <v>2179</v>
      </c>
    </row>
    <row r="853" spans="1:5" ht="15.75" customHeight="1" x14ac:dyDescent="0.4">
      <c r="A853" s="24" t="s">
        <v>1557</v>
      </c>
      <c r="B853" s="24">
        <v>8</v>
      </c>
      <c r="C853" s="24">
        <v>8</v>
      </c>
      <c r="D853" s="24">
        <v>0</v>
      </c>
      <c r="E853" s="24" t="s">
        <v>2179</v>
      </c>
    </row>
    <row r="854" spans="1:5" ht="15.75" customHeight="1" x14ac:dyDescent="0.4">
      <c r="A854" s="24" t="s">
        <v>1884</v>
      </c>
      <c r="B854" s="24">
        <v>17</v>
      </c>
      <c r="C854" s="24">
        <v>8</v>
      </c>
      <c r="D854" s="24">
        <v>1</v>
      </c>
      <c r="E854" s="24" t="s">
        <v>2179</v>
      </c>
    </row>
    <row r="855" spans="1:5" ht="15.75" customHeight="1" x14ac:dyDescent="0.4">
      <c r="A855" s="24" t="s">
        <v>473</v>
      </c>
      <c r="B855" s="24">
        <v>17</v>
      </c>
      <c r="C855" s="24">
        <v>12</v>
      </c>
      <c r="D855" s="24">
        <v>3</v>
      </c>
      <c r="E855" s="24" t="s">
        <v>2179</v>
      </c>
    </row>
    <row r="856" spans="1:5" ht="15.75" customHeight="1" x14ac:dyDescent="0.4">
      <c r="A856" s="24" t="s">
        <v>1287</v>
      </c>
      <c r="B856" s="24">
        <v>17</v>
      </c>
      <c r="C856" s="24">
        <v>15</v>
      </c>
      <c r="D856" s="24">
        <v>6</v>
      </c>
      <c r="E856" s="24" t="s">
        <v>2179</v>
      </c>
    </row>
    <row r="857" spans="1:5" ht="15.75" customHeight="1" x14ac:dyDescent="0.4">
      <c r="A857" s="24" t="s">
        <v>1718</v>
      </c>
      <c r="B857" s="24">
        <v>17</v>
      </c>
      <c r="C857" s="24">
        <v>12</v>
      </c>
      <c r="D857" s="24">
        <v>3</v>
      </c>
      <c r="E857" s="24" t="s">
        <v>2179</v>
      </c>
    </row>
    <row r="858" spans="1:5" ht="15.75" customHeight="1" x14ac:dyDescent="0.4">
      <c r="A858" s="24" t="s">
        <v>2028</v>
      </c>
      <c r="B858" s="24">
        <v>5</v>
      </c>
      <c r="C858" s="24">
        <v>2</v>
      </c>
      <c r="D858" s="24">
        <v>0</v>
      </c>
      <c r="E858" s="24" t="s">
        <v>2179</v>
      </c>
    </row>
    <row r="859" spans="1:5" ht="15.75" customHeight="1" x14ac:dyDescent="0.4">
      <c r="A859" s="24" t="s">
        <v>1027</v>
      </c>
      <c r="B859" s="24">
        <v>5</v>
      </c>
      <c r="C859" s="24">
        <v>3</v>
      </c>
      <c r="D859" s="24">
        <v>1</v>
      </c>
      <c r="E859" s="24" t="s">
        <v>2179</v>
      </c>
    </row>
    <row r="860" spans="1:5" ht="15.75" customHeight="1" x14ac:dyDescent="0.4">
      <c r="A860" s="24" t="s">
        <v>1570</v>
      </c>
      <c r="B860" s="24">
        <v>17</v>
      </c>
      <c r="C860" s="24">
        <v>5</v>
      </c>
      <c r="D860" s="24">
        <v>4</v>
      </c>
      <c r="E860" s="24" t="s">
        <v>2179</v>
      </c>
    </row>
    <row r="861" spans="1:5" ht="15.75" customHeight="1" x14ac:dyDescent="0.4">
      <c r="A861" s="24" t="s">
        <v>1955</v>
      </c>
      <c r="B861" s="24">
        <v>17</v>
      </c>
      <c r="C861" s="24">
        <v>4</v>
      </c>
      <c r="D861" s="24">
        <v>2</v>
      </c>
      <c r="E861" s="24" t="s">
        <v>2179</v>
      </c>
    </row>
    <row r="862" spans="1:5" ht="15.75" customHeight="1" x14ac:dyDescent="0.4">
      <c r="A862" s="24" t="s">
        <v>981</v>
      </c>
      <c r="B862" s="24">
        <v>17</v>
      </c>
      <c r="C862" s="24">
        <v>13</v>
      </c>
      <c r="D862" s="24">
        <v>0</v>
      </c>
      <c r="E862" s="24" t="s">
        <v>2179</v>
      </c>
    </row>
    <row r="863" spans="1:5" ht="15.75" customHeight="1" x14ac:dyDescent="0.4">
      <c r="A863" s="24" t="s">
        <v>364</v>
      </c>
      <c r="B863" s="24">
        <v>16</v>
      </c>
      <c r="C863" s="24">
        <v>14</v>
      </c>
      <c r="D863" s="24">
        <v>1</v>
      </c>
      <c r="E863" s="24" t="s">
        <v>2179</v>
      </c>
    </row>
    <row r="864" spans="1:5" ht="15.75" customHeight="1" x14ac:dyDescent="0.4">
      <c r="A864" s="24" t="s">
        <v>1923</v>
      </c>
      <c r="B864" s="24">
        <v>5</v>
      </c>
      <c r="C864" s="24">
        <v>5</v>
      </c>
      <c r="D864" s="24">
        <v>2</v>
      </c>
      <c r="E864" s="24" t="s">
        <v>2179</v>
      </c>
    </row>
    <row r="865" spans="1:5" ht="15.75" customHeight="1" x14ac:dyDescent="0.4">
      <c r="A865" s="24" t="s">
        <v>1977</v>
      </c>
      <c r="B865" s="24">
        <v>17</v>
      </c>
      <c r="C865" s="24">
        <v>13</v>
      </c>
      <c r="D865" s="24">
        <v>0</v>
      </c>
      <c r="E865" s="24" t="s">
        <v>2179</v>
      </c>
    </row>
    <row r="866" spans="1:5" ht="15.75" customHeight="1" x14ac:dyDescent="0.4">
      <c r="A866" s="24" t="s">
        <v>1480</v>
      </c>
      <c r="B866" s="24">
        <v>17</v>
      </c>
      <c r="C866" s="24">
        <v>8</v>
      </c>
      <c r="D866" s="24">
        <v>4</v>
      </c>
      <c r="E866" s="24" t="s">
        <v>2179</v>
      </c>
    </row>
    <row r="867" spans="1:5" ht="15.75" customHeight="1" x14ac:dyDescent="0.4">
      <c r="A867" s="24" t="s">
        <v>1006</v>
      </c>
      <c r="B867" s="24">
        <v>5</v>
      </c>
      <c r="C867" s="24">
        <v>5</v>
      </c>
      <c r="D867" s="24">
        <v>4</v>
      </c>
      <c r="E867" s="24" t="s">
        <v>2179</v>
      </c>
    </row>
    <row r="868" spans="1:5" ht="15.75" customHeight="1" x14ac:dyDescent="0.4">
      <c r="A868" s="24" t="s">
        <v>728</v>
      </c>
      <c r="B868" s="24">
        <v>17</v>
      </c>
      <c r="C868" s="24">
        <v>0</v>
      </c>
      <c r="D868" s="24">
        <v>0</v>
      </c>
      <c r="E868" s="24" t="s">
        <v>2179</v>
      </c>
    </row>
    <row r="869" spans="1:5" ht="15.75" customHeight="1" x14ac:dyDescent="0.4">
      <c r="A869" s="24" t="s">
        <v>1666</v>
      </c>
      <c r="B869" s="24">
        <v>17</v>
      </c>
      <c r="C869" s="24">
        <v>15</v>
      </c>
      <c r="D869" s="24">
        <v>0</v>
      </c>
      <c r="E869" s="24" t="s">
        <v>2179</v>
      </c>
    </row>
    <row r="870" spans="1:5" ht="15.75" customHeight="1" x14ac:dyDescent="0.4">
      <c r="A870" s="24" t="s">
        <v>411</v>
      </c>
      <c r="B870" s="24">
        <v>5</v>
      </c>
      <c r="C870" s="24">
        <v>4</v>
      </c>
      <c r="D870" s="24">
        <v>3</v>
      </c>
      <c r="E870" s="24" t="s">
        <v>2179</v>
      </c>
    </row>
    <row r="871" spans="1:5" ht="15.75" customHeight="1" x14ac:dyDescent="0.4">
      <c r="A871" s="24" t="s">
        <v>1124</v>
      </c>
      <c r="B871" s="24">
        <v>12</v>
      </c>
      <c r="C871" s="24">
        <v>12</v>
      </c>
      <c r="D871" s="24">
        <v>0</v>
      </c>
      <c r="E871" s="24" t="s">
        <v>2179</v>
      </c>
    </row>
    <row r="872" spans="1:5" ht="15.75" customHeight="1" x14ac:dyDescent="0.4">
      <c r="A872" s="24" t="s">
        <v>1501</v>
      </c>
      <c r="B872" s="24">
        <v>17</v>
      </c>
      <c r="C872" s="24">
        <v>13</v>
      </c>
      <c r="D872" s="24">
        <v>2</v>
      </c>
      <c r="E872" s="24" t="s">
        <v>2179</v>
      </c>
    </row>
    <row r="873" spans="1:5" ht="15.75" customHeight="1" x14ac:dyDescent="0.4">
      <c r="A873" s="24" t="s">
        <v>1137</v>
      </c>
      <c r="B873" s="24">
        <v>17</v>
      </c>
      <c r="C873" s="24">
        <v>13</v>
      </c>
      <c r="D873" s="24">
        <v>0</v>
      </c>
      <c r="E873" s="24" t="s">
        <v>2179</v>
      </c>
    </row>
    <row r="874" spans="1:5" ht="15.75" customHeight="1" x14ac:dyDescent="0.4">
      <c r="A874" s="24" t="s">
        <v>2031</v>
      </c>
      <c r="B874" s="24">
        <v>17</v>
      </c>
      <c r="C874" s="24">
        <v>11</v>
      </c>
      <c r="D874" s="24">
        <v>2</v>
      </c>
      <c r="E874" s="24" t="s">
        <v>2179</v>
      </c>
    </row>
    <row r="875" spans="1:5" ht="15.75" customHeight="1" x14ac:dyDescent="0.4">
      <c r="A875" s="24" t="s">
        <v>963</v>
      </c>
      <c r="B875" s="24">
        <v>5</v>
      </c>
      <c r="C875" s="24">
        <v>5</v>
      </c>
      <c r="D875" s="24">
        <v>1</v>
      </c>
      <c r="E875" s="24" t="s">
        <v>2179</v>
      </c>
    </row>
    <row r="876" spans="1:5" ht="15.75" customHeight="1" x14ac:dyDescent="0.4">
      <c r="A876" s="24" t="s">
        <v>1388</v>
      </c>
      <c r="B876" s="24">
        <v>12</v>
      </c>
      <c r="C876" s="24">
        <v>0</v>
      </c>
      <c r="D876" s="24">
        <v>0</v>
      </c>
      <c r="E876" s="24" t="s">
        <v>2179</v>
      </c>
    </row>
    <row r="877" spans="1:5" ht="15.75" customHeight="1" x14ac:dyDescent="0.4">
      <c r="A877" s="24" t="s">
        <v>2066</v>
      </c>
      <c r="B877" s="24">
        <v>17</v>
      </c>
      <c r="C877" s="24">
        <v>15</v>
      </c>
      <c r="D877" s="24">
        <v>1</v>
      </c>
      <c r="E877" s="24" t="s">
        <v>2179</v>
      </c>
    </row>
    <row r="878" spans="1:5" ht="15.75" customHeight="1" x14ac:dyDescent="0.4">
      <c r="A878" s="24" t="s">
        <v>1799</v>
      </c>
      <c r="B878" s="24">
        <v>14</v>
      </c>
      <c r="C878" s="24">
        <v>10</v>
      </c>
      <c r="D878" s="24">
        <v>0</v>
      </c>
      <c r="E878" s="24" t="s">
        <v>2179</v>
      </c>
    </row>
    <row r="879" spans="1:5" ht="15.75" customHeight="1" x14ac:dyDescent="0.4">
      <c r="A879" s="24" t="s">
        <v>994</v>
      </c>
      <c r="B879" s="24">
        <v>6</v>
      </c>
      <c r="C879" s="24">
        <v>5</v>
      </c>
      <c r="D879" s="24">
        <v>1</v>
      </c>
      <c r="E879" s="24" t="s">
        <v>2179</v>
      </c>
    </row>
    <row r="880" spans="1:5" ht="15.75" customHeight="1" x14ac:dyDescent="0.4">
      <c r="A880" s="24" t="s">
        <v>1450</v>
      </c>
      <c r="B880" s="24">
        <v>17</v>
      </c>
      <c r="C880" s="24">
        <v>15</v>
      </c>
      <c r="D880" s="24">
        <v>2</v>
      </c>
      <c r="E880" s="24" t="s">
        <v>2179</v>
      </c>
    </row>
    <row r="881" spans="1:5" ht="15.75" customHeight="1" x14ac:dyDescent="0.4">
      <c r="A881" s="24" t="s">
        <v>1180</v>
      </c>
      <c r="B881" s="24">
        <v>14</v>
      </c>
      <c r="C881" s="24">
        <v>13</v>
      </c>
      <c r="D881" s="24">
        <v>0</v>
      </c>
      <c r="E881" s="24" t="s">
        <v>2179</v>
      </c>
    </row>
    <row r="882" spans="1:5" ht="15.75" customHeight="1" x14ac:dyDescent="0.4">
      <c r="A882" s="24" t="s">
        <v>928</v>
      </c>
      <c r="B882" s="24">
        <v>5</v>
      </c>
      <c r="C882" s="24">
        <v>5</v>
      </c>
      <c r="D882" s="24">
        <v>1</v>
      </c>
      <c r="E882" s="24" t="s">
        <v>2179</v>
      </c>
    </row>
    <row r="883" spans="1:5" ht="15.75" customHeight="1" x14ac:dyDescent="0.4">
      <c r="A883" s="24" t="s">
        <v>1541</v>
      </c>
      <c r="B883" s="24">
        <v>17</v>
      </c>
      <c r="C883" s="24">
        <v>2</v>
      </c>
      <c r="D883" s="24">
        <v>1</v>
      </c>
      <c r="E883" s="24" t="s">
        <v>2179</v>
      </c>
    </row>
    <row r="884" spans="1:5" ht="15.75" customHeight="1" x14ac:dyDescent="0.4">
      <c r="A884" s="24" t="s">
        <v>860</v>
      </c>
      <c r="B884" s="24">
        <v>17</v>
      </c>
      <c r="C884" s="24">
        <v>5</v>
      </c>
      <c r="D884" s="24">
        <v>5</v>
      </c>
      <c r="E884" s="24" t="s">
        <v>2179</v>
      </c>
    </row>
    <row r="885" spans="1:5" ht="15.75" customHeight="1" x14ac:dyDescent="0.4">
      <c r="A885" s="24" t="s">
        <v>1225</v>
      </c>
      <c r="B885" s="24">
        <v>9</v>
      </c>
      <c r="C885" s="24">
        <v>6</v>
      </c>
      <c r="D885" s="24">
        <v>0</v>
      </c>
      <c r="E885" s="24" t="s">
        <v>2179</v>
      </c>
    </row>
    <row r="886" spans="1:5" ht="15.75" customHeight="1" x14ac:dyDescent="0.4">
      <c r="A886" s="24" t="s">
        <v>898</v>
      </c>
      <c r="B886" s="24">
        <v>16</v>
      </c>
      <c r="C886" s="24">
        <v>1</v>
      </c>
      <c r="D886" s="24">
        <v>4</v>
      </c>
      <c r="E886" s="24" t="s">
        <v>2179</v>
      </c>
    </row>
    <row r="887" spans="1:5" ht="15.75" customHeight="1" x14ac:dyDescent="0.4">
      <c r="A887" s="24" t="s">
        <v>1706</v>
      </c>
      <c r="B887" s="24">
        <v>5</v>
      </c>
      <c r="C887" s="24">
        <v>2</v>
      </c>
      <c r="D887" s="24">
        <v>0</v>
      </c>
      <c r="E887" s="24" t="s">
        <v>2179</v>
      </c>
    </row>
    <row r="888" spans="1:5" ht="15.75" customHeight="1" x14ac:dyDescent="0.4">
      <c r="A888" s="24" t="s">
        <v>907</v>
      </c>
      <c r="B888" s="24">
        <v>12</v>
      </c>
      <c r="C888" s="24">
        <v>12</v>
      </c>
      <c r="D888" s="24">
        <v>0</v>
      </c>
      <c r="E888" s="24" t="s">
        <v>2179</v>
      </c>
    </row>
    <row r="889" spans="1:5" ht="15.75" customHeight="1" x14ac:dyDescent="0.4">
      <c r="A889" s="24" t="s">
        <v>710</v>
      </c>
      <c r="B889" s="24">
        <v>17</v>
      </c>
      <c r="C889" s="24">
        <v>15</v>
      </c>
      <c r="D889" s="24">
        <v>2</v>
      </c>
      <c r="E889" s="24" t="s">
        <v>2179</v>
      </c>
    </row>
    <row r="890" spans="1:5" ht="15.75" customHeight="1" x14ac:dyDescent="0.4">
      <c r="A890" s="24" t="s">
        <v>1544</v>
      </c>
      <c r="B890" s="24">
        <v>14</v>
      </c>
      <c r="C890" s="24">
        <v>12</v>
      </c>
      <c r="D890" s="24">
        <v>1</v>
      </c>
      <c r="E890" s="24" t="s">
        <v>2179</v>
      </c>
    </row>
    <row r="891" spans="1:5" ht="15.75" customHeight="1" x14ac:dyDescent="0.4">
      <c r="A891" s="24" t="s">
        <v>1395</v>
      </c>
      <c r="B891" s="24">
        <v>17</v>
      </c>
      <c r="C891" s="24">
        <v>16</v>
      </c>
      <c r="D891" s="24">
        <v>4</v>
      </c>
      <c r="E891" s="24" t="s">
        <v>2179</v>
      </c>
    </row>
    <row r="892" spans="1:5" ht="15.75" customHeight="1" x14ac:dyDescent="0.4">
      <c r="A892" s="24" t="s">
        <v>2038</v>
      </c>
      <c r="B892" s="24">
        <v>5</v>
      </c>
      <c r="C892" s="24">
        <v>0</v>
      </c>
      <c r="D892" s="24">
        <v>0</v>
      </c>
      <c r="E892" s="24" t="s">
        <v>2179</v>
      </c>
    </row>
    <row r="893" spans="1:5" ht="15.75" customHeight="1" x14ac:dyDescent="0.4">
      <c r="A893" s="24" t="s">
        <v>1041</v>
      </c>
      <c r="B893" s="24">
        <v>16</v>
      </c>
      <c r="C893" s="24">
        <v>11</v>
      </c>
      <c r="D893" s="24">
        <v>1</v>
      </c>
      <c r="E893" s="24" t="s">
        <v>2179</v>
      </c>
    </row>
    <row r="894" spans="1:5" ht="15.75" customHeight="1" x14ac:dyDescent="0.4">
      <c r="A894" s="24" t="s">
        <v>1358</v>
      </c>
      <c r="B894" s="24">
        <v>17</v>
      </c>
      <c r="C894" s="24">
        <v>7</v>
      </c>
      <c r="D894" s="24">
        <v>4</v>
      </c>
      <c r="E894" s="24" t="s">
        <v>2179</v>
      </c>
    </row>
    <row r="895" spans="1:5" ht="15.75" customHeight="1" x14ac:dyDescent="0.4">
      <c r="A895" s="24" t="s">
        <v>1023</v>
      </c>
      <c r="B895" s="24">
        <v>17</v>
      </c>
      <c r="C895" s="24">
        <v>12</v>
      </c>
      <c r="D895" s="24">
        <v>4</v>
      </c>
      <c r="E895" s="24" t="s">
        <v>2179</v>
      </c>
    </row>
    <row r="896" spans="1:5" ht="15.75" customHeight="1" x14ac:dyDescent="0.4">
      <c r="A896" s="24" t="s">
        <v>1614</v>
      </c>
      <c r="B896" s="24">
        <v>14</v>
      </c>
      <c r="C896" s="24">
        <v>11</v>
      </c>
      <c r="D896" s="24">
        <v>3</v>
      </c>
      <c r="E896" s="24" t="s">
        <v>2179</v>
      </c>
    </row>
    <row r="897" spans="1:5" ht="15.75" customHeight="1" x14ac:dyDescent="0.4">
      <c r="A897" s="24" t="s">
        <v>1143</v>
      </c>
      <c r="B897" s="24">
        <v>17</v>
      </c>
      <c r="C897" s="24">
        <v>5</v>
      </c>
      <c r="D897" s="24">
        <v>1</v>
      </c>
      <c r="E897" s="24" t="s">
        <v>2179</v>
      </c>
    </row>
    <row r="898" spans="1:5" ht="15.75" customHeight="1" x14ac:dyDescent="0.4">
      <c r="A898" s="24" t="s">
        <v>1114</v>
      </c>
      <c r="B898" s="24">
        <v>17</v>
      </c>
      <c r="C898" s="24">
        <v>12</v>
      </c>
      <c r="D898" s="24">
        <v>2</v>
      </c>
      <c r="E898" s="24" t="s">
        <v>2179</v>
      </c>
    </row>
    <row r="899" spans="1:5" ht="15.75" customHeight="1" x14ac:dyDescent="0.4">
      <c r="A899" s="24" t="s">
        <v>1135</v>
      </c>
      <c r="B899" s="24">
        <v>8</v>
      </c>
      <c r="C899" s="24">
        <v>5</v>
      </c>
      <c r="D899" s="24">
        <v>2</v>
      </c>
      <c r="E899" s="24" t="s">
        <v>2179</v>
      </c>
    </row>
    <row r="900" spans="1:5" ht="15.75" customHeight="1" x14ac:dyDescent="0.4">
      <c r="A900" s="24" t="s">
        <v>2136</v>
      </c>
      <c r="B900" s="24">
        <v>17</v>
      </c>
      <c r="C900" s="24">
        <v>10</v>
      </c>
      <c r="D900" s="24">
        <v>0</v>
      </c>
      <c r="E900" s="24" t="s">
        <v>2179</v>
      </c>
    </row>
    <row r="901" spans="1:5" ht="15.75" customHeight="1" x14ac:dyDescent="0.4">
      <c r="A901" s="24" t="s">
        <v>1805</v>
      </c>
      <c r="B901" s="24">
        <v>15</v>
      </c>
      <c r="C901" s="24">
        <v>8</v>
      </c>
      <c r="D901" s="24">
        <v>5</v>
      </c>
      <c r="E901" s="24" t="s">
        <v>2179</v>
      </c>
    </row>
    <row r="902" spans="1:5" ht="15.75" customHeight="1" x14ac:dyDescent="0.4">
      <c r="A902" s="24" t="s">
        <v>1649</v>
      </c>
      <c r="B902" s="24">
        <v>4</v>
      </c>
      <c r="C902" s="24">
        <v>3</v>
      </c>
      <c r="D902" s="24">
        <v>0</v>
      </c>
      <c r="E902" s="24" t="s">
        <v>2179</v>
      </c>
    </row>
    <row r="903" spans="1:5" ht="15.75" customHeight="1" x14ac:dyDescent="0.4">
      <c r="A903" s="24" t="s">
        <v>995</v>
      </c>
      <c r="B903" s="24">
        <v>17</v>
      </c>
      <c r="C903" s="24">
        <v>12</v>
      </c>
      <c r="D903" s="24">
        <v>3</v>
      </c>
      <c r="E903" s="24" t="s">
        <v>2179</v>
      </c>
    </row>
    <row r="904" spans="1:5" ht="15.75" customHeight="1" x14ac:dyDescent="0.4">
      <c r="A904" s="24" t="s">
        <v>2099</v>
      </c>
      <c r="B904" s="24">
        <v>10</v>
      </c>
      <c r="C904" s="24">
        <v>7</v>
      </c>
      <c r="D904" s="24">
        <v>2</v>
      </c>
      <c r="E904" s="24" t="s">
        <v>2179</v>
      </c>
    </row>
    <row r="905" spans="1:5" ht="15.75" customHeight="1" x14ac:dyDescent="0.4">
      <c r="A905" s="24" t="s">
        <v>1627</v>
      </c>
      <c r="B905" s="24">
        <v>5</v>
      </c>
      <c r="C905" s="24">
        <v>2</v>
      </c>
      <c r="D905" s="24">
        <v>0</v>
      </c>
      <c r="E905" s="24" t="s">
        <v>2179</v>
      </c>
    </row>
    <row r="906" spans="1:5" ht="15.75" customHeight="1" x14ac:dyDescent="0.4">
      <c r="A906" s="24" t="s">
        <v>649</v>
      </c>
      <c r="B906" s="24">
        <v>16</v>
      </c>
      <c r="C906" s="24">
        <v>9</v>
      </c>
      <c r="D906" s="24">
        <v>1</v>
      </c>
      <c r="E906" s="24" t="s">
        <v>2179</v>
      </c>
    </row>
    <row r="907" spans="1:5" ht="15.75" customHeight="1" x14ac:dyDescent="0.4">
      <c r="A907" s="24" t="s">
        <v>1858</v>
      </c>
      <c r="B907" s="24">
        <v>5</v>
      </c>
      <c r="C907" s="24">
        <v>5</v>
      </c>
      <c r="D907" s="24">
        <v>3</v>
      </c>
      <c r="E907" s="24" t="s">
        <v>2179</v>
      </c>
    </row>
    <row r="908" spans="1:5" ht="15.75" customHeight="1" x14ac:dyDescent="0.4">
      <c r="A908" s="24" t="s">
        <v>595</v>
      </c>
      <c r="B908" s="24">
        <v>5</v>
      </c>
      <c r="C908" s="24">
        <v>5</v>
      </c>
      <c r="D908" s="24">
        <v>0</v>
      </c>
      <c r="E908" s="24" t="s">
        <v>2179</v>
      </c>
    </row>
    <row r="909" spans="1:5" ht="15.75" customHeight="1" x14ac:dyDescent="0.4">
      <c r="A909" s="24" t="s">
        <v>997</v>
      </c>
      <c r="B909" s="24">
        <v>17</v>
      </c>
      <c r="C909" s="24">
        <v>15</v>
      </c>
      <c r="D909" s="24">
        <v>3</v>
      </c>
      <c r="E909" s="24" t="s">
        <v>2179</v>
      </c>
    </row>
    <row r="910" spans="1:5" ht="15.75" customHeight="1" x14ac:dyDescent="0.4">
      <c r="A910" s="24" t="s">
        <v>409</v>
      </c>
      <c r="B910" s="24">
        <v>17</v>
      </c>
      <c r="C910" s="24">
        <v>15</v>
      </c>
      <c r="D910" s="24">
        <v>0</v>
      </c>
      <c r="E910" s="24" t="s">
        <v>2179</v>
      </c>
    </row>
    <row r="911" spans="1:5" ht="15.75" customHeight="1" x14ac:dyDescent="0.4">
      <c r="A911" s="24" t="s">
        <v>2037</v>
      </c>
      <c r="B911" s="24">
        <v>16</v>
      </c>
      <c r="C911" s="24">
        <v>9</v>
      </c>
      <c r="D911" s="24">
        <v>1</v>
      </c>
      <c r="E911" s="24" t="s">
        <v>2179</v>
      </c>
    </row>
    <row r="912" spans="1:5" ht="15.75" customHeight="1" x14ac:dyDescent="0.4">
      <c r="A912" s="24" t="s">
        <v>762</v>
      </c>
      <c r="B912" s="24">
        <v>17</v>
      </c>
      <c r="C912" s="24">
        <v>12</v>
      </c>
      <c r="D912" s="24">
        <v>1</v>
      </c>
      <c r="E912" s="24" t="s">
        <v>2179</v>
      </c>
    </row>
    <row r="913" spans="1:5" ht="15.75" customHeight="1" x14ac:dyDescent="0.4">
      <c r="A913" s="24" t="s">
        <v>918</v>
      </c>
      <c r="B913" s="24">
        <v>17</v>
      </c>
      <c r="C913" s="24">
        <v>9</v>
      </c>
      <c r="D913" s="24">
        <v>5</v>
      </c>
      <c r="E913" s="24" t="s">
        <v>2179</v>
      </c>
    </row>
    <row r="914" spans="1:5" ht="15.75" customHeight="1" x14ac:dyDescent="0.4">
      <c r="A914" s="24" t="s">
        <v>1582</v>
      </c>
      <c r="B914" s="24">
        <v>17</v>
      </c>
      <c r="C914" s="24">
        <v>4</v>
      </c>
      <c r="D914" s="24">
        <v>7</v>
      </c>
      <c r="E914" s="24" t="s">
        <v>2179</v>
      </c>
    </row>
    <row r="915" spans="1:5" ht="15.75" customHeight="1" x14ac:dyDescent="0.4">
      <c r="A915" s="24" t="s">
        <v>916</v>
      </c>
      <c r="B915" s="24">
        <v>31</v>
      </c>
      <c r="C915" s="24">
        <v>23</v>
      </c>
      <c r="D915" s="24">
        <v>4</v>
      </c>
      <c r="E915" s="24" t="s">
        <v>2179</v>
      </c>
    </row>
    <row r="916" spans="1:5" ht="15.75" customHeight="1" x14ac:dyDescent="0.4">
      <c r="A916" s="24" t="s">
        <v>1530</v>
      </c>
      <c r="B916" s="24">
        <v>13</v>
      </c>
      <c r="C916" s="24">
        <v>4</v>
      </c>
      <c r="D916" s="24">
        <v>3</v>
      </c>
      <c r="E916" s="24" t="s">
        <v>2179</v>
      </c>
    </row>
    <row r="917" spans="1:5" ht="15.75" customHeight="1" x14ac:dyDescent="0.4">
      <c r="A917" s="24" t="s">
        <v>1597</v>
      </c>
      <c r="B917" s="24">
        <v>17</v>
      </c>
      <c r="C917" s="24">
        <v>4</v>
      </c>
      <c r="D917" s="24">
        <v>0</v>
      </c>
      <c r="E917" s="24" t="s">
        <v>2179</v>
      </c>
    </row>
    <row r="918" spans="1:5" ht="15.75" customHeight="1" x14ac:dyDescent="0.4">
      <c r="A918" s="24" t="s">
        <v>2055</v>
      </c>
      <c r="B918" s="24">
        <v>16</v>
      </c>
      <c r="C918" s="24">
        <v>11</v>
      </c>
      <c r="D918" s="24">
        <v>5</v>
      </c>
      <c r="E918" s="24" t="s">
        <v>2179</v>
      </c>
    </row>
    <row r="919" spans="1:5" ht="15.75" customHeight="1" x14ac:dyDescent="0.4">
      <c r="A919" s="24" t="s">
        <v>573</v>
      </c>
      <c r="B919" s="24">
        <v>14</v>
      </c>
      <c r="C919" s="24">
        <v>0</v>
      </c>
      <c r="D919" s="24">
        <v>0</v>
      </c>
      <c r="E919" s="24" t="s">
        <v>2179</v>
      </c>
    </row>
    <row r="920" spans="1:5" ht="15.75" customHeight="1" x14ac:dyDescent="0.4">
      <c r="A920" s="24" t="s">
        <v>1502</v>
      </c>
      <c r="B920" s="24">
        <v>14</v>
      </c>
      <c r="C920" s="24">
        <v>9</v>
      </c>
      <c r="D920" s="24">
        <v>0</v>
      </c>
      <c r="E920" s="24" t="s">
        <v>2179</v>
      </c>
    </row>
    <row r="921" spans="1:5" ht="15.75" customHeight="1" x14ac:dyDescent="0.4">
      <c r="A921" s="24" t="s">
        <v>1878</v>
      </c>
      <c r="B921" s="24">
        <v>5</v>
      </c>
      <c r="C921" s="24">
        <v>2</v>
      </c>
      <c r="D921" s="24">
        <v>1</v>
      </c>
      <c r="E921" s="24" t="s">
        <v>2179</v>
      </c>
    </row>
    <row r="922" spans="1:5" ht="15.75" customHeight="1" x14ac:dyDescent="0.4">
      <c r="A922" s="24" t="s">
        <v>349</v>
      </c>
      <c r="B922" s="24">
        <v>12</v>
      </c>
      <c r="C922" s="24">
        <v>3</v>
      </c>
      <c r="D922" s="24">
        <v>0</v>
      </c>
      <c r="E922" s="24" t="s">
        <v>2179</v>
      </c>
    </row>
    <row r="923" spans="1:5" ht="15.75" customHeight="1" x14ac:dyDescent="0.4">
      <c r="A923" s="24" t="s">
        <v>1812</v>
      </c>
      <c r="B923" s="24">
        <v>13</v>
      </c>
      <c r="C923" s="24">
        <v>12</v>
      </c>
      <c r="D923" s="24">
        <v>1</v>
      </c>
      <c r="E923" s="24" t="s">
        <v>2179</v>
      </c>
    </row>
    <row r="924" spans="1:5" ht="15.75" customHeight="1" x14ac:dyDescent="0.4">
      <c r="A924" s="24" t="s">
        <v>1457</v>
      </c>
      <c r="B924" s="24">
        <v>14</v>
      </c>
      <c r="C924" s="24">
        <v>1</v>
      </c>
      <c r="D924" s="24">
        <v>2</v>
      </c>
      <c r="E924" s="24" t="s">
        <v>2179</v>
      </c>
    </row>
    <row r="925" spans="1:5" ht="15.75" customHeight="1" x14ac:dyDescent="0.4">
      <c r="A925" s="24" t="s">
        <v>968</v>
      </c>
      <c r="B925" s="24">
        <v>17</v>
      </c>
      <c r="C925" s="24">
        <v>14</v>
      </c>
      <c r="D925" s="24">
        <v>2</v>
      </c>
      <c r="E925" s="24" t="s">
        <v>2179</v>
      </c>
    </row>
    <row r="926" spans="1:5" ht="15.75" customHeight="1" x14ac:dyDescent="0.4">
      <c r="A926" s="24" t="s">
        <v>1305</v>
      </c>
      <c r="B926" s="24">
        <v>14</v>
      </c>
      <c r="C926" s="24">
        <v>12</v>
      </c>
      <c r="D926" s="24">
        <v>3</v>
      </c>
      <c r="E926" s="24" t="s">
        <v>2179</v>
      </c>
    </row>
    <row r="927" spans="1:5" ht="15.75" customHeight="1" x14ac:dyDescent="0.4">
      <c r="A927" s="24" t="s">
        <v>919</v>
      </c>
      <c r="B927" s="24">
        <v>17</v>
      </c>
      <c r="C927" s="24">
        <v>11</v>
      </c>
      <c r="D927" s="24">
        <v>6</v>
      </c>
      <c r="E927" s="24" t="s">
        <v>2179</v>
      </c>
    </row>
    <row r="928" spans="1:5" ht="15.75" customHeight="1" x14ac:dyDescent="0.4">
      <c r="A928" s="24" t="s">
        <v>1150</v>
      </c>
      <c r="B928" s="24">
        <v>17</v>
      </c>
      <c r="C928" s="24">
        <v>9</v>
      </c>
      <c r="D928" s="24">
        <v>1</v>
      </c>
      <c r="E928" s="24" t="s">
        <v>2179</v>
      </c>
    </row>
    <row r="929" spans="1:5" ht="15.75" customHeight="1" x14ac:dyDescent="0.4">
      <c r="A929" s="24" t="s">
        <v>1783</v>
      </c>
      <c r="B929" s="24">
        <v>16</v>
      </c>
      <c r="C929" s="24">
        <v>13</v>
      </c>
      <c r="D929" s="24">
        <v>0</v>
      </c>
      <c r="E929" s="24" t="s">
        <v>2179</v>
      </c>
    </row>
    <row r="930" spans="1:5" ht="15.75" customHeight="1" x14ac:dyDescent="0.4">
      <c r="A930" s="24" t="s">
        <v>1290</v>
      </c>
      <c r="B930" s="24">
        <v>16</v>
      </c>
      <c r="C930" s="24">
        <v>4</v>
      </c>
      <c r="D930" s="24">
        <v>0</v>
      </c>
      <c r="E930" s="24" t="s">
        <v>2179</v>
      </c>
    </row>
    <row r="931" spans="1:5" ht="15.75" customHeight="1" x14ac:dyDescent="0.4">
      <c r="A931" s="24" t="s">
        <v>1338</v>
      </c>
      <c r="B931" s="24">
        <v>17</v>
      </c>
      <c r="C931" s="24">
        <v>13</v>
      </c>
      <c r="D931" s="24">
        <v>1</v>
      </c>
      <c r="E931" s="24" t="s">
        <v>2179</v>
      </c>
    </row>
    <row r="932" spans="1:5" ht="15.75" customHeight="1" x14ac:dyDescent="0.4">
      <c r="A932" s="24" t="s">
        <v>2053</v>
      </c>
      <c r="B932" s="24">
        <v>17</v>
      </c>
      <c r="C932" s="24">
        <v>10</v>
      </c>
      <c r="D932" s="24">
        <v>0</v>
      </c>
      <c r="E932" s="24" t="s">
        <v>2179</v>
      </c>
    </row>
    <row r="933" spans="1:5" ht="15.75" customHeight="1" x14ac:dyDescent="0.4">
      <c r="A933" s="24" t="s">
        <v>1165</v>
      </c>
      <c r="B933" s="24">
        <v>14</v>
      </c>
      <c r="C933" s="24">
        <v>9</v>
      </c>
      <c r="D933" s="24">
        <v>1</v>
      </c>
      <c r="E933" s="24" t="s">
        <v>2179</v>
      </c>
    </row>
    <row r="934" spans="1:5" ht="15.75" customHeight="1" x14ac:dyDescent="0.4">
      <c r="A934" s="24" t="s">
        <v>1661</v>
      </c>
      <c r="B934" s="24">
        <v>16</v>
      </c>
      <c r="C934" s="24">
        <v>14</v>
      </c>
      <c r="D934" s="24">
        <v>0</v>
      </c>
      <c r="E934" s="24" t="s">
        <v>2179</v>
      </c>
    </row>
    <row r="935" spans="1:5" ht="15.75" customHeight="1" x14ac:dyDescent="0.4">
      <c r="A935" s="24" t="s">
        <v>315</v>
      </c>
      <c r="B935" s="24">
        <v>17</v>
      </c>
      <c r="C935" s="24">
        <v>14</v>
      </c>
      <c r="D935" s="24">
        <v>0</v>
      </c>
      <c r="E935" s="24" t="s">
        <v>2179</v>
      </c>
    </row>
    <row r="936" spans="1:5" ht="15.75" customHeight="1" x14ac:dyDescent="0.4">
      <c r="A936" s="24" t="s">
        <v>1615</v>
      </c>
      <c r="B936" s="24">
        <v>17</v>
      </c>
      <c r="C936" s="24">
        <v>14</v>
      </c>
      <c r="D936" s="24">
        <v>1</v>
      </c>
      <c r="E936" s="24" t="s">
        <v>2179</v>
      </c>
    </row>
    <row r="937" spans="1:5" ht="15.75" customHeight="1" x14ac:dyDescent="0.4">
      <c r="A937" s="24" t="s">
        <v>1083</v>
      </c>
      <c r="B937" s="24">
        <v>5</v>
      </c>
      <c r="C937" s="24">
        <v>5</v>
      </c>
      <c r="D937" s="24">
        <v>3</v>
      </c>
      <c r="E937" s="24" t="s">
        <v>2179</v>
      </c>
    </row>
    <row r="938" spans="1:5" ht="15.75" customHeight="1" x14ac:dyDescent="0.4">
      <c r="A938" s="24" t="s">
        <v>1299</v>
      </c>
      <c r="B938" s="24">
        <v>5</v>
      </c>
      <c r="C938" s="24">
        <v>4</v>
      </c>
      <c r="D938" s="24">
        <v>0</v>
      </c>
      <c r="E938" s="24" t="s">
        <v>2179</v>
      </c>
    </row>
    <row r="939" spans="1:5" ht="15.75" customHeight="1" x14ac:dyDescent="0.4">
      <c r="A939" s="24" t="s">
        <v>856</v>
      </c>
      <c r="B939" s="24">
        <v>14</v>
      </c>
      <c r="C939" s="24">
        <v>10</v>
      </c>
      <c r="D939" s="24">
        <v>2</v>
      </c>
      <c r="E939" s="24" t="s">
        <v>2179</v>
      </c>
    </row>
    <row r="940" spans="1:5" ht="15.75" customHeight="1" x14ac:dyDescent="0.4">
      <c r="A940" s="24" t="s">
        <v>1408</v>
      </c>
      <c r="B940" s="24">
        <v>17</v>
      </c>
      <c r="C940" s="24">
        <v>10</v>
      </c>
      <c r="D940" s="24">
        <v>2</v>
      </c>
      <c r="E940" s="24" t="s">
        <v>2179</v>
      </c>
    </row>
    <row r="941" spans="1:5" ht="15.75" customHeight="1" x14ac:dyDescent="0.4">
      <c r="A941" s="24" t="s">
        <v>1636</v>
      </c>
      <c r="B941" s="24">
        <v>0</v>
      </c>
      <c r="C941" s="24">
        <v>0</v>
      </c>
      <c r="D941" s="24">
        <v>0</v>
      </c>
      <c r="E941" s="24" t="s">
        <v>2179</v>
      </c>
    </row>
    <row r="942" spans="1:5" ht="15.75" customHeight="1" x14ac:dyDescent="0.4">
      <c r="A942" s="24" t="s">
        <v>1948</v>
      </c>
      <c r="B942" s="24">
        <v>5</v>
      </c>
      <c r="C942" s="24">
        <v>5</v>
      </c>
      <c r="D942" s="24">
        <v>1</v>
      </c>
      <c r="E942" s="24" t="s">
        <v>2179</v>
      </c>
    </row>
    <row r="943" spans="1:5" ht="15.75" customHeight="1" x14ac:dyDescent="0.4">
      <c r="A943" s="24" t="s">
        <v>2004</v>
      </c>
      <c r="B943" s="24">
        <v>5</v>
      </c>
      <c r="C943" s="24">
        <v>4</v>
      </c>
      <c r="D943" s="24">
        <v>1</v>
      </c>
      <c r="E943" s="24" t="s">
        <v>2179</v>
      </c>
    </row>
    <row r="944" spans="1:5" ht="15.75" customHeight="1" x14ac:dyDescent="0.4">
      <c r="A944" s="24" t="s">
        <v>1818</v>
      </c>
      <c r="B944" s="24">
        <v>14</v>
      </c>
      <c r="C944" s="24">
        <v>12</v>
      </c>
      <c r="D944" s="24">
        <v>1</v>
      </c>
      <c r="E944" s="24" t="s">
        <v>2179</v>
      </c>
    </row>
    <row r="945" spans="1:5" ht="15.75" customHeight="1" x14ac:dyDescent="0.4">
      <c r="A945" s="24" t="s">
        <v>1432</v>
      </c>
      <c r="B945" s="24">
        <v>5</v>
      </c>
      <c r="C945" s="24">
        <v>3</v>
      </c>
      <c r="D945" s="24">
        <v>0</v>
      </c>
      <c r="E945" s="24" t="s">
        <v>2179</v>
      </c>
    </row>
    <row r="946" spans="1:5" ht="15.75" customHeight="1" x14ac:dyDescent="0.4">
      <c r="A946" s="24" t="s">
        <v>589</v>
      </c>
      <c r="B946" s="24">
        <v>18</v>
      </c>
      <c r="C946" s="24">
        <v>5</v>
      </c>
      <c r="D946" s="24">
        <v>0</v>
      </c>
      <c r="E946" s="24" t="s">
        <v>2180</v>
      </c>
    </row>
    <row r="947" spans="1:5" ht="15.75" customHeight="1" x14ac:dyDescent="0.4">
      <c r="A947" s="24" t="s">
        <v>972</v>
      </c>
      <c r="B947" s="24">
        <v>17</v>
      </c>
      <c r="C947" s="24">
        <v>13</v>
      </c>
      <c r="D947" s="24">
        <v>0</v>
      </c>
      <c r="E947" s="24" t="s">
        <v>2179</v>
      </c>
    </row>
    <row r="948" spans="1:5" ht="15.75" customHeight="1" x14ac:dyDescent="0.4">
      <c r="A948" s="24" t="s">
        <v>1182</v>
      </c>
      <c r="B948" s="24">
        <v>17</v>
      </c>
      <c r="C948" s="24">
        <v>4</v>
      </c>
      <c r="D948" s="24">
        <v>6</v>
      </c>
      <c r="E948" s="24" t="s">
        <v>2179</v>
      </c>
    </row>
    <row r="949" spans="1:5" ht="15.75" customHeight="1" x14ac:dyDescent="0.4">
      <c r="A949" s="24" t="s">
        <v>395</v>
      </c>
      <c r="B949" s="24">
        <v>7</v>
      </c>
      <c r="C949" s="24">
        <v>5</v>
      </c>
      <c r="D949" s="24">
        <v>0</v>
      </c>
      <c r="E949" s="24" t="s">
        <v>2179</v>
      </c>
    </row>
    <row r="950" spans="1:5" ht="15.75" customHeight="1" x14ac:dyDescent="0.4">
      <c r="A950" s="24" t="s">
        <v>1559</v>
      </c>
      <c r="B950" s="24">
        <v>17</v>
      </c>
      <c r="C950" s="24">
        <v>15</v>
      </c>
      <c r="D950" s="24">
        <v>2</v>
      </c>
      <c r="E950" s="24" t="s">
        <v>2179</v>
      </c>
    </row>
    <row r="951" spans="1:5" ht="15.75" customHeight="1" x14ac:dyDescent="0.4">
      <c r="A951" s="24" t="s">
        <v>2168</v>
      </c>
      <c r="B951" s="24">
        <v>5</v>
      </c>
      <c r="C951" s="24">
        <v>5</v>
      </c>
      <c r="D951" s="24">
        <v>1</v>
      </c>
      <c r="E951" s="24" t="s">
        <v>2179</v>
      </c>
    </row>
    <row r="952" spans="1:5" ht="15.75" customHeight="1" x14ac:dyDescent="0.4">
      <c r="A952" s="24" t="s">
        <v>1882</v>
      </c>
      <c r="B952" s="24">
        <v>17</v>
      </c>
      <c r="C952" s="24">
        <v>11</v>
      </c>
      <c r="D952" s="24">
        <v>3</v>
      </c>
      <c r="E952" s="24" t="s">
        <v>2179</v>
      </c>
    </row>
    <row r="953" spans="1:5" ht="15.75" customHeight="1" x14ac:dyDescent="0.4">
      <c r="A953" s="24" t="s">
        <v>1827</v>
      </c>
      <c r="B953" s="24">
        <v>5</v>
      </c>
      <c r="C953" s="24">
        <v>1</v>
      </c>
      <c r="D953" s="24">
        <v>0</v>
      </c>
      <c r="E953" s="24" t="s">
        <v>2179</v>
      </c>
    </row>
    <row r="954" spans="1:5" ht="15.75" customHeight="1" x14ac:dyDescent="0.4">
      <c r="A954" s="24" t="s">
        <v>1089</v>
      </c>
      <c r="B954" s="24">
        <v>5</v>
      </c>
      <c r="C954" s="24">
        <v>2</v>
      </c>
      <c r="D954" s="24">
        <v>0</v>
      </c>
      <c r="E954" s="24" t="s">
        <v>2179</v>
      </c>
    </row>
    <row r="955" spans="1:5" ht="15.75" customHeight="1" x14ac:dyDescent="0.4">
      <c r="A955" s="24" t="s">
        <v>1834</v>
      </c>
      <c r="B955" s="24">
        <v>17</v>
      </c>
      <c r="C955" s="24">
        <v>15</v>
      </c>
      <c r="D955" s="24">
        <v>1</v>
      </c>
      <c r="E955" s="24" t="s">
        <v>2179</v>
      </c>
    </row>
    <row r="956" spans="1:5" ht="15.75" customHeight="1" x14ac:dyDescent="0.4">
      <c r="A956" s="24" t="s">
        <v>2137</v>
      </c>
      <c r="B956" s="24">
        <v>8</v>
      </c>
      <c r="C956" s="24">
        <v>6</v>
      </c>
      <c r="D956" s="24">
        <v>0</v>
      </c>
      <c r="E956" s="24" t="s">
        <v>2179</v>
      </c>
    </row>
    <row r="957" spans="1:5" ht="15.75" customHeight="1" x14ac:dyDescent="0.4">
      <c r="A957" s="24" t="s">
        <v>1547</v>
      </c>
      <c r="B957" s="24">
        <v>5</v>
      </c>
      <c r="C957" s="24">
        <v>5</v>
      </c>
      <c r="D957" s="24">
        <v>2</v>
      </c>
      <c r="E957" s="24" t="s">
        <v>2179</v>
      </c>
    </row>
    <row r="958" spans="1:5" ht="15.75" customHeight="1" x14ac:dyDescent="0.4">
      <c r="A958" s="24" t="s">
        <v>371</v>
      </c>
      <c r="B958" s="24">
        <v>17</v>
      </c>
      <c r="C958" s="24">
        <v>4</v>
      </c>
      <c r="D958" s="24">
        <v>2</v>
      </c>
      <c r="E958" s="24" t="s">
        <v>2179</v>
      </c>
    </row>
    <row r="959" spans="1:5" ht="15.75" customHeight="1" x14ac:dyDescent="0.4">
      <c r="A959" s="24" t="s">
        <v>859</v>
      </c>
      <c r="B959" s="24">
        <v>17</v>
      </c>
      <c r="C959" s="24">
        <v>13</v>
      </c>
      <c r="D959" s="24">
        <v>2</v>
      </c>
      <c r="E959" s="24" t="s">
        <v>2179</v>
      </c>
    </row>
    <row r="960" spans="1:5" ht="15.75" customHeight="1" x14ac:dyDescent="0.4">
      <c r="A960" s="24" t="s">
        <v>2122</v>
      </c>
      <c r="B960" s="24">
        <v>17</v>
      </c>
      <c r="C960" s="24">
        <v>12</v>
      </c>
      <c r="D960" s="24">
        <v>1</v>
      </c>
      <c r="E960" s="24" t="s">
        <v>2179</v>
      </c>
    </row>
    <row r="961" spans="1:5" ht="15.75" customHeight="1" x14ac:dyDescent="0.4">
      <c r="A961" s="24" t="s">
        <v>2051</v>
      </c>
      <c r="B961" s="24">
        <v>5</v>
      </c>
      <c r="C961" s="24">
        <v>4</v>
      </c>
      <c r="D961" s="24">
        <v>1</v>
      </c>
      <c r="E961" s="24" t="s">
        <v>2179</v>
      </c>
    </row>
    <row r="962" spans="1:5" ht="15.75" customHeight="1" x14ac:dyDescent="0.4">
      <c r="A962" s="24" t="s">
        <v>738</v>
      </c>
      <c r="B962" s="24">
        <v>11</v>
      </c>
      <c r="C962" s="24">
        <v>11</v>
      </c>
      <c r="D962" s="24">
        <v>2</v>
      </c>
      <c r="E962" s="24" t="s">
        <v>2179</v>
      </c>
    </row>
    <row r="963" spans="1:5" ht="15.75" customHeight="1" x14ac:dyDescent="0.4">
      <c r="A963" s="24" t="s">
        <v>1101</v>
      </c>
      <c r="B963" s="24">
        <v>17</v>
      </c>
      <c r="C963" s="24">
        <v>16</v>
      </c>
      <c r="D963" s="24">
        <v>3</v>
      </c>
      <c r="E963" s="24" t="s">
        <v>2179</v>
      </c>
    </row>
    <row r="964" spans="1:5" ht="15.75" customHeight="1" x14ac:dyDescent="0.4">
      <c r="A964" s="24" t="s">
        <v>615</v>
      </c>
      <c r="B964" s="24">
        <v>17</v>
      </c>
      <c r="C964" s="24">
        <v>5</v>
      </c>
      <c r="D964" s="24">
        <v>0</v>
      </c>
      <c r="E964" s="24" t="s">
        <v>2179</v>
      </c>
    </row>
    <row r="965" spans="1:5" ht="15.75" customHeight="1" x14ac:dyDescent="0.4">
      <c r="A965" s="24" t="s">
        <v>1454</v>
      </c>
      <c r="B965" s="24">
        <v>17</v>
      </c>
      <c r="C965" s="24">
        <v>15</v>
      </c>
      <c r="D965" s="24">
        <v>1</v>
      </c>
      <c r="E965" s="24" t="s">
        <v>2179</v>
      </c>
    </row>
    <row r="966" spans="1:5" ht="15.75" customHeight="1" x14ac:dyDescent="0.4">
      <c r="A966" s="24" t="s">
        <v>1278</v>
      </c>
      <c r="B966" s="24">
        <v>5</v>
      </c>
      <c r="C966" s="24">
        <v>4</v>
      </c>
      <c r="D966" s="24">
        <v>0</v>
      </c>
      <c r="E966" s="24" t="s">
        <v>2179</v>
      </c>
    </row>
    <row r="967" spans="1:5" ht="15.75" customHeight="1" x14ac:dyDescent="0.4">
      <c r="A967" s="24" t="s">
        <v>1720</v>
      </c>
      <c r="B967" s="24">
        <v>5</v>
      </c>
      <c r="C967" s="24">
        <v>5</v>
      </c>
      <c r="D967" s="24">
        <v>4</v>
      </c>
      <c r="E967" s="24" t="s">
        <v>2179</v>
      </c>
    </row>
    <row r="968" spans="1:5" ht="15.75" customHeight="1" x14ac:dyDescent="0.4">
      <c r="A968" s="24" t="s">
        <v>1201</v>
      </c>
      <c r="B968" s="24">
        <v>4</v>
      </c>
      <c r="C968" s="24">
        <v>2</v>
      </c>
      <c r="D968" s="24">
        <v>1</v>
      </c>
      <c r="E968" s="24" t="s">
        <v>2179</v>
      </c>
    </row>
    <row r="969" spans="1:5" ht="15.75" customHeight="1" x14ac:dyDescent="0.4">
      <c r="A969" s="24" t="s">
        <v>1605</v>
      </c>
      <c r="B969" s="24">
        <v>17</v>
      </c>
      <c r="C969" s="24">
        <v>15</v>
      </c>
      <c r="D969" s="24">
        <v>1</v>
      </c>
      <c r="E969" s="24" t="s">
        <v>2179</v>
      </c>
    </row>
    <row r="970" spans="1:5" ht="15.75" customHeight="1" x14ac:dyDescent="0.4">
      <c r="A970" s="24" t="s">
        <v>2048</v>
      </c>
      <c r="B970" s="24">
        <v>13</v>
      </c>
      <c r="C970" s="24">
        <v>11</v>
      </c>
      <c r="D970" s="24">
        <v>1</v>
      </c>
      <c r="E970" s="24" t="s">
        <v>2179</v>
      </c>
    </row>
    <row r="971" spans="1:5" ht="15.75" customHeight="1" x14ac:dyDescent="0.4">
      <c r="A971" s="24" t="s">
        <v>1221</v>
      </c>
      <c r="B971" s="24">
        <v>17</v>
      </c>
      <c r="C971" s="24">
        <v>11</v>
      </c>
      <c r="D971" s="24">
        <v>2</v>
      </c>
      <c r="E971" s="24" t="s">
        <v>2179</v>
      </c>
    </row>
    <row r="972" spans="1:5" ht="15.75" customHeight="1" x14ac:dyDescent="0.4">
      <c r="A972" s="24" t="s">
        <v>491</v>
      </c>
      <c r="B972" s="24">
        <v>17</v>
      </c>
      <c r="C972" s="24">
        <v>12</v>
      </c>
      <c r="D972" s="24">
        <v>2</v>
      </c>
      <c r="E972" s="24" t="s">
        <v>2179</v>
      </c>
    </row>
    <row r="973" spans="1:5" ht="15.75" customHeight="1" x14ac:dyDescent="0.4">
      <c r="A973" s="24" t="s">
        <v>1346</v>
      </c>
      <c r="B973" s="24">
        <v>17</v>
      </c>
      <c r="C973" s="24">
        <v>11</v>
      </c>
      <c r="D973" s="24">
        <v>1</v>
      </c>
      <c r="E973" s="24" t="s">
        <v>2179</v>
      </c>
    </row>
    <row r="974" spans="1:5" ht="15.75" customHeight="1" x14ac:dyDescent="0.4">
      <c r="A974" s="24" t="s">
        <v>1997</v>
      </c>
      <c r="B974" s="24">
        <v>5</v>
      </c>
      <c r="C974" s="24">
        <v>2</v>
      </c>
      <c r="D974" s="24">
        <v>0</v>
      </c>
      <c r="E974" s="24" t="s">
        <v>2179</v>
      </c>
    </row>
    <row r="975" spans="1:5" ht="15.75" customHeight="1" x14ac:dyDescent="0.4">
      <c r="A975" s="24" t="s">
        <v>1998</v>
      </c>
      <c r="B975" s="24">
        <v>17</v>
      </c>
      <c r="C975" s="24">
        <v>17</v>
      </c>
      <c r="D975" s="24">
        <v>4</v>
      </c>
      <c r="E975" s="24" t="s">
        <v>2179</v>
      </c>
    </row>
    <row r="976" spans="1:5" ht="15.75" customHeight="1" x14ac:dyDescent="0.4">
      <c r="A976" s="24" t="s">
        <v>1941</v>
      </c>
      <c r="B976" s="24">
        <v>17</v>
      </c>
      <c r="C976" s="24">
        <v>8</v>
      </c>
      <c r="D976" s="24">
        <v>1</v>
      </c>
      <c r="E976" s="24" t="s">
        <v>2179</v>
      </c>
    </row>
    <row r="977" spans="1:5" ht="15.75" customHeight="1" x14ac:dyDescent="0.4">
      <c r="A977" s="24" t="s">
        <v>1316</v>
      </c>
      <c r="B977" s="24">
        <v>17</v>
      </c>
      <c r="C977" s="24">
        <v>16</v>
      </c>
      <c r="D977" s="24">
        <v>5</v>
      </c>
      <c r="E977" s="24" t="s">
        <v>2179</v>
      </c>
    </row>
    <row r="978" spans="1:5" ht="15.75" customHeight="1" x14ac:dyDescent="0.4">
      <c r="A978" s="24" t="s">
        <v>609</v>
      </c>
      <c r="B978" s="24">
        <v>14</v>
      </c>
      <c r="C978" s="24">
        <v>1</v>
      </c>
      <c r="D978" s="24">
        <v>0</v>
      </c>
      <c r="E978" s="24" t="s">
        <v>2179</v>
      </c>
    </row>
    <row r="979" spans="1:5" ht="15.75" customHeight="1" x14ac:dyDescent="0.4">
      <c r="A979" s="24" t="s">
        <v>431</v>
      </c>
      <c r="B979" s="24">
        <v>17</v>
      </c>
      <c r="C979" s="24">
        <v>12</v>
      </c>
      <c r="D979" s="24">
        <v>0</v>
      </c>
      <c r="E979" s="24" t="s">
        <v>2179</v>
      </c>
    </row>
    <row r="980" spans="1:5" ht="15.75" customHeight="1" x14ac:dyDescent="0.4">
      <c r="A980" s="24" t="s">
        <v>339</v>
      </c>
      <c r="B980" s="24">
        <v>17</v>
      </c>
      <c r="C980" s="24">
        <v>17</v>
      </c>
      <c r="D980" s="24">
        <v>2</v>
      </c>
      <c r="E980" s="24" t="s">
        <v>2179</v>
      </c>
    </row>
    <row r="981" spans="1:5" ht="15.75" customHeight="1" x14ac:dyDescent="0.4">
      <c r="A981" s="24" t="s">
        <v>1152</v>
      </c>
      <c r="B981" s="24">
        <v>14</v>
      </c>
      <c r="C981" s="24">
        <v>12</v>
      </c>
      <c r="D981" s="24">
        <v>0</v>
      </c>
      <c r="E981" s="24" t="s">
        <v>2179</v>
      </c>
    </row>
    <row r="982" spans="1:5" ht="15.75" customHeight="1" x14ac:dyDescent="0.4">
      <c r="A982" s="24" t="s">
        <v>635</v>
      </c>
      <c r="B982" s="24">
        <v>13</v>
      </c>
      <c r="C982" s="24">
        <v>10</v>
      </c>
      <c r="D982" s="24">
        <v>6</v>
      </c>
      <c r="E982" s="24" t="s">
        <v>2179</v>
      </c>
    </row>
    <row r="983" spans="1:5" ht="15.75" customHeight="1" x14ac:dyDescent="0.4">
      <c r="A983" s="24" t="s">
        <v>433</v>
      </c>
      <c r="B983" s="24">
        <v>14</v>
      </c>
      <c r="C983" s="24">
        <v>11</v>
      </c>
      <c r="D983" s="24">
        <v>3</v>
      </c>
      <c r="E983" s="24" t="s">
        <v>2179</v>
      </c>
    </row>
    <row r="984" spans="1:5" ht="15.75" customHeight="1" x14ac:dyDescent="0.4">
      <c r="A984" s="24" t="s">
        <v>313</v>
      </c>
      <c r="B984" s="24">
        <v>17</v>
      </c>
      <c r="C984" s="24">
        <v>5</v>
      </c>
      <c r="D984" s="24">
        <v>2</v>
      </c>
      <c r="E984" s="24" t="s">
        <v>2179</v>
      </c>
    </row>
    <row r="985" spans="1:5" ht="15.75" customHeight="1" x14ac:dyDescent="0.4">
      <c r="A985" s="24" t="s">
        <v>1375</v>
      </c>
      <c r="B985" s="24">
        <v>14</v>
      </c>
      <c r="C985" s="24">
        <v>5</v>
      </c>
      <c r="D985" s="24">
        <v>0</v>
      </c>
      <c r="E985" s="24" t="s">
        <v>2179</v>
      </c>
    </row>
    <row r="986" spans="1:5" ht="15.75" customHeight="1" x14ac:dyDescent="0.4">
      <c r="A986" s="24" t="s">
        <v>661</v>
      </c>
      <c r="B986" s="24">
        <v>17</v>
      </c>
      <c r="C986" s="24">
        <v>12</v>
      </c>
      <c r="D986" s="24">
        <v>0</v>
      </c>
      <c r="E986" s="24" t="s">
        <v>2179</v>
      </c>
    </row>
    <row r="987" spans="1:5" ht="15.75" customHeight="1" x14ac:dyDescent="0.4">
      <c r="A987" s="24" t="s">
        <v>1040</v>
      </c>
      <c r="B987" s="24">
        <v>17</v>
      </c>
      <c r="C987" s="24">
        <v>14</v>
      </c>
      <c r="D987" s="24">
        <v>0</v>
      </c>
      <c r="E987" s="24" t="s">
        <v>2179</v>
      </c>
    </row>
    <row r="988" spans="1:5" ht="15.75" customHeight="1" x14ac:dyDescent="0.4">
      <c r="A988" s="24" t="s">
        <v>2172</v>
      </c>
      <c r="B988" s="24">
        <v>13</v>
      </c>
      <c r="C988" s="24">
        <v>5</v>
      </c>
      <c r="D988" s="24">
        <v>5</v>
      </c>
      <c r="E988" s="24" t="s">
        <v>2179</v>
      </c>
    </row>
    <row r="989" spans="1:5" ht="15.75" customHeight="1" x14ac:dyDescent="0.4">
      <c r="A989" s="24" t="s">
        <v>1274</v>
      </c>
      <c r="B989" s="24">
        <v>5</v>
      </c>
      <c r="C989" s="24">
        <v>4</v>
      </c>
      <c r="D989" s="24">
        <v>0</v>
      </c>
      <c r="E989" s="24" t="s">
        <v>2179</v>
      </c>
    </row>
    <row r="990" spans="1:5" ht="15.75" customHeight="1" x14ac:dyDescent="0.4">
      <c r="A990" s="24" t="s">
        <v>914</v>
      </c>
      <c r="B990" s="24">
        <v>5</v>
      </c>
      <c r="C990" s="24">
        <v>5</v>
      </c>
      <c r="D990" s="24">
        <v>3</v>
      </c>
      <c r="E990" s="24" t="s">
        <v>2179</v>
      </c>
    </row>
    <row r="991" spans="1:5" ht="15.75" customHeight="1" x14ac:dyDescent="0.4">
      <c r="A991" s="24" t="s">
        <v>1601</v>
      </c>
      <c r="B991" s="24">
        <v>5</v>
      </c>
      <c r="C991" s="24">
        <v>0</v>
      </c>
      <c r="D991" s="24">
        <v>0</v>
      </c>
      <c r="E991" s="24" t="s">
        <v>2179</v>
      </c>
    </row>
    <row r="992" spans="1:5" ht="15.75" customHeight="1" x14ac:dyDescent="0.4">
      <c r="A992" s="24" t="s">
        <v>1325</v>
      </c>
      <c r="B992" s="24">
        <v>17</v>
      </c>
      <c r="C992" s="24">
        <v>6</v>
      </c>
      <c r="D992" s="24">
        <v>0</v>
      </c>
      <c r="E992" s="24" t="s">
        <v>2179</v>
      </c>
    </row>
    <row r="993" spans="1:5" ht="15.75" customHeight="1" x14ac:dyDescent="0.4">
      <c r="A993" s="24" t="s">
        <v>1523</v>
      </c>
      <c r="B993" s="24">
        <v>17</v>
      </c>
      <c r="C993" s="24">
        <v>13</v>
      </c>
      <c r="D993" s="24">
        <v>0</v>
      </c>
      <c r="E993" s="24" t="s">
        <v>2179</v>
      </c>
    </row>
    <row r="994" spans="1:5" ht="15.75" customHeight="1" x14ac:dyDescent="0.4">
      <c r="A994" s="24" t="s">
        <v>333</v>
      </c>
      <c r="B994" s="24">
        <v>17</v>
      </c>
      <c r="C994" s="24">
        <v>9</v>
      </c>
      <c r="D994" s="24">
        <v>0</v>
      </c>
      <c r="E994" s="24" t="s">
        <v>2179</v>
      </c>
    </row>
    <row r="995" spans="1:5" ht="15.75" customHeight="1" x14ac:dyDescent="0.4">
      <c r="A995" s="24" t="s">
        <v>1887</v>
      </c>
      <c r="B995" s="24">
        <v>17</v>
      </c>
      <c r="C995" s="24">
        <v>17</v>
      </c>
      <c r="D995" s="24">
        <v>4</v>
      </c>
      <c r="E995" s="24" t="s">
        <v>2179</v>
      </c>
    </row>
    <row r="996" spans="1:5" ht="15.75" customHeight="1" x14ac:dyDescent="0.4">
      <c r="A996" s="24" t="s">
        <v>1730</v>
      </c>
      <c r="B996" s="24">
        <v>12</v>
      </c>
      <c r="C996" s="24">
        <v>6</v>
      </c>
      <c r="D996" s="24">
        <v>0</v>
      </c>
      <c r="E996" s="24" t="s">
        <v>2179</v>
      </c>
    </row>
    <row r="997" spans="1:5" ht="15.75" customHeight="1" x14ac:dyDescent="0.4">
      <c r="A997" s="24" t="s">
        <v>2121</v>
      </c>
      <c r="B997" s="24">
        <v>17</v>
      </c>
      <c r="C997" s="24">
        <v>14</v>
      </c>
      <c r="D997" s="24">
        <v>1</v>
      </c>
      <c r="E997" s="24" t="s">
        <v>2179</v>
      </c>
    </row>
    <row r="998" spans="1:5" ht="15.75" customHeight="1" x14ac:dyDescent="0.4">
      <c r="A998" s="24" t="s">
        <v>1724</v>
      </c>
      <c r="B998" s="24">
        <v>13</v>
      </c>
      <c r="C998" s="24">
        <v>6</v>
      </c>
      <c r="D998" s="24">
        <v>0</v>
      </c>
      <c r="E998" s="24" t="s">
        <v>2179</v>
      </c>
    </row>
    <row r="999" spans="1:5" ht="15.75" customHeight="1" x14ac:dyDescent="0.4">
      <c r="A999" s="24" t="s">
        <v>1168</v>
      </c>
      <c r="B999" s="24">
        <v>17</v>
      </c>
      <c r="C999" s="24">
        <v>17</v>
      </c>
      <c r="D999" s="24">
        <v>7</v>
      </c>
      <c r="E999" s="24" t="s">
        <v>2179</v>
      </c>
    </row>
    <row r="1000" spans="1:5" ht="15.75" customHeight="1" x14ac:dyDescent="0.4">
      <c r="A1000" s="24" t="s">
        <v>1603</v>
      </c>
      <c r="B1000" s="24">
        <v>16</v>
      </c>
      <c r="C1000" s="24">
        <v>15</v>
      </c>
      <c r="D1000" s="24">
        <v>0</v>
      </c>
      <c r="E1000" s="24" t="s">
        <v>2179</v>
      </c>
    </row>
    <row r="1001" spans="1:5" ht="15.75" customHeight="1" x14ac:dyDescent="0.4">
      <c r="A1001" s="24" t="s">
        <v>1130</v>
      </c>
      <c r="B1001" s="24">
        <v>17</v>
      </c>
      <c r="C1001" s="24">
        <v>12</v>
      </c>
      <c r="D1001" s="24">
        <v>5</v>
      </c>
      <c r="E1001" s="24" t="s">
        <v>2179</v>
      </c>
    </row>
    <row r="1002" spans="1:5" ht="15.75" customHeight="1" x14ac:dyDescent="0.4">
      <c r="A1002" s="24" t="s">
        <v>334</v>
      </c>
      <c r="B1002" s="24">
        <v>17</v>
      </c>
      <c r="C1002" s="24">
        <v>12</v>
      </c>
      <c r="D1002" s="24">
        <v>0</v>
      </c>
      <c r="E1002" s="24" t="s">
        <v>2179</v>
      </c>
    </row>
    <row r="1003" spans="1:5" ht="15.75" customHeight="1" x14ac:dyDescent="0.4">
      <c r="A1003" s="24" t="s">
        <v>958</v>
      </c>
      <c r="B1003" s="24">
        <v>17</v>
      </c>
      <c r="C1003" s="24">
        <v>0</v>
      </c>
      <c r="D1003" s="24">
        <v>3</v>
      </c>
      <c r="E1003" s="24" t="s">
        <v>2179</v>
      </c>
    </row>
    <row r="1004" spans="1:5" ht="15.75" customHeight="1" x14ac:dyDescent="0.4">
      <c r="A1004" s="24" t="s">
        <v>1626</v>
      </c>
      <c r="B1004" s="24">
        <v>17</v>
      </c>
      <c r="C1004" s="24">
        <v>11</v>
      </c>
      <c r="D1004" s="24">
        <v>2</v>
      </c>
      <c r="E1004" s="24" t="s">
        <v>2179</v>
      </c>
    </row>
    <row r="1005" spans="1:5" ht="15.75" customHeight="1" x14ac:dyDescent="0.4">
      <c r="A1005" s="24" t="s">
        <v>876</v>
      </c>
      <c r="B1005" s="24">
        <v>17</v>
      </c>
      <c r="C1005" s="24">
        <v>7</v>
      </c>
      <c r="D1005" s="24">
        <v>0</v>
      </c>
      <c r="E1005" s="24" t="s">
        <v>2179</v>
      </c>
    </row>
    <row r="1006" spans="1:5" ht="15.75" customHeight="1" x14ac:dyDescent="0.4">
      <c r="A1006" s="24" t="s">
        <v>1918</v>
      </c>
      <c r="B1006" s="24">
        <v>17</v>
      </c>
      <c r="C1006" s="24">
        <v>12</v>
      </c>
      <c r="D1006" s="24">
        <v>1</v>
      </c>
      <c r="E1006" s="24" t="s">
        <v>2179</v>
      </c>
    </row>
    <row r="1007" spans="1:5" ht="15.75" customHeight="1" x14ac:dyDescent="0.4">
      <c r="A1007" s="24" t="s">
        <v>623</v>
      </c>
      <c r="B1007" s="24">
        <v>17</v>
      </c>
      <c r="C1007" s="24">
        <v>12</v>
      </c>
      <c r="D1007" s="24">
        <v>2</v>
      </c>
      <c r="E1007" s="24" t="s">
        <v>2179</v>
      </c>
    </row>
    <row r="1008" spans="1:5" ht="15.75" customHeight="1" x14ac:dyDescent="0.4">
      <c r="A1008" s="24" t="s">
        <v>1967</v>
      </c>
      <c r="B1008" s="24">
        <v>5</v>
      </c>
      <c r="C1008" s="24">
        <v>5</v>
      </c>
      <c r="D1008" s="24">
        <v>2</v>
      </c>
      <c r="E1008" s="24" t="s">
        <v>2179</v>
      </c>
    </row>
    <row r="1009" spans="1:5" ht="15.75" customHeight="1" x14ac:dyDescent="0.4">
      <c r="A1009" s="24" t="s">
        <v>1825</v>
      </c>
      <c r="B1009" s="24">
        <v>16</v>
      </c>
      <c r="C1009" s="24">
        <v>16</v>
      </c>
      <c r="D1009" s="24">
        <v>7</v>
      </c>
      <c r="E1009" s="24" t="s">
        <v>2179</v>
      </c>
    </row>
    <row r="1010" spans="1:5" ht="15.75" customHeight="1" x14ac:dyDescent="0.4">
      <c r="A1010" s="24" t="s">
        <v>768</v>
      </c>
      <c r="B1010" s="24">
        <v>17</v>
      </c>
      <c r="C1010" s="24">
        <v>8</v>
      </c>
      <c r="D1010" s="24">
        <v>0</v>
      </c>
      <c r="E1010" s="24" t="s">
        <v>2179</v>
      </c>
    </row>
    <row r="1011" spans="1:5" ht="15.75" customHeight="1" x14ac:dyDescent="0.4">
      <c r="A1011" s="24" t="s">
        <v>643</v>
      </c>
      <c r="B1011" s="24">
        <v>17</v>
      </c>
      <c r="C1011" s="24">
        <v>11</v>
      </c>
      <c r="D1011" s="24">
        <v>2</v>
      </c>
      <c r="E1011" s="24" t="s">
        <v>2179</v>
      </c>
    </row>
    <row r="1012" spans="1:5" ht="15.75" customHeight="1" x14ac:dyDescent="0.4">
      <c r="A1012" s="24" t="s">
        <v>285</v>
      </c>
      <c r="B1012" s="24">
        <v>6</v>
      </c>
      <c r="C1012" s="24">
        <v>4</v>
      </c>
      <c r="D1012" s="24">
        <v>0</v>
      </c>
      <c r="E1012" s="24" t="s">
        <v>2180</v>
      </c>
    </row>
    <row r="1013" spans="1:5" ht="15.75" customHeight="1" x14ac:dyDescent="0.4">
      <c r="A1013" s="24" t="s">
        <v>903</v>
      </c>
      <c r="B1013" s="24">
        <v>17</v>
      </c>
      <c r="C1013" s="24">
        <v>7</v>
      </c>
      <c r="D1013" s="24">
        <v>2</v>
      </c>
      <c r="E1013" s="24" t="s">
        <v>2179</v>
      </c>
    </row>
    <row r="1014" spans="1:5" ht="15.75" customHeight="1" x14ac:dyDescent="0.4">
      <c r="A1014" s="24" t="s">
        <v>2140</v>
      </c>
      <c r="B1014" s="24">
        <v>17</v>
      </c>
      <c r="C1014" s="24">
        <v>10</v>
      </c>
      <c r="D1014" s="24">
        <v>3</v>
      </c>
      <c r="E1014" s="24" t="s">
        <v>2179</v>
      </c>
    </row>
    <row r="1015" spans="1:5" ht="15.75" customHeight="1" x14ac:dyDescent="0.4">
      <c r="A1015" s="24" t="s">
        <v>1279</v>
      </c>
      <c r="B1015" s="24">
        <v>15</v>
      </c>
      <c r="C1015" s="24">
        <v>15</v>
      </c>
      <c r="D1015" s="24">
        <v>4</v>
      </c>
      <c r="E1015" s="24" t="s">
        <v>2179</v>
      </c>
    </row>
    <row r="1016" spans="1:5" ht="15.75" customHeight="1" x14ac:dyDescent="0.4">
      <c r="A1016" s="24" t="s">
        <v>1227</v>
      </c>
      <c r="B1016" s="24">
        <v>22</v>
      </c>
      <c r="C1016" s="24">
        <v>22</v>
      </c>
      <c r="D1016" s="24">
        <v>6</v>
      </c>
      <c r="E1016" s="24" t="s">
        <v>2180</v>
      </c>
    </row>
    <row r="1017" spans="1:5" ht="15.75" customHeight="1" x14ac:dyDescent="0.4">
      <c r="A1017" s="24" t="s">
        <v>891</v>
      </c>
      <c r="B1017" s="24">
        <v>17</v>
      </c>
      <c r="C1017" s="24">
        <v>12</v>
      </c>
      <c r="D1017" s="24">
        <v>2</v>
      </c>
      <c r="E1017" s="24" t="s">
        <v>2179</v>
      </c>
    </row>
    <row r="1018" spans="1:5" ht="15.75" customHeight="1" x14ac:dyDescent="0.4">
      <c r="A1018" s="24" t="s">
        <v>2080</v>
      </c>
      <c r="B1018" s="24">
        <v>17</v>
      </c>
      <c r="C1018" s="24">
        <v>12</v>
      </c>
      <c r="D1018" s="24">
        <v>2</v>
      </c>
      <c r="E1018" s="24" t="s">
        <v>2179</v>
      </c>
    </row>
    <row r="1019" spans="1:5" ht="15.75" customHeight="1" x14ac:dyDescent="0.4">
      <c r="A1019" s="24" t="s">
        <v>1037</v>
      </c>
      <c r="B1019" s="24">
        <v>17</v>
      </c>
      <c r="C1019" s="24">
        <v>9</v>
      </c>
      <c r="D1019" s="24">
        <v>2</v>
      </c>
      <c r="E1019" s="24" t="s">
        <v>2179</v>
      </c>
    </row>
    <row r="1020" spans="1:5" ht="15.75" customHeight="1" x14ac:dyDescent="0.4">
      <c r="A1020" s="24" t="s">
        <v>1004</v>
      </c>
      <c r="B1020" s="24">
        <v>14</v>
      </c>
      <c r="C1020" s="24">
        <v>10</v>
      </c>
      <c r="D1020" s="24">
        <v>3</v>
      </c>
      <c r="E1020" s="24" t="s">
        <v>2179</v>
      </c>
    </row>
    <row r="1021" spans="1:5" ht="15.75" customHeight="1" x14ac:dyDescent="0.4">
      <c r="A1021" s="24" t="s">
        <v>1589</v>
      </c>
      <c r="B1021" s="24">
        <v>22</v>
      </c>
      <c r="C1021" s="24">
        <v>21</v>
      </c>
      <c r="D1021" s="24">
        <v>2</v>
      </c>
      <c r="E1021" s="24" t="s">
        <v>2180</v>
      </c>
    </row>
    <row r="1022" spans="1:5" ht="15.75" customHeight="1" x14ac:dyDescent="0.4">
      <c r="A1022" s="24" t="s">
        <v>2026</v>
      </c>
      <c r="B1022" s="24">
        <v>17</v>
      </c>
      <c r="C1022" s="24">
        <v>10</v>
      </c>
      <c r="D1022" s="24">
        <v>0</v>
      </c>
      <c r="E1022" s="24" t="s">
        <v>2179</v>
      </c>
    </row>
    <row r="1023" spans="1:5" ht="15.75" customHeight="1" x14ac:dyDescent="0.4">
      <c r="A1023" s="24" t="s">
        <v>2054</v>
      </c>
      <c r="B1023" s="24">
        <v>21</v>
      </c>
      <c r="C1023" s="24">
        <v>7</v>
      </c>
      <c r="D1023" s="24">
        <v>0</v>
      </c>
      <c r="E1023" s="24" t="s">
        <v>2180</v>
      </c>
    </row>
    <row r="1024" spans="1:5" ht="15.75" customHeight="1" x14ac:dyDescent="0.4">
      <c r="A1024" s="24" t="s">
        <v>2162</v>
      </c>
      <c r="B1024" s="24">
        <v>17</v>
      </c>
      <c r="C1024" s="24">
        <v>13</v>
      </c>
      <c r="D1024" s="24">
        <v>0</v>
      </c>
      <c r="E1024" s="24" t="s">
        <v>2179</v>
      </c>
    </row>
    <row r="1025" spans="1:5" ht="15.75" customHeight="1" x14ac:dyDescent="0.4">
      <c r="A1025" s="24" t="s">
        <v>1664</v>
      </c>
      <c r="B1025" s="24">
        <v>20</v>
      </c>
      <c r="C1025" s="24">
        <v>10</v>
      </c>
      <c r="D1025" s="24">
        <v>3</v>
      </c>
      <c r="E1025" s="24" t="s">
        <v>2180</v>
      </c>
    </row>
    <row r="1026" spans="1:5" ht="15.75" customHeight="1" x14ac:dyDescent="0.4">
      <c r="A1026" s="24" t="s">
        <v>1533</v>
      </c>
      <c r="B1026" s="24">
        <v>17</v>
      </c>
      <c r="C1026" s="24">
        <v>3</v>
      </c>
      <c r="D1026" s="24">
        <v>2</v>
      </c>
      <c r="E1026" s="24" t="s">
        <v>2179</v>
      </c>
    </row>
    <row r="1027" spans="1:5" ht="15.75" customHeight="1" x14ac:dyDescent="0.4">
      <c r="A1027" s="24" t="s">
        <v>893</v>
      </c>
      <c r="B1027" s="24">
        <v>17</v>
      </c>
      <c r="C1027" s="24">
        <v>8</v>
      </c>
      <c r="D1027" s="24">
        <v>4</v>
      </c>
      <c r="E1027" s="24" t="s">
        <v>2179</v>
      </c>
    </row>
    <row r="1028" spans="1:5" ht="15.75" customHeight="1" x14ac:dyDescent="0.4">
      <c r="A1028" s="24" t="s">
        <v>455</v>
      </c>
      <c r="B1028" s="24">
        <v>14</v>
      </c>
      <c r="C1028" s="24">
        <v>10</v>
      </c>
      <c r="D1028" s="24">
        <v>3</v>
      </c>
      <c r="E1028" s="24" t="s">
        <v>2179</v>
      </c>
    </row>
    <row r="1029" spans="1:5" ht="15.75" customHeight="1" x14ac:dyDescent="0.4">
      <c r="A1029" s="24" t="s">
        <v>278</v>
      </c>
      <c r="B1029" s="24">
        <v>14</v>
      </c>
      <c r="C1029" s="24">
        <v>1</v>
      </c>
      <c r="D1029" s="24">
        <v>3</v>
      </c>
      <c r="E1029" s="24" t="s">
        <v>2179</v>
      </c>
    </row>
    <row r="1030" spans="1:5" ht="15.75" customHeight="1" x14ac:dyDescent="0.4">
      <c r="A1030" s="24" t="s">
        <v>1270</v>
      </c>
      <c r="B1030" s="24">
        <v>5</v>
      </c>
      <c r="C1030" s="24">
        <v>5</v>
      </c>
      <c r="D1030" s="24">
        <v>1</v>
      </c>
      <c r="E1030" s="24" t="s">
        <v>2179</v>
      </c>
    </row>
    <row r="1031" spans="1:5" ht="15.75" customHeight="1" x14ac:dyDescent="0.4">
      <c r="A1031" s="24" t="s">
        <v>295</v>
      </c>
      <c r="B1031" s="24">
        <v>5</v>
      </c>
      <c r="C1031" s="24">
        <v>5</v>
      </c>
      <c r="D1031" s="24">
        <v>0</v>
      </c>
      <c r="E1031" s="24" t="s">
        <v>2179</v>
      </c>
    </row>
    <row r="1032" spans="1:5" ht="15.75" customHeight="1" x14ac:dyDescent="0.4">
      <c r="A1032" s="24" t="s">
        <v>1109</v>
      </c>
      <c r="B1032" s="24">
        <v>13</v>
      </c>
      <c r="C1032" s="24">
        <v>11</v>
      </c>
      <c r="D1032" s="24">
        <v>0</v>
      </c>
      <c r="E1032" s="24" t="s">
        <v>2179</v>
      </c>
    </row>
    <row r="1033" spans="1:5" ht="15.75" customHeight="1" x14ac:dyDescent="0.4">
      <c r="A1033" s="24" t="s">
        <v>1837</v>
      </c>
      <c r="B1033" s="24">
        <v>17</v>
      </c>
      <c r="C1033" s="24">
        <v>2</v>
      </c>
      <c r="D1033" s="24">
        <v>1</v>
      </c>
      <c r="E1033" s="24" t="s">
        <v>2179</v>
      </c>
    </row>
    <row r="1034" spans="1:5" ht="15.75" customHeight="1" x14ac:dyDescent="0.4">
      <c r="A1034" s="24" t="s">
        <v>855</v>
      </c>
      <c r="B1034" s="24">
        <v>17</v>
      </c>
      <c r="C1034" s="24">
        <v>12</v>
      </c>
      <c r="D1034" s="24">
        <v>0</v>
      </c>
      <c r="E1034" s="24" t="s">
        <v>2179</v>
      </c>
    </row>
    <row r="1035" spans="1:5" ht="15.75" customHeight="1" x14ac:dyDescent="0.4">
      <c r="A1035" s="24" t="s">
        <v>355</v>
      </c>
      <c r="B1035" s="24">
        <v>17</v>
      </c>
      <c r="C1035" s="24">
        <v>11</v>
      </c>
      <c r="D1035" s="24">
        <v>2</v>
      </c>
      <c r="E1035" s="24" t="s">
        <v>2179</v>
      </c>
    </row>
    <row r="1036" spans="1:5" ht="15.75" customHeight="1" x14ac:dyDescent="0.4">
      <c r="A1036" s="24" t="s">
        <v>732</v>
      </c>
      <c r="B1036" s="24">
        <v>17</v>
      </c>
      <c r="C1036" s="24">
        <v>11</v>
      </c>
      <c r="D1036" s="24">
        <v>0</v>
      </c>
      <c r="E1036" s="24" t="s">
        <v>2179</v>
      </c>
    </row>
    <row r="1037" spans="1:5" ht="15.75" customHeight="1" x14ac:dyDescent="0.4">
      <c r="A1037" s="24" t="s">
        <v>1174</v>
      </c>
      <c r="B1037" s="24">
        <v>14</v>
      </c>
      <c r="C1037" s="24">
        <v>9</v>
      </c>
      <c r="D1037" s="24">
        <v>0</v>
      </c>
      <c r="E1037" s="24" t="s">
        <v>2179</v>
      </c>
    </row>
    <row r="1038" spans="1:5" ht="15.75" customHeight="1" x14ac:dyDescent="0.4">
      <c r="A1038" s="24" t="s">
        <v>2088</v>
      </c>
      <c r="B1038" s="24">
        <v>16</v>
      </c>
      <c r="C1038" s="24">
        <v>4</v>
      </c>
      <c r="D1038" s="24">
        <v>0</v>
      </c>
      <c r="E1038" s="24" t="s">
        <v>2180</v>
      </c>
    </row>
    <row r="1039" spans="1:5" ht="15.75" customHeight="1" x14ac:dyDescent="0.4">
      <c r="A1039" s="24" t="s">
        <v>1806</v>
      </c>
      <c r="B1039" s="24">
        <v>12</v>
      </c>
      <c r="C1039" s="24">
        <v>10</v>
      </c>
      <c r="D1039" s="24">
        <v>3</v>
      </c>
      <c r="E1039" s="24" t="s">
        <v>2180</v>
      </c>
    </row>
    <row r="1040" spans="1:5" ht="15.75" customHeight="1" x14ac:dyDescent="0.4">
      <c r="A1040" s="24" t="s">
        <v>1433</v>
      </c>
      <c r="B1040" s="24">
        <v>16</v>
      </c>
      <c r="C1040" s="24">
        <v>9</v>
      </c>
      <c r="D1040" s="24">
        <v>4</v>
      </c>
      <c r="E1040" s="24" t="s">
        <v>2180</v>
      </c>
    </row>
    <row r="1041" spans="1:5" ht="15.75" customHeight="1" x14ac:dyDescent="0.4">
      <c r="A1041" s="24" t="s">
        <v>671</v>
      </c>
      <c r="B1041" s="24">
        <v>16</v>
      </c>
      <c r="C1041" s="24">
        <v>13</v>
      </c>
      <c r="D1041" s="24">
        <v>3</v>
      </c>
      <c r="E1041" s="24" t="s">
        <v>2180</v>
      </c>
    </row>
    <row r="1042" spans="1:5" ht="15.75" customHeight="1" x14ac:dyDescent="0.4">
      <c r="A1042" s="24" t="s">
        <v>276</v>
      </c>
      <c r="B1042" s="24">
        <v>6</v>
      </c>
      <c r="C1042" s="24">
        <v>3</v>
      </c>
      <c r="D1042" s="24">
        <v>0</v>
      </c>
      <c r="E1042" s="24" t="s">
        <v>2180</v>
      </c>
    </row>
    <row r="1043" spans="1:5" ht="15.75" customHeight="1" x14ac:dyDescent="0.4">
      <c r="A1043" s="24" t="s">
        <v>1933</v>
      </c>
      <c r="B1043" s="24">
        <v>11</v>
      </c>
      <c r="C1043" s="24">
        <v>2</v>
      </c>
      <c r="D1043" s="24">
        <v>2</v>
      </c>
      <c r="E1043" s="24" t="s">
        <v>2180</v>
      </c>
    </row>
    <row r="1044" spans="1:5" ht="15.75" customHeight="1" x14ac:dyDescent="0.4">
      <c r="A1044" s="24" t="s">
        <v>2079</v>
      </c>
      <c r="B1044" s="24">
        <v>18</v>
      </c>
      <c r="C1044" s="24">
        <v>14</v>
      </c>
      <c r="D1044" s="24">
        <v>4</v>
      </c>
      <c r="E1044" s="24" t="s">
        <v>2180</v>
      </c>
    </row>
    <row r="1045" spans="1:5" ht="15.75" customHeight="1" x14ac:dyDescent="0.4">
      <c r="A1045" s="24" t="s">
        <v>1984</v>
      </c>
      <c r="B1045" s="24">
        <v>6</v>
      </c>
      <c r="C1045" s="24">
        <v>4</v>
      </c>
      <c r="D1045" s="24">
        <v>1</v>
      </c>
      <c r="E1045" s="24" t="s">
        <v>2180</v>
      </c>
    </row>
    <row r="1046" spans="1:5" ht="15.75" customHeight="1" x14ac:dyDescent="0.4">
      <c r="A1046" s="24" t="s">
        <v>740</v>
      </c>
      <c r="B1046" s="24">
        <v>16</v>
      </c>
      <c r="C1046" s="24">
        <v>8</v>
      </c>
      <c r="D1046" s="24">
        <v>1</v>
      </c>
      <c r="E1046" s="24" t="s">
        <v>2180</v>
      </c>
    </row>
    <row r="1047" spans="1:5" ht="15.75" customHeight="1" x14ac:dyDescent="0.4">
      <c r="A1047" s="24" t="s">
        <v>2032</v>
      </c>
      <c r="B1047" s="24">
        <v>5</v>
      </c>
      <c r="C1047" s="24">
        <v>4</v>
      </c>
      <c r="D1047" s="24">
        <v>2</v>
      </c>
      <c r="E1047" s="24" t="s">
        <v>2180</v>
      </c>
    </row>
    <row r="1048" spans="1:5" ht="15.75" customHeight="1" x14ac:dyDescent="0.4">
      <c r="A1048" s="24" t="s">
        <v>1028</v>
      </c>
      <c r="B1048" s="24">
        <v>16</v>
      </c>
      <c r="C1048" s="24">
        <v>13</v>
      </c>
      <c r="D1048" s="24">
        <v>1</v>
      </c>
      <c r="E1048" s="24" t="s">
        <v>2180</v>
      </c>
    </row>
    <row r="1049" spans="1:5" ht="15.75" customHeight="1" x14ac:dyDescent="0.4">
      <c r="A1049" s="24" t="s">
        <v>1112</v>
      </c>
      <c r="B1049" s="24">
        <v>18</v>
      </c>
      <c r="C1049" s="24">
        <v>1</v>
      </c>
      <c r="D1049" s="24">
        <v>2</v>
      </c>
      <c r="E1049" s="24" t="s">
        <v>2180</v>
      </c>
    </row>
    <row r="1050" spans="1:5" ht="15.75" customHeight="1" x14ac:dyDescent="0.4">
      <c r="A1050" s="24" t="s">
        <v>1376</v>
      </c>
      <c r="B1050" s="24">
        <v>5</v>
      </c>
      <c r="C1050" s="24">
        <v>4</v>
      </c>
      <c r="D1050" s="24">
        <v>2</v>
      </c>
      <c r="E1050" s="24" t="s">
        <v>2180</v>
      </c>
    </row>
    <row r="1051" spans="1:5" ht="15.75" customHeight="1" x14ac:dyDescent="0.4">
      <c r="A1051" s="24" t="s">
        <v>1930</v>
      </c>
      <c r="B1051" s="24">
        <v>18</v>
      </c>
      <c r="C1051" s="24">
        <v>4</v>
      </c>
      <c r="D1051" s="24">
        <v>0</v>
      </c>
      <c r="E1051" s="24" t="s">
        <v>2180</v>
      </c>
    </row>
    <row r="1052" spans="1:5" ht="15.75" customHeight="1" x14ac:dyDescent="0.4">
      <c r="A1052" s="24" t="s">
        <v>287</v>
      </c>
      <c r="B1052" s="24">
        <v>18</v>
      </c>
      <c r="C1052" s="24">
        <v>16</v>
      </c>
      <c r="D1052" s="24">
        <v>8</v>
      </c>
      <c r="E1052" s="24" t="s">
        <v>2180</v>
      </c>
    </row>
    <row r="1053" spans="1:5" ht="15.75" customHeight="1" x14ac:dyDescent="0.4">
      <c r="A1053" s="24" t="s">
        <v>2005</v>
      </c>
      <c r="B1053" s="24">
        <v>12</v>
      </c>
      <c r="C1053" s="24">
        <v>11</v>
      </c>
      <c r="D1053" s="24">
        <v>2</v>
      </c>
      <c r="E1053" s="24" t="s">
        <v>2180</v>
      </c>
    </row>
    <row r="1054" spans="1:5" ht="15.75" customHeight="1" x14ac:dyDescent="0.4">
      <c r="A1054" s="24" t="s">
        <v>803</v>
      </c>
      <c r="B1054" s="24">
        <v>18</v>
      </c>
      <c r="C1054" s="24">
        <v>12</v>
      </c>
      <c r="D1054" s="24">
        <v>1</v>
      </c>
      <c r="E1054" s="24" t="s">
        <v>2180</v>
      </c>
    </row>
    <row r="1055" spans="1:5" ht="15.75" customHeight="1" x14ac:dyDescent="0.4">
      <c r="A1055" s="24" t="s">
        <v>1102</v>
      </c>
      <c r="B1055" s="24">
        <v>18</v>
      </c>
      <c r="C1055" s="24">
        <v>17</v>
      </c>
      <c r="D1055" s="24">
        <v>3</v>
      </c>
      <c r="E1055" s="24" t="s">
        <v>2180</v>
      </c>
    </row>
    <row r="1056" spans="1:5" ht="15.75" customHeight="1" x14ac:dyDescent="0.4">
      <c r="A1056" s="24" t="s">
        <v>1575</v>
      </c>
      <c r="B1056" s="24">
        <v>14</v>
      </c>
      <c r="C1056" s="24">
        <v>5</v>
      </c>
      <c r="D1056" s="24">
        <v>2</v>
      </c>
      <c r="E1056" s="24" t="s">
        <v>2180</v>
      </c>
    </row>
    <row r="1057" spans="1:5" ht="15.75" customHeight="1" x14ac:dyDescent="0.4">
      <c r="A1057" s="24" t="s">
        <v>1084</v>
      </c>
      <c r="B1057" s="24">
        <v>13</v>
      </c>
      <c r="C1057" s="24">
        <v>9</v>
      </c>
      <c r="D1057" s="24">
        <v>7</v>
      </c>
      <c r="E1057" s="24" t="s">
        <v>2180</v>
      </c>
    </row>
    <row r="1058" spans="1:5" ht="15.75" customHeight="1" x14ac:dyDescent="0.4">
      <c r="A1058" s="24" t="s">
        <v>2008</v>
      </c>
      <c r="B1058" s="24">
        <v>13</v>
      </c>
      <c r="C1058" s="24">
        <v>8</v>
      </c>
      <c r="D1058" s="24">
        <v>1</v>
      </c>
      <c r="E1058" s="24" t="s">
        <v>2180</v>
      </c>
    </row>
    <row r="1059" spans="1:5" ht="15.75" customHeight="1" x14ac:dyDescent="0.4">
      <c r="A1059" s="24" t="s">
        <v>1505</v>
      </c>
      <c r="B1059" s="24">
        <v>14</v>
      </c>
      <c r="C1059" s="24">
        <v>6</v>
      </c>
      <c r="D1059" s="24">
        <v>7</v>
      </c>
      <c r="E1059" s="24" t="s">
        <v>2180</v>
      </c>
    </row>
    <row r="1060" spans="1:5" ht="15.75" customHeight="1" x14ac:dyDescent="0.4">
      <c r="A1060" s="24" t="s">
        <v>833</v>
      </c>
      <c r="B1060" s="24">
        <v>13</v>
      </c>
      <c r="C1060" s="24">
        <v>7</v>
      </c>
      <c r="D1060" s="24">
        <v>1</v>
      </c>
      <c r="E1060" s="24" t="s">
        <v>2180</v>
      </c>
    </row>
    <row r="1061" spans="1:5" ht="15.75" customHeight="1" x14ac:dyDescent="0.4">
      <c r="A1061" s="24" t="s">
        <v>667</v>
      </c>
      <c r="B1061" s="24">
        <v>16</v>
      </c>
      <c r="C1061" s="24">
        <v>16</v>
      </c>
      <c r="D1061" s="24">
        <v>5</v>
      </c>
      <c r="E1061" s="24" t="s">
        <v>2180</v>
      </c>
    </row>
    <row r="1062" spans="1:5" ht="15.75" customHeight="1" x14ac:dyDescent="0.4">
      <c r="A1062" s="24" t="s">
        <v>1612</v>
      </c>
      <c r="B1062" s="24">
        <v>16</v>
      </c>
      <c r="C1062" s="24">
        <v>11</v>
      </c>
      <c r="D1062" s="24">
        <v>0</v>
      </c>
      <c r="E1062" s="24" t="s">
        <v>2180</v>
      </c>
    </row>
    <row r="1063" spans="1:5" ht="15.75" customHeight="1" x14ac:dyDescent="0.4">
      <c r="A1063" s="24" t="s">
        <v>1810</v>
      </c>
      <c r="B1063" s="24">
        <v>12</v>
      </c>
      <c r="C1063" s="24">
        <v>10</v>
      </c>
      <c r="D1063" s="24">
        <v>3</v>
      </c>
      <c r="E1063" s="24" t="s">
        <v>2180</v>
      </c>
    </row>
    <row r="1064" spans="1:5" ht="15.75" customHeight="1" x14ac:dyDescent="0.4">
      <c r="A1064" s="24" t="s">
        <v>1534</v>
      </c>
      <c r="B1064" s="24">
        <v>16</v>
      </c>
      <c r="C1064" s="24">
        <v>15</v>
      </c>
      <c r="D1064" s="24">
        <v>0</v>
      </c>
      <c r="E1064" s="24" t="s">
        <v>2180</v>
      </c>
    </row>
    <row r="1065" spans="1:5" ht="15.75" customHeight="1" x14ac:dyDescent="0.4">
      <c r="A1065" s="24" t="s">
        <v>708</v>
      </c>
      <c r="B1065" s="24">
        <v>16</v>
      </c>
      <c r="C1065" s="24">
        <v>16</v>
      </c>
      <c r="D1065" s="24">
        <v>3</v>
      </c>
      <c r="E1065" s="24" t="s">
        <v>2180</v>
      </c>
    </row>
    <row r="1066" spans="1:5" ht="15.75" customHeight="1" x14ac:dyDescent="0.4">
      <c r="A1066" s="24" t="s">
        <v>1703</v>
      </c>
      <c r="B1066" s="24">
        <v>10</v>
      </c>
      <c r="C1066" s="24">
        <v>8</v>
      </c>
      <c r="D1066" s="24">
        <v>0</v>
      </c>
      <c r="E1066" s="24" t="s">
        <v>2180</v>
      </c>
    </row>
    <row r="1067" spans="1:5" ht="15.75" customHeight="1" x14ac:dyDescent="0.4">
      <c r="A1067" s="24" t="s">
        <v>2118</v>
      </c>
      <c r="B1067" s="24">
        <v>6</v>
      </c>
      <c r="C1067" s="24">
        <v>5</v>
      </c>
      <c r="D1067" s="24">
        <v>0</v>
      </c>
      <c r="E1067" s="24" t="s">
        <v>2180</v>
      </c>
    </row>
    <row r="1068" spans="1:5" ht="15.75" customHeight="1" x14ac:dyDescent="0.4">
      <c r="A1068" s="24" t="s">
        <v>1631</v>
      </c>
      <c r="B1068" s="24">
        <v>6</v>
      </c>
      <c r="C1068" s="24">
        <v>2</v>
      </c>
      <c r="D1068" s="24">
        <v>0</v>
      </c>
      <c r="E1068" s="24" t="s">
        <v>2180</v>
      </c>
    </row>
    <row r="1069" spans="1:5" ht="15.75" customHeight="1" x14ac:dyDescent="0.4">
      <c r="A1069" s="24" t="s">
        <v>1300</v>
      </c>
      <c r="B1069" s="24">
        <v>18</v>
      </c>
      <c r="C1069" s="24">
        <v>13</v>
      </c>
      <c r="D1069" s="24">
        <v>3</v>
      </c>
      <c r="E1069" s="24" t="s">
        <v>2180</v>
      </c>
    </row>
    <row r="1070" spans="1:5" ht="15.75" customHeight="1" x14ac:dyDescent="0.4">
      <c r="A1070" s="24" t="s">
        <v>297</v>
      </c>
      <c r="B1070" s="24">
        <v>18</v>
      </c>
      <c r="C1070" s="24">
        <v>13</v>
      </c>
      <c r="D1070" s="24">
        <v>1</v>
      </c>
      <c r="E1070" s="24" t="s">
        <v>2180</v>
      </c>
    </row>
    <row r="1071" spans="1:5" ht="15.75" customHeight="1" x14ac:dyDescent="0.4">
      <c r="A1071" s="24" t="s">
        <v>1485</v>
      </c>
      <c r="B1071" s="24">
        <v>10</v>
      </c>
      <c r="C1071" s="24">
        <v>2</v>
      </c>
      <c r="D1071" s="24">
        <v>5</v>
      </c>
      <c r="E1071" s="24" t="s">
        <v>2180</v>
      </c>
    </row>
    <row r="1072" spans="1:5" ht="15.75" customHeight="1" x14ac:dyDescent="0.4">
      <c r="A1072" s="24" t="s">
        <v>796</v>
      </c>
      <c r="B1072" s="24">
        <v>6</v>
      </c>
      <c r="C1072" s="24">
        <v>4</v>
      </c>
      <c r="D1072" s="24">
        <v>3</v>
      </c>
      <c r="E1072" s="24" t="s">
        <v>2180</v>
      </c>
    </row>
    <row r="1073" spans="1:5" ht="15.75" customHeight="1" x14ac:dyDescent="0.4">
      <c r="A1073" s="24" t="s">
        <v>987</v>
      </c>
      <c r="B1073" s="24">
        <v>18</v>
      </c>
      <c r="C1073" s="24">
        <v>18</v>
      </c>
      <c r="D1073" s="24">
        <v>5</v>
      </c>
      <c r="E1073" s="24" t="s">
        <v>2180</v>
      </c>
    </row>
    <row r="1074" spans="1:5" ht="15.75" customHeight="1" x14ac:dyDescent="0.4">
      <c r="A1074" s="24" t="s">
        <v>1436</v>
      </c>
      <c r="B1074" s="24">
        <v>6</v>
      </c>
      <c r="C1074" s="24">
        <v>6</v>
      </c>
      <c r="D1074" s="24">
        <v>1</v>
      </c>
      <c r="E1074" s="24" t="s">
        <v>2180</v>
      </c>
    </row>
    <row r="1075" spans="1:5" ht="15.75" customHeight="1" x14ac:dyDescent="0.4">
      <c r="A1075" s="24" t="s">
        <v>513</v>
      </c>
      <c r="B1075" s="24">
        <v>5</v>
      </c>
      <c r="C1075" s="24">
        <v>5</v>
      </c>
      <c r="D1075" s="24">
        <v>3</v>
      </c>
      <c r="E1075" s="24" t="s">
        <v>2180</v>
      </c>
    </row>
    <row r="1076" spans="1:5" ht="15.75" customHeight="1" x14ac:dyDescent="0.4">
      <c r="A1076" s="24" t="s">
        <v>1531</v>
      </c>
      <c r="B1076" s="24">
        <v>13</v>
      </c>
      <c r="C1076" s="24">
        <v>9</v>
      </c>
      <c r="D1076" s="24">
        <v>6</v>
      </c>
      <c r="E1076" s="24" t="s">
        <v>2180</v>
      </c>
    </row>
    <row r="1077" spans="1:5" ht="15.75" customHeight="1" x14ac:dyDescent="0.4">
      <c r="A1077" s="24" t="s">
        <v>1248</v>
      </c>
      <c r="B1077" s="24">
        <v>18</v>
      </c>
      <c r="C1077" s="24">
        <v>10</v>
      </c>
      <c r="D1077" s="24">
        <v>1</v>
      </c>
      <c r="E1077" s="24" t="s">
        <v>2180</v>
      </c>
    </row>
    <row r="1078" spans="1:5" ht="15.75" customHeight="1" x14ac:dyDescent="0.4">
      <c r="A1078" s="24" t="s">
        <v>748</v>
      </c>
      <c r="B1078" s="24">
        <v>13</v>
      </c>
      <c r="C1078" s="24">
        <v>10</v>
      </c>
      <c r="D1078" s="24">
        <v>4</v>
      </c>
      <c r="E1078" s="24" t="s">
        <v>2180</v>
      </c>
    </row>
    <row r="1079" spans="1:5" ht="15.75" customHeight="1" x14ac:dyDescent="0.4">
      <c r="A1079" s="24" t="s">
        <v>1315</v>
      </c>
      <c r="B1079" s="24">
        <v>6</v>
      </c>
      <c r="C1079" s="24">
        <v>3</v>
      </c>
      <c r="D1079" s="24">
        <v>1</v>
      </c>
      <c r="E1079" s="24" t="s">
        <v>2180</v>
      </c>
    </row>
    <row r="1080" spans="1:5" ht="15.75" customHeight="1" x14ac:dyDescent="0.4">
      <c r="A1080" s="24" t="s">
        <v>567</v>
      </c>
      <c r="B1080" s="24">
        <v>13</v>
      </c>
      <c r="C1080" s="24">
        <v>11</v>
      </c>
      <c r="D1080" s="24">
        <v>3</v>
      </c>
      <c r="E1080" s="24" t="s">
        <v>2180</v>
      </c>
    </row>
    <row r="1081" spans="1:5" ht="15.75" customHeight="1" x14ac:dyDescent="0.4">
      <c r="A1081" s="24" t="s">
        <v>1416</v>
      </c>
      <c r="B1081" s="24">
        <v>16</v>
      </c>
      <c r="C1081" s="24">
        <v>10</v>
      </c>
      <c r="D1081" s="24">
        <v>1</v>
      </c>
      <c r="E1081" s="24" t="s">
        <v>2180</v>
      </c>
    </row>
    <row r="1082" spans="1:5" ht="15.75" customHeight="1" x14ac:dyDescent="0.4">
      <c r="A1082" s="24" t="s">
        <v>1495</v>
      </c>
      <c r="B1082" s="24">
        <v>22</v>
      </c>
      <c r="C1082" s="24">
        <v>5</v>
      </c>
      <c r="D1082" s="24">
        <v>2</v>
      </c>
      <c r="E1082" s="24" t="s">
        <v>2180</v>
      </c>
    </row>
    <row r="1083" spans="1:5" ht="15.75" customHeight="1" x14ac:dyDescent="0.4">
      <c r="A1083" s="24" t="s">
        <v>327</v>
      </c>
      <c r="B1083" s="24">
        <v>7</v>
      </c>
      <c r="C1083" s="24">
        <v>6</v>
      </c>
      <c r="D1083" s="24">
        <v>0</v>
      </c>
      <c r="E1083" s="24" t="s">
        <v>2180</v>
      </c>
    </row>
    <row r="1084" spans="1:5" ht="15.75" customHeight="1" x14ac:dyDescent="0.4">
      <c r="A1084" s="24" t="s">
        <v>1096</v>
      </c>
      <c r="B1084" s="24">
        <v>19</v>
      </c>
      <c r="C1084" s="24">
        <v>0</v>
      </c>
      <c r="D1084" s="24">
        <v>8</v>
      </c>
      <c r="E1084" s="24" t="s">
        <v>2180</v>
      </c>
    </row>
    <row r="1085" spans="1:5" ht="15.75" customHeight="1" x14ac:dyDescent="0.4">
      <c r="A1085" s="24" t="s">
        <v>2171</v>
      </c>
      <c r="B1085" s="24">
        <v>17</v>
      </c>
      <c r="C1085" s="24">
        <v>13</v>
      </c>
      <c r="D1085" s="24">
        <v>6</v>
      </c>
      <c r="E1085" s="24" t="s">
        <v>2180</v>
      </c>
    </row>
    <row r="1086" spans="1:5" ht="15.75" customHeight="1" x14ac:dyDescent="0.4">
      <c r="A1086" s="24" t="s">
        <v>1005</v>
      </c>
      <c r="B1086" s="24">
        <v>22</v>
      </c>
      <c r="C1086" s="24">
        <v>17</v>
      </c>
      <c r="D1086" s="24">
        <v>0</v>
      </c>
      <c r="E1086" s="24" t="s">
        <v>2180</v>
      </c>
    </row>
    <row r="1087" spans="1:5" ht="15.75" customHeight="1" x14ac:dyDescent="0.4">
      <c r="A1087" s="24" t="s">
        <v>1905</v>
      </c>
      <c r="B1087" s="24">
        <v>20</v>
      </c>
      <c r="C1087" s="24">
        <v>17</v>
      </c>
      <c r="D1087" s="24">
        <v>5</v>
      </c>
      <c r="E1087" s="24" t="s">
        <v>2180</v>
      </c>
    </row>
    <row r="1088" spans="1:5" ht="15.75" customHeight="1" x14ac:dyDescent="0.4">
      <c r="A1088" s="24" t="s">
        <v>1500</v>
      </c>
      <c r="B1088" s="24">
        <v>22</v>
      </c>
      <c r="C1088" s="24">
        <v>17</v>
      </c>
      <c r="D1088" s="24">
        <v>0</v>
      </c>
      <c r="E1088" s="24" t="s">
        <v>2180</v>
      </c>
    </row>
    <row r="1089" spans="1:5" ht="15.75" customHeight="1" x14ac:dyDescent="0.4">
      <c r="A1089" s="24" t="s">
        <v>1525</v>
      </c>
      <c r="B1089" s="24">
        <v>7</v>
      </c>
      <c r="C1089" s="24">
        <v>0</v>
      </c>
      <c r="D1089" s="24">
        <v>0</v>
      </c>
      <c r="E1089" s="24" t="s">
        <v>2180</v>
      </c>
    </row>
    <row r="1090" spans="1:5" ht="15.75" customHeight="1" x14ac:dyDescent="0.4">
      <c r="A1090" s="24" t="s">
        <v>1417</v>
      </c>
      <c r="B1090" s="24">
        <v>10</v>
      </c>
      <c r="C1090" s="24">
        <v>9</v>
      </c>
      <c r="D1090" s="24">
        <v>1</v>
      </c>
      <c r="E1090" s="24" t="s">
        <v>2180</v>
      </c>
    </row>
    <row r="1091" spans="1:5" ht="15.75" customHeight="1" x14ac:dyDescent="0.4">
      <c r="A1091" s="24" t="s">
        <v>2089</v>
      </c>
      <c r="B1091" s="24">
        <v>22</v>
      </c>
      <c r="C1091" s="24">
        <v>16</v>
      </c>
      <c r="D1091" s="24">
        <v>0</v>
      </c>
      <c r="E1091" s="24" t="s">
        <v>2180</v>
      </c>
    </row>
    <row r="1092" spans="1:5" ht="15.75" customHeight="1" x14ac:dyDescent="0.4">
      <c r="A1092" s="24" t="s">
        <v>835</v>
      </c>
      <c r="B1092" s="24">
        <v>7</v>
      </c>
      <c r="C1092" s="24">
        <v>2</v>
      </c>
      <c r="D1092" s="24">
        <v>0</v>
      </c>
      <c r="E1092" s="24" t="s">
        <v>2180</v>
      </c>
    </row>
    <row r="1093" spans="1:5" ht="15.75" customHeight="1" x14ac:dyDescent="0.4">
      <c r="A1093" s="24" t="s">
        <v>828</v>
      </c>
      <c r="B1093" s="24">
        <v>7</v>
      </c>
      <c r="C1093" s="24">
        <v>7</v>
      </c>
      <c r="D1093" s="24">
        <v>4</v>
      </c>
      <c r="E1093" s="24" t="s">
        <v>2180</v>
      </c>
    </row>
    <row r="1094" spans="1:5" ht="15.75" customHeight="1" x14ac:dyDescent="0.4">
      <c r="A1094" s="24" t="s">
        <v>1893</v>
      </c>
      <c r="B1094" s="24">
        <v>20</v>
      </c>
      <c r="C1094" s="24">
        <v>18</v>
      </c>
      <c r="D1094" s="24">
        <v>1</v>
      </c>
      <c r="E1094" s="24" t="s">
        <v>2180</v>
      </c>
    </row>
    <row r="1095" spans="1:5" ht="15.75" customHeight="1" x14ac:dyDescent="0.4">
      <c r="A1095" s="24" t="s">
        <v>853</v>
      </c>
      <c r="B1095" s="24">
        <v>22</v>
      </c>
      <c r="C1095" s="24">
        <v>20</v>
      </c>
      <c r="D1095" s="24">
        <v>6</v>
      </c>
      <c r="E1095" s="24" t="s">
        <v>2180</v>
      </c>
    </row>
    <row r="1096" spans="1:5" ht="15.75" customHeight="1" x14ac:dyDescent="0.4">
      <c r="A1096" s="24" t="s">
        <v>1312</v>
      </c>
      <c r="B1096" s="24">
        <v>7</v>
      </c>
      <c r="C1096" s="24">
        <v>7</v>
      </c>
      <c r="D1096" s="24">
        <v>5</v>
      </c>
      <c r="E1096" s="24" t="s">
        <v>2180</v>
      </c>
    </row>
    <row r="1097" spans="1:5" ht="15.75" customHeight="1" x14ac:dyDescent="0.4">
      <c r="A1097" s="24" t="s">
        <v>1442</v>
      </c>
      <c r="B1097" s="24">
        <v>22</v>
      </c>
      <c r="C1097" s="24">
        <v>15</v>
      </c>
      <c r="D1097" s="24">
        <v>4</v>
      </c>
      <c r="E1097" s="24" t="s">
        <v>2180</v>
      </c>
    </row>
    <row r="1098" spans="1:5" ht="15.75" customHeight="1" x14ac:dyDescent="0.4">
      <c r="A1098" s="24" t="s">
        <v>331</v>
      </c>
      <c r="B1098" s="24">
        <v>22</v>
      </c>
      <c r="C1098" s="24">
        <v>8</v>
      </c>
      <c r="D1098" s="24">
        <v>0</v>
      </c>
      <c r="E1098" s="24" t="s">
        <v>2180</v>
      </c>
    </row>
    <row r="1099" spans="1:5" ht="15.75" customHeight="1" x14ac:dyDescent="0.4">
      <c r="A1099" s="24" t="s">
        <v>345</v>
      </c>
      <c r="B1099" s="24">
        <v>22</v>
      </c>
      <c r="C1099" s="24">
        <v>8</v>
      </c>
      <c r="D1099" s="24">
        <v>0</v>
      </c>
      <c r="E1099" s="24" t="s">
        <v>2180</v>
      </c>
    </row>
    <row r="1100" spans="1:5" ht="15.75" customHeight="1" x14ac:dyDescent="0.4">
      <c r="A1100" s="24" t="s">
        <v>1235</v>
      </c>
      <c r="B1100" s="24">
        <v>21</v>
      </c>
      <c r="C1100" s="24">
        <v>19</v>
      </c>
      <c r="D1100" s="24">
        <v>0</v>
      </c>
      <c r="E1100" s="24" t="s">
        <v>2180</v>
      </c>
    </row>
    <row r="1101" spans="1:5" ht="15.75" customHeight="1" x14ac:dyDescent="0.4">
      <c r="A1101" s="24" t="s">
        <v>1916</v>
      </c>
      <c r="B1101" s="24">
        <v>22</v>
      </c>
      <c r="C1101" s="24">
        <v>20</v>
      </c>
      <c r="D1101" s="24">
        <v>3</v>
      </c>
      <c r="E1101" s="24" t="s">
        <v>2180</v>
      </c>
    </row>
    <row r="1102" spans="1:5" ht="15.75" customHeight="1" x14ac:dyDescent="0.4">
      <c r="A1102" s="24" t="s">
        <v>870</v>
      </c>
      <c r="B1102" s="24">
        <v>22</v>
      </c>
      <c r="C1102" s="24">
        <v>12</v>
      </c>
      <c r="D1102" s="24">
        <v>3</v>
      </c>
      <c r="E1102" s="24" t="s">
        <v>2180</v>
      </c>
    </row>
    <row r="1103" spans="1:5" ht="15.75" customHeight="1" x14ac:dyDescent="0.4">
      <c r="A1103" s="24" t="s">
        <v>1266</v>
      </c>
      <c r="B1103" s="24">
        <v>22</v>
      </c>
      <c r="C1103" s="24">
        <v>16</v>
      </c>
      <c r="D1103" s="24">
        <v>7</v>
      </c>
      <c r="E1103" s="24" t="s">
        <v>2180</v>
      </c>
    </row>
    <row r="1104" spans="1:5" ht="15.75" customHeight="1" x14ac:dyDescent="0.4">
      <c r="A1104" s="24" t="s">
        <v>930</v>
      </c>
      <c r="B1104" s="24">
        <v>22</v>
      </c>
      <c r="C1104" s="24">
        <v>18</v>
      </c>
      <c r="D1104" s="24">
        <v>1</v>
      </c>
      <c r="E1104" s="24" t="s">
        <v>2180</v>
      </c>
    </row>
    <row r="1105" spans="1:5" ht="15.75" customHeight="1" x14ac:dyDescent="0.4">
      <c r="A1105" s="24" t="s">
        <v>1776</v>
      </c>
      <c r="B1105" s="24">
        <v>7</v>
      </c>
      <c r="C1105" s="24">
        <v>6</v>
      </c>
      <c r="D1105" s="24">
        <v>3</v>
      </c>
      <c r="E1105" s="24" t="s">
        <v>2180</v>
      </c>
    </row>
    <row r="1106" spans="1:5" ht="15.75" customHeight="1" x14ac:dyDescent="0.4">
      <c r="A1106" s="24" t="s">
        <v>1949</v>
      </c>
      <c r="B1106" s="24">
        <v>17</v>
      </c>
      <c r="C1106" s="24">
        <v>10</v>
      </c>
      <c r="D1106" s="24">
        <v>5</v>
      </c>
      <c r="E1106" s="24" t="s">
        <v>2180</v>
      </c>
    </row>
    <row r="1107" spans="1:5" ht="15.75" customHeight="1" x14ac:dyDescent="0.4">
      <c r="A1107" s="24" t="s">
        <v>1870</v>
      </c>
      <c r="B1107" s="24">
        <v>6</v>
      </c>
      <c r="C1107" s="24">
        <v>6</v>
      </c>
      <c r="D1107" s="24">
        <v>4</v>
      </c>
      <c r="E1107" s="24" t="s">
        <v>2180</v>
      </c>
    </row>
    <row r="1108" spans="1:5" ht="15.75" customHeight="1" x14ac:dyDescent="0.4">
      <c r="A1108" s="24" t="s">
        <v>1901</v>
      </c>
      <c r="B1108" s="24">
        <v>17</v>
      </c>
      <c r="C1108" s="24">
        <v>17</v>
      </c>
      <c r="D1108" s="24">
        <v>7</v>
      </c>
      <c r="E1108" s="24" t="s">
        <v>2180</v>
      </c>
    </row>
    <row r="1109" spans="1:5" ht="15.75" customHeight="1" x14ac:dyDescent="0.4">
      <c r="A1109" s="24" t="s">
        <v>1178</v>
      </c>
      <c r="B1109" s="24">
        <v>23</v>
      </c>
      <c r="C1109" s="24">
        <v>18</v>
      </c>
      <c r="D1109" s="24">
        <v>4</v>
      </c>
      <c r="E1109" s="24" t="s">
        <v>2181</v>
      </c>
    </row>
    <row r="1110" spans="1:5" ht="15.75" customHeight="1" x14ac:dyDescent="0.4">
      <c r="A1110" s="24" t="s">
        <v>1982</v>
      </c>
      <c r="B1110" s="24">
        <v>7</v>
      </c>
      <c r="C1110" s="24">
        <v>7</v>
      </c>
      <c r="D1110" s="24">
        <v>2</v>
      </c>
      <c r="E1110" s="24" t="s">
        <v>2180</v>
      </c>
    </row>
    <row r="1111" spans="1:5" ht="15.75" customHeight="1" x14ac:dyDescent="0.4">
      <c r="A1111" s="24" t="s">
        <v>1721</v>
      </c>
      <c r="B1111" s="24">
        <v>22</v>
      </c>
      <c r="C1111" s="24">
        <v>16</v>
      </c>
      <c r="D1111" s="24">
        <v>5</v>
      </c>
      <c r="E1111" s="24" t="s">
        <v>2180</v>
      </c>
    </row>
    <row r="1112" spans="1:5" ht="15.75" customHeight="1" x14ac:dyDescent="0.4">
      <c r="A1112" s="24" t="s">
        <v>1983</v>
      </c>
      <c r="B1112" s="24">
        <v>22</v>
      </c>
      <c r="C1112" s="24">
        <v>7</v>
      </c>
      <c r="D1112" s="24">
        <v>3</v>
      </c>
      <c r="E1112" s="24" t="s">
        <v>2180</v>
      </c>
    </row>
    <row r="1113" spans="1:5" ht="15.75" customHeight="1" x14ac:dyDescent="0.4">
      <c r="A1113" s="24" t="s">
        <v>1652</v>
      </c>
      <c r="B1113" s="24">
        <v>22</v>
      </c>
      <c r="C1113" s="24">
        <v>19</v>
      </c>
      <c r="D1113" s="24">
        <v>5</v>
      </c>
      <c r="E1113" s="24" t="s">
        <v>2180</v>
      </c>
    </row>
    <row r="1114" spans="1:5" ht="15.75" customHeight="1" x14ac:dyDescent="0.4">
      <c r="A1114" s="24" t="s">
        <v>1289</v>
      </c>
      <c r="B1114" s="24">
        <v>22</v>
      </c>
      <c r="C1114" s="24">
        <v>21</v>
      </c>
      <c r="D1114" s="24">
        <v>2</v>
      </c>
      <c r="E1114" s="24" t="s">
        <v>2180</v>
      </c>
    </row>
    <row r="1115" spans="1:5" ht="15.75" customHeight="1" x14ac:dyDescent="0.4">
      <c r="A1115" s="24" t="s">
        <v>1596</v>
      </c>
      <c r="B1115" s="24">
        <v>22</v>
      </c>
      <c r="C1115" s="24">
        <v>1</v>
      </c>
      <c r="D1115" s="24">
        <v>0</v>
      </c>
      <c r="E1115" s="24" t="s">
        <v>2180</v>
      </c>
    </row>
    <row r="1116" spans="1:5" ht="15.75" customHeight="1" x14ac:dyDescent="0.4">
      <c r="A1116" s="24" t="s">
        <v>1797</v>
      </c>
      <c r="B1116" s="24">
        <v>6</v>
      </c>
      <c r="C1116" s="24">
        <v>1</v>
      </c>
      <c r="D1116" s="24">
        <v>0</v>
      </c>
      <c r="E1116" s="24" t="s">
        <v>2180</v>
      </c>
    </row>
    <row r="1117" spans="1:5" ht="15.75" customHeight="1" x14ac:dyDescent="0.4">
      <c r="A1117" s="24" t="s">
        <v>1845</v>
      </c>
      <c r="B1117" s="24">
        <v>22</v>
      </c>
      <c r="C1117" s="24">
        <v>4</v>
      </c>
      <c r="D1117" s="24">
        <v>0</v>
      </c>
      <c r="E1117" s="24" t="s">
        <v>2180</v>
      </c>
    </row>
    <row r="1118" spans="1:5" ht="15.75" customHeight="1" x14ac:dyDescent="0.4">
      <c r="A1118" s="24" t="s">
        <v>1742</v>
      </c>
      <c r="B1118" s="24">
        <v>22</v>
      </c>
      <c r="C1118" s="24">
        <v>16</v>
      </c>
      <c r="D1118" s="24">
        <v>4</v>
      </c>
      <c r="E1118" s="24" t="s">
        <v>2180</v>
      </c>
    </row>
    <row r="1119" spans="1:5" ht="15.75" customHeight="1" x14ac:dyDescent="0.4">
      <c r="A1119" s="24" t="s">
        <v>2091</v>
      </c>
      <c r="B1119" s="24">
        <v>22</v>
      </c>
      <c r="C1119" s="24">
        <v>16</v>
      </c>
      <c r="D1119" s="24">
        <v>1</v>
      </c>
      <c r="E1119" s="24" t="s">
        <v>2180</v>
      </c>
    </row>
    <row r="1120" spans="1:5" ht="15.75" customHeight="1" x14ac:dyDescent="0.4">
      <c r="A1120" s="24" t="s">
        <v>1470</v>
      </c>
      <c r="B1120" s="24">
        <v>22</v>
      </c>
      <c r="C1120" s="24">
        <v>15</v>
      </c>
      <c r="D1120" s="24">
        <v>2</v>
      </c>
      <c r="E1120" s="24" t="s">
        <v>2180</v>
      </c>
    </row>
    <row r="1121" spans="1:5" ht="15.75" customHeight="1" x14ac:dyDescent="0.4">
      <c r="A1121" s="24" t="s">
        <v>1349</v>
      </c>
      <c r="B1121" s="24">
        <v>13</v>
      </c>
      <c r="C1121" s="24">
        <v>9</v>
      </c>
      <c r="D1121" s="24">
        <v>0</v>
      </c>
      <c r="E1121" s="24" t="s">
        <v>2180</v>
      </c>
    </row>
    <row r="1122" spans="1:5" ht="15.75" customHeight="1" x14ac:dyDescent="0.4">
      <c r="A1122" s="24" t="s">
        <v>1947</v>
      </c>
      <c r="B1122" s="24">
        <v>8</v>
      </c>
      <c r="C1122" s="24">
        <v>3</v>
      </c>
      <c r="D1122" s="24">
        <v>1</v>
      </c>
      <c r="E1122" s="24" t="s">
        <v>2180</v>
      </c>
    </row>
    <row r="1123" spans="1:5" ht="15.75" customHeight="1" x14ac:dyDescent="0.4">
      <c r="A1123" s="24" t="s">
        <v>353</v>
      </c>
      <c r="B1123" s="24">
        <v>17</v>
      </c>
      <c r="C1123" s="24">
        <v>17</v>
      </c>
      <c r="D1123" s="24">
        <v>4</v>
      </c>
      <c r="E1123" s="24" t="s">
        <v>2180</v>
      </c>
    </row>
    <row r="1124" spans="1:5" ht="15.75" customHeight="1" x14ac:dyDescent="0.4">
      <c r="A1124" s="24" t="s">
        <v>1024</v>
      </c>
      <c r="B1124" s="24">
        <v>7</v>
      </c>
      <c r="C1124" s="24">
        <v>6</v>
      </c>
      <c r="D1124" s="24">
        <v>3</v>
      </c>
      <c r="E1124" s="24" t="s">
        <v>2180</v>
      </c>
    </row>
    <row r="1125" spans="1:5" ht="15.75" customHeight="1" x14ac:dyDescent="0.4">
      <c r="A1125" s="24" t="s">
        <v>720</v>
      </c>
      <c r="B1125" s="24">
        <v>22</v>
      </c>
      <c r="C1125" s="24">
        <v>16</v>
      </c>
      <c r="D1125" s="24">
        <v>5</v>
      </c>
      <c r="E1125" s="24" t="s">
        <v>2180</v>
      </c>
    </row>
    <row r="1126" spans="1:5" ht="15.75" customHeight="1" x14ac:dyDescent="0.4">
      <c r="A1126" s="24" t="s">
        <v>266</v>
      </c>
      <c r="B1126" s="24">
        <v>22</v>
      </c>
      <c r="C1126" s="24">
        <v>20</v>
      </c>
      <c r="D1126" s="24">
        <v>0</v>
      </c>
      <c r="E1126" s="24" t="s">
        <v>2180</v>
      </c>
    </row>
    <row r="1127" spans="1:5" ht="15.75" customHeight="1" x14ac:dyDescent="0.4">
      <c r="A1127" s="24" t="s">
        <v>655</v>
      </c>
      <c r="B1127" s="24">
        <v>12</v>
      </c>
      <c r="C1127" s="24">
        <v>10</v>
      </c>
      <c r="D1127" s="24">
        <v>4</v>
      </c>
      <c r="E1127" s="24" t="s">
        <v>2180</v>
      </c>
    </row>
    <row r="1128" spans="1:5" ht="15.75" customHeight="1" x14ac:dyDescent="0.4">
      <c r="A1128" s="24" t="s">
        <v>1979</v>
      </c>
      <c r="B1128" s="24">
        <v>17</v>
      </c>
      <c r="C1128" s="24">
        <v>17</v>
      </c>
      <c r="D1128" s="24">
        <v>0</v>
      </c>
      <c r="E1128" s="24" t="s">
        <v>2180</v>
      </c>
    </row>
    <row r="1129" spans="1:5" ht="15.75" customHeight="1" x14ac:dyDescent="0.4">
      <c r="A1129" s="24" t="s">
        <v>653</v>
      </c>
      <c r="B1129" s="24">
        <v>22</v>
      </c>
      <c r="C1129" s="24">
        <v>19</v>
      </c>
      <c r="D1129" s="24">
        <v>2</v>
      </c>
      <c r="E1129" s="24" t="s">
        <v>2180</v>
      </c>
    </row>
    <row r="1130" spans="1:5" ht="15.75" customHeight="1" x14ac:dyDescent="0.4">
      <c r="A1130" s="24" t="s">
        <v>1843</v>
      </c>
      <c r="B1130" s="24">
        <v>7</v>
      </c>
      <c r="C1130" s="24">
        <v>1</v>
      </c>
      <c r="D1130" s="24">
        <v>0</v>
      </c>
      <c r="E1130" s="24" t="s">
        <v>2180</v>
      </c>
    </row>
    <row r="1131" spans="1:5" ht="15.75" customHeight="1" x14ac:dyDescent="0.4">
      <c r="A1131" s="24" t="s">
        <v>702</v>
      </c>
      <c r="B1131" s="24">
        <v>22</v>
      </c>
      <c r="C1131" s="24">
        <v>1</v>
      </c>
      <c r="D1131" s="24">
        <v>3</v>
      </c>
      <c r="E1131" s="24" t="s">
        <v>2180</v>
      </c>
    </row>
    <row r="1132" spans="1:5" ht="15.75" customHeight="1" x14ac:dyDescent="0.4">
      <c r="A1132" s="24" t="s">
        <v>1002</v>
      </c>
      <c r="B1132" s="24">
        <v>21</v>
      </c>
      <c r="C1132" s="24">
        <v>21</v>
      </c>
      <c r="D1132" s="24">
        <v>2</v>
      </c>
      <c r="E1132" s="24" t="s">
        <v>2180</v>
      </c>
    </row>
    <row r="1133" spans="1:5" ht="15.75" customHeight="1" x14ac:dyDescent="0.4">
      <c r="A1133" s="24" t="s">
        <v>1362</v>
      </c>
      <c r="B1133" s="24">
        <v>22</v>
      </c>
      <c r="C1133" s="24">
        <v>13</v>
      </c>
      <c r="D1133" s="24">
        <v>7</v>
      </c>
      <c r="E1133" s="24" t="s">
        <v>2180</v>
      </c>
    </row>
    <row r="1134" spans="1:5" ht="15.75" customHeight="1" x14ac:dyDescent="0.4">
      <c r="A1134" s="24" t="s">
        <v>1741</v>
      </c>
      <c r="B1134" s="24">
        <v>7</v>
      </c>
      <c r="C1134" s="24">
        <v>6</v>
      </c>
      <c r="D1134" s="24">
        <v>1</v>
      </c>
      <c r="E1134" s="24" t="s">
        <v>2180</v>
      </c>
    </row>
    <row r="1135" spans="1:5" ht="15.75" customHeight="1" x14ac:dyDescent="0.4">
      <c r="A1135" s="24" t="s">
        <v>847</v>
      </c>
      <c r="B1135" s="24">
        <v>22</v>
      </c>
      <c r="C1135" s="24">
        <v>12</v>
      </c>
      <c r="D1135" s="24">
        <v>1</v>
      </c>
      <c r="E1135" s="24" t="s">
        <v>2180</v>
      </c>
    </row>
    <row r="1136" spans="1:5" ht="15.75" customHeight="1" x14ac:dyDescent="0.4">
      <c r="A1136" s="24" t="s">
        <v>1756</v>
      </c>
      <c r="B1136" s="24">
        <v>22</v>
      </c>
      <c r="C1136" s="24">
        <v>19</v>
      </c>
      <c r="D1136" s="24">
        <v>3</v>
      </c>
      <c r="E1136" s="24" t="s">
        <v>2180</v>
      </c>
    </row>
    <row r="1137" spans="1:5" ht="15.75" customHeight="1" x14ac:dyDescent="0.4">
      <c r="A1137" s="24" t="s">
        <v>2056</v>
      </c>
      <c r="B1137" s="24">
        <v>7</v>
      </c>
      <c r="C1137" s="24">
        <v>7</v>
      </c>
      <c r="D1137" s="24">
        <v>2</v>
      </c>
      <c r="E1137" s="24" t="s">
        <v>2180</v>
      </c>
    </row>
    <row r="1138" spans="1:5" ht="15.75" customHeight="1" x14ac:dyDescent="0.4">
      <c r="A1138" s="24" t="s">
        <v>2077</v>
      </c>
      <c r="B1138" s="24">
        <v>17</v>
      </c>
      <c r="C1138" s="24">
        <v>16</v>
      </c>
      <c r="D1138" s="24">
        <v>1</v>
      </c>
      <c r="E1138" s="24" t="s">
        <v>2180</v>
      </c>
    </row>
    <row r="1139" spans="1:5" ht="15.75" customHeight="1" x14ac:dyDescent="0.4">
      <c r="A1139" s="24" t="s">
        <v>1641</v>
      </c>
      <c r="B1139" s="24">
        <v>17</v>
      </c>
      <c r="C1139" s="24">
        <v>17</v>
      </c>
      <c r="D1139" s="24">
        <v>6</v>
      </c>
      <c r="E1139" s="24" t="s">
        <v>2180</v>
      </c>
    </row>
    <row r="1140" spans="1:5" ht="15.75" customHeight="1" x14ac:dyDescent="0.4">
      <c r="A1140" s="24" t="s">
        <v>1786</v>
      </c>
      <c r="B1140" s="24">
        <v>19</v>
      </c>
      <c r="C1140" s="24">
        <v>19</v>
      </c>
      <c r="D1140" s="24">
        <v>9</v>
      </c>
      <c r="E1140" s="24" t="s">
        <v>2180</v>
      </c>
    </row>
    <row r="1141" spans="1:5" ht="15.75" customHeight="1" x14ac:dyDescent="0.4">
      <c r="A1141" s="24" t="s">
        <v>2078</v>
      </c>
      <c r="B1141" s="24">
        <v>12</v>
      </c>
      <c r="C1141" s="24">
        <v>0</v>
      </c>
      <c r="D1141" s="24">
        <v>0</v>
      </c>
      <c r="E1141" s="24" t="s">
        <v>2180</v>
      </c>
    </row>
    <row r="1142" spans="1:5" ht="15.75" customHeight="1" x14ac:dyDescent="0.4">
      <c r="A1142" s="24" t="s">
        <v>1558</v>
      </c>
      <c r="B1142" s="24">
        <v>22</v>
      </c>
      <c r="C1142" s="24">
        <v>21</v>
      </c>
      <c r="D1142" s="24">
        <v>0</v>
      </c>
      <c r="E1142" s="24" t="s">
        <v>2180</v>
      </c>
    </row>
    <row r="1143" spans="1:5" ht="15.75" customHeight="1" x14ac:dyDescent="0.4">
      <c r="A1143" s="24" t="s">
        <v>2024</v>
      </c>
      <c r="B1143" s="24">
        <v>0</v>
      </c>
      <c r="C1143" s="24">
        <v>0</v>
      </c>
      <c r="D1143" s="24">
        <v>0</v>
      </c>
      <c r="E1143" s="24" t="s">
        <v>2180</v>
      </c>
    </row>
    <row r="1144" spans="1:5" ht="15.75" customHeight="1" x14ac:dyDescent="0.4">
      <c r="A1144" s="24" t="s">
        <v>1847</v>
      </c>
      <c r="B1144" s="24">
        <v>22</v>
      </c>
      <c r="C1144" s="24">
        <v>1</v>
      </c>
      <c r="D1144" s="24">
        <v>8</v>
      </c>
      <c r="E1144" s="24" t="s">
        <v>2180</v>
      </c>
    </row>
    <row r="1145" spans="1:5" ht="15.75" customHeight="1" x14ac:dyDescent="0.4">
      <c r="A1145" s="24" t="s">
        <v>1153</v>
      </c>
      <c r="B1145" s="24">
        <v>20</v>
      </c>
      <c r="C1145" s="24">
        <v>6</v>
      </c>
      <c r="D1145" s="24">
        <v>11</v>
      </c>
      <c r="E1145" s="24" t="s">
        <v>2180</v>
      </c>
    </row>
    <row r="1146" spans="1:5" ht="15.75" customHeight="1" x14ac:dyDescent="0.4">
      <c r="A1146" s="24" t="s">
        <v>1277</v>
      </c>
      <c r="B1146" s="24">
        <v>17</v>
      </c>
      <c r="C1146" s="24">
        <v>17</v>
      </c>
      <c r="D1146" s="24">
        <v>4</v>
      </c>
      <c r="E1146" s="24" t="s">
        <v>2180</v>
      </c>
    </row>
    <row r="1147" spans="1:5" ht="15.75" customHeight="1" x14ac:dyDescent="0.4">
      <c r="A1147" s="24" t="s">
        <v>948</v>
      </c>
      <c r="B1147" s="24">
        <v>7</v>
      </c>
      <c r="C1147" s="24">
        <v>7</v>
      </c>
      <c r="D1147" s="24">
        <v>3</v>
      </c>
      <c r="E1147" s="24" t="s">
        <v>2180</v>
      </c>
    </row>
    <row r="1148" spans="1:5" ht="15.75" customHeight="1" x14ac:dyDescent="0.4">
      <c r="A1148" s="24" t="s">
        <v>1209</v>
      </c>
      <c r="B1148" s="24">
        <v>17</v>
      </c>
      <c r="C1148" s="24">
        <v>11</v>
      </c>
      <c r="D1148" s="24">
        <v>6</v>
      </c>
      <c r="E1148" s="24" t="s">
        <v>2180</v>
      </c>
    </row>
    <row r="1149" spans="1:5" ht="15.75" customHeight="1" x14ac:dyDescent="0.4">
      <c r="A1149" s="24" t="s">
        <v>1642</v>
      </c>
      <c r="B1149" s="24">
        <v>17</v>
      </c>
      <c r="C1149" s="24">
        <v>14</v>
      </c>
      <c r="D1149" s="24">
        <v>2</v>
      </c>
      <c r="E1149" s="24" t="s">
        <v>2180</v>
      </c>
    </row>
    <row r="1150" spans="1:5" ht="15.75" customHeight="1" x14ac:dyDescent="0.4">
      <c r="A1150" s="24" t="s">
        <v>1103</v>
      </c>
      <c r="B1150" s="24">
        <v>22</v>
      </c>
      <c r="C1150" s="24">
        <v>22</v>
      </c>
      <c r="D1150" s="24">
        <v>8</v>
      </c>
      <c r="E1150" s="24" t="s">
        <v>2180</v>
      </c>
    </row>
    <row r="1151" spans="1:5" ht="15.75" customHeight="1" x14ac:dyDescent="0.4">
      <c r="A1151" s="24" t="s">
        <v>1536</v>
      </c>
      <c r="B1151" s="24">
        <v>22</v>
      </c>
      <c r="C1151" s="24">
        <v>2</v>
      </c>
      <c r="D1151" s="24">
        <v>0</v>
      </c>
      <c r="E1151" s="24" t="s">
        <v>2180</v>
      </c>
    </row>
    <row r="1152" spans="1:5" ht="15.75" customHeight="1" x14ac:dyDescent="0.4">
      <c r="A1152" s="24" t="s">
        <v>1404</v>
      </c>
      <c r="B1152" s="24">
        <v>7</v>
      </c>
      <c r="C1152" s="24">
        <v>7</v>
      </c>
      <c r="D1152" s="24">
        <v>2</v>
      </c>
      <c r="E1152" s="24" t="s">
        <v>2180</v>
      </c>
    </row>
    <row r="1153" spans="1:5" ht="15.75" customHeight="1" x14ac:dyDescent="0.4">
      <c r="A1153" s="24" t="s">
        <v>888</v>
      </c>
      <c r="B1153" s="24">
        <v>7</v>
      </c>
      <c r="C1153" s="24">
        <v>1</v>
      </c>
      <c r="D1153" s="24">
        <v>0</v>
      </c>
      <c r="E1153" s="24" t="s">
        <v>2180</v>
      </c>
    </row>
    <row r="1154" spans="1:5" ht="15.75" customHeight="1" x14ac:dyDescent="0.4">
      <c r="A1154" s="24" t="s">
        <v>1222</v>
      </c>
      <c r="B1154" s="24">
        <v>20</v>
      </c>
      <c r="C1154" s="24">
        <v>14</v>
      </c>
      <c r="D1154" s="24">
        <v>1</v>
      </c>
      <c r="E1154" s="24" t="s">
        <v>2180</v>
      </c>
    </row>
    <row r="1155" spans="1:5" ht="15.75" customHeight="1" x14ac:dyDescent="0.4">
      <c r="A1155" s="24" t="s">
        <v>280</v>
      </c>
      <c r="B1155" s="24">
        <v>13</v>
      </c>
      <c r="C1155" s="24">
        <v>12</v>
      </c>
      <c r="D1155" s="24">
        <v>2</v>
      </c>
      <c r="E1155" s="24" t="s">
        <v>2180</v>
      </c>
    </row>
    <row r="1156" spans="1:5" ht="15.75" customHeight="1" x14ac:dyDescent="0.4">
      <c r="A1156" s="24" t="s">
        <v>1484</v>
      </c>
      <c r="B1156" s="24">
        <v>16</v>
      </c>
      <c r="C1156" s="24">
        <v>15</v>
      </c>
      <c r="D1156" s="24">
        <v>8</v>
      </c>
      <c r="E1156" s="24" t="s">
        <v>2180</v>
      </c>
    </row>
    <row r="1157" spans="1:5" ht="15.75" customHeight="1" x14ac:dyDescent="0.4">
      <c r="A1157" s="24" t="s">
        <v>1033</v>
      </c>
      <c r="B1157" s="24">
        <v>19</v>
      </c>
      <c r="C1157" s="24">
        <v>16</v>
      </c>
      <c r="D1157" s="24">
        <v>8</v>
      </c>
      <c r="E1157" s="24" t="s">
        <v>2180</v>
      </c>
    </row>
    <row r="1158" spans="1:5" ht="15.75" customHeight="1" x14ac:dyDescent="0.4">
      <c r="A1158" s="24" t="s">
        <v>1036</v>
      </c>
      <c r="B1158" s="24">
        <v>7</v>
      </c>
      <c r="C1158" s="24">
        <v>3</v>
      </c>
      <c r="D1158" s="24">
        <v>0</v>
      </c>
      <c r="E1158" s="24" t="s">
        <v>2180</v>
      </c>
    </row>
    <row r="1159" spans="1:5" ht="15.75" customHeight="1" x14ac:dyDescent="0.4">
      <c r="A1159" s="24" t="s">
        <v>1678</v>
      </c>
      <c r="B1159" s="24">
        <v>22</v>
      </c>
      <c r="C1159" s="24">
        <v>22</v>
      </c>
      <c r="D1159" s="24">
        <v>2</v>
      </c>
      <c r="E1159" s="24" t="s">
        <v>2180</v>
      </c>
    </row>
    <row r="1160" spans="1:5" ht="15.75" customHeight="1" x14ac:dyDescent="0.4">
      <c r="A1160" s="24" t="s">
        <v>1181</v>
      </c>
      <c r="B1160" s="24">
        <v>17</v>
      </c>
      <c r="C1160" s="24">
        <v>13</v>
      </c>
      <c r="D1160" s="24">
        <v>1</v>
      </c>
      <c r="E1160" s="24" t="s">
        <v>2180</v>
      </c>
    </row>
    <row r="1161" spans="1:5" ht="15.75" customHeight="1" x14ac:dyDescent="0.4">
      <c r="A1161" s="24" t="s">
        <v>1871</v>
      </c>
      <c r="B1161" s="24">
        <v>17</v>
      </c>
      <c r="C1161" s="24">
        <v>15</v>
      </c>
      <c r="D1161" s="24">
        <v>5</v>
      </c>
      <c r="E1161" s="24" t="s">
        <v>2180</v>
      </c>
    </row>
    <row r="1162" spans="1:5" ht="15.75" customHeight="1" x14ac:dyDescent="0.4">
      <c r="A1162" s="24" t="s">
        <v>1980</v>
      </c>
      <c r="B1162" s="24">
        <v>7</v>
      </c>
      <c r="C1162" s="24">
        <v>4</v>
      </c>
      <c r="D1162" s="24">
        <v>0</v>
      </c>
      <c r="E1162" s="24" t="s">
        <v>2180</v>
      </c>
    </row>
    <row r="1163" spans="1:5" ht="15.75" customHeight="1" x14ac:dyDescent="0.4">
      <c r="A1163" s="24" t="s">
        <v>1258</v>
      </c>
      <c r="B1163" s="24">
        <v>22</v>
      </c>
      <c r="C1163" s="24">
        <v>14</v>
      </c>
      <c r="D1163" s="24">
        <v>3</v>
      </c>
      <c r="E1163" s="24" t="s">
        <v>2180</v>
      </c>
    </row>
    <row r="1164" spans="1:5" ht="15.75" customHeight="1" x14ac:dyDescent="0.4">
      <c r="A1164" s="24" t="s">
        <v>2035</v>
      </c>
      <c r="B1164" s="24">
        <v>22</v>
      </c>
      <c r="C1164" s="24">
        <v>22</v>
      </c>
      <c r="D1164" s="24">
        <v>5</v>
      </c>
      <c r="E1164" s="24" t="s">
        <v>2180</v>
      </c>
    </row>
    <row r="1165" spans="1:5" ht="15.75" customHeight="1" x14ac:dyDescent="0.4">
      <c r="A1165" s="24" t="s">
        <v>1412</v>
      </c>
      <c r="B1165" s="24">
        <v>11</v>
      </c>
      <c r="C1165" s="24">
        <v>6</v>
      </c>
      <c r="D1165" s="24">
        <v>2</v>
      </c>
      <c r="E1165" s="24" t="s">
        <v>2180</v>
      </c>
    </row>
    <row r="1166" spans="1:5" ht="15.75" customHeight="1" x14ac:dyDescent="0.4">
      <c r="A1166" s="24" t="s">
        <v>549</v>
      </c>
      <c r="B1166" s="24">
        <v>20</v>
      </c>
      <c r="C1166" s="24">
        <v>20</v>
      </c>
      <c r="D1166" s="24">
        <v>1</v>
      </c>
      <c r="E1166" s="24" t="s">
        <v>2180</v>
      </c>
    </row>
    <row r="1167" spans="1:5" ht="15.75" customHeight="1" x14ac:dyDescent="0.4">
      <c r="A1167" s="24" t="s">
        <v>805</v>
      </c>
      <c r="B1167" s="24">
        <v>22</v>
      </c>
      <c r="C1167" s="24">
        <v>18</v>
      </c>
      <c r="D1167" s="24">
        <v>1</v>
      </c>
      <c r="E1167" s="24" t="s">
        <v>2180</v>
      </c>
    </row>
    <row r="1168" spans="1:5" ht="15.75" customHeight="1" x14ac:dyDescent="0.4">
      <c r="A1168" s="24" t="s">
        <v>335</v>
      </c>
      <c r="B1168" s="24">
        <v>20</v>
      </c>
      <c r="C1168" s="24">
        <v>20</v>
      </c>
      <c r="D1168" s="24">
        <v>8</v>
      </c>
      <c r="E1168" s="24" t="s">
        <v>2180</v>
      </c>
    </row>
    <row r="1169" spans="1:5" ht="15.75" customHeight="1" x14ac:dyDescent="0.4">
      <c r="A1169" s="24" t="s">
        <v>551</v>
      </c>
      <c r="B1169" s="24">
        <v>22</v>
      </c>
      <c r="C1169" s="24">
        <v>13</v>
      </c>
      <c r="D1169" s="24">
        <v>1</v>
      </c>
      <c r="E1169" s="24" t="s">
        <v>2180</v>
      </c>
    </row>
    <row r="1170" spans="1:5" ht="15.75" customHeight="1" x14ac:dyDescent="0.4">
      <c r="A1170" s="24" t="s">
        <v>639</v>
      </c>
      <c r="B1170" s="24">
        <v>7</v>
      </c>
      <c r="C1170" s="24">
        <v>6</v>
      </c>
      <c r="D1170" s="24">
        <v>1</v>
      </c>
      <c r="E1170" s="24" t="s">
        <v>2180</v>
      </c>
    </row>
    <row r="1171" spans="1:5" ht="15.75" customHeight="1" x14ac:dyDescent="0.4">
      <c r="A1171" s="24" t="s">
        <v>264</v>
      </c>
      <c r="B1171" s="24">
        <v>7</v>
      </c>
      <c r="C1171" s="24">
        <v>5</v>
      </c>
      <c r="D1171" s="24">
        <v>0</v>
      </c>
      <c r="E1171" s="24" t="s">
        <v>2180</v>
      </c>
    </row>
    <row r="1172" spans="1:5" ht="15.75" customHeight="1" x14ac:dyDescent="0.4">
      <c r="A1172" s="24" t="s">
        <v>951</v>
      </c>
      <c r="B1172" s="24">
        <v>20</v>
      </c>
      <c r="C1172" s="24">
        <v>15</v>
      </c>
      <c r="D1172" s="24">
        <v>6</v>
      </c>
      <c r="E1172" s="24" t="s">
        <v>2180</v>
      </c>
    </row>
    <row r="1173" spans="1:5" ht="15.75" customHeight="1" x14ac:dyDescent="0.4">
      <c r="A1173" s="24" t="s">
        <v>1440</v>
      </c>
      <c r="B1173" s="24">
        <v>16</v>
      </c>
      <c r="C1173" s="24">
        <v>14</v>
      </c>
      <c r="D1173" s="24">
        <v>2</v>
      </c>
      <c r="E1173" s="24" t="s">
        <v>2180</v>
      </c>
    </row>
    <row r="1174" spans="1:5" ht="15.75" customHeight="1" x14ac:dyDescent="0.4">
      <c r="A1174" s="24" t="s">
        <v>1909</v>
      </c>
      <c r="B1174" s="24">
        <v>6</v>
      </c>
      <c r="C1174" s="24">
        <v>6</v>
      </c>
      <c r="D1174" s="24">
        <v>1</v>
      </c>
      <c r="E1174" s="24" t="s">
        <v>2180</v>
      </c>
    </row>
    <row r="1175" spans="1:5" ht="15.75" customHeight="1" x14ac:dyDescent="0.4">
      <c r="A1175" s="24" t="s">
        <v>1418</v>
      </c>
      <c r="B1175" s="24">
        <v>22</v>
      </c>
      <c r="C1175" s="24">
        <v>10</v>
      </c>
      <c r="D1175" s="24">
        <v>1</v>
      </c>
      <c r="E1175" s="24" t="s">
        <v>2180</v>
      </c>
    </row>
    <row r="1176" spans="1:5" ht="15.75" customHeight="1" x14ac:dyDescent="0.4">
      <c r="A1176" s="24" t="s">
        <v>262</v>
      </c>
      <c r="B1176" s="24">
        <v>3</v>
      </c>
      <c r="C1176" s="24">
        <v>3</v>
      </c>
      <c r="D1176" s="24">
        <v>0</v>
      </c>
      <c r="E1176" s="24" t="s">
        <v>2180</v>
      </c>
    </row>
    <row r="1177" spans="1:5" ht="15.75" customHeight="1" x14ac:dyDescent="0.4">
      <c r="A1177" s="24" t="s">
        <v>1210</v>
      </c>
      <c r="B1177" s="24">
        <v>20</v>
      </c>
      <c r="C1177" s="24">
        <v>6</v>
      </c>
      <c r="D1177" s="24">
        <v>3</v>
      </c>
      <c r="E1177" s="24" t="s">
        <v>2180</v>
      </c>
    </row>
    <row r="1178" spans="1:5" ht="15.75" customHeight="1" x14ac:dyDescent="0.4">
      <c r="A1178" s="24" t="s">
        <v>581</v>
      </c>
      <c r="B1178" s="24">
        <v>22</v>
      </c>
      <c r="C1178" s="24">
        <v>13</v>
      </c>
      <c r="D1178" s="24">
        <v>3</v>
      </c>
      <c r="E1178" s="24" t="s">
        <v>2180</v>
      </c>
    </row>
    <row r="1179" spans="1:5" ht="15.75" customHeight="1" x14ac:dyDescent="0.4">
      <c r="A1179" s="24" t="s">
        <v>1421</v>
      </c>
      <c r="B1179" s="24">
        <v>19</v>
      </c>
      <c r="C1179" s="24">
        <v>0</v>
      </c>
      <c r="D1179" s="24">
        <v>4</v>
      </c>
      <c r="E1179" s="24" t="s">
        <v>2180</v>
      </c>
    </row>
    <row r="1180" spans="1:5" ht="15.75" customHeight="1" x14ac:dyDescent="0.4">
      <c r="A1180" s="24" t="s">
        <v>579</v>
      </c>
      <c r="B1180" s="24">
        <v>20</v>
      </c>
      <c r="C1180" s="24">
        <v>19</v>
      </c>
      <c r="D1180" s="24">
        <v>3</v>
      </c>
      <c r="E1180" s="24" t="s">
        <v>2180</v>
      </c>
    </row>
    <row r="1181" spans="1:5" ht="15.75" customHeight="1" x14ac:dyDescent="0.4">
      <c r="A1181" s="24" t="s">
        <v>1609</v>
      </c>
      <c r="B1181" s="24">
        <v>8</v>
      </c>
      <c r="C1181" s="24">
        <v>8</v>
      </c>
      <c r="D1181" s="24">
        <v>1</v>
      </c>
      <c r="E1181" s="24" t="s">
        <v>2180</v>
      </c>
    </row>
    <row r="1182" spans="1:5" ht="15.75" customHeight="1" x14ac:dyDescent="0.4">
      <c r="A1182" s="24" t="s">
        <v>1768</v>
      </c>
      <c r="B1182" s="24">
        <v>19</v>
      </c>
      <c r="C1182" s="24">
        <v>18</v>
      </c>
      <c r="D1182" s="24">
        <v>2</v>
      </c>
      <c r="E1182" s="24" t="s">
        <v>2180</v>
      </c>
    </row>
    <row r="1183" spans="1:5" ht="15.75" customHeight="1" x14ac:dyDescent="0.4">
      <c r="A1183" s="24" t="s">
        <v>862</v>
      </c>
      <c r="B1183" s="24">
        <v>22</v>
      </c>
      <c r="C1183" s="24">
        <v>21</v>
      </c>
      <c r="D1183" s="24">
        <v>2</v>
      </c>
      <c r="E1183" s="24" t="s">
        <v>2180</v>
      </c>
    </row>
    <row r="1184" spans="1:5" ht="15.75" customHeight="1" x14ac:dyDescent="0.4">
      <c r="A1184" s="24" t="s">
        <v>1833</v>
      </c>
      <c r="B1184" s="24">
        <v>7</v>
      </c>
      <c r="C1184" s="24">
        <v>4</v>
      </c>
      <c r="D1184" s="24">
        <v>0</v>
      </c>
      <c r="E1184" s="24" t="s">
        <v>2180</v>
      </c>
    </row>
    <row r="1185" spans="1:5" ht="15.75" customHeight="1" x14ac:dyDescent="0.4">
      <c r="A1185" s="24" t="s">
        <v>260</v>
      </c>
      <c r="B1185" s="24">
        <v>17</v>
      </c>
      <c r="C1185" s="24">
        <v>5</v>
      </c>
      <c r="D1185" s="24">
        <v>1</v>
      </c>
      <c r="E1185" s="24" t="s">
        <v>2180</v>
      </c>
    </row>
    <row r="1186" spans="1:5" ht="15.75" customHeight="1" x14ac:dyDescent="0.4">
      <c r="A1186" s="24" t="s">
        <v>1624</v>
      </c>
      <c r="B1186" s="24">
        <v>22</v>
      </c>
      <c r="C1186" s="24">
        <v>16</v>
      </c>
      <c r="D1186" s="24">
        <v>4</v>
      </c>
      <c r="E1186" s="24" t="s">
        <v>2180</v>
      </c>
    </row>
    <row r="1187" spans="1:5" ht="15.75" customHeight="1" x14ac:dyDescent="0.4">
      <c r="A1187" s="24" t="s">
        <v>1628</v>
      </c>
      <c r="B1187" s="24">
        <v>20</v>
      </c>
      <c r="C1187" s="24">
        <v>19</v>
      </c>
      <c r="D1187" s="24">
        <v>8</v>
      </c>
      <c r="E1187" s="24" t="s">
        <v>2180</v>
      </c>
    </row>
    <row r="1188" spans="1:5" ht="15.75" customHeight="1" x14ac:dyDescent="0.4">
      <c r="A1188" s="24" t="s">
        <v>1740</v>
      </c>
      <c r="B1188" s="24">
        <v>22</v>
      </c>
      <c r="C1188" s="24">
        <v>18</v>
      </c>
      <c r="D1188" s="24">
        <v>4</v>
      </c>
      <c r="E1188" s="24" t="s">
        <v>2180</v>
      </c>
    </row>
    <row r="1189" spans="1:5" ht="15.75" customHeight="1" x14ac:dyDescent="0.4">
      <c r="A1189" s="24" t="s">
        <v>497</v>
      </c>
      <c r="B1189" s="24">
        <v>7</v>
      </c>
      <c r="C1189" s="24">
        <v>5</v>
      </c>
      <c r="D1189" s="24">
        <v>0</v>
      </c>
      <c r="E1189" s="24" t="s">
        <v>2180</v>
      </c>
    </row>
    <row r="1190" spans="1:5" ht="15.75" customHeight="1" x14ac:dyDescent="0.4">
      <c r="A1190" s="24" t="s">
        <v>2027</v>
      </c>
      <c r="B1190" s="24">
        <v>20</v>
      </c>
      <c r="C1190" s="24">
        <v>19</v>
      </c>
      <c r="D1190" s="24">
        <v>7</v>
      </c>
      <c r="E1190" s="24" t="s">
        <v>2180</v>
      </c>
    </row>
    <row r="1191" spans="1:5" ht="15.75" customHeight="1" x14ac:dyDescent="0.4">
      <c r="A1191" s="24" t="s">
        <v>1503</v>
      </c>
      <c r="B1191" s="24">
        <v>7</v>
      </c>
      <c r="C1191" s="24">
        <v>7</v>
      </c>
      <c r="D1191" s="24">
        <v>0</v>
      </c>
      <c r="E1191" s="24" t="s">
        <v>2180</v>
      </c>
    </row>
    <row r="1192" spans="1:5" ht="15.75" customHeight="1" x14ac:dyDescent="0.4">
      <c r="A1192" s="24" t="s">
        <v>1780</v>
      </c>
      <c r="B1192" s="24">
        <v>11</v>
      </c>
      <c r="C1192" s="24">
        <v>7</v>
      </c>
      <c r="D1192" s="24">
        <v>3</v>
      </c>
      <c r="E1192" s="24" t="s">
        <v>2180</v>
      </c>
    </row>
    <row r="1193" spans="1:5" ht="15.75" customHeight="1" x14ac:dyDescent="0.4">
      <c r="A1193" s="24" t="s">
        <v>832</v>
      </c>
      <c r="B1193" s="24">
        <v>20</v>
      </c>
      <c r="C1193" s="24">
        <v>17</v>
      </c>
      <c r="D1193" s="24">
        <v>1</v>
      </c>
      <c r="E1193" s="24" t="s">
        <v>2180</v>
      </c>
    </row>
    <row r="1194" spans="1:5" ht="15.75" customHeight="1" x14ac:dyDescent="0.4">
      <c r="A1194" s="24" t="s">
        <v>1888</v>
      </c>
      <c r="B1194" s="24">
        <v>19</v>
      </c>
      <c r="C1194" s="24">
        <v>15</v>
      </c>
      <c r="D1194" s="24">
        <v>2</v>
      </c>
      <c r="E1194" s="24" t="s">
        <v>2180</v>
      </c>
    </row>
    <row r="1195" spans="1:5" ht="15.75" customHeight="1" x14ac:dyDescent="0.4">
      <c r="A1195" s="24" t="s">
        <v>1593</v>
      </c>
      <c r="B1195" s="24">
        <v>22</v>
      </c>
      <c r="C1195" s="24">
        <v>6</v>
      </c>
      <c r="D1195" s="24">
        <v>0</v>
      </c>
      <c r="E1195" s="24" t="s">
        <v>2180</v>
      </c>
    </row>
    <row r="1196" spans="1:5" ht="15.75" customHeight="1" x14ac:dyDescent="0.4">
      <c r="A1196" s="24" t="s">
        <v>329</v>
      </c>
      <c r="B1196" s="24">
        <v>22</v>
      </c>
      <c r="C1196" s="24">
        <v>15</v>
      </c>
      <c r="D1196" s="24">
        <v>2</v>
      </c>
      <c r="E1196" s="24" t="s">
        <v>2180</v>
      </c>
    </row>
    <row r="1197" spans="1:5" ht="15.75" customHeight="1" x14ac:dyDescent="0.4">
      <c r="A1197" s="24" t="s">
        <v>1911</v>
      </c>
      <c r="B1197" s="24">
        <v>0</v>
      </c>
      <c r="C1197" s="24">
        <v>0</v>
      </c>
      <c r="D1197" s="24">
        <v>0</v>
      </c>
      <c r="E1197" s="24" t="s">
        <v>2180</v>
      </c>
    </row>
    <row r="1198" spans="1:5" ht="15.75" customHeight="1" x14ac:dyDescent="0.4">
      <c r="A1198" s="24" t="s">
        <v>1849</v>
      </c>
      <c r="B1198" s="24">
        <v>17</v>
      </c>
      <c r="C1198" s="24">
        <v>15</v>
      </c>
      <c r="D1198" s="24">
        <v>9</v>
      </c>
      <c r="E1198" s="24" t="s">
        <v>2180</v>
      </c>
    </row>
    <row r="1199" spans="1:5" ht="15.75" customHeight="1" x14ac:dyDescent="0.4">
      <c r="A1199" s="24" t="s">
        <v>1602</v>
      </c>
      <c r="B1199" s="24">
        <v>22</v>
      </c>
      <c r="C1199" s="24">
        <v>19</v>
      </c>
      <c r="D1199" s="24">
        <v>0</v>
      </c>
      <c r="E1199" s="24" t="s">
        <v>2180</v>
      </c>
    </row>
    <row r="1200" spans="1:5" ht="15.75" customHeight="1" x14ac:dyDescent="0.4">
      <c r="A1200" s="24" t="s">
        <v>2061</v>
      </c>
      <c r="B1200" s="24">
        <v>20</v>
      </c>
      <c r="C1200" s="24">
        <v>17</v>
      </c>
      <c r="D1200" s="24">
        <v>2</v>
      </c>
      <c r="E1200" s="24" t="s">
        <v>2180</v>
      </c>
    </row>
    <row r="1201" spans="1:5" ht="15.75" customHeight="1" x14ac:dyDescent="0.4">
      <c r="A1201" s="24" t="s">
        <v>1063</v>
      </c>
      <c r="B1201" s="24">
        <v>20</v>
      </c>
      <c r="C1201" s="24">
        <v>12</v>
      </c>
      <c r="D1201" s="24">
        <v>6</v>
      </c>
      <c r="E1201" s="24" t="s">
        <v>2180</v>
      </c>
    </row>
    <row r="1202" spans="1:5" ht="15.75" customHeight="1" x14ac:dyDescent="0.4">
      <c r="A1202" s="24" t="s">
        <v>1775</v>
      </c>
      <c r="B1202" s="24">
        <v>22</v>
      </c>
      <c r="C1202" s="24">
        <v>19</v>
      </c>
      <c r="D1202" s="24">
        <v>4</v>
      </c>
      <c r="E1202" s="24" t="s">
        <v>2180</v>
      </c>
    </row>
    <row r="1203" spans="1:5" ht="15.75" customHeight="1" x14ac:dyDescent="0.4">
      <c r="A1203" s="24" t="s">
        <v>1381</v>
      </c>
      <c r="B1203" s="24">
        <v>22</v>
      </c>
      <c r="C1203" s="24">
        <v>19</v>
      </c>
      <c r="D1203" s="24">
        <v>6</v>
      </c>
      <c r="E1203" s="24" t="s">
        <v>2180</v>
      </c>
    </row>
    <row r="1204" spans="1:5" ht="15.75" customHeight="1" x14ac:dyDescent="0.4">
      <c r="A1204" s="24" t="s">
        <v>1477</v>
      </c>
      <c r="B1204" s="24">
        <v>21</v>
      </c>
      <c r="C1204" s="24">
        <v>4</v>
      </c>
      <c r="D1204" s="24">
        <v>2</v>
      </c>
      <c r="E1204" s="24" t="s">
        <v>2180</v>
      </c>
    </row>
    <row r="1205" spans="1:5" ht="15.75" customHeight="1" x14ac:dyDescent="0.4">
      <c r="A1205" s="24" t="s">
        <v>936</v>
      </c>
      <c r="B1205" s="24">
        <v>7</v>
      </c>
      <c r="C1205" s="24">
        <v>7</v>
      </c>
      <c r="D1205" s="24">
        <v>5</v>
      </c>
      <c r="E1205" s="24" t="s">
        <v>2180</v>
      </c>
    </row>
    <row r="1206" spans="1:5" ht="15.75" customHeight="1" x14ac:dyDescent="0.4">
      <c r="A1206" s="24" t="s">
        <v>424</v>
      </c>
      <c r="B1206" s="24">
        <v>7</v>
      </c>
      <c r="C1206" s="24">
        <v>6</v>
      </c>
      <c r="D1206" s="24">
        <v>1</v>
      </c>
      <c r="E1206" s="24" t="s">
        <v>2180</v>
      </c>
    </row>
    <row r="1207" spans="1:5" ht="15.75" customHeight="1" x14ac:dyDescent="0.4">
      <c r="A1207" s="24" t="s">
        <v>1913</v>
      </c>
      <c r="B1207" s="24">
        <v>22</v>
      </c>
      <c r="C1207" s="24">
        <v>17</v>
      </c>
      <c r="D1207" s="24">
        <v>8</v>
      </c>
      <c r="E1207" s="24" t="s">
        <v>2180</v>
      </c>
    </row>
    <row r="1208" spans="1:5" ht="15.75" customHeight="1" x14ac:dyDescent="0.4">
      <c r="A1208" s="24" t="s">
        <v>2150</v>
      </c>
      <c r="B1208" s="24">
        <v>19</v>
      </c>
      <c r="C1208" s="24">
        <v>15</v>
      </c>
      <c r="D1208" s="24">
        <v>1</v>
      </c>
      <c r="E1208" s="24" t="s">
        <v>2180</v>
      </c>
    </row>
    <row r="1209" spans="1:5" ht="15.75" customHeight="1" x14ac:dyDescent="0.4">
      <c r="A1209" s="24" t="s">
        <v>270</v>
      </c>
      <c r="B1209" s="24">
        <v>7</v>
      </c>
      <c r="C1209" s="24">
        <v>7</v>
      </c>
      <c r="D1209" s="24">
        <v>1</v>
      </c>
      <c r="E1209" s="24" t="s">
        <v>2180</v>
      </c>
    </row>
    <row r="1210" spans="1:5" ht="15.75" customHeight="1" x14ac:dyDescent="0.4">
      <c r="A1210" s="24" t="s">
        <v>419</v>
      </c>
      <c r="B1210" s="24">
        <v>22</v>
      </c>
      <c r="C1210" s="24">
        <v>6</v>
      </c>
      <c r="D1210" s="24">
        <v>3</v>
      </c>
      <c r="E1210" s="24" t="s">
        <v>2180</v>
      </c>
    </row>
    <row r="1211" spans="1:5" ht="15.75" customHeight="1" x14ac:dyDescent="0.4">
      <c r="A1211" s="24" t="s">
        <v>1387</v>
      </c>
      <c r="B1211" s="24">
        <v>22</v>
      </c>
      <c r="C1211" s="24">
        <v>22</v>
      </c>
      <c r="D1211" s="24">
        <v>4</v>
      </c>
      <c r="E1211" s="24" t="s">
        <v>2180</v>
      </c>
    </row>
    <row r="1212" spans="1:5" ht="15.75" customHeight="1" x14ac:dyDescent="0.4">
      <c r="A1212" s="24" t="s">
        <v>1869</v>
      </c>
      <c r="B1212" s="24">
        <v>22</v>
      </c>
      <c r="C1212" s="24">
        <v>19</v>
      </c>
      <c r="D1212" s="24">
        <v>0</v>
      </c>
      <c r="E1212" s="24" t="s">
        <v>2180</v>
      </c>
    </row>
    <row r="1213" spans="1:5" ht="15.75" customHeight="1" x14ac:dyDescent="0.4">
      <c r="A1213" s="24" t="s">
        <v>1920</v>
      </c>
      <c r="B1213" s="24">
        <v>20</v>
      </c>
      <c r="C1213" s="24">
        <v>12</v>
      </c>
      <c r="D1213" s="24">
        <v>2</v>
      </c>
      <c r="E1213" s="24" t="s">
        <v>2180</v>
      </c>
    </row>
    <row r="1214" spans="1:5" ht="15.75" customHeight="1" x14ac:dyDescent="0.4">
      <c r="A1214" s="24" t="s">
        <v>1281</v>
      </c>
      <c r="B1214" s="24">
        <v>22</v>
      </c>
      <c r="C1214" s="24">
        <v>17</v>
      </c>
      <c r="D1214" s="24">
        <v>2</v>
      </c>
      <c r="E1214" s="24" t="s">
        <v>2180</v>
      </c>
    </row>
    <row r="1215" spans="1:5" ht="15.75" customHeight="1" x14ac:dyDescent="0.4">
      <c r="A1215" s="24" t="s">
        <v>1157</v>
      </c>
      <c r="B1215" s="24">
        <v>13</v>
      </c>
      <c r="C1215" s="24">
        <v>6</v>
      </c>
      <c r="D1215" s="24">
        <v>0</v>
      </c>
      <c r="E1215" s="24" t="s">
        <v>2180</v>
      </c>
    </row>
    <row r="1216" spans="1:5" ht="15.75" customHeight="1" x14ac:dyDescent="0.4">
      <c r="A1216" s="24" t="s">
        <v>1539</v>
      </c>
      <c r="B1216" s="24">
        <v>6</v>
      </c>
      <c r="C1216" s="24">
        <v>2</v>
      </c>
      <c r="D1216" s="24">
        <v>0</v>
      </c>
      <c r="E1216" s="24" t="s">
        <v>2180</v>
      </c>
    </row>
    <row r="1217" spans="1:5" ht="15.75" customHeight="1" x14ac:dyDescent="0.4">
      <c r="A1217" s="24" t="s">
        <v>2156</v>
      </c>
      <c r="B1217" s="24">
        <v>22</v>
      </c>
      <c r="C1217" s="24">
        <v>13</v>
      </c>
      <c r="D1217" s="24">
        <v>0</v>
      </c>
      <c r="E1217" s="24" t="s">
        <v>2180</v>
      </c>
    </row>
    <row r="1218" spans="1:5" ht="15.75" customHeight="1" x14ac:dyDescent="0.4">
      <c r="A1218" s="24" t="s">
        <v>1490</v>
      </c>
      <c r="B1218" s="24">
        <v>22</v>
      </c>
      <c r="C1218" s="24">
        <v>11</v>
      </c>
      <c r="D1218" s="24">
        <v>0</v>
      </c>
      <c r="E1218" s="24" t="s">
        <v>2180</v>
      </c>
    </row>
    <row r="1219" spans="1:5" ht="15.75" customHeight="1" x14ac:dyDescent="0.4">
      <c r="A1219" s="24" t="s">
        <v>1811</v>
      </c>
      <c r="B1219" s="24">
        <v>18</v>
      </c>
      <c r="C1219" s="24">
        <v>14</v>
      </c>
      <c r="D1219" s="24">
        <v>8</v>
      </c>
      <c r="E1219" s="24" t="s">
        <v>2180</v>
      </c>
    </row>
    <row r="1220" spans="1:5" ht="15.75" customHeight="1" x14ac:dyDescent="0.4">
      <c r="A1220" s="24" t="s">
        <v>1123</v>
      </c>
      <c r="B1220" s="24">
        <v>22</v>
      </c>
      <c r="C1220" s="24">
        <v>10</v>
      </c>
      <c r="D1220" s="24">
        <v>1</v>
      </c>
      <c r="E1220" s="24" t="s">
        <v>2180</v>
      </c>
    </row>
    <row r="1221" spans="1:5" ht="15.75" customHeight="1" x14ac:dyDescent="0.4">
      <c r="A1221" s="24" t="s">
        <v>1237</v>
      </c>
      <c r="B1221" s="24">
        <v>20</v>
      </c>
      <c r="C1221" s="24">
        <v>20</v>
      </c>
      <c r="D1221" s="24">
        <v>2</v>
      </c>
      <c r="E1221" s="24" t="s">
        <v>2180</v>
      </c>
    </row>
    <row r="1222" spans="1:5" ht="15.75" customHeight="1" x14ac:dyDescent="0.4">
      <c r="A1222" s="24" t="s">
        <v>1892</v>
      </c>
      <c r="B1222" s="24">
        <v>22</v>
      </c>
      <c r="C1222" s="24">
        <v>10</v>
      </c>
      <c r="D1222" s="24">
        <v>4</v>
      </c>
      <c r="E1222" s="24" t="s">
        <v>2180</v>
      </c>
    </row>
    <row r="1223" spans="1:5" ht="15.75" customHeight="1" x14ac:dyDescent="0.4">
      <c r="A1223" s="24" t="s">
        <v>1496</v>
      </c>
      <c r="B1223" s="24">
        <v>17</v>
      </c>
      <c r="C1223" s="24">
        <v>9</v>
      </c>
      <c r="D1223" s="24">
        <v>1</v>
      </c>
      <c r="E1223" s="24" t="s">
        <v>2180</v>
      </c>
    </row>
    <row r="1224" spans="1:5" ht="15.75" customHeight="1" x14ac:dyDescent="0.4">
      <c r="A1224" s="24" t="s">
        <v>301</v>
      </c>
      <c r="B1224" s="24">
        <v>22</v>
      </c>
      <c r="C1224" s="24">
        <v>20</v>
      </c>
      <c r="D1224" s="24">
        <v>4</v>
      </c>
      <c r="E1224" s="24" t="s">
        <v>2180</v>
      </c>
    </row>
    <row r="1225" spans="1:5" ht="15.75" customHeight="1" x14ac:dyDescent="0.4">
      <c r="A1225" s="24" t="s">
        <v>1551</v>
      </c>
      <c r="B1225" s="24">
        <v>23</v>
      </c>
      <c r="C1225" s="24">
        <v>6</v>
      </c>
      <c r="D1225" s="24">
        <v>1</v>
      </c>
      <c r="E1225" s="24" t="s">
        <v>2180</v>
      </c>
    </row>
    <row r="1226" spans="1:5" ht="15.75" customHeight="1" x14ac:dyDescent="0.4">
      <c r="A1226" s="24" t="s">
        <v>688</v>
      </c>
      <c r="B1226" s="24">
        <v>21</v>
      </c>
      <c r="C1226" s="24">
        <v>21</v>
      </c>
      <c r="D1226" s="24">
        <v>6</v>
      </c>
      <c r="E1226" s="24" t="s">
        <v>2180</v>
      </c>
    </row>
    <row r="1227" spans="1:5" ht="15.75" customHeight="1" x14ac:dyDescent="0.4">
      <c r="A1227" s="24" t="s">
        <v>694</v>
      </c>
      <c r="B1227" s="24">
        <v>7</v>
      </c>
      <c r="C1227" s="24">
        <v>3</v>
      </c>
      <c r="D1227" s="24">
        <v>0</v>
      </c>
      <c r="E1227" s="24" t="s">
        <v>2180</v>
      </c>
    </row>
    <row r="1228" spans="1:5" ht="15.75" customHeight="1" x14ac:dyDescent="0.4">
      <c r="A1228" s="24" t="s">
        <v>377</v>
      </c>
      <c r="B1228" s="24">
        <v>23</v>
      </c>
      <c r="C1228" s="24">
        <v>16</v>
      </c>
      <c r="D1228" s="24">
        <v>2</v>
      </c>
      <c r="E1228" s="24" t="s">
        <v>2180</v>
      </c>
    </row>
    <row r="1229" spans="1:5" ht="15.75" customHeight="1" x14ac:dyDescent="0.4">
      <c r="A1229" s="24" t="s">
        <v>2063</v>
      </c>
      <c r="B1229" s="24">
        <v>16</v>
      </c>
      <c r="C1229" s="24">
        <v>14</v>
      </c>
      <c r="D1229" s="24">
        <v>0</v>
      </c>
      <c r="E1229" s="24" t="s">
        <v>2180</v>
      </c>
    </row>
    <row r="1230" spans="1:5" ht="15.75" customHeight="1" x14ac:dyDescent="0.4">
      <c r="A1230" s="24" t="s">
        <v>1406</v>
      </c>
      <c r="B1230" s="24">
        <v>18</v>
      </c>
      <c r="C1230" s="24">
        <v>15</v>
      </c>
      <c r="D1230" s="24">
        <v>1</v>
      </c>
      <c r="E1230" s="24" t="s">
        <v>2180</v>
      </c>
    </row>
    <row r="1231" spans="1:5" ht="15.75" customHeight="1" x14ac:dyDescent="0.4">
      <c r="A1231" s="24" t="s">
        <v>321</v>
      </c>
      <c r="B1231" s="24">
        <v>23</v>
      </c>
      <c r="C1231" s="24">
        <v>18</v>
      </c>
      <c r="D1231" s="24">
        <v>0</v>
      </c>
      <c r="E1231" s="24" t="s">
        <v>2180</v>
      </c>
    </row>
    <row r="1232" spans="1:5" ht="15.75" customHeight="1" x14ac:dyDescent="0.4">
      <c r="A1232" s="24" t="s">
        <v>2130</v>
      </c>
      <c r="B1232" s="24">
        <v>20</v>
      </c>
      <c r="C1232" s="24">
        <v>18</v>
      </c>
      <c r="D1232" s="24">
        <v>6</v>
      </c>
      <c r="E1232" s="24" t="s">
        <v>2180</v>
      </c>
    </row>
    <row r="1233" spans="1:5" ht="15.75" customHeight="1" x14ac:dyDescent="0.4">
      <c r="A1233" s="24" t="s">
        <v>1059</v>
      </c>
      <c r="B1233" s="24">
        <v>23</v>
      </c>
      <c r="C1233" s="24">
        <v>13</v>
      </c>
      <c r="D1233" s="24">
        <v>0</v>
      </c>
      <c r="E1233" s="24" t="s">
        <v>2180</v>
      </c>
    </row>
    <row r="1234" spans="1:5" ht="15.75" customHeight="1" x14ac:dyDescent="0.4">
      <c r="A1234" s="24" t="s">
        <v>1507</v>
      </c>
      <c r="B1234" s="24">
        <v>7</v>
      </c>
      <c r="C1234" s="24">
        <v>6</v>
      </c>
      <c r="D1234" s="24">
        <v>0</v>
      </c>
      <c r="E1234" s="24" t="s">
        <v>2180</v>
      </c>
    </row>
    <row r="1235" spans="1:5" ht="15.75" customHeight="1" x14ac:dyDescent="0.4">
      <c r="A1235" s="24" t="s">
        <v>1990</v>
      </c>
      <c r="B1235" s="24">
        <v>23</v>
      </c>
      <c r="C1235" s="24">
        <v>15</v>
      </c>
      <c r="D1235" s="24">
        <v>1</v>
      </c>
      <c r="E1235" s="24" t="s">
        <v>2180</v>
      </c>
    </row>
    <row r="1236" spans="1:5" ht="15.75" customHeight="1" x14ac:dyDescent="0.4">
      <c r="A1236" s="24" t="s">
        <v>1639</v>
      </c>
      <c r="B1236" s="24">
        <v>9</v>
      </c>
      <c r="C1236" s="24">
        <v>7</v>
      </c>
      <c r="D1236" s="24">
        <v>2</v>
      </c>
      <c r="E1236" s="24" t="s">
        <v>2180</v>
      </c>
    </row>
    <row r="1237" spans="1:5" ht="15.75" customHeight="1" x14ac:dyDescent="0.4">
      <c r="A1237" s="24" t="s">
        <v>841</v>
      </c>
      <c r="B1237" s="24">
        <v>23</v>
      </c>
      <c r="C1237" s="24">
        <v>22</v>
      </c>
      <c r="D1237" s="24">
        <v>3</v>
      </c>
      <c r="E1237" s="24" t="s">
        <v>2180</v>
      </c>
    </row>
    <row r="1238" spans="1:5" ht="15.75" customHeight="1" x14ac:dyDescent="0.4">
      <c r="A1238" s="24" t="s">
        <v>299</v>
      </c>
      <c r="B1238" s="24">
        <v>23</v>
      </c>
      <c r="C1238" s="24">
        <v>12</v>
      </c>
      <c r="D1238" s="24">
        <v>0</v>
      </c>
      <c r="E1238" s="24" t="s">
        <v>2180</v>
      </c>
    </row>
    <row r="1239" spans="1:5" ht="15.75" customHeight="1" x14ac:dyDescent="0.4">
      <c r="A1239" s="24" t="s">
        <v>1255</v>
      </c>
      <c r="B1239" s="24">
        <v>21</v>
      </c>
      <c r="C1239" s="24">
        <v>9</v>
      </c>
      <c r="D1239" s="24">
        <v>0</v>
      </c>
      <c r="E1239" s="24" t="s">
        <v>2180</v>
      </c>
    </row>
    <row r="1240" spans="1:5" ht="15.75" customHeight="1" x14ac:dyDescent="0.4">
      <c r="A1240" s="24" t="s">
        <v>993</v>
      </c>
      <c r="B1240" s="24">
        <v>21</v>
      </c>
      <c r="C1240" s="24">
        <v>19</v>
      </c>
      <c r="D1240" s="24">
        <v>5</v>
      </c>
      <c r="E1240" s="24" t="s">
        <v>2180</v>
      </c>
    </row>
    <row r="1241" spans="1:5" ht="15.75" customHeight="1" x14ac:dyDescent="0.4">
      <c r="A1241" s="24" t="s">
        <v>481</v>
      </c>
      <c r="B1241" s="24">
        <v>23</v>
      </c>
      <c r="C1241" s="24">
        <v>22</v>
      </c>
      <c r="D1241" s="24">
        <v>4</v>
      </c>
      <c r="E1241" s="24" t="s">
        <v>2180</v>
      </c>
    </row>
    <row r="1242" spans="1:5" ht="15.75" customHeight="1" x14ac:dyDescent="0.4">
      <c r="A1242" s="24" t="s">
        <v>1931</v>
      </c>
      <c r="B1242" s="24">
        <v>7</v>
      </c>
      <c r="C1242" s="24">
        <v>3</v>
      </c>
      <c r="D1242" s="24">
        <v>0</v>
      </c>
      <c r="E1242" s="24" t="s">
        <v>2180</v>
      </c>
    </row>
    <row r="1243" spans="1:5" ht="15.75" customHeight="1" x14ac:dyDescent="0.4">
      <c r="A1243" s="24" t="s">
        <v>1635</v>
      </c>
      <c r="B1243" s="24">
        <v>20</v>
      </c>
      <c r="C1243" s="24">
        <v>6</v>
      </c>
      <c r="D1243" s="24">
        <v>3</v>
      </c>
      <c r="E1243" s="24" t="s">
        <v>2180</v>
      </c>
    </row>
    <row r="1244" spans="1:5" ht="15.75" customHeight="1" x14ac:dyDescent="0.4">
      <c r="A1244" s="24" t="s">
        <v>283</v>
      </c>
      <c r="B1244" s="24">
        <v>18</v>
      </c>
      <c r="C1244" s="24">
        <v>15</v>
      </c>
      <c r="D1244" s="24">
        <v>2</v>
      </c>
      <c r="E1244" s="24" t="s">
        <v>2180</v>
      </c>
    </row>
    <row r="1245" spans="1:5" ht="15.75" customHeight="1" x14ac:dyDescent="0.4">
      <c r="A1245" s="24" t="s">
        <v>1881</v>
      </c>
      <c r="B1245" s="24">
        <v>9</v>
      </c>
      <c r="C1245" s="24">
        <v>8</v>
      </c>
      <c r="D1245" s="24">
        <v>1</v>
      </c>
      <c r="E1245" s="24" t="s">
        <v>2180</v>
      </c>
    </row>
    <row r="1246" spans="1:5" ht="15.75" customHeight="1" x14ac:dyDescent="0.4">
      <c r="A1246" s="24" t="s">
        <v>1400</v>
      </c>
      <c r="B1246" s="24">
        <v>7</v>
      </c>
      <c r="C1246" s="24">
        <v>0</v>
      </c>
      <c r="D1246" s="24">
        <v>0</v>
      </c>
      <c r="E1246" s="24" t="s">
        <v>2180</v>
      </c>
    </row>
    <row r="1247" spans="1:5" ht="15.75" customHeight="1" x14ac:dyDescent="0.4">
      <c r="A1247" s="24" t="s">
        <v>854</v>
      </c>
      <c r="B1247" s="24">
        <v>18</v>
      </c>
      <c r="C1247" s="24">
        <v>18</v>
      </c>
      <c r="D1247" s="24">
        <v>1</v>
      </c>
      <c r="E1247" s="24" t="s">
        <v>2180</v>
      </c>
    </row>
    <row r="1248" spans="1:5" ht="15.75" customHeight="1" x14ac:dyDescent="0.4">
      <c r="A1248" s="24" t="s">
        <v>1527</v>
      </c>
      <c r="B1248" s="24">
        <v>23</v>
      </c>
      <c r="C1248" s="24">
        <v>11</v>
      </c>
      <c r="D1248" s="24">
        <v>0</v>
      </c>
      <c r="E1248" s="24" t="s">
        <v>2180</v>
      </c>
    </row>
    <row r="1249" spans="1:5" ht="15.75" customHeight="1" x14ac:dyDescent="0.4">
      <c r="A1249" s="24" t="s">
        <v>2073</v>
      </c>
      <c r="B1249" s="24">
        <v>23</v>
      </c>
      <c r="C1249" s="24">
        <v>22</v>
      </c>
      <c r="D1249" s="24">
        <v>0</v>
      </c>
      <c r="E1249" s="24" t="s">
        <v>2180</v>
      </c>
    </row>
    <row r="1250" spans="1:5" ht="15.75" customHeight="1" x14ac:dyDescent="0.4">
      <c r="A1250" s="24" t="s">
        <v>1865</v>
      </c>
      <c r="B1250" s="24">
        <v>18</v>
      </c>
      <c r="C1250" s="24">
        <v>16</v>
      </c>
      <c r="D1250" s="24">
        <v>3</v>
      </c>
      <c r="E1250" s="24" t="s">
        <v>2180</v>
      </c>
    </row>
    <row r="1251" spans="1:5" ht="15.75" customHeight="1" x14ac:dyDescent="0.4">
      <c r="A1251" s="24" t="s">
        <v>1935</v>
      </c>
      <c r="B1251" s="24">
        <v>0</v>
      </c>
      <c r="C1251" s="24">
        <v>0</v>
      </c>
      <c r="D1251" s="24">
        <v>0</v>
      </c>
      <c r="E1251" s="24" t="s">
        <v>2180</v>
      </c>
    </row>
    <row r="1252" spans="1:5" ht="15.75" customHeight="1" x14ac:dyDescent="0.4">
      <c r="A1252" s="24" t="s">
        <v>794</v>
      </c>
      <c r="B1252" s="24">
        <v>6</v>
      </c>
      <c r="C1252" s="24">
        <v>6</v>
      </c>
      <c r="D1252" s="24">
        <v>0</v>
      </c>
      <c r="E1252" s="24" t="s">
        <v>2180</v>
      </c>
    </row>
    <row r="1253" spans="1:5" ht="15.75" customHeight="1" x14ac:dyDescent="0.4">
      <c r="A1253" s="24" t="s">
        <v>1899</v>
      </c>
      <c r="B1253" s="24">
        <v>11</v>
      </c>
      <c r="C1253" s="24">
        <v>4</v>
      </c>
      <c r="D1253" s="24">
        <v>0</v>
      </c>
      <c r="E1253" s="24" t="s">
        <v>2180</v>
      </c>
    </row>
    <row r="1254" spans="1:5" ht="15.75" customHeight="1" x14ac:dyDescent="0.4">
      <c r="A1254" s="24" t="s">
        <v>2119</v>
      </c>
      <c r="B1254" s="24">
        <v>21</v>
      </c>
      <c r="C1254" s="24">
        <v>19</v>
      </c>
      <c r="D1254" s="24">
        <v>2</v>
      </c>
      <c r="E1254" s="24" t="s">
        <v>2180</v>
      </c>
    </row>
    <row r="1255" spans="1:5" ht="15.75" customHeight="1" x14ac:dyDescent="0.4">
      <c r="A1255" s="24" t="s">
        <v>1736</v>
      </c>
      <c r="B1255" s="24">
        <v>21</v>
      </c>
      <c r="C1255" s="24">
        <v>15</v>
      </c>
      <c r="D1255" s="24">
        <v>1</v>
      </c>
      <c r="E1255" s="24" t="s">
        <v>2180</v>
      </c>
    </row>
    <row r="1256" spans="1:5" ht="15.75" customHeight="1" x14ac:dyDescent="0.4">
      <c r="A1256" s="24" t="s">
        <v>1729</v>
      </c>
      <c r="B1256" s="24">
        <v>23</v>
      </c>
      <c r="C1256" s="24">
        <v>19</v>
      </c>
      <c r="D1256" s="24">
        <v>0</v>
      </c>
      <c r="E1256" s="24" t="s">
        <v>2180</v>
      </c>
    </row>
    <row r="1257" spans="1:5" ht="15.75" customHeight="1" x14ac:dyDescent="0.4">
      <c r="A1257" s="24" t="s">
        <v>2144</v>
      </c>
      <c r="B1257" s="24">
        <v>12</v>
      </c>
      <c r="C1257" s="24">
        <v>11</v>
      </c>
      <c r="D1257" s="24">
        <v>2</v>
      </c>
      <c r="E1257" s="24" t="s">
        <v>2180</v>
      </c>
    </row>
    <row r="1258" spans="1:5" ht="15.75" customHeight="1" x14ac:dyDescent="0.4">
      <c r="A1258" s="24" t="s">
        <v>2052</v>
      </c>
      <c r="B1258" s="24">
        <v>23</v>
      </c>
      <c r="C1258" s="24">
        <v>6</v>
      </c>
      <c r="D1258" s="24">
        <v>0</v>
      </c>
      <c r="E1258" s="24" t="s">
        <v>2180</v>
      </c>
    </row>
    <row r="1259" spans="1:5" ht="15.75" customHeight="1" x14ac:dyDescent="0.4">
      <c r="A1259" s="24" t="s">
        <v>1329</v>
      </c>
      <c r="B1259" s="24">
        <v>9</v>
      </c>
      <c r="C1259" s="24">
        <v>6</v>
      </c>
      <c r="D1259" s="24">
        <v>1</v>
      </c>
      <c r="E1259" s="24" t="s">
        <v>2180</v>
      </c>
    </row>
    <row r="1260" spans="1:5" ht="15.75" customHeight="1" x14ac:dyDescent="0.4">
      <c r="A1260" s="24" t="s">
        <v>1679</v>
      </c>
      <c r="B1260" s="24">
        <v>20</v>
      </c>
      <c r="C1260" s="24">
        <v>10</v>
      </c>
      <c r="D1260" s="24">
        <v>2</v>
      </c>
      <c r="E1260" s="24" t="s">
        <v>2180</v>
      </c>
    </row>
    <row r="1261" spans="1:5" ht="15.75" customHeight="1" x14ac:dyDescent="0.4">
      <c r="A1261" s="24" t="s">
        <v>1754</v>
      </c>
      <c r="B1261" s="24">
        <v>7</v>
      </c>
      <c r="C1261" s="24">
        <v>7</v>
      </c>
      <c r="D1261" s="24">
        <v>4</v>
      </c>
      <c r="E1261" s="24" t="s">
        <v>2180</v>
      </c>
    </row>
    <row r="1262" spans="1:5" ht="15.75" customHeight="1" x14ac:dyDescent="0.4">
      <c r="A1262" s="24" t="s">
        <v>2011</v>
      </c>
      <c r="B1262" s="24">
        <v>18</v>
      </c>
      <c r="C1262" s="24">
        <v>4</v>
      </c>
      <c r="D1262" s="24">
        <v>0</v>
      </c>
      <c r="E1262" s="24" t="s">
        <v>2180</v>
      </c>
    </row>
    <row r="1263" spans="1:5" ht="15.75" customHeight="1" x14ac:dyDescent="0.4">
      <c r="A1263" s="24" t="s">
        <v>801</v>
      </c>
      <c r="B1263" s="24">
        <v>20</v>
      </c>
      <c r="C1263" s="24">
        <v>0</v>
      </c>
      <c r="D1263" s="24">
        <v>0</v>
      </c>
      <c r="E1263" s="24" t="s">
        <v>2180</v>
      </c>
    </row>
    <row r="1264" spans="1:5" ht="15.75" customHeight="1" x14ac:dyDescent="0.4">
      <c r="A1264" s="24" t="s">
        <v>1211</v>
      </c>
      <c r="B1264" s="24">
        <v>6</v>
      </c>
      <c r="C1264" s="24">
        <v>6</v>
      </c>
      <c r="D1264" s="24">
        <v>0</v>
      </c>
      <c r="E1264" s="24" t="s">
        <v>2180</v>
      </c>
    </row>
    <row r="1265" spans="1:5" ht="15.75" customHeight="1" x14ac:dyDescent="0.4">
      <c r="A1265" s="24" t="s">
        <v>754</v>
      </c>
      <c r="B1265" s="24">
        <v>23</v>
      </c>
      <c r="C1265" s="24">
        <v>16</v>
      </c>
      <c r="D1265" s="24">
        <v>0</v>
      </c>
      <c r="E1265" s="24" t="s">
        <v>2180</v>
      </c>
    </row>
    <row r="1266" spans="1:5" ht="15.75" customHeight="1" x14ac:dyDescent="0.4">
      <c r="A1266" s="24" t="s">
        <v>2023</v>
      </c>
      <c r="B1266" s="24">
        <v>23</v>
      </c>
      <c r="C1266" s="24">
        <v>16</v>
      </c>
      <c r="D1266" s="24">
        <v>1</v>
      </c>
      <c r="E1266" s="24" t="s">
        <v>2180</v>
      </c>
    </row>
    <row r="1267" spans="1:5" ht="15.75" customHeight="1" x14ac:dyDescent="0.4">
      <c r="A1267" s="24" t="s">
        <v>1177</v>
      </c>
      <c r="B1267" s="24">
        <v>23</v>
      </c>
      <c r="C1267" s="24">
        <v>18</v>
      </c>
      <c r="D1267" s="24">
        <v>1</v>
      </c>
      <c r="E1267" s="24" t="s">
        <v>2180</v>
      </c>
    </row>
    <row r="1268" spans="1:5" ht="15.75" customHeight="1" x14ac:dyDescent="0.4">
      <c r="A1268" s="24" t="s">
        <v>393</v>
      </c>
      <c r="B1268" s="24">
        <v>23</v>
      </c>
      <c r="C1268" s="24">
        <v>19</v>
      </c>
      <c r="D1268" s="24">
        <v>0</v>
      </c>
      <c r="E1268" s="24" t="s">
        <v>2180</v>
      </c>
    </row>
    <row r="1269" spans="1:5" ht="15.75" customHeight="1" x14ac:dyDescent="0.4">
      <c r="A1269" s="24" t="s">
        <v>291</v>
      </c>
      <c r="B1269" s="24">
        <v>20</v>
      </c>
      <c r="C1269" s="24">
        <v>19</v>
      </c>
      <c r="D1269" s="24">
        <v>3</v>
      </c>
      <c r="E1269" s="24" t="s">
        <v>2180</v>
      </c>
    </row>
    <row r="1270" spans="1:5" ht="15.75" customHeight="1" x14ac:dyDescent="0.4">
      <c r="A1270" s="24" t="s">
        <v>1520</v>
      </c>
      <c r="B1270" s="24">
        <v>14</v>
      </c>
      <c r="C1270" s="24">
        <v>3</v>
      </c>
      <c r="D1270" s="24">
        <v>0</v>
      </c>
      <c r="E1270" s="24" t="s">
        <v>2180</v>
      </c>
    </row>
    <row r="1271" spans="1:5" ht="15.75" customHeight="1" x14ac:dyDescent="0.4">
      <c r="A1271" s="24" t="s">
        <v>830</v>
      </c>
      <c r="B1271" s="24">
        <v>23</v>
      </c>
      <c r="C1271" s="24">
        <v>12</v>
      </c>
      <c r="D1271" s="24">
        <v>2</v>
      </c>
      <c r="E1271" s="24" t="s">
        <v>2180</v>
      </c>
    </row>
    <row r="1272" spans="1:5" ht="15.75" customHeight="1" x14ac:dyDescent="0.4">
      <c r="A1272" s="24" t="s">
        <v>772</v>
      </c>
      <c r="B1272" s="24">
        <v>23</v>
      </c>
      <c r="C1272" s="24">
        <v>23</v>
      </c>
      <c r="D1272" s="24">
        <v>4</v>
      </c>
      <c r="E1272" s="24" t="s">
        <v>2180</v>
      </c>
    </row>
    <row r="1273" spans="1:5" ht="15.75" customHeight="1" x14ac:dyDescent="0.4">
      <c r="A1273" s="24" t="s">
        <v>1370</v>
      </c>
      <c r="B1273" s="24">
        <v>20</v>
      </c>
      <c r="C1273" s="24">
        <v>14</v>
      </c>
      <c r="D1273" s="24">
        <v>8</v>
      </c>
      <c r="E1273" s="24" t="s">
        <v>2180</v>
      </c>
    </row>
    <row r="1274" spans="1:5" ht="15.75" customHeight="1" x14ac:dyDescent="0.4">
      <c r="A1274" s="24" t="s">
        <v>1907</v>
      </c>
      <c r="B1274" s="24">
        <v>18</v>
      </c>
      <c r="C1274" s="24">
        <v>11</v>
      </c>
      <c r="D1274" s="24">
        <v>1</v>
      </c>
      <c r="E1274" s="24" t="s">
        <v>2180</v>
      </c>
    </row>
    <row r="1275" spans="1:5" ht="15.75" customHeight="1" x14ac:dyDescent="0.4">
      <c r="A1275" s="24" t="s">
        <v>1191</v>
      </c>
      <c r="B1275" s="24">
        <v>18</v>
      </c>
      <c r="C1275" s="24">
        <v>13</v>
      </c>
      <c r="D1275" s="24">
        <v>3</v>
      </c>
      <c r="E1275" s="24" t="s">
        <v>2180</v>
      </c>
    </row>
    <row r="1276" spans="1:5" ht="15.75" customHeight="1" x14ac:dyDescent="0.4">
      <c r="A1276" s="24" t="s">
        <v>1655</v>
      </c>
      <c r="B1276" s="24">
        <v>23</v>
      </c>
      <c r="C1276" s="24">
        <v>20</v>
      </c>
      <c r="D1276" s="24">
        <v>1</v>
      </c>
      <c r="E1276" s="24" t="s">
        <v>2180</v>
      </c>
    </row>
    <row r="1277" spans="1:5" ht="15.75" customHeight="1" x14ac:dyDescent="0.4">
      <c r="A1277" s="24" t="s">
        <v>1873</v>
      </c>
      <c r="B1277" s="24">
        <v>15</v>
      </c>
      <c r="C1277" s="24">
        <v>10</v>
      </c>
      <c r="D1277" s="24">
        <v>0</v>
      </c>
      <c r="E1277" s="24" t="s">
        <v>2180</v>
      </c>
    </row>
    <row r="1278" spans="1:5" ht="15.75" customHeight="1" x14ac:dyDescent="0.4">
      <c r="A1278" s="24" t="s">
        <v>665</v>
      </c>
      <c r="B1278" s="24">
        <v>20</v>
      </c>
      <c r="C1278" s="24">
        <v>16</v>
      </c>
      <c r="D1278" s="24">
        <v>3</v>
      </c>
      <c r="E1278" s="24" t="s">
        <v>2180</v>
      </c>
    </row>
    <row r="1279" spans="1:5" ht="15.75" customHeight="1" x14ac:dyDescent="0.4">
      <c r="A1279" s="24" t="s">
        <v>1779</v>
      </c>
      <c r="B1279" s="24">
        <v>23</v>
      </c>
      <c r="C1279" s="24">
        <v>15</v>
      </c>
      <c r="D1279" s="24">
        <v>1</v>
      </c>
      <c r="E1279" s="24" t="s">
        <v>2180</v>
      </c>
    </row>
    <row r="1280" spans="1:5" ht="15.75" customHeight="1" x14ac:dyDescent="0.4">
      <c r="A1280" s="24" t="s">
        <v>1167</v>
      </c>
      <c r="B1280" s="24">
        <v>23</v>
      </c>
      <c r="C1280" s="24">
        <v>23</v>
      </c>
      <c r="D1280" s="24">
        <v>2</v>
      </c>
      <c r="E1280" s="24" t="s">
        <v>2180</v>
      </c>
    </row>
    <row r="1281" spans="1:5" ht="15.75" customHeight="1" x14ac:dyDescent="0.4">
      <c r="A1281" s="24" t="s">
        <v>1132</v>
      </c>
      <c r="B1281" s="24">
        <v>18</v>
      </c>
      <c r="C1281" s="24">
        <v>12</v>
      </c>
      <c r="D1281" s="24">
        <v>0</v>
      </c>
      <c r="E1281" s="24" t="s">
        <v>2180</v>
      </c>
    </row>
    <row r="1282" spans="1:5" ht="15.75" customHeight="1" x14ac:dyDescent="0.4">
      <c r="A1282" s="24" t="s">
        <v>1296</v>
      </c>
      <c r="B1282" s="24">
        <v>7</v>
      </c>
      <c r="C1282" s="24">
        <v>6</v>
      </c>
      <c r="D1282" s="24">
        <v>0</v>
      </c>
      <c r="E1282" s="24" t="s">
        <v>2180</v>
      </c>
    </row>
    <row r="1283" spans="1:5" ht="15.75" customHeight="1" x14ac:dyDescent="0.4">
      <c r="A1283" s="24" t="s">
        <v>1618</v>
      </c>
      <c r="B1283" s="24">
        <v>23</v>
      </c>
      <c r="C1283" s="24">
        <v>18</v>
      </c>
      <c r="D1283" s="24">
        <v>4</v>
      </c>
      <c r="E1283" s="24" t="s">
        <v>2180</v>
      </c>
    </row>
    <row r="1284" spans="1:5" ht="15.75" customHeight="1" x14ac:dyDescent="0.4">
      <c r="A1284" s="24" t="s">
        <v>978</v>
      </c>
      <c r="B1284" s="24">
        <v>7</v>
      </c>
      <c r="C1284" s="24">
        <v>5</v>
      </c>
      <c r="D1284" s="24">
        <v>1</v>
      </c>
      <c r="E1284" s="24" t="s">
        <v>2180</v>
      </c>
    </row>
    <row r="1285" spans="1:5" ht="15.75" customHeight="1" x14ac:dyDescent="0.4">
      <c r="A1285" s="24" t="s">
        <v>1579</v>
      </c>
      <c r="B1285" s="24">
        <v>7</v>
      </c>
      <c r="C1285" s="24">
        <v>7</v>
      </c>
      <c r="D1285" s="24">
        <v>2</v>
      </c>
      <c r="E1285" s="24" t="s">
        <v>2180</v>
      </c>
    </row>
    <row r="1286" spans="1:5" ht="15.75" customHeight="1" x14ac:dyDescent="0.4">
      <c r="A1286" s="24" t="s">
        <v>1573</v>
      </c>
      <c r="B1286" s="24">
        <v>20</v>
      </c>
      <c r="C1286" s="24">
        <v>14</v>
      </c>
      <c r="D1286" s="24">
        <v>4</v>
      </c>
      <c r="E1286" s="24" t="s">
        <v>2180</v>
      </c>
    </row>
    <row r="1287" spans="1:5" ht="15.75" customHeight="1" x14ac:dyDescent="0.4">
      <c r="A1287" s="24" t="s">
        <v>1886</v>
      </c>
      <c r="B1287" s="24">
        <v>20</v>
      </c>
      <c r="C1287" s="24">
        <v>18</v>
      </c>
      <c r="D1287" s="24">
        <v>9</v>
      </c>
      <c r="E1287" s="24" t="s">
        <v>2180</v>
      </c>
    </row>
    <row r="1288" spans="1:5" ht="15.75" customHeight="1" x14ac:dyDescent="0.4">
      <c r="A1288" s="24" t="s">
        <v>2109</v>
      </c>
      <c r="B1288" s="24">
        <v>7</v>
      </c>
      <c r="C1288" s="24">
        <v>5</v>
      </c>
      <c r="D1288" s="24">
        <v>0</v>
      </c>
      <c r="E1288" s="24" t="s">
        <v>2180</v>
      </c>
    </row>
    <row r="1289" spans="1:5" ht="15.75" customHeight="1" x14ac:dyDescent="0.4">
      <c r="A1289" s="24" t="s">
        <v>1068</v>
      </c>
      <c r="B1289" s="24">
        <v>21</v>
      </c>
      <c r="C1289" s="24">
        <v>16</v>
      </c>
      <c r="D1289" s="24">
        <v>1</v>
      </c>
      <c r="E1289" s="24" t="s">
        <v>2180</v>
      </c>
    </row>
    <row r="1290" spans="1:5" ht="15.75" customHeight="1" x14ac:dyDescent="0.4">
      <c r="A1290" s="24" t="s">
        <v>1276</v>
      </c>
      <c r="B1290" s="24">
        <v>11</v>
      </c>
      <c r="C1290" s="24">
        <v>5</v>
      </c>
      <c r="D1290" s="24">
        <v>1</v>
      </c>
      <c r="E1290" s="24" t="s">
        <v>2180</v>
      </c>
    </row>
    <row r="1291" spans="1:5" ht="15.75" customHeight="1" x14ac:dyDescent="0.4">
      <c r="A1291" s="24" t="s">
        <v>954</v>
      </c>
      <c r="B1291" s="24">
        <v>18</v>
      </c>
      <c r="C1291" s="24">
        <v>18</v>
      </c>
      <c r="D1291" s="24">
        <v>3</v>
      </c>
      <c r="E1291" s="24" t="s">
        <v>2180</v>
      </c>
    </row>
    <row r="1292" spans="1:5" ht="15.75" customHeight="1" x14ac:dyDescent="0.4">
      <c r="A1292" s="24" t="s">
        <v>1694</v>
      </c>
      <c r="B1292" s="24">
        <v>20</v>
      </c>
      <c r="C1292" s="24">
        <v>16</v>
      </c>
      <c r="D1292" s="24">
        <v>2</v>
      </c>
      <c r="E1292" s="24" t="s">
        <v>2180</v>
      </c>
    </row>
    <row r="1293" spans="1:5" ht="15.75" customHeight="1" x14ac:dyDescent="0.4">
      <c r="A1293" s="24" t="s">
        <v>1939</v>
      </c>
      <c r="B1293" s="24">
        <v>0</v>
      </c>
      <c r="C1293" s="24">
        <v>0</v>
      </c>
      <c r="D1293" s="24">
        <v>0</v>
      </c>
      <c r="E1293" s="24" t="s">
        <v>2180</v>
      </c>
    </row>
    <row r="1294" spans="1:5" ht="15.75" customHeight="1" x14ac:dyDescent="0.4">
      <c r="A1294" s="24" t="s">
        <v>1140</v>
      </c>
      <c r="B1294" s="24">
        <v>16</v>
      </c>
      <c r="C1294" s="24">
        <v>16</v>
      </c>
      <c r="D1294" s="24">
        <v>1</v>
      </c>
      <c r="E1294" s="24" t="s">
        <v>2180</v>
      </c>
    </row>
    <row r="1295" spans="1:5" ht="15.75" customHeight="1" x14ac:dyDescent="0.4">
      <c r="A1295" s="24" t="s">
        <v>1894</v>
      </c>
      <c r="B1295" s="24">
        <v>23</v>
      </c>
      <c r="C1295" s="24">
        <v>3</v>
      </c>
      <c r="D1295" s="24">
        <v>0</v>
      </c>
      <c r="E1295" s="24" t="s">
        <v>2180</v>
      </c>
    </row>
    <row r="1296" spans="1:5" ht="15.75" customHeight="1" x14ac:dyDescent="0.4">
      <c r="A1296" s="24" t="s">
        <v>1504</v>
      </c>
      <c r="B1296" s="24">
        <v>7</v>
      </c>
      <c r="C1296" s="24">
        <v>2</v>
      </c>
      <c r="D1296" s="24">
        <v>0</v>
      </c>
      <c r="E1296" s="24" t="s">
        <v>2180</v>
      </c>
    </row>
    <row r="1297" spans="1:5" ht="15.75" customHeight="1" x14ac:dyDescent="0.4">
      <c r="A1297" s="24" t="s">
        <v>1283</v>
      </c>
      <c r="B1297" s="24">
        <v>18</v>
      </c>
      <c r="C1297" s="24">
        <v>15</v>
      </c>
      <c r="D1297" s="24">
        <v>3</v>
      </c>
      <c r="E1297" s="24" t="s">
        <v>2180</v>
      </c>
    </row>
    <row r="1298" spans="1:5" ht="15.75" customHeight="1" x14ac:dyDescent="0.4">
      <c r="A1298" s="24" t="s">
        <v>2107</v>
      </c>
      <c r="B1298" s="24">
        <v>23</v>
      </c>
      <c r="C1298" s="24">
        <v>12</v>
      </c>
      <c r="D1298" s="24">
        <v>1</v>
      </c>
      <c r="E1298" s="24" t="s">
        <v>2180</v>
      </c>
    </row>
    <row r="1299" spans="1:5" ht="15.75" customHeight="1" x14ac:dyDescent="0.4">
      <c r="A1299" s="24" t="s">
        <v>1386</v>
      </c>
      <c r="B1299" s="24">
        <v>21</v>
      </c>
      <c r="C1299" s="24">
        <v>21</v>
      </c>
      <c r="D1299" s="24">
        <v>3</v>
      </c>
      <c r="E1299" s="24" t="s">
        <v>2180</v>
      </c>
    </row>
    <row r="1300" spans="1:5" ht="15.75" customHeight="1" x14ac:dyDescent="0.4">
      <c r="A1300" s="24" t="s">
        <v>1859</v>
      </c>
      <c r="B1300" s="24">
        <v>7</v>
      </c>
      <c r="C1300" s="24">
        <v>2</v>
      </c>
      <c r="D1300" s="24">
        <v>1</v>
      </c>
      <c r="E1300" s="24" t="s">
        <v>2180</v>
      </c>
    </row>
    <row r="1301" spans="1:5" ht="15.75" customHeight="1" x14ac:dyDescent="0.4">
      <c r="A1301" s="24" t="s">
        <v>1912</v>
      </c>
      <c r="B1301" s="24">
        <v>17</v>
      </c>
      <c r="C1301" s="24">
        <v>9</v>
      </c>
      <c r="D1301" s="24">
        <v>3</v>
      </c>
      <c r="E1301" s="24" t="s">
        <v>2180</v>
      </c>
    </row>
    <row r="1302" spans="1:5" ht="15.75" customHeight="1" x14ac:dyDescent="0.4">
      <c r="A1302" s="24" t="s">
        <v>2169</v>
      </c>
      <c r="B1302" s="24">
        <v>15</v>
      </c>
      <c r="C1302" s="24">
        <v>5</v>
      </c>
      <c r="D1302" s="24">
        <v>1</v>
      </c>
      <c r="E1302" s="24" t="s">
        <v>2180</v>
      </c>
    </row>
    <row r="1303" spans="1:5" ht="15.75" customHeight="1" x14ac:dyDescent="0.4">
      <c r="A1303" s="24" t="s">
        <v>1430</v>
      </c>
      <c r="B1303" s="24">
        <v>11</v>
      </c>
      <c r="C1303" s="24">
        <v>5</v>
      </c>
      <c r="D1303" s="24">
        <v>2</v>
      </c>
      <c r="E1303" s="24" t="s">
        <v>2180</v>
      </c>
    </row>
    <row r="1304" spans="1:5" ht="15.75" customHeight="1" x14ac:dyDescent="0.4">
      <c r="A1304" s="24" t="s">
        <v>289</v>
      </c>
      <c r="B1304" s="24">
        <v>23</v>
      </c>
      <c r="C1304" s="24">
        <v>15</v>
      </c>
      <c r="D1304" s="24">
        <v>0</v>
      </c>
      <c r="E1304" s="24" t="s">
        <v>2180</v>
      </c>
    </row>
    <row r="1305" spans="1:5" ht="15.75" customHeight="1" x14ac:dyDescent="0.4">
      <c r="A1305" s="24" t="s">
        <v>1761</v>
      </c>
      <c r="B1305" s="24">
        <v>7</v>
      </c>
      <c r="C1305" s="24">
        <v>7</v>
      </c>
      <c r="D1305" s="24">
        <v>3</v>
      </c>
      <c r="E1305" s="24" t="s">
        <v>2180</v>
      </c>
    </row>
    <row r="1306" spans="1:5" ht="15.75" customHeight="1" x14ac:dyDescent="0.4">
      <c r="A1306" s="24" t="s">
        <v>884</v>
      </c>
      <c r="B1306" s="24">
        <v>20</v>
      </c>
      <c r="C1306" s="24">
        <v>15</v>
      </c>
      <c r="D1306" s="24">
        <v>1</v>
      </c>
      <c r="E1306" s="24" t="s">
        <v>2180</v>
      </c>
    </row>
    <row r="1307" spans="1:5" ht="15.75" customHeight="1" x14ac:dyDescent="0.4">
      <c r="A1307" s="24" t="s">
        <v>892</v>
      </c>
      <c r="B1307" s="24">
        <v>18</v>
      </c>
      <c r="C1307" s="24">
        <v>16</v>
      </c>
      <c r="D1307" s="24">
        <v>1</v>
      </c>
      <c r="E1307" s="24" t="s">
        <v>2180</v>
      </c>
    </row>
    <row r="1308" spans="1:5" ht="15.75" customHeight="1" x14ac:dyDescent="0.4">
      <c r="A1308" s="24" t="s">
        <v>858</v>
      </c>
      <c r="B1308" s="24">
        <v>9</v>
      </c>
      <c r="C1308" s="24">
        <v>7</v>
      </c>
      <c r="D1308" s="24">
        <v>2</v>
      </c>
      <c r="E1308" s="24" t="s">
        <v>2180</v>
      </c>
    </row>
    <row r="1309" spans="1:5" ht="15.75" customHeight="1" x14ac:dyDescent="0.4">
      <c r="A1309" s="24" t="s">
        <v>1857</v>
      </c>
      <c r="B1309" s="24">
        <v>23</v>
      </c>
      <c r="C1309" s="24">
        <v>16</v>
      </c>
      <c r="D1309" s="24">
        <v>2</v>
      </c>
      <c r="E1309" s="24" t="s">
        <v>2180</v>
      </c>
    </row>
    <row r="1310" spans="1:5" ht="15.75" customHeight="1" x14ac:dyDescent="0.4">
      <c r="A1310" s="24" t="s">
        <v>1867</v>
      </c>
      <c r="B1310" s="24">
        <v>7</v>
      </c>
      <c r="C1310" s="24">
        <v>0</v>
      </c>
      <c r="D1310" s="24">
        <v>1</v>
      </c>
      <c r="E1310" s="24" t="s">
        <v>2180</v>
      </c>
    </row>
    <row r="1311" spans="1:5" ht="15.75" customHeight="1" x14ac:dyDescent="0.4">
      <c r="A1311" s="24" t="s">
        <v>1014</v>
      </c>
      <c r="B1311" s="24">
        <v>18</v>
      </c>
      <c r="C1311" s="24">
        <v>8</v>
      </c>
      <c r="D1311" s="24">
        <v>11</v>
      </c>
      <c r="E1311" s="24" t="s">
        <v>2180</v>
      </c>
    </row>
    <row r="1312" spans="1:5" ht="15.75" customHeight="1" x14ac:dyDescent="0.4">
      <c r="A1312" s="24" t="s">
        <v>2025</v>
      </c>
      <c r="B1312" s="24">
        <v>20</v>
      </c>
      <c r="C1312" s="24">
        <v>4</v>
      </c>
      <c r="D1312" s="24">
        <v>8</v>
      </c>
      <c r="E1312" s="24" t="s">
        <v>2180</v>
      </c>
    </row>
    <row r="1313" spans="1:5" ht="15.75" customHeight="1" x14ac:dyDescent="0.4">
      <c r="A1313" s="24" t="s">
        <v>1250</v>
      </c>
      <c r="B1313" s="24">
        <v>10</v>
      </c>
      <c r="C1313" s="24">
        <v>3</v>
      </c>
      <c r="D1313" s="24">
        <v>0</v>
      </c>
      <c r="E1313" s="24" t="s">
        <v>2180</v>
      </c>
    </row>
    <row r="1314" spans="1:5" ht="15.75" customHeight="1" x14ac:dyDescent="0.4">
      <c r="A1314" s="24" t="s">
        <v>969</v>
      </c>
      <c r="B1314" s="24">
        <v>21</v>
      </c>
      <c r="C1314" s="24">
        <v>13</v>
      </c>
      <c r="D1314" s="24">
        <v>2</v>
      </c>
      <c r="E1314" s="24" t="s">
        <v>2180</v>
      </c>
    </row>
    <row r="1315" spans="1:5" ht="15.75" customHeight="1" x14ac:dyDescent="0.4">
      <c r="A1315" s="24" t="s">
        <v>1448</v>
      </c>
      <c r="B1315" s="24">
        <v>6</v>
      </c>
      <c r="C1315" s="24">
        <v>6</v>
      </c>
      <c r="D1315" s="24">
        <v>0</v>
      </c>
      <c r="E1315" s="24" t="s">
        <v>2180</v>
      </c>
    </row>
    <row r="1316" spans="1:5" ht="15.75" customHeight="1" x14ac:dyDescent="0.4">
      <c r="A1316" s="24" t="s">
        <v>1080</v>
      </c>
      <c r="B1316" s="24">
        <v>18</v>
      </c>
      <c r="C1316" s="24">
        <v>10</v>
      </c>
      <c r="D1316" s="24">
        <v>1</v>
      </c>
      <c r="E1316" s="24" t="s">
        <v>2180</v>
      </c>
    </row>
    <row r="1317" spans="1:5" ht="15.75" customHeight="1" x14ac:dyDescent="0.4">
      <c r="A1317" s="24" t="s">
        <v>1420</v>
      </c>
      <c r="B1317" s="24">
        <v>12</v>
      </c>
      <c r="C1317" s="24">
        <v>4</v>
      </c>
      <c r="D1317" s="24">
        <v>0</v>
      </c>
      <c r="E1317" s="24" t="s">
        <v>2180</v>
      </c>
    </row>
    <row r="1318" spans="1:5" ht="15.75" customHeight="1" x14ac:dyDescent="0.4">
      <c r="A1318" s="24" t="s">
        <v>905</v>
      </c>
      <c r="B1318" s="24">
        <v>21</v>
      </c>
      <c r="C1318" s="24">
        <v>3</v>
      </c>
      <c r="D1318" s="24">
        <v>0</v>
      </c>
      <c r="E1318" s="24" t="s">
        <v>2180</v>
      </c>
    </row>
    <row r="1319" spans="1:5" ht="15.75" customHeight="1" x14ac:dyDescent="0.4">
      <c r="A1319" s="24" t="s">
        <v>1686</v>
      </c>
      <c r="B1319" s="24">
        <v>7</v>
      </c>
      <c r="C1319" s="24">
        <v>5</v>
      </c>
      <c r="D1319" s="24">
        <v>0</v>
      </c>
      <c r="E1319" s="24" t="s">
        <v>2180</v>
      </c>
    </row>
    <row r="1320" spans="1:5" ht="15.75" customHeight="1" x14ac:dyDescent="0.4">
      <c r="A1320" s="24" t="s">
        <v>2049</v>
      </c>
      <c r="B1320" s="24">
        <v>21</v>
      </c>
      <c r="C1320" s="24">
        <v>18</v>
      </c>
      <c r="D1320" s="24">
        <v>3</v>
      </c>
      <c r="E1320" s="24" t="s">
        <v>2180</v>
      </c>
    </row>
    <row r="1321" spans="1:5" ht="15.75" customHeight="1" x14ac:dyDescent="0.4">
      <c r="A1321" s="24" t="s">
        <v>249</v>
      </c>
      <c r="B1321" s="24">
        <v>19</v>
      </c>
      <c r="C1321" s="24">
        <v>18</v>
      </c>
      <c r="D1321" s="24">
        <v>11</v>
      </c>
      <c r="E1321" s="24" t="s">
        <v>2180</v>
      </c>
    </row>
    <row r="1322" spans="1:5" ht="15.75" customHeight="1" x14ac:dyDescent="0.4">
      <c r="A1322" s="24" t="s">
        <v>1419</v>
      </c>
      <c r="B1322" s="24">
        <v>23</v>
      </c>
      <c r="C1322" s="24">
        <v>23</v>
      </c>
      <c r="D1322" s="24">
        <v>2</v>
      </c>
      <c r="E1322" s="24" t="s">
        <v>2180</v>
      </c>
    </row>
    <row r="1323" spans="1:5" ht="15.75" customHeight="1" x14ac:dyDescent="0.4">
      <c r="A1323" s="24" t="s">
        <v>965</v>
      </c>
      <c r="B1323" s="24">
        <v>12</v>
      </c>
      <c r="C1323" s="24">
        <v>10</v>
      </c>
      <c r="D1323" s="24">
        <v>1</v>
      </c>
      <c r="E1323" s="24" t="s">
        <v>2180</v>
      </c>
    </row>
    <row r="1324" spans="1:5" ht="15.75" customHeight="1" x14ac:dyDescent="0.4">
      <c r="A1324" s="24" t="s">
        <v>2157</v>
      </c>
      <c r="B1324" s="24">
        <v>23</v>
      </c>
      <c r="C1324" s="24">
        <v>10</v>
      </c>
      <c r="D1324" s="24">
        <v>1</v>
      </c>
      <c r="E1324" s="24" t="s">
        <v>2180</v>
      </c>
    </row>
    <row r="1325" spans="1:5" ht="15.75" customHeight="1" x14ac:dyDescent="0.4">
      <c r="A1325" s="24" t="s">
        <v>561</v>
      </c>
      <c r="B1325" s="24">
        <v>9</v>
      </c>
      <c r="C1325" s="24">
        <v>8</v>
      </c>
      <c r="D1325" s="24">
        <v>3</v>
      </c>
      <c r="E1325" s="24" t="s">
        <v>2180</v>
      </c>
    </row>
    <row r="1326" spans="1:5" ht="15.75" customHeight="1" x14ac:dyDescent="0.4">
      <c r="A1326" s="24" t="s">
        <v>1727</v>
      </c>
      <c r="B1326" s="24">
        <v>21</v>
      </c>
      <c r="C1326" s="24">
        <v>15</v>
      </c>
      <c r="D1326" s="24">
        <v>4</v>
      </c>
      <c r="E1326" s="24" t="s">
        <v>2180</v>
      </c>
    </row>
    <row r="1327" spans="1:5" ht="15.75" customHeight="1" x14ac:dyDescent="0.4">
      <c r="A1327" s="24" t="s">
        <v>1996</v>
      </c>
      <c r="B1327" s="24">
        <v>7</v>
      </c>
      <c r="C1327" s="24">
        <v>7</v>
      </c>
      <c r="D1327" s="24">
        <v>1</v>
      </c>
      <c r="E1327" s="24" t="s">
        <v>2180</v>
      </c>
    </row>
    <row r="1328" spans="1:5" ht="15.75" customHeight="1" x14ac:dyDescent="0.4">
      <c r="A1328" s="24" t="s">
        <v>593</v>
      </c>
      <c r="B1328" s="24">
        <v>15</v>
      </c>
      <c r="C1328" s="24">
        <v>15</v>
      </c>
      <c r="D1328" s="24">
        <v>6</v>
      </c>
      <c r="E1328" s="24" t="s">
        <v>2180</v>
      </c>
    </row>
    <row r="1329" spans="1:5" ht="15.75" customHeight="1" x14ac:dyDescent="0.4">
      <c r="A1329" s="24" t="s">
        <v>417</v>
      </c>
      <c r="B1329" s="24">
        <v>23</v>
      </c>
      <c r="C1329" s="24">
        <v>19</v>
      </c>
      <c r="D1329" s="24">
        <v>9</v>
      </c>
      <c r="E1329" s="24" t="s">
        <v>2180</v>
      </c>
    </row>
    <row r="1330" spans="1:5" ht="15.75" customHeight="1" x14ac:dyDescent="0.4">
      <c r="A1330" s="24" t="s">
        <v>1550</v>
      </c>
      <c r="B1330" s="24">
        <v>21</v>
      </c>
      <c r="C1330" s="24">
        <v>9</v>
      </c>
      <c r="D1330" s="24">
        <v>1</v>
      </c>
      <c r="E1330" s="24" t="s">
        <v>2180</v>
      </c>
    </row>
    <row r="1331" spans="1:5" ht="15.75" customHeight="1" x14ac:dyDescent="0.4">
      <c r="A1331" s="24" t="s">
        <v>1668</v>
      </c>
      <c r="B1331" s="24">
        <v>17</v>
      </c>
      <c r="C1331" s="24">
        <v>4</v>
      </c>
      <c r="D1331" s="24">
        <v>1</v>
      </c>
      <c r="E1331" s="24" t="s">
        <v>2180</v>
      </c>
    </row>
    <row r="1332" spans="1:5" ht="15.75" customHeight="1" x14ac:dyDescent="0.4">
      <c r="A1332" s="24" t="s">
        <v>272</v>
      </c>
      <c r="B1332" s="24">
        <v>23</v>
      </c>
      <c r="C1332" s="24">
        <v>12</v>
      </c>
      <c r="D1332" s="24">
        <v>4</v>
      </c>
      <c r="E1332" s="24" t="s">
        <v>2180</v>
      </c>
    </row>
    <row r="1333" spans="1:5" ht="15.75" customHeight="1" x14ac:dyDescent="0.4">
      <c r="A1333" s="24" t="s">
        <v>1770</v>
      </c>
      <c r="B1333" s="24">
        <v>21</v>
      </c>
      <c r="C1333" s="24">
        <v>15</v>
      </c>
      <c r="D1333" s="24">
        <v>0</v>
      </c>
      <c r="E1333" s="24" t="s">
        <v>2180</v>
      </c>
    </row>
    <row r="1334" spans="1:5" ht="15.75" customHeight="1" x14ac:dyDescent="0.4">
      <c r="A1334" s="24" t="s">
        <v>1453</v>
      </c>
      <c r="B1334" s="24">
        <v>9</v>
      </c>
      <c r="C1334" s="24">
        <v>7</v>
      </c>
      <c r="D1334" s="24">
        <v>0</v>
      </c>
      <c r="E1334" s="24" t="s">
        <v>2180</v>
      </c>
    </row>
    <row r="1335" spans="1:5" ht="15.75" customHeight="1" x14ac:dyDescent="0.4">
      <c r="A1335" s="24" t="s">
        <v>1435</v>
      </c>
      <c r="B1335" s="24">
        <v>10</v>
      </c>
      <c r="C1335" s="24">
        <v>4</v>
      </c>
      <c r="D1335" s="24">
        <v>1</v>
      </c>
      <c r="E1335" s="24" t="s">
        <v>2180</v>
      </c>
    </row>
    <row r="1336" spans="1:5" ht="15.75" customHeight="1" x14ac:dyDescent="0.4">
      <c r="A1336" s="24" t="s">
        <v>1171</v>
      </c>
      <c r="B1336" s="24">
        <v>6</v>
      </c>
      <c r="C1336" s="24">
        <v>6</v>
      </c>
      <c r="D1336" s="24">
        <v>3</v>
      </c>
      <c r="E1336" s="24" t="s">
        <v>2180</v>
      </c>
    </row>
    <row r="1337" spans="1:5" ht="15.75" customHeight="1" x14ac:dyDescent="0.4">
      <c r="A1337" s="24" t="s">
        <v>786</v>
      </c>
      <c r="B1337" s="24">
        <v>7</v>
      </c>
      <c r="C1337" s="24">
        <v>5</v>
      </c>
      <c r="D1337" s="24">
        <v>1</v>
      </c>
      <c r="E1337" s="24" t="s">
        <v>2180</v>
      </c>
    </row>
    <row r="1338" spans="1:5" ht="15.75" customHeight="1" x14ac:dyDescent="0.4">
      <c r="A1338" s="24" t="s">
        <v>1733</v>
      </c>
      <c r="B1338" s="24">
        <v>23</v>
      </c>
      <c r="C1338" s="24">
        <v>8</v>
      </c>
      <c r="D1338" s="24">
        <v>4</v>
      </c>
      <c r="E1338" s="24" t="s">
        <v>2180</v>
      </c>
    </row>
    <row r="1339" spans="1:5" ht="15.75" customHeight="1" x14ac:dyDescent="0.4">
      <c r="A1339" s="24" t="s">
        <v>1964</v>
      </c>
      <c r="B1339" s="24">
        <v>16</v>
      </c>
      <c r="C1339" s="24">
        <v>16</v>
      </c>
      <c r="D1339" s="24">
        <v>1</v>
      </c>
      <c r="E1339" s="24" t="s">
        <v>2180</v>
      </c>
    </row>
    <row r="1340" spans="1:5" ht="15.75" customHeight="1" x14ac:dyDescent="0.4">
      <c r="A1340" s="24" t="s">
        <v>1877</v>
      </c>
      <c r="B1340" s="24">
        <v>23</v>
      </c>
      <c r="C1340" s="24">
        <v>15</v>
      </c>
      <c r="D1340" s="24">
        <v>0</v>
      </c>
      <c r="E1340" s="24" t="s">
        <v>2180</v>
      </c>
    </row>
    <row r="1341" spans="1:5" ht="15.75" customHeight="1" x14ac:dyDescent="0.4">
      <c r="A1341" s="24" t="s">
        <v>2145</v>
      </c>
      <c r="B1341" s="24">
        <v>23</v>
      </c>
      <c r="C1341" s="24">
        <v>17</v>
      </c>
      <c r="D1341" s="24">
        <v>3</v>
      </c>
      <c r="E1341" s="24" t="s">
        <v>2180</v>
      </c>
    </row>
    <row r="1342" spans="1:5" ht="15.75" customHeight="1" x14ac:dyDescent="0.4">
      <c r="A1342" s="24" t="s">
        <v>479</v>
      </c>
      <c r="B1342" s="24">
        <v>8</v>
      </c>
      <c r="C1342" s="24">
        <v>2</v>
      </c>
      <c r="D1342" s="24">
        <v>0</v>
      </c>
      <c r="E1342" s="24" t="s">
        <v>2181</v>
      </c>
    </row>
    <row r="1343" spans="1:5" ht="15.75" customHeight="1" x14ac:dyDescent="0.4">
      <c r="A1343" s="24" t="s">
        <v>850</v>
      </c>
      <c r="B1343" s="24">
        <v>23</v>
      </c>
      <c r="C1343" s="24">
        <v>22</v>
      </c>
      <c r="D1343" s="24">
        <v>0</v>
      </c>
      <c r="E1343" s="24" t="s">
        <v>2180</v>
      </c>
    </row>
    <row r="1344" spans="1:5" ht="15.75" customHeight="1" x14ac:dyDescent="0.4">
      <c r="A1344" s="24" t="s">
        <v>1826</v>
      </c>
      <c r="B1344" s="24">
        <v>23</v>
      </c>
      <c r="C1344" s="24">
        <v>17</v>
      </c>
      <c r="D1344" s="24">
        <v>2</v>
      </c>
      <c r="E1344" s="24" t="s">
        <v>2180</v>
      </c>
    </row>
    <row r="1345" spans="1:5" ht="15.75" customHeight="1" x14ac:dyDescent="0.4">
      <c r="A1345" s="24" t="s">
        <v>1938</v>
      </c>
      <c r="B1345" s="24">
        <v>21</v>
      </c>
      <c r="C1345" s="24">
        <v>12</v>
      </c>
      <c r="D1345" s="24">
        <v>0</v>
      </c>
      <c r="E1345" s="24" t="s">
        <v>2180</v>
      </c>
    </row>
    <row r="1346" spans="1:5" ht="15.75" customHeight="1" x14ac:dyDescent="0.4">
      <c r="A1346" s="24" t="s">
        <v>1981</v>
      </c>
      <c r="B1346" s="24">
        <v>23</v>
      </c>
      <c r="C1346" s="24">
        <v>19</v>
      </c>
      <c r="D1346" s="24">
        <v>5</v>
      </c>
      <c r="E1346" s="24" t="s">
        <v>2180</v>
      </c>
    </row>
    <row r="1347" spans="1:5" ht="15.75" customHeight="1" x14ac:dyDescent="0.4">
      <c r="A1347" s="24" t="s">
        <v>1692</v>
      </c>
      <c r="B1347" s="24">
        <v>7</v>
      </c>
      <c r="C1347" s="24">
        <v>5</v>
      </c>
      <c r="D1347" s="24">
        <v>4</v>
      </c>
      <c r="E1347" s="24" t="s">
        <v>2180</v>
      </c>
    </row>
    <row r="1348" spans="1:5" ht="15.75" customHeight="1" x14ac:dyDescent="0.4">
      <c r="A1348" s="24" t="s">
        <v>1284</v>
      </c>
      <c r="B1348" s="24">
        <v>21</v>
      </c>
      <c r="C1348" s="24">
        <v>9</v>
      </c>
      <c r="D1348" s="24">
        <v>1</v>
      </c>
      <c r="E1348" s="24" t="s">
        <v>2180</v>
      </c>
    </row>
    <row r="1349" spans="1:5" ht="15.75" customHeight="1" x14ac:dyDescent="0.4">
      <c r="A1349" s="24" t="s">
        <v>1039</v>
      </c>
      <c r="B1349" s="24">
        <v>23</v>
      </c>
      <c r="C1349" s="24">
        <v>19</v>
      </c>
      <c r="D1349" s="24">
        <v>7</v>
      </c>
      <c r="E1349" s="24" t="s">
        <v>2180</v>
      </c>
    </row>
    <row r="1350" spans="1:5" ht="15.75" customHeight="1" x14ac:dyDescent="0.4">
      <c r="A1350" s="24" t="s">
        <v>1715</v>
      </c>
      <c r="B1350" s="24">
        <v>18</v>
      </c>
      <c r="C1350" s="24">
        <v>12</v>
      </c>
      <c r="D1350" s="24">
        <v>3</v>
      </c>
      <c r="E1350" s="24" t="s">
        <v>2180</v>
      </c>
    </row>
    <row r="1351" spans="1:5" ht="15.75" customHeight="1" x14ac:dyDescent="0.4">
      <c r="A1351" s="24" t="s">
        <v>1129</v>
      </c>
      <c r="B1351" s="24">
        <v>7</v>
      </c>
      <c r="C1351" s="24">
        <v>6</v>
      </c>
      <c r="D1351" s="24">
        <v>1</v>
      </c>
      <c r="E1351" s="24" t="s">
        <v>2180</v>
      </c>
    </row>
    <row r="1352" spans="1:5" ht="15.75" customHeight="1" x14ac:dyDescent="0.4">
      <c r="A1352" s="24" t="s">
        <v>927</v>
      </c>
      <c r="B1352" s="24">
        <v>23</v>
      </c>
      <c r="C1352" s="24">
        <v>15</v>
      </c>
      <c r="D1352" s="24">
        <v>2</v>
      </c>
      <c r="E1352" s="24" t="s">
        <v>2180</v>
      </c>
    </row>
    <row r="1353" spans="1:5" ht="15.75" customHeight="1" x14ac:dyDescent="0.4">
      <c r="A1353" s="24" t="s">
        <v>970</v>
      </c>
      <c r="B1353" s="24">
        <v>23</v>
      </c>
      <c r="C1353" s="24">
        <v>12</v>
      </c>
      <c r="D1353" s="24">
        <v>2</v>
      </c>
      <c r="E1353" s="24" t="s">
        <v>2180</v>
      </c>
    </row>
    <row r="1354" spans="1:5" ht="15.75" customHeight="1" x14ac:dyDescent="0.4">
      <c r="A1354" s="24" t="s">
        <v>1714</v>
      </c>
      <c r="B1354" s="24">
        <v>18</v>
      </c>
      <c r="C1354" s="24">
        <v>11</v>
      </c>
      <c r="D1354" s="24">
        <v>2</v>
      </c>
      <c r="E1354" s="24" t="s">
        <v>2180</v>
      </c>
    </row>
    <row r="1355" spans="1:5" ht="15.75" customHeight="1" x14ac:dyDescent="0.4">
      <c r="A1355" s="24" t="s">
        <v>979</v>
      </c>
      <c r="B1355" s="24">
        <v>7</v>
      </c>
      <c r="C1355" s="24">
        <v>1</v>
      </c>
      <c r="D1355" s="24">
        <v>0</v>
      </c>
      <c r="E1355" s="24" t="s">
        <v>2180</v>
      </c>
    </row>
    <row r="1356" spans="1:5" ht="15.75" customHeight="1" x14ac:dyDescent="0.4">
      <c r="A1356" s="24" t="s">
        <v>691</v>
      </c>
      <c r="B1356" s="24">
        <v>7</v>
      </c>
      <c r="C1356" s="24">
        <v>6</v>
      </c>
      <c r="D1356" s="24">
        <v>1</v>
      </c>
      <c r="E1356" s="24" t="s">
        <v>2180</v>
      </c>
    </row>
    <row r="1357" spans="1:5" ht="15.75" customHeight="1" x14ac:dyDescent="0.4">
      <c r="A1357" s="24" t="s">
        <v>924</v>
      </c>
      <c r="B1357" s="24">
        <v>23</v>
      </c>
      <c r="C1357" s="24">
        <v>1</v>
      </c>
      <c r="D1357" s="24">
        <v>0</v>
      </c>
      <c r="E1357" s="24" t="s">
        <v>2180</v>
      </c>
    </row>
    <row r="1358" spans="1:5" ht="15.75" customHeight="1" x14ac:dyDescent="0.4">
      <c r="A1358" s="24" t="s">
        <v>2135</v>
      </c>
      <c r="B1358" s="24">
        <v>21</v>
      </c>
      <c r="C1358" s="24">
        <v>20</v>
      </c>
      <c r="D1358" s="24">
        <v>1</v>
      </c>
      <c r="E1358" s="24" t="s">
        <v>2180</v>
      </c>
    </row>
    <row r="1359" spans="1:5" ht="15.75" customHeight="1" x14ac:dyDescent="0.4">
      <c r="A1359" s="24" t="s">
        <v>2060</v>
      </c>
      <c r="B1359" s="24">
        <v>23</v>
      </c>
      <c r="C1359" s="24">
        <v>6</v>
      </c>
      <c r="D1359" s="24">
        <v>1</v>
      </c>
      <c r="E1359" s="24" t="s">
        <v>2180</v>
      </c>
    </row>
    <row r="1360" spans="1:5" ht="15.75" customHeight="1" x14ac:dyDescent="0.4">
      <c r="A1360" s="24" t="s">
        <v>1164</v>
      </c>
      <c r="B1360" s="24">
        <v>21</v>
      </c>
      <c r="C1360" s="24">
        <v>7</v>
      </c>
      <c r="D1360" s="24">
        <v>4</v>
      </c>
      <c r="E1360" s="24" t="s">
        <v>2180</v>
      </c>
    </row>
    <row r="1361" spans="1:5" ht="15.75" customHeight="1" x14ac:dyDescent="0.4">
      <c r="A1361" s="24" t="s">
        <v>1306</v>
      </c>
      <c r="B1361" s="24">
        <v>10</v>
      </c>
      <c r="C1361" s="24">
        <v>5</v>
      </c>
      <c r="D1361" s="24">
        <v>1</v>
      </c>
      <c r="E1361" s="24" t="s">
        <v>2180</v>
      </c>
    </row>
    <row r="1362" spans="1:5" ht="15.75" customHeight="1" x14ac:dyDescent="0.4">
      <c r="A1362" s="24" t="s">
        <v>1074</v>
      </c>
      <c r="B1362" s="24">
        <v>18</v>
      </c>
      <c r="C1362" s="24">
        <v>14</v>
      </c>
      <c r="D1362" s="24">
        <v>1</v>
      </c>
      <c r="E1362" s="24" t="s">
        <v>2180</v>
      </c>
    </row>
    <row r="1363" spans="1:5" ht="15.75" customHeight="1" x14ac:dyDescent="0.4">
      <c r="A1363" s="24" t="s">
        <v>1142</v>
      </c>
      <c r="B1363" s="24">
        <v>21</v>
      </c>
      <c r="C1363" s="24">
        <v>15</v>
      </c>
      <c r="D1363" s="24">
        <v>1</v>
      </c>
      <c r="E1363" s="24" t="s">
        <v>2180</v>
      </c>
    </row>
    <row r="1364" spans="1:5" ht="15.75" customHeight="1" x14ac:dyDescent="0.4">
      <c r="A1364" s="24" t="s">
        <v>1208</v>
      </c>
      <c r="B1364" s="24">
        <v>23</v>
      </c>
      <c r="C1364" s="24">
        <v>12</v>
      </c>
      <c r="D1364" s="24">
        <v>2</v>
      </c>
      <c r="E1364" s="24" t="s">
        <v>2180</v>
      </c>
    </row>
    <row r="1365" spans="1:5" ht="15.75" customHeight="1" x14ac:dyDescent="0.4">
      <c r="A1365" s="24" t="s">
        <v>1229</v>
      </c>
      <c r="B1365" s="24">
        <v>10</v>
      </c>
      <c r="C1365" s="24">
        <v>4</v>
      </c>
      <c r="D1365" s="24">
        <v>1</v>
      </c>
      <c r="E1365" s="24" t="s">
        <v>2180</v>
      </c>
    </row>
    <row r="1366" spans="1:5" ht="15.75" customHeight="1" x14ac:dyDescent="0.4">
      <c r="A1366" s="24" t="s">
        <v>1415</v>
      </c>
      <c r="B1366" s="24">
        <v>19</v>
      </c>
      <c r="C1366" s="24">
        <v>18</v>
      </c>
      <c r="D1366" s="24">
        <v>2</v>
      </c>
      <c r="E1366" s="24" t="s">
        <v>2180</v>
      </c>
    </row>
    <row r="1367" spans="1:5" ht="15.75" customHeight="1" x14ac:dyDescent="0.4">
      <c r="A1367" s="24" t="s">
        <v>605</v>
      </c>
      <c r="B1367" s="24">
        <v>23</v>
      </c>
      <c r="C1367" s="24">
        <v>21</v>
      </c>
      <c r="D1367" s="24">
        <v>0</v>
      </c>
      <c r="E1367" s="24" t="s">
        <v>2180</v>
      </c>
    </row>
    <row r="1368" spans="1:5" ht="15.75" customHeight="1" x14ac:dyDescent="0.4">
      <c r="A1368" s="24" t="s">
        <v>1798</v>
      </c>
      <c r="B1368" s="24">
        <v>21</v>
      </c>
      <c r="C1368" s="24">
        <v>8</v>
      </c>
      <c r="D1368" s="24">
        <v>0</v>
      </c>
      <c r="E1368" s="24" t="s">
        <v>2180</v>
      </c>
    </row>
    <row r="1369" spans="1:5" ht="15.75" customHeight="1" x14ac:dyDescent="0.4">
      <c r="A1369" s="24" t="s">
        <v>1698</v>
      </c>
      <c r="B1369" s="24">
        <v>21</v>
      </c>
      <c r="C1369" s="24">
        <v>17</v>
      </c>
      <c r="D1369" s="24">
        <v>4</v>
      </c>
      <c r="E1369" s="24" t="s">
        <v>2180</v>
      </c>
    </row>
    <row r="1370" spans="1:5" ht="15.75" customHeight="1" x14ac:dyDescent="0.4">
      <c r="A1370" s="24" t="s">
        <v>359</v>
      </c>
      <c r="B1370" s="24">
        <v>23</v>
      </c>
      <c r="C1370" s="24">
        <v>20</v>
      </c>
      <c r="D1370" s="24">
        <v>5</v>
      </c>
      <c r="E1370" s="24" t="s">
        <v>2180</v>
      </c>
    </row>
    <row r="1371" spans="1:5" ht="15.75" customHeight="1" x14ac:dyDescent="0.4">
      <c r="A1371" s="24" t="s">
        <v>2148</v>
      </c>
      <c r="B1371" s="24">
        <v>20</v>
      </c>
      <c r="C1371" s="24">
        <v>16</v>
      </c>
      <c r="D1371" s="24">
        <v>2</v>
      </c>
      <c r="E1371" s="24" t="s">
        <v>2180</v>
      </c>
    </row>
    <row r="1372" spans="1:5" ht="15.75" customHeight="1" x14ac:dyDescent="0.4">
      <c r="A1372" s="24" t="s">
        <v>256</v>
      </c>
      <c r="B1372" s="24">
        <v>23</v>
      </c>
      <c r="C1372" s="24">
        <v>17</v>
      </c>
      <c r="D1372" s="24">
        <v>2</v>
      </c>
      <c r="E1372" s="24" t="s">
        <v>2180</v>
      </c>
    </row>
    <row r="1373" spans="1:5" ht="15.75" customHeight="1" x14ac:dyDescent="0.4">
      <c r="A1373" s="24" t="s">
        <v>1451</v>
      </c>
      <c r="B1373" s="24">
        <v>21</v>
      </c>
      <c r="C1373" s="24">
        <v>19</v>
      </c>
      <c r="D1373" s="24">
        <v>7</v>
      </c>
      <c r="E1373" s="24" t="s">
        <v>2180</v>
      </c>
    </row>
    <row r="1374" spans="1:5" ht="15.75" customHeight="1" x14ac:dyDescent="0.4">
      <c r="A1374" s="24" t="s">
        <v>696</v>
      </c>
      <c r="B1374" s="24">
        <v>18</v>
      </c>
      <c r="C1374" s="24">
        <v>5</v>
      </c>
      <c r="D1374" s="24">
        <v>8</v>
      </c>
      <c r="E1374" s="24" t="s">
        <v>2180</v>
      </c>
    </row>
    <row r="1375" spans="1:5" ht="15.75" customHeight="1" x14ac:dyDescent="0.4">
      <c r="A1375" s="24" t="s">
        <v>920</v>
      </c>
      <c r="B1375" s="24">
        <v>17</v>
      </c>
      <c r="C1375" s="24">
        <v>14</v>
      </c>
      <c r="D1375" s="24">
        <v>1</v>
      </c>
      <c r="E1375" s="24" t="s">
        <v>2180</v>
      </c>
    </row>
    <row r="1376" spans="1:5" ht="15.75" customHeight="1" x14ac:dyDescent="0.4">
      <c r="A1376" s="24" t="s">
        <v>837</v>
      </c>
      <c r="B1376" s="24">
        <v>21</v>
      </c>
      <c r="C1376" s="24">
        <v>18</v>
      </c>
      <c r="D1376" s="24">
        <v>6</v>
      </c>
      <c r="E1376" s="24" t="s">
        <v>2180</v>
      </c>
    </row>
    <row r="1377" spans="1:5" ht="15.75" customHeight="1" x14ac:dyDescent="0.4">
      <c r="A1377" s="24" t="s">
        <v>1637</v>
      </c>
      <c r="B1377" s="24">
        <v>6</v>
      </c>
      <c r="C1377" s="24">
        <v>0</v>
      </c>
      <c r="D1377" s="24">
        <v>0</v>
      </c>
      <c r="E1377" s="24" t="s">
        <v>2181</v>
      </c>
    </row>
    <row r="1378" spans="1:5" ht="15.75" customHeight="1" x14ac:dyDescent="0.4">
      <c r="A1378" s="24" t="s">
        <v>872</v>
      </c>
      <c r="B1378" s="24">
        <v>21</v>
      </c>
      <c r="C1378" s="24">
        <v>17</v>
      </c>
      <c r="D1378" s="24">
        <v>1</v>
      </c>
      <c r="E1378" s="24" t="s">
        <v>2180</v>
      </c>
    </row>
    <row r="1379" spans="1:5" ht="15.75" customHeight="1" x14ac:dyDescent="0.4">
      <c r="A1379" s="24" t="s">
        <v>1262</v>
      </c>
      <c r="B1379" s="24">
        <v>21</v>
      </c>
      <c r="C1379" s="24">
        <v>11</v>
      </c>
      <c r="D1379" s="24">
        <v>1</v>
      </c>
      <c r="E1379" s="24" t="s">
        <v>2180</v>
      </c>
    </row>
    <row r="1380" spans="1:5" ht="15.75" customHeight="1" x14ac:dyDescent="0.4">
      <c r="A1380" s="24" t="s">
        <v>1940</v>
      </c>
      <c r="B1380" s="24">
        <v>21</v>
      </c>
      <c r="C1380" s="24">
        <v>16</v>
      </c>
      <c r="D1380" s="24">
        <v>0</v>
      </c>
      <c r="E1380" s="24" t="s">
        <v>2180</v>
      </c>
    </row>
    <row r="1381" spans="1:5" ht="15.75" customHeight="1" x14ac:dyDescent="0.4">
      <c r="A1381" s="24" t="s">
        <v>2081</v>
      </c>
      <c r="B1381" s="24">
        <v>21</v>
      </c>
      <c r="C1381" s="24">
        <v>16</v>
      </c>
      <c r="D1381" s="24">
        <v>9</v>
      </c>
      <c r="E1381" s="24" t="s">
        <v>2180</v>
      </c>
    </row>
    <row r="1382" spans="1:5" ht="15.75" customHeight="1" x14ac:dyDescent="0.4">
      <c r="A1382" s="24" t="s">
        <v>2129</v>
      </c>
      <c r="B1382" s="24">
        <v>6</v>
      </c>
      <c r="C1382" s="24">
        <v>2</v>
      </c>
      <c r="D1382" s="24">
        <v>0</v>
      </c>
      <c r="E1382" s="24" t="s">
        <v>2180</v>
      </c>
    </row>
    <row r="1383" spans="1:5" ht="15.75" customHeight="1" x14ac:dyDescent="0.4">
      <c r="A1383" s="24" t="s">
        <v>956</v>
      </c>
      <c r="B1383" s="24">
        <v>20</v>
      </c>
      <c r="C1383" s="24">
        <v>17</v>
      </c>
      <c r="D1383" s="24">
        <v>1</v>
      </c>
      <c r="E1383" s="24" t="s">
        <v>2180</v>
      </c>
    </row>
    <row r="1384" spans="1:5" ht="15.75" customHeight="1" x14ac:dyDescent="0.4">
      <c r="A1384" s="24" t="s">
        <v>1516</v>
      </c>
      <c r="B1384" s="24">
        <v>21</v>
      </c>
      <c r="C1384" s="24">
        <v>21</v>
      </c>
      <c r="D1384" s="24">
        <v>7</v>
      </c>
      <c r="E1384" s="24" t="s">
        <v>2180</v>
      </c>
    </row>
    <row r="1385" spans="1:5" ht="15.75" customHeight="1" x14ac:dyDescent="0.4">
      <c r="A1385" s="24" t="s">
        <v>229</v>
      </c>
      <c r="B1385" s="24">
        <v>6</v>
      </c>
      <c r="C1385" s="24">
        <v>5</v>
      </c>
      <c r="D1385" s="24">
        <v>2</v>
      </c>
      <c r="E1385" s="24" t="s">
        <v>2180</v>
      </c>
    </row>
    <row r="1386" spans="1:5" ht="15.75" customHeight="1" x14ac:dyDescent="0.4">
      <c r="A1386" s="24" t="s">
        <v>908</v>
      </c>
      <c r="B1386" s="24">
        <v>23</v>
      </c>
      <c r="C1386" s="24">
        <v>11</v>
      </c>
      <c r="D1386" s="24">
        <v>0</v>
      </c>
      <c r="E1386" s="24" t="s">
        <v>2180</v>
      </c>
    </row>
    <row r="1387" spans="1:5" ht="15.75" customHeight="1" x14ac:dyDescent="0.4">
      <c r="A1387" s="24" t="s">
        <v>1677</v>
      </c>
      <c r="B1387" s="24">
        <v>23</v>
      </c>
      <c r="C1387" s="24">
        <v>17</v>
      </c>
      <c r="D1387" s="24">
        <v>1</v>
      </c>
      <c r="E1387" s="24" t="s">
        <v>2180</v>
      </c>
    </row>
    <row r="1388" spans="1:5" ht="15.75" customHeight="1" x14ac:dyDescent="0.4">
      <c r="A1388" s="24" t="s">
        <v>881</v>
      </c>
      <c r="B1388" s="24">
        <v>23</v>
      </c>
      <c r="C1388" s="24">
        <v>10</v>
      </c>
      <c r="D1388" s="24">
        <v>2</v>
      </c>
      <c r="E1388" s="24" t="s">
        <v>2180</v>
      </c>
    </row>
    <row r="1389" spans="1:5" ht="15.75" customHeight="1" x14ac:dyDescent="0.4">
      <c r="A1389" s="24" t="s">
        <v>231</v>
      </c>
      <c r="B1389" s="24">
        <v>7</v>
      </c>
      <c r="C1389" s="24">
        <v>4</v>
      </c>
      <c r="D1389" s="24">
        <v>0</v>
      </c>
      <c r="E1389" s="24" t="s">
        <v>2181</v>
      </c>
    </row>
    <row r="1390" spans="1:5" ht="15.75" customHeight="1" x14ac:dyDescent="0.4">
      <c r="A1390" s="24" t="s">
        <v>1580</v>
      </c>
      <c r="B1390" s="24">
        <v>24</v>
      </c>
      <c r="C1390" s="24">
        <v>18</v>
      </c>
      <c r="D1390" s="24">
        <v>7</v>
      </c>
      <c r="E1390" s="24" t="s">
        <v>2181</v>
      </c>
    </row>
    <row r="1391" spans="1:5" ht="15.75" customHeight="1" x14ac:dyDescent="0.4">
      <c r="A1391" s="24" t="s">
        <v>228</v>
      </c>
      <c r="B1391" s="24">
        <v>24</v>
      </c>
      <c r="C1391" s="24">
        <v>23</v>
      </c>
      <c r="D1391" s="24">
        <v>1</v>
      </c>
      <c r="E1391" s="24" t="s">
        <v>2181</v>
      </c>
    </row>
    <row r="1392" spans="1:5" ht="15.75" customHeight="1" x14ac:dyDescent="0.4">
      <c r="A1392" s="24" t="s">
        <v>1723</v>
      </c>
      <c r="B1392" s="24">
        <v>30</v>
      </c>
      <c r="C1392" s="24">
        <v>26</v>
      </c>
      <c r="D1392" s="24">
        <v>11</v>
      </c>
      <c r="E1392" s="24" t="s">
        <v>2181</v>
      </c>
    </row>
    <row r="1393" spans="1:5" ht="15.75" customHeight="1" x14ac:dyDescent="0.4">
      <c r="A1393" s="24" t="s">
        <v>1476</v>
      </c>
      <c r="B1393" s="24">
        <v>20</v>
      </c>
      <c r="C1393" s="24">
        <v>19</v>
      </c>
      <c r="D1393" s="24">
        <v>12</v>
      </c>
      <c r="E1393" s="24" t="s">
        <v>2181</v>
      </c>
    </row>
    <row r="1394" spans="1:5" ht="15.75" customHeight="1" x14ac:dyDescent="0.4">
      <c r="A1394" s="24" t="s">
        <v>1029</v>
      </c>
      <c r="B1394" s="24">
        <v>8</v>
      </c>
      <c r="C1394" s="24">
        <v>6</v>
      </c>
      <c r="D1394" s="24">
        <v>0</v>
      </c>
      <c r="E1394" s="24" t="s">
        <v>2181</v>
      </c>
    </row>
    <row r="1395" spans="1:5" ht="15.75" customHeight="1" x14ac:dyDescent="0.4">
      <c r="A1395" s="24" t="s">
        <v>1634</v>
      </c>
      <c r="B1395" s="24">
        <v>8</v>
      </c>
      <c r="C1395" s="24">
        <v>1</v>
      </c>
      <c r="D1395" s="24">
        <v>0</v>
      </c>
      <c r="E1395" s="24" t="s">
        <v>2181</v>
      </c>
    </row>
    <row r="1396" spans="1:5" ht="15.75" customHeight="1" x14ac:dyDescent="0.4">
      <c r="A1396" s="24" t="s">
        <v>1860</v>
      </c>
      <c r="B1396" s="24">
        <v>23</v>
      </c>
      <c r="C1396" s="24">
        <v>22</v>
      </c>
      <c r="D1396" s="24">
        <v>2</v>
      </c>
      <c r="E1396" s="24" t="s">
        <v>2181</v>
      </c>
    </row>
    <row r="1397" spans="1:5" ht="15.75" customHeight="1" x14ac:dyDescent="0.4">
      <c r="A1397" s="24" t="s">
        <v>1682</v>
      </c>
      <c r="B1397" s="24">
        <v>20</v>
      </c>
      <c r="C1397" s="24">
        <v>10</v>
      </c>
      <c r="D1397" s="24">
        <v>1</v>
      </c>
      <c r="E1397" s="24" t="s">
        <v>2181</v>
      </c>
    </row>
    <row r="1398" spans="1:5" ht="15.75" customHeight="1" x14ac:dyDescent="0.4">
      <c r="A1398" s="24" t="s">
        <v>1973</v>
      </c>
      <c r="B1398" s="24">
        <v>23</v>
      </c>
      <c r="C1398" s="24">
        <v>5</v>
      </c>
      <c r="D1398" s="24">
        <v>6</v>
      </c>
      <c r="E1398" s="24" t="s">
        <v>2181</v>
      </c>
    </row>
    <row r="1399" spans="1:5" ht="15.75" customHeight="1" x14ac:dyDescent="0.4">
      <c r="A1399" s="24" t="s">
        <v>766</v>
      </c>
      <c r="B1399" s="24">
        <v>20</v>
      </c>
      <c r="C1399" s="24">
        <v>3</v>
      </c>
      <c r="D1399" s="24">
        <v>5</v>
      </c>
      <c r="E1399" s="24" t="s">
        <v>2181</v>
      </c>
    </row>
    <row r="1400" spans="1:5" ht="15.75" customHeight="1" x14ac:dyDescent="0.4">
      <c r="A1400" s="24" t="s">
        <v>1282</v>
      </c>
      <c r="B1400" s="24">
        <v>25</v>
      </c>
      <c r="C1400" s="24">
        <v>12</v>
      </c>
      <c r="D1400" s="24">
        <v>2</v>
      </c>
      <c r="E1400" s="24" t="s">
        <v>2181</v>
      </c>
    </row>
    <row r="1401" spans="1:5" ht="15.75" customHeight="1" x14ac:dyDescent="0.4">
      <c r="A1401" s="24" t="s">
        <v>1571</v>
      </c>
      <c r="B1401" s="24">
        <v>25</v>
      </c>
      <c r="C1401" s="24">
        <v>11</v>
      </c>
      <c r="D1401" s="24">
        <v>1</v>
      </c>
      <c r="E1401" s="24" t="s">
        <v>2181</v>
      </c>
    </row>
    <row r="1402" spans="1:5" ht="15.75" customHeight="1" x14ac:dyDescent="0.4">
      <c r="A1402" s="24" t="s">
        <v>2115</v>
      </c>
      <c r="B1402" s="24">
        <v>25</v>
      </c>
      <c r="C1402" s="24">
        <v>19</v>
      </c>
      <c r="D1402" s="24">
        <v>5</v>
      </c>
      <c r="E1402" s="24" t="s">
        <v>2181</v>
      </c>
    </row>
    <row r="1403" spans="1:5" ht="15.75" customHeight="1" x14ac:dyDescent="0.4">
      <c r="A1403" s="24" t="s">
        <v>1247</v>
      </c>
      <c r="B1403" s="24">
        <v>24</v>
      </c>
      <c r="C1403" s="24">
        <v>20</v>
      </c>
      <c r="D1403" s="24">
        <v>2</v>
      </c>
      <c r="E1403" s="24" t="s">
        <v>2181</v>
      </c>
    </row>
    <row r="1404" spans="1:5" ht="15.75" customHeight="1" x14ac:dyDescent="0.4">
      <c r="A1404" s="24" t="s">
        <v>2100</v>
      </c>
      <c r="B1404" s="24">
        <v>23</v>
      </c>
      <c r="C1404" s="24">
        <v>18</v>
      </c>
      <c r="D1404" s="24">
        <v>6</v>
      </c>
      <c r="E1404" s="24" t="s">
        <v>2181</v>
      </c>
    </row>
    <row r="1405" spans="1:5" ht="15.75" customHeight="1" x14ac:dyDescent="0.4">
      <c r="A1405" s="24" t="s">
        <v>467</v>
      </c>
      <c r="B1405" s="24">
        <v>25</v>
      </c>
      <c r="C1405" s="24">
        <v>18</v>
      </c>
      <c r="D1405" s="24">
        <v>11</v>
      </c>
      <c r="E1405" s="24" t="s">
        <v>2181</v>
      </c>
    </row>
    <row r="1406" spans="1:5" ht="15.75" customHeight="1" x14ac:dyDescent="0.4">
      <c r="A1406" s="24" t="s">
        <v>848</v>
      </c>
      <c r="B1406" s="24">
        <v>17</v>
      </c>
      <c r="C1406" s="24">
        <v>5</v>
      </c>
      <c r="D1406" s="24">
        <v>0</v>
      </c>
      <c r="E1406" s="24" t="s">
        <v>2181</v>
      </c>
    </row>
    <row r="1407" spans="1:5" ht="15.75" customHeight="1" x14ac:dyDescent="0.4">
      <c r="A1407" s="24" t="s">
        <v>1038</v>
      </c>
      <c r="B1407" s="24">
        <v>23</v>
      </c>
      <c r="C1407" s="24">
        <v>23</v>
      </c>
      <c r="D1407" s="24">
        <v>8</v>
      </c>
      <c r="E1407" s="24" t="s">
        <v>2181</v>
      </c>
    </row>
    <row r="1408" spans="1:5" ht="15.75" customHeight="1" x14ac:dyDescent="0.4">
      <c r="A1408" s="24" t="s">
        <v>1424</v>
      </c>
      <c r="B1408" s="24">
        <v>25</v>
      </c>
      <c r="C1408" s="24">
        <v>8</v>
      </c>
      <c r="D1408" s="24">
        <v>5</v>
      </c>
      <c r="E1408" s="24" t="s">
        <v>2181</v>
      </c>
    </row>
    <row r="1409" spans="1:5" ht="15.75" customHeight="1" x14ac:dyDescent="0.4">
      <c r="A1409" s="24" t="s">
        <v>2093</v>
      </c>
      <c r="B1409" s="24">
        <v>16</v>
      </c>
      <c r="C1409" s="24">
        <v>14</v>
      </c>
      <c r="D1409" s="24">
        <v>3</v>
      </c>
      <c r="E1409" s="24" t="s">
        <v>2181</v>
      </c>
    </row>
    <row r="1410" spans="1:5" ht="15.75" customHeight="1" x14ac:dyDescent="0.4">
      <c r="A1410" s="24" t="s">
        <v>1307</v>
      </c>
      <c r="B1410" s="24">
        <v>25</v>
      </c>
      <c r="C1410" s="24">
        <v>23</v>
      </c>
      <c r="D1410" s="24">
        <v>2</v>
      </c>
      <c r="E1410" s="24" t="s">
        <v>2181</v>
      </c>
    </row>
    <row r="1411" spans="1:5" ht="15.75" customHeight="1" x14ac:dyDescent="0.4">
      <c r="A1411" s="24" t="s">
        <v>227</v>
      </c>
      <c r="B1411" s="24">
        <v>6</v>
      </c>
      <c r="C1411" s="24">
        <v>6</v>
      </c>
      <c r="D1411" s="24">
        <v>5</v>
      </c>
      <c r="E1411" s="24" t="s">
        <v>2181</v>
      </c>
    </row>
    <row r="1412" spans="1:5" ht="15.75" customHeight="1" x14ac:dyDescent="0.4">
      <c r="A1412" s="24" t="s">
        <v>531</v>
      </c>
      <c r="B1412" s="24">
        <v>25</v>
      </c>
      <c r="C1412" s="24">
        <v>15</v>
      </c>
      <c r="D1412" s="24">
        <v>1</v>
      </c>
      <c r="E1412" s="24" t="s">
        <v>2181</v>
      </c>
    </row>
    <row r="1413" spans="1:5" ht="15.75" customHeight="1" x14ac:dyDescent="0.4">
      <c r="A1413" s="24" t="s">
        <v>1335</v>
      </c>
      <c r="B1413" s="24">
        <v>7</v>
      </c>
      <c r="C1413" s="24">
        <v>7</v>
      </c>
      <c r="D1413" s="24">
        <v>1</v>
      </c>
      <c r="E1413" s="24" t="s">
        <v>2181</v>
      </c>
    </row>
    <row r="1414" spans="1:5" ht="15.75" customHeight="1" x14ac:dyDescent="0.4">
      <c r="A1414" s="24" t="s">
        <v>896</v>
      </c>
      <c r="B1414" s="24">
        <v>20</v>
      </c>
      <c r="C1414" s="24">
        <v>12</v>
      </c>
      <c r="D1414" s="24">
        <v>5</v>
      </c>
      <c r="E1414" s="24" t="s">
        <v>2181</v>
      </c>
    </row>
    <row r="1415" spans="1:5" ht="15.75" customHeight="1" x14ac:dyDescent="0.4">
      <c r="A1415" s="24" t="s">
        <v>889</v>
      </c>
      <c r="B1415" s="24">
        <v>25</v>
      </c>
      <c r="C1415" s="24">
        <v>20</v>
      </c>
      <c r="D1415" s="24">
        <v>2</v>
      </c>
      <c r="E1415" s="24" t="s">
        <v>2181</v>
      </c>
    </row>
    <row r="1416" spans="1:5" ht="15.75" customHeight="1" x14ac:dyDescent="0.4">
      <c r="A1416" s="24" t="s">
        <v>309</v>
      </c>
      <c r="B1416" s="24">
        <v>25</v>
      </c>
      <c r="C1416" s="24">
        <v>15</v>
      </c>
      <c r="D1416" s="24">
        <v>3</v>
      </c>
      <c r="E1416" s="24" t="s">
        <v>2181</v>
      </c>
    </row>
    <row r="1417" spans="1:5" ht="15.75" customHeight="1" x14ac:dyDescent="0.4">
      <c r="A1417" s="24" t="s">
        <v>1735</v>
      </c>
      <c r="B1417" s="24">
        <v>24</v>
      </c>
      <c r="C1417" s="24">
        <v>16</v>
      </c>
      <c r="D1417" s="24">
        <v>1</v>
      </c>
      <c r="E1417" s="24" t="s">
        <v>2181</v>
      </c>
    </row>
    <row r="1418" spans="1:5" ht="15.75" customHeight="1" x14ac:dyDescent="0.4">
      <c r="A1418" s="24" t="s">
        <v>1700</v>
      </c>
      <c r="B1418" s="24">
        <v>11</v>
      </c>
      <c r="C1418" s="24">
        <v>5</v>
      </c>
      <c r="D1418" s="24">
        <v>2</v>
      </c>
      <c r="E1418" s="24" t="s">
        <v>2181</v>
      </c>
    </row>
    <row r="1419" spans="1:5" ht="15.75" customHeight="1" x14ac:dyDescent="0.4">
      <c r="A1419" s="24" t="s">
        <v>2103</v>
      </c>
      <c r="B1419" s="24">
        <v>25</v>
      </c>
      <c r="C1419" s="24">
        <v>16</v>
      </c>
      <c r="D1419" s="24">
        <v>1</v>
      </c>
      <c r="E1419" s="24" t="s">
        <v>2181</v>
      </c>
    </row>
    <row r="1420" spans="1:5" ht="15.75" customHeight="1" x14ac:dyDescent="0.4">
      <c r="A1420" s="24" t="s">
        <v>307</v>
      </c>
      <c r="B1420" s="24">
        <v>25</v>
      </c>
      <c r="C1420" s="24">
        <v>14</v>
      </c>
      <c r="D1420" s="24">
        <v>0</v>
      </c>
      <c r="E1420" s="24" t="s">
        <v>2181</v>
      </c>
    </row>
    <row r="1421" spans="1:5" ht="15.75" customHeight="1" x14ac:dyDescent="0.4">
      <c r="A1421" s="24" t="s">
        <v>910</v>
      </c>
      <c r="B1421" s="24">
        <v>25</v>
      </c>
      <c r="C1421" s="24">
        <v>17</v>
      </c>
      <c r="D1421" s="24">
        <v>2</v>
      </c>
      <c r="E1421" s="24" t="s">
        <v>2181</v>
      </c>
    </row>
    <row r="1422" spans="1:5" ht="15.75" customHeight="1" x14ac:dyDescent="0.4">
      <c r="A1422" s="24" t="s">
        <v>1795</v>
      </c>
      <c r="B1422" s="24">
        <v>25</v>
      </c>
      <c r="C1422" s="24">
        <v>18</v>
      </c>
      <c r="D1422" s="24">
        <v>2</v>
      </c>
      <c r="E1422" s="24" t="s">
        <v>2181</v>
      </c>
    </row>
    <row r="1423" spans="1:5" ht="15.75" customHeight="1" x14ac:dyDescent="0.4">
      <c r="A1423" s="24" t="s">
        <v>1543</v>
      </c>
      <c r="B1423" s="24">
        <v>25</v>
      </c>
      <c r="C1423" s="24">
        <v>8</v>
      </c>
      <c r="D1423" s="24">
        <v>0</v>
      </c>
      <c r="E1423" s="24" t="s">
        <v>2181</v>
      </c>
    </row>
    <row r="1424" spans="1:5" ht="15.75" customHeight="1" x14ac:dyDescent="0.4">
      <c r="A1424" s="24" t="s">
        <v>1643</v>
      </c>
      <c r="B1424" s="24">
        <v>6</v>
      </c>
      <c r="C1424" s="24">
        <v>4</v>
      </c>
      <c r="D1424" s="24">
        <v>0</v>
      </c>
      <c r="E1424" s="24" t="s">
        <v>2181</v>
      </c>
    </row>
    <row r="1425" spans="1:5" ht="15.75" customHeight="1" x14ac:dyDescent="0.4">
      <c r="A1425" s="24" t="s">
        <v>1963</v>
      </c>
      <c r="B1425" s="24">
        <v>22</v>
      </c>
      <c r="C1425" s="24">
        <v>14</v>
      </c>
      <c r="D1425" s="24">
        <v>11</v>
      </c>
      <c r="E1425" s="24" t="s">
        <v>2181</v>
      </c>
    </row>
    <row r="1426" spans="1:5" ht="15.75" customHeight="1" x14ac:dyDescent="0.4">
      <c r="A1426" s="24" t="s">
        <v>966</v>
      </c>
      <c r="B1426" s="24">
        <v>8</v>
      </c>
      <c r="C1426" s="24">
        <v>1</v>
      </c>
      <c r="D1426" s="24">
        <v>0</v>
      </c>
      <c r="E1426" s="24" t="s">
        <v>2181</v>
      </c>
    </row>
    <row r="1427" spans="1:5" ht="15.75" customHeight="1" x14ac:dyDescent="0.4">
      <c r="A1427" s="24" t="s">
        <v>846</v>
      </c>
      <c r="B1427" s="24">
        <v>15</v>
      </c>
      <c r="C1427" s="24">
        <v>9</v>
      </c>
      <c r="D1427" s="24">
        <v>1</v>
      </c>
      <c r="E1427" s="24" t="s">
        <v>2181</v>
      </c>
    </row>
    <row r="1428" spans="1:5" ht="15.75" customHeight="1" x14ac:dyDescent="0.4">
      <c r="A1428" s="24" t="s">
        <v>1030</v>
      </c>
      <c r="B1428" s="24">
        <v>18</v>
      </c>
      <c r="C1428" s="24">
        <v>8</v>
      </c>
      <c r="D1428" s="24">
        <v>1</v>
      </c>
      <c r="E1428" s="24" t="s">
        <v>2181</v>
      </c>
    </row>
    <row r="1429" spans="1:5" ht="15.75" customHeight="1" x14ac:dyDescent="0.4">
      <c r="A1429" s="24" t="s">
        <v>629</v>
      </c>
      <c r="B1429" s="24">
        <v>23</v>
      </c>
      <c r="C1429" s="24">
        <v>18</v>
      </c>
      <c r="D1429" s="24">
        <v>3</v>
      </c>
      <c r="E1429" s="24" t="s">
        <v>2181</v>
      </c>
    </row>
    <row r="1430" spans="1:5" ht="15.75" customHeight="1" x14ac:dyDescent="0.4">
      <c r="A1430" s="24" t="s">
        <v>2009</v>
      </c>
      <c r="B1430" s="24">
        <v>7</v>
      </c>
      <c r="C1430" s="24">
        <v>5</v>
      </c>
      <c r="D1430" s="24">
        <v>0</v>
      </c>
      <c r="E1430" s="24" t="s">
        <v>2181</v>
      </c>
    </row>
    <row r="1431" spans="1:5" ht="15.75" customHeight="1" x14ac:dyDescent="0.4">
      <c r="A1431" s="24" t="s">
        <v>1478</v>
      </c>
      <c r="B1431" s="24">
        <v>22</v>
      </c>
      <c r="C1431" s="24">
        <v>9</v>
      </c>
      <c r="D1431" s="24">
        <v>2</v>
      </c>
      <c r="E1431" s="24" t="s">
        <v>2181</v>
      </c>
    </row>
    <row r="1432" spans="1:5" ht="15.75" customHeight="1" x14ac:dyDescent="0.4">
      <c r="A1432" s="24" t="s">
        <v>2127</v>
      </c>
      <c r="B1432" s="24">
        <v>23</v>
      </c>
      <c r="C1432" s="24">
        <v>19</v>
      </c>
      <c r="D1432" s="24">
        <v>1</v>
      </c>
      <c r="E1432" s="24" t="s">
        <v>2181</v>
      </c>
    </row>
    <row r="1433" spans="1:5" ht="15.75" customHeight="1" x14ac:dyDescent="0.4">
      <c r="A1433" s="24" t="s">
        <v>1552</v>
      </c>
      <c r="B1433" s="24">
        <v>25</v>
      </c>
      <c r="C1433" s="24">
        <v>5</v>
      </c>
      <c r="D1433" s="24">
        <v>3</v>
      </c>
      <c r="E1433" s="24" t="s">
        <v>2181</v>
      </c>
    </row>
    <row r="1434" spans="1:5" ht="15.75" customHeight="1" x14ac:dyDescent="0.4">
      <c r="A1434" s="24" t="s">
        <v>515</v>
      </c>
      <c r="B1434" s="24">
        <v>15</v>
      </c>
      <c r="C1434" s="24">
        <v>12</v>
      </c>
      <c r="D1434" s="24">
        <v>1</v>
      </c>
      <c r="E1434" s="24" t="s">
        <v>2181</v>
      </c>
    </row>
    <row r="1435" spans="1:5" ht="15.75" customHeight="1" x14ac:dyDescent="0.4">
      <c r="A1435" s="24" t="s">
        <v>1072</v>
      </c>
      <c r="B1435" s="24">
        <v>25</v>
      </c>
      <c r="C1435" s="24">
        <v>21</v>
      </c>
      <c r="D1435" s="24">
        <v>5</v>
      </c>
      <c r="E1435" s="24" t="s">
        <v>2181</v>
      </c>
    </row>
    <row r="1436" spans="1:5" ht="15.75" customHeight="1" x14ac:dyDescent="0.4">
      <c r="A1436" s="24" t="s">
        <v>242</v>
      </c>
      <c r="B1436" s="24">
        <v>20</v>
      </c>
      <c r="C1436" s="24">
        <v>19</v>
      </c>
      <c r="D1436" s="24">
        <v>3</v>
      </c>
      <c r="E1436" s="24" t="s">
        <v>2181</v>
      </c>
    </row>
    <row r="1437" spans="1:5" ht="15.75" customHeight="1" x14ac:dyDescent="0.4">
      <c r="A1437" s="24" t="s">
        <v>236</v>
      </c>
      <c r="B1437" s="24">
        <v>15</v>
      </c>
      <c r="C1437" s="24">
        <v>12</v>
      </c>
      <c r="D1437" s="24">
        <v>8</v>
      </c>
      <c r="E1437" s="24" t="s">
        <v>2181</v>
      </c>
    </row>
    <row r="1438" spans="1:5" ht="15.75" customHeight="1" x14ac:dyDescent="0.4">
      <c r="A1438" s="24" t="s">
        <v>254</v>
      </c>
      <c r="B1438" s="24">
        <v>25</v>
      </c>
      <c r="C1438" s="24">
        <v>7</v>
      </c>
      <c r="D1438" s="24">
        <v>0</v>
      </c>
      <c r="E1438" s="24" t="s">
        <v>2181</v>
      </c>
    </row>
    <row r="1439" spans="1:5" ht="15.75" customHeight="1" x14ac:dyDescent="0.4">
      <c r="A1439" s="24" t="s">
        <v>305</v>
      </c>
      <c r="B1439" s="24">
        <v>20</v>
      </c>
      <c r="C1439" s="24">
        <v>17</v>
      </c>
      <c r="D1439" s="24">
        <v>12</v>
      </c>
      <c r="E1439" s="24" t="s">
        <v>2181</v>
      </c>
    </row>
    <row r="1440" spans="1:5" ht="15.75" customHeight="1" x14ac:dyDescent="0.4">
      <c r="A1440" s="24" t="s">
        <v>1577</v>
      </c>
      <c r="B1440" s="24">
        <v>8</v>
      </c>
      <c r="C1440" s="24">
        <v>6</v>
      </c>
      <c r="D1440" s="24">
        <v>3</v>
      </c>
      <c r="E1440" s="24" t="s">
        <v>2181</v>
      </c>
    </row>
    <row r="1441" spans="1:5" ht="15.75" customHeight="1" x14ac:dyDescent="0.4">
      <c r="A1441" s="24" t="s">
        <v>1989</v>
      </c>
      <c r="B1441" s="24">
        <v>25</v>
      </c>
      <c r="C1441" s="24">
        <v>16</v>
      </c>
      <c r="D1441" s="24">
        <v>1</v>
      </c>
      <c r="E1441" s="24" t="s">
        <v>2181</v>
      </c>
    </row>
    <row r="1442" spans="1:5" ht="15.75" customHeight="1" x14ac:dyDescent="0.4">
      <c r="A1442" s="24" t="s">
        <v>367</v>
      </c>
      <c r="B1442" s="24">
        <v>24</v>
      </c>
      <c r="C1442" s="24">
        <v>17</v>
      </c>
      <c r="D1442" s="24">
        <v>0</v>
      </c>
      <c r="E1442" s="24" t="s">
        <v>2181</v>
      </c>
    </row>
    <row r="1443" spans="1:5" ht="15.75" customHeight="1" x14ac:dyDescent="0.4">
      <c r="A1443" s="24" t="s">
        <v>1927</v>
      </c>
      <c r="B1443" s="24">
        <v>8</v>
      </c>
      <c r="C1443" s="24">
        <v>8</v>
      </c>
      <c r="D1443" s="24">
        <v>2</v>
      </c>
      <c r="E1443" s="24" t="s">
        <v>2181</v>
      </c>
    </row>
    <row r="1444" spans="1:5" ht="15.75" customHeight="1" x14ac:dyDescent="0.4">
      <c r="A1444" s="24" t="s">
        <v>774</v>
      </c>
      <c r="B1444" s="24">
        <v>25</v>
      </c>
      <c r="C1444" s="24">
        <v>6</v>
      </c>
      <c r="D1444" s="24">
        <v>0</v>
      </c>
      <c r="E1444" s="24" t="s">
        <v>2181</v>
      </c>
    </row>
    <row r="1445" spans="1:5" ht="15.75" customHeight="1" x14ac:dyDescent="0.4">
      <c r="A1445" s="24" t="s">
        <v>445</v>
      </c>
      <c r="B1445" s="24">
        <v>20</v>
      </c>
      <c r="C1445" s="24">
        <v>8</v>
      </c>
      <c r="D1445" s="24">
        <v>1</v>
      </c>
      <c r="E1445" s="24" t="s">
        <v>2181</v>
      </c>
    </row>
    <row r="1446" spans="1:5" ht="15.75" customHeight="1" x14ac:dyDescent="0.4">
      <c r="A1446" s="24" t="s">
        <v>1365</v>
      </c>
      <c r="B1446" s="24">
        <v>25</v>
      </c>
      <c r="C1446" s="24">
        <v>17</v>
      </c>
      <c r="D1446" s="24">
        <v>1</v>
      </c>
      <c r="E1446" s="24" t="s">
        <v>2181</v>
      </c>
    </row>
    <row r="1447" spans="1:5" ht="15.75" customHeight="1" x14ac:dyDescent="0.4">
      <c r="A1447" s="24" t="s">
        <v>1568</v>
      </c>
      <c r="B1447" s="24">
        <v>8</v>
      </c>
      <c r="C1447" s="24">
        <v>3</v>
      </c>
      <c r="D1447" s="24">
        <v>0</v>
      </c>
      <c r="E1447" s="24" t="s">
        <v>2181</v>
      </c>
    </row>
    <row r="1448" spans="1:5" ht="15.75" customHeight="1" x14ac:dyDescent="0.4">
      <c r="A1448" s="24" t="s">
        <v>1393</v>
      </c>
      <c r="B1448" s="24">
        <v>23</v>
      </c>
      <c r="C1448" s="24">
        <v>17</v>
      </c>
      <c r="D1448" s="24">
        <v>1</v>
      </c>
      <c r="E1448" s="24" t="s">
        <v>2181</v>
      </c>
    </row>
    <row r="1449" spans="1:5" ht="15.75" customHeight="1" x14ac:dyDescent="0.4">
      <c r="A1449" s="24" t="s">
        <v>1891</v>
      </c>
      <c r="B1449" s="24">
        <v>23</v>
      </c>
      <c r="C1449" s="24">
        <v>9</v>
      </c>
      <c r="D1449" s="24">
        <v>2</v>
      </c>
      <c r="E1449" s="24" t="s">
        <v>2181</v>
      </c>
    </row>
    <row r="1450" spans="1:5" ht="15.75" customHeight="1" x14ac:dyDescent="0.4">
      <c r="A1450" s="24" t="s">
        <v>1574</v>
      </c>
      <c r="B1450" s="24">
        <v>22</v>
      </c>
      <c r="C1450" s="24">
        <v>13</v>
      </c>
      <c r="D1450" s="24">
        <v>11</v>
      </c>
      <c r="E1450" s="24" t="s">
        <v>2181</v>
      </c>
    </row>
    <row r="1451" spans="1:5" ht="15.75" customHeight="1" x14ac:dyDescent="0.4">
      <c r="A1451" s="24" t="s">
        <v>1587</v>
      </c>
      <c r="B1451" s="24">
        <v>23</v>
      </c>
      <c r="C1451" s="24">
        <v>5</v>
      </c>
      <c r="D1451" s="24">
        <v>4</v>
      </c>
      <c r="E1451" s="24" t="s">
        <v>2181</v>
      </c>
    </row>
    <row r="1452" spans="1:5" ht="15.75" customHeight="1" x14ac:dyDescent="0.4">
      <c r="A1452" s="24" t="s">
        <v>1978</v>
      </c>
      <c r="B1452" s="24">
        <v>23</v>
      </c>
      <c r="C1452" s="24">
        <v>6</v>
      </c>
      <c r="D1452" s="24">
        <v>3</v>
      </c>
      <c r="E1452" s="24" t="s">
        <v>2181</v>
      </c>
    </row>
    <row r="1453" spans="1:5" ht="15.75" customHeight="1" x14ac:dyDescent="0.4">
      <c r="A1453" s="24" t="s">
        <v>1960</v>
      </c>
      <c r="B1453" s="24">
        <v>13</v>
      </c>
      <c r="C1453" s="24">
        <v>8</v>
      </c>
      <c r="D1453" s="24">
        <v>5</v>
      </c>
      <c r="E1453" s="24" t="s">
        <v>2181</v>
      </c>
    </row>
    <row r="1454" spans="1:5" ht="15.75" customHeight="1" x14ac:dyDescent="0.4">
      <c r="A1454" s="24" t="s">
        <v>712</v>
      </c>
      <c r="B1454" s="24">
        <v>25</v>
      </c>
      <c r="C1454" s="24">
        <v>14</v>
      </c>
      <c r="D1454" s="24">
        <v>1</v>
      </c>
      <c r="E1454" s="24" t="s">
        <v>2181</v>
      </c>
    </row>
    <row r="1455" spans="1:5" ht="15.75" customHeight="1" x14ac:dyDescent="0.4">
      <c r="A1455" s="24" t="s">
        <v>677</v>
      </c>
      <c r="B1455" s="24">
        <v>20</v>
      </c>
      <c r="C1455" s="24">
        <v>18</v>
      </c>
      <c r="D1455" s="24">
        <v>6</v>
      </c>
      <c r="E1455" s="24" t="s">
        <v>2181</v>
      </c>
    </row>
    <row r="1456" spans="1:5" ht="15.75" customHeight="1" x14ac:dyDescent="0.4">
      <c r="A1456" s="24" t="s">
        <v>1796</v>
      </c>
      <c r="B1456" s="24">
        <v>20</v>
      </c>
      <c r="C1456" s="24">
        <v>18</v>
      </c>
      <c r="D1456" s="24">
        <v>3</v>
      </c>
      <c r="E1456" s="24" t="s">
        <v>2181</v>
      </c>
    </row>
    <row r="1457" spans="1:5" ht="15.75" customHeight="1" x14ac:dyDescent="0.4">
      <c r="A1457" s="24" t="s">
        <v>1460</v>
      </c>
      <c r="B1457" s="24">
        <v>25</v>
      </c>
      <c r="C1457" s="24">
        <v>23</v>
      </c>
      <c r="D1457" s="24">
        <v>4</v>
      </c>
      <c r="E1457" s="24" t="s">
        <v>2181</v>
      </c>
    </row>
    <row r="1458" spans="1:5" ht="15.75" customHeight="1" x14ac:dyDescent="0.4">
      <c r="A1458" s="24" t="s">
        <v>2102</v>
      </c>
      <c r="B1458" s="24">
        <v>25</v>
      </c>
      <c r="C1458" s="24">
        <v>20</v>
      </c>
      <c r="D1458" s="24">
        <v>5</v>
      </c>
      <c r="E1458" s="24" t="s">
        <v>2181</v>
      </c>
    </row>
    <row r="1459" spans="1:5" ht="15.75" customHeight="1" x14ac:dyDescent="0.4">
      <c r="A1459" s="24" t="s">
        <v>303</v>
      </c>
      <c r="B1459" s="24">
        <v>24</v>
      </c>
      <c r="C1459" s="24">
        <v>22</v>
      </c>
      <c r="D1459" s="24">
        <v>4</v>
      </c>
      <c r="E1459" s="24" t="s">
        <v>2181</v>
      </c>
    </row>
    <row r="1460" spans="1:5" ht="15.75" customHeight="1" x14ac:dyDescent="0.4">
      <c r="A1460" s="24" t="s">
        <v>700</v>
      </c>
      <c r="B1460" s="24">
        <v>25</v>
      </c>
      <c r="C1460" s="24">
        <v>25</v>
      </c>
      <c r="D1460" s="24">
        <v>8</v>
      </c>
      <c r="E1460" s="24" t="s">
        <v>2181</v>
      </c>
    </row>
    <row r="1461" spans="1:5" ht="15.75" customHeight="1" x14ac:dyDescent="0.4">
      <c r="A1461" s="24" t="s">
        <v>1202</v>
      </c>
      <c r="B1461" s="24">
        <v>7</v>
      </c>
      <c r="C1461" s="24">
        <v>7</v>
      </c>
      <c r="D1461" s="24">
        <v>3</v>
      </c>
      <c r="E1461" s="24" t="s">
        <v>2181</v>
      </c>
    </row>
    <row r="1462" spans="1:5" ht="15.75" customHeight="1" x14ac:dyDescent="0.4">
      <c r="A1462" s="24" t="s">
        <v>1359</v>
      </c>
      <c r="B1462" s="24">
        <v>20</v>
      </c>
      <c r="C1462" s="24">
        <v>11</v>
      </c>
      <c r="D1462" s="24">
        <v>3</v>
      </c>
      <c r="E1462" s="24" t="s">
        <v>2181</v>
      </c>
    </row>
    <row r="1463" spans="1:5" ht="15.75" customHeight="1" x14ac:dyDescent="0.4">
      <c r="A1463" s="24" t="s">
        <v>1594</v>
      </c>
      <c r="B1463" s="24">
        <v>20</v>
      </c>
      <c r="C1463" s="24">
        <v>4</v>
      </c>
      <c r="D1463" s="24">
        <v>11</v>
      </c>
      <c r="E1463" s="24" t="s">
        <v>2181</v>
      </c>
    </row>
    <row r="1464" spans="1:5" ht="15.75" customHeight="1" x14ac:dyDescent="0.4">
      <c r="A1464" s="24" t="s">
        <v>1856</v>
      </c>
      <c r="B1464" s="24">
        <v>17</v>
      </c>
      <c r="C1464" s="24">
        <v>17</v>
      </c>
      <c r="D1464" s="24">
        <v>1</v>
      </c>
      <c r="E1464" s="24" t="s">
        <v>2181</v>
      </c>
    </row>
    <row r="1465" spans="1:5" ht="15.75" customHeight="1" x14ac:dyDescent="0.4">
      <c r="A1465" s="24" t="s">
        <v>873</v>
      </c>
      <c r="B1465" s="24">
        <v>25</v>
      </c>
      <c r="C1465" s="24">
        <v>18</v>
      </c>
      <c r="D1465" s="24">
        <v>4</v>
      </c>
      <c r="E1465" s="24" t="s">
        <v>2181</v>
      </c>
    </row>
    <row r="1466" spans="1:5" ht="15.75" customHeight="1" x14ac:dyDescent="0.4">
      <c r="A1466" s="24" t="s">
        <v>1336</v>
      </c>
      <c r="B1466" s="24">
        <v>8</v>
      </c>
      <c r="C1466" s="24">
        <v>8</v>
      </c>
      <c r="D1466" s="24">
        <v>4</v>
      </c>
      <c r="E1466" s="24" t="s">
        <v>2181</v>
      </c>
    </row>
    <row r="1467" spans="1:5" ht="15.75" customHeight="1" x14ac:dyDescent="0.4">
      <c r="A1467" s="24" t="s">
        <v>1777</v>
      </c>
      <c r="B1467" s="24">
        <v>20</v>
      </c>
      <c r="C1467" s="24">
        <v>14</v>
      </c>
      <c r="D1467" s="24">
        <v>2</v>
      </c>
      <c r="E1467" s="24" t="s">
        <v>2181</v>
      </c>
    </row>
    <row r="1468" spans="1:5" ht="15.75" customHeight="1" x14ac:dyDescent="0.4">
      <c r="A1468" s="24" t="s">
        <v>1355</v>
      </c>
      <c r="B1468" s="24">
        <v>20</v>
      </c>
      <c r="C1468" s="24">
        <v>15</v>
      </c>
      <c r="D1468" s="24">
        <v>10</v>
      </c>
      <c r="E1468" s="24" t="s">
        <v>2181</v>
      </c>
    </row>
    <row r="1469" spans="1:5" ht="15.75" customHeight="1" x14ac:dyDescent="0.4">
      <c r="A1469" s="24" t="s">
        <v>1303</v>
      </c>
      <c r="B1469" s="24">
        <v>8</v>
      </c>
      <c r="C1469" s="24">
        <v>8</v>
      </c>
      <c r="D1469" s="24">
        <v>0</v>
      </c>
      <c r="E1469" s="24" t="s">
        <v>2181</v>
      </c>
    </row>
    <row r="1470" spans="1:5" ht="15.75" customHeight="1" x14ac:dyDescent="0.4">
      <c r="A1470" s="24" t="s">
        <v>1630</v>
      </c>
      <c r="B1470" s="24">
        <v>22</v>
      </c>
      <c r="C1470" s="24">
        <v>5</v>
      </c>
      <c r="D1470" s="24">
        <v>3</v>
      </c>
      <c r="E1470" s="24" t="s">
        <v>2181</v>
      </c>
    </row>
    <row r="1471" spans="1:5" ht="15.75" customHeight="1" x14ac:dyDescent="0.4">
      <c r="A1471" s="24" t="s">
        <v>563</v>
      </c>
      <c r="B1471" s="24">
        <v>23</v>
      </c>
      <c r="C1471" s="24">
        <v>3</v>
      </c>
      <c r="D1471" s="24">
        <v>1</v>
      </c>
      <c r="E1471" s="24" t="s">
        <v>2181</v>
      </c>
    </row>
    <row r="1472" spans="1:5" ht="15.75" customHeight="1" x14ac:dyDescent="0.4">
      <c r="A1472" s="24" t="s">
        <v>1831</v>
      </c>
      <c r="B1472" s="24">
        <v>19</v>
      </c>
      <c r="C1472" s="24">
        <v>10</v>
      </c>
      <c r="D1472" s="24">
        <v>3</v>
      </c>
      <c r="E1472" s="24" t="s">
        <v>2181</v>
      </c>
    </row>
    <row r="1473" spans="1:5" ht="15.75" customHeight="1" x14ac:dyDescent="0.4">
      <c r="A1473" s="24" t="s">
        <v>1069</v>
      </c>
      <c r="B1473" s="24">
        <v>20</v>
      </c>
      <c r="C1473" s="24">
        <v>15</v>
      </c>
      <c r="D1473" s="24">
        <v>6</v>
      </c>
      <c r="E1473" s="24" t="s">
        <v>2181</v>
      </c>
    </row>
    <row r="1474" spans="1:5" ht="15.75" customHeight="1" x14ac:dyDescent="0.4">
      <c r="A1474" s="24" t="s">
        <v>1491</v>
      </c>
      <c r="B1474" s="24">
        <v>20</v>
      </c>
      <c r="C1474" s="24">
        <v>6</v>
      </c>
      <c r="D1474" s="24">
        <v>6</v>
      </c>
      <c r="E1474" s="24" t="s">
        <v>2181</v>
      </c>
    </row>
    <row r="1475" spans="1:5" ht="15.75" customHeight="1" x14ac:dyDescent="0.4">
      <c r="A1475" s="24" t="s">
        <v>1510</v>
      </c>
      <c r="B1475" s="24">
        <v>25</v>
      </c>
      <c r="C1475" s="24">
        <v>16</v>
      </c>
      <c r="D1475" s="24">
        <v>0</v>
      </c>
      <c r="E1475" s="24" t="s">
        <v>2181</v>
      </c>
    </row>
    <row r="1476" spans="1:5" ht="15.75" customHeight="1" x14ac:dyDescent="0.4">
      <c r="A1476" s="24" t="s">
        <v>2030</v>
      </c>
      <c r="B1476" s="24">
        <v>23</v>
      </c>
      <c r="C1476" s="24">
        <v>21</v>
      </c>
      <c r="D1476" s="24">
        <v>2</v>
      </c>
      <c r="E1476" s="24" t="s">
        <v>2181</v>
      </c>
    </row>
    <row r="1477" spans="1:5" ht="15.75" customHeight="1" x14ac:dyDescent="0.4">
      <c r="A1477" s="24" t="s">
        <v>1968</v>
      </c>
      <c r="B1477" s="24">
        <v>25</v>
      </c>
      <c r="C1477" s="24">
        <v>12</v>
      </c>
      <c r="D1477" s="24">
        <v>0</v>
      </c>
      <c r="E1477" s="24" t="s">
        <v>2181</v>
      </c>
    </row>
    <row r="1478" spans="1:5" ht="15.75" customHeight="1" x14ac:dyDescent="0.4">
      <c r="A1478" s="24" t="s">
        <v>2065</v>
      </c>
      <c r="B1478" s="24">
        <v>22</v>
      </c>
      <c r="C1478" s="24">
        <v>3</v>
      </c>
      <c r="D1478" s="24">
        <v>0</v>
      </c>
      <c r="E1478" s="24" t="s">
        <v>2181</v>
      </c>
    </row>
    <row r="1479" spans="1:5" ht="15.75" customHeight="1" x14ac:dyDescent="0.4">
      <c r="A1479" s="24" t="s">
        <v>2116</v>
      </c>
      <c r="B1479" s="24">
        <v>23</v>
      </c>
      <c r="C1479" s="24">
        <v>10</v>
      </c>
      <c r="D1479" s="24">
        <v>1</v>
      </c>
      <c r="E1479" s="24" t="s">
        <v>2181</v>
      </c>
    </row>
    <row r="1480" spans="1:5" ht="15.75" customHeight="1" x14ac:dyDescent="0.4">
      <c r="A1480" s="24" t="s">
        <v>2134</v>
      </c>
      <c r="B1480" s="24">
        <v>25</v>
      </c>
      <c r="C1480" s="24">
        <v>13</v>
      </c>
      <c r="D1480" s="24">
        <v>1</v>
      </c>
      <c r="E1480" s="24" t="s">
        <v>2181</v>
      </c>
    </row>
    <row r="1481" spans="1:5" ht="15.75" customHeight="1" x14ac:dyDescent="0.4">
      <c r="A1481" s="24" t="s">
        <v>1352</v>
      </c>
      <c r="B1481" s="24">
        <v>25</v>
      </c>
      <c r="C1481" s="24">
        <v>8</v>
      </c>
      <c r="D1481" s="24">
        <v>1</v>
      </c>
      <c r="E1481" s="24" t="s">
        <v>2181</v>
      </c>
    </row>
    <row r="1482" spans="1:5" ht="15.75" customHeight="1" x14ac:dyDescent="0.4">
      <c r="A1482" s="24" t="s">
        <v>1675</v>
      </c>
      <c r="B1482" s="24">
        <v>26</v>
      </c>
      <c r="C1482" s="24">
        <v>8</v>
      </c>
      <c r="D1482" s="24">
        <v>3</v>
      </c>
      <c r="E1482" s="24" t="s">
        <v>2181</v>
      </c>
    </row>
    <row r="1483" spans="1:5" ht="15.75" customHeight="1" x14ac:dyDescent="0.4">
      <c r="A1483" s="24" t="s">
        <v>2123</v>
      </c>
      <c r="B1483" s="24">
        <v>26</v>
      </c>
      <c r="C1483" s="24">
        <v>23</v>
      </c>
      <c r="D1483" s="24">
        <v>3</v>
      </c>
      <c r="E1483" s="24" t="s">
        <v>2181</v>
      </c>
    </row>
    <row r="1484" spans="1:5" ht="15.75" customHeight="1" x14ac:dyDescent="0.4">
      <c r="A1484" s="24" t="s">
        <v>1855</v>
      </c>
      <c r="B1484" s="24">
        <v>26</v>
      </c>
      <c r="C1484" s="24">
        <v>17</v>
      </c>
      <c r="D1484" s="24">
        <v>3</v>
      </c>
      <c r="E1484" s="24" t="s">
        <v>2181</v>
      </c>
    </row>
    <row r="1485" spans="1:5" ht="15.75" customHeight="1" x14ac:dyDescent="0.4">
      <c r="A1485" s="24" t="s">
        <v>2002</v>
      </c>
      <c r="B1485" s="24">
        <v>26</v>
      </c>
      <c r="C1485" s="24">
        <v>7</v>
      </c>
      <c r="D1485" s="24">
        <v>5</v>
      </c>
      <c r="E1485" s="24" t="s">
        <v>2181</v>
      </c>
    </row>
    <row r="1486" spans="1:5" ht="15.75" customHeight="1" x14ac:dyDescent="0.4">
      <c r="A1486" s="24" t="s">
        <v>1753</v>
      </c>
      <c r="B1486" s="24">
        <v>23</v>
      </c>
      <c r="C1486" s="24">
        <v>14</v>
      </c>
      <c r="D1486" s="24">
        <v>0</v>
      </c>
      <c r="E1486" s="24" t="s">
        <v>2181</v>
      </c>
    </row>
    <row r="1487" spans="1:5" ht="15.75" customHeight="1" x14ac:dyDescent="0.4">
      <c r="A1487" s="24" t="s">
        <v>1876</v>
      </c>
      <c r="B1487" s="24">
        <v>21</v>
      </c>
      <c r="C1487" s="24">
        <v>14</v>
      </c>
      <c r="D1487" s="24">
        <v>1</v>
      </c>
      <c r="E1487" s="24" t="s">
        <v>2181</v>
      </c>
    </row>
    <row r="1488" spans="1:5" ht="15.75" customHeight="1" x14ac:dyDescent="0.4">
      <c r="A1488" s="24" t="s">
        <v>1738</v>
      </c>
      <c r="B1488" s="24">
        <v>23</v>
      </c>
      <c r="C1488" s="24">
        <v>21</v>
      </c>
      <c r="D1488" s="24">
        <v>3</v>
      </c>
      <c r="E1488" s="24" t="s">
        <v>2181</v>
      </c>
    </row>
    <row r="1489" spans="1:5" ht="15.75" customHeight="1" x14ac:dyDescent="0.4">
      <c r="A1489" s="24" t="s">
        <v>585</v>
      </c>
      <c r="B1489" s="24">
        <v>26</v>
      </c>
      <c r="C1489" s="24">
        <v>17</v>
      </c>
      <c r="D1489" s="24">
        <v>2</v>
      </c>
      <c r="E1489" s="24" t="s">
        <v>2181</v>
      </c>
    </row>
    <row r="1490" spans="1:5" ht="15.75" customHeight="1" x14ac:dyDescent="0.4">
      <c r="A1490" s="24" t="s">
        <v>2155</v>
      </c>
      <c r="B1490" s="24">
        <v>19</v>
      </c>
      <c r="C1490" s="24">
        <v>13</v>
      </c>
      <c r="D1490" s="24">
        <v>5</v>
      </c>
      <c r="E1490" s="24" t="s">
        <v>2181</v>
      </c>
    </row>
    <row r="1491" spans="1:5" ht="15.75" customHeight="1" x14ac:dyDescent="0.4">
      <c r="A1491" s="24" t="s">
        <v>477</v>
      </c>
      <c r="B1491" s="24">
        <v>26</v>
      </c>
      <c r="C1491" s="24">
        <v>22</v>
      </c>
      <c r="D1491" s="24">
        <v>1</v>
      </c>
      <c r="E1491" s="24" t="s">
        <v>2181</v>
      </c>
    </row>
    <row r="1492" spans="1:5" ht="15.75" customHeight="1" x14ac:dyDescent="0.4">
      <c r="A1492" s="24" t="s">
        <v>780</v>
      </c>
      <c r="B1492" s="24">
        <v>23</v>
      </c>
      <c r="C1492" s="24">
        <v>17</v>
      </c>
      <c r="D1492" s="24">
        <v>0</v>
      </c>
      <c r="E1492" s="24" t="s">
        <v>2181</v>
      </c>
    </row>
    <row r="1493" spans="1:5" ht="15.75" customHeight="1" x14ac:dyDescent="0.4">
      <c r="A1493" s="24" t="s">
        <v>1380</v>
      </c>
      <c r="B1493" s="24">
        <v>24</v>
      </c>
      <c r="C1493" s="24">
        <v>20</v>
      </c>
      <c r="D1493" s="24">
        <v>8</v>
      </c>
      <c r="E1493" s="24" t="s">
        <v>2181</v>
      </c>
    </row>
    <row r="1494" spans="1:5" ht="15.75" customHeight="1" x14ac:dyDescent="0.4">
      <c r="A1494" s="24" t="s">
        <v>1361</v>
      </c>
      <c r="B1494" s="24">
        <v>13</v>
      </c>
      <c r="C1494" s="24">
        <v>8</v>
      </c>
      <c r="D1494" s="24">
        <v>3</v>
      </c>
      <c r="E1494" s="24" t="s">
        <v>2181</v>
      </c>
    </row>
    <row r="1495" spans="1:5" ht="15.75" customHeight="1" x14ac:dyDescent="0.4">
      <c r="A1495" s="24" t="s">
        <v>851</v>
      </c>
      <c r="B1495" s="24">
        <v>26</v>
      </c>
      <c r="C1495" s="24">
        <v>9</v>
      </c>
      <c r="D1495" s="24">
        <v>0</v>
      </c>
      <c r="E1495" s="24" t="s">
        <v>2181</v>
      </c>
    </row>
    <row r="1496" spans="1:5" ht="15.75" customHeight="1" x14ac:dyDescent="0.4">
      <c r="A1496" s="24" t="s">
        <v>1950</v>
      </c>
      <c r="B1496" s="24">
        <v>26</v>
      </c>
      <c r="C1496" s="24">
        <v>3</v>
      </c>
      <c r="D1496" s="24">
        <v>2</v>
      </c>
      <c r="E1496" s="24" t="s">
        <v>2181</v>
      </c>
    </row>
    <row r="1497" spans="1:5" ht="15.75" customHeight="1" x14ac:dyDescent="0.4">
      <c r="A1497" s="24" t="s">
        <v>449</v>
      </c>
      <c r="B1497" s="24">
        <v>11</v>
      </c>
      <c r="C1497" s="24">
        <v>8</v>
      </c>
      <c r="D1497" s="24">
        <v>1</v>
      </c>
      <c r="E1497" s="24" t="s">
        <v>2181</v>
      </c>
    </row>
    <row r="1498" spans="1:5" ht="15.75" customHeight="1" x14ac:dyDescent="0.4">
      <c r="A1498" s="24" t="s">
        <v>894</v>
      </c>
      <c r="B1498" s="24">
        <v>26</v>
      </c>
      <c r="C1498" s="24">
        <v>26</v>
      </c>
      <c r="D1498" s="24">
        <v>0</v>
      </c>
      <c r="E1498" s="24" t="s">
        <v>2181</v>
      </c>
    </row>
    <row r="1499" spans="1:5" ht="15.75" customHeight="1" x14ac:dyDescent="0.4">
      <c r="A1499" s="24" t="s">
        <v>1224</v>
      </c>
      <c r="B1499" s="24">
        <v>21</v>
      </c>
      <c r="C1499" s="24">
        <v>16</v>
      </c>
      <c r="D1499" s="24">
        <v>2</v>
      </c>
      <c r="E1499" s="24" t="s">
        <v>2181</v>
      </c>
    </row>
    <row r="1500" spans="1:5" ht="15.75" customHeight="1" x14ac:dyDescent="0.4">
      <c r="A1500" s="24" t="s">
        <v>1397</v>
      </c>
      <c r="B1500" s="24">
        <v>23</v>
      </c>
      <c r="C1500" s="24">
        <v>22</v>
      </c>
      <c r="D1500" s="24">
        <v>2</v>
      </c>
      <c r="E1500" s="24" t="s">
        <v>2181</v>
      </c>
    </row>
    <row r="1501" spans="1:5" ht="15.75" customHeight="1" x14ac:dyDescent="0.4">
      <c r="A1501" s="24" t="s">
        <v>1035</v>
      </c>
      <c r="B1501" s="24">
        <v>24</v>
      </c>
      <c r="C1501" s="24">
        <v>3</v>
      </c>
      <c r="D1501" s="24">
        <v>1</v>
      </c>
      <c r="E1501" s="24" t="s">
        <v>2181</v>
      </c>
    </row>
    <row r="1502" spans="1:5" ht="15.75" customHeight="1" x14ac:dyDescent="0.4">
      <c r="A1502" s="24" t="s">
        <v>1238</v>
      </c>
      <c r="B1502" s="24">
        <v>8</v>
      </c>
      <c r="C1502" s="24">
        <v>2</v>
      </c>
      <c r="D1502" s="24">
        <v>0</v>
      </c>
      <c r="E1502" s="24" t="s">
        <v>2181</v>
      </c>
    </row>
    <row r="1503" spans="1:5" ht="15.75" customHeight="1" x14ac:dyDescent="0.4">
      <c r="A1503" s="24" t="s">
        <v>1610</v>
      </c>
      <c r="B1503" s="24">
        <v>21</v>
      </c>
      <c r="C1503" s="24">
        <v>21</v>
      </c>
      <c r="D1503" s="24">
        <v>2</v>
      </c>
      <c r="E1503" s="24" t="s">
        <v>2181</v>
      </c>
    </row>
    <row r="1504" spans="1:5" ht="15.75" customHeight="1" x14ac:dyDescent="0.4">
      <c r="A1504" s="24" t="s">
        <v>2041</v>
      </c>
      <c r="B1504" s="24">
        <v>26</v>
      </c>
      <c r="C1504" s="24">
        <v>23</v>
      </c>
      <c r="D1504" s="24">
        <v>5</v>
      </c>
      <c r="E1504" s="24" t="s">
        <v>2181</v>
      </c>
    </row>
    <row r="1505" spans="1:5" ht="15.75" customHeight="1" x14ac:dyDescent="0.4">
      <c r="A1505" s="24" t="s">
        <v>2040</v>
      </c>
      <c r="B1505" s="24">
        <v>8</v>
      </c>
      <c r="C1505" s="24">
        <v>2</v>
      </c>
      <c r="D1505" s="24">
        <v>1</v>
      </c>
      <c r="E1505" s="24" t="s">
        <v>2181</v>
      </c>
    </row>
    <row r="1506" spans="1:5" ht="15.75" customHeight="1" x14ac:dyDescent="0.4">
      <c r="A1506" s="24" t="s">
        <v>533</v>
      </c>
      <c r="B1506" s="24">
        <v>26</v>
      </c>
      <c r="C1506" s="24">
        <v>3</v>
      </c>
      <c r="D1506" s="24">
        <v>0</v>
      </c>
      <c r="E1506" s="24" t="s">
        <v>2181</v>
      </c>
    </row>
    <row r="1507" spans="1:5" ht="15.75" customHeight="1" x14ac:dyDescent="0.4">
      <c r="A1507" s="24" t="s">
        <v>2147</v>
      </c>
      <c r="B1507" s="24">
        <v>26</v>
      </c>
      <c r="C1507" s="24">
        <v>24</v>
      </c>
      <c r="D1507" s="24">
        <v>4</v>
      </c>
      <c r="E1507" s="24" t="s">
        <v>2181</v>
      </c>
    </row>
    <row r="1508" spans="1:5" ht="15.75" customHeight="1" x14ac:dyDescent="0.4">
      <c r="A1508" s="24" t="s">
        <v>1929</v>
      </c>
      <c r="B1508" s="24">
        <v>21</v>
      </c>
      <c r="C1508" s="24">
        <v>21</v>
      </c>
      <c r="D1508" s="24">
        <v>0</v>
      </c>
      <c r="E1508" s="24" t="s">
        <v>2181</v>
      </c>
    </row>
    <row r="1509" spans="1:5" ht="15.75" customHeight="1" x14ac:dyDescent="0.4">
      <c r="A1509" s="24" t="s">
        <v>341</v>
      </c>
      <c r="B1509" s="24">
        <v>26</v>
      </c>
      <c r="C1509" s="24">
        <v>0</v>
      </c>
      <c r="D1509" s="24">
        <v>0</v>
      </c>
      <c r="E1509" s="24" t="s">
        <v>2181</v>
      </c>
    </row>
    <row r="1510" spans="1:5" ht="15.75" customHeight="1" x14ac:dyDescent="0.4">
      <c r="A1510" s="24" t="s">
        <v>1672</v>
      </c>
      <c r="B1510" s="24">
        <v>25</v>
      </c>
      <c r="C1510" s="24">
        <v>20</v>
      </c>
      <c r="D1510" s="24">
        <v>7</v>
      </c>
      <c r="E1510" s="24" t="s">
        <v>2181</v>
      </c>
    </row>
    <row r="1511" spans="1:5" ht="15.75" customHeight="1" x14ac:dyDescent="0.4">
      <c r="A1511" s="24" t="s">
        <v>1384</v>
      </c>
      <c r="B1511" s="24">
        <v>26</v>
      </c>
      <c r="C1511" s="24">
        <v>21</v>
      </c>
      <c r="D1511" s="24">
        <v>1</v>
      </c>
      <c r="E1511" s="24" t="s">
        <v>2181</v>
      </c>
    </row>
    <row r="1512" spans="1:5" ht="15.75" customHeight="1" x14ac:dyDescent="0.4">
      <c r="A1512" s="24" t="s">
        <v>1311</v>
      </c>
      <c r="B1512" s="24">
        <v>21</v>
      </c>
      <c r="C1512" s="24">
        <v>18</v>
      </c>
      <c r="D1512" s="24">
        <v>1</v>
      </c>
      <c r="E1512" s="24" t="s">
        <v>2181</v>
      </c>
    </row>
    <row r="1513" spans="1:5" ht="15.75" customHeight="1" x14ac:dyDescent="0.4">
      <c r="A1513" s="24" t="s">
        <v>1625</v>
      </c>
      <c r="B1513" s="24">
        <v>26</v>
      </c>
      <c r="C1513" s="24">
        <v>20</v>
      </c>
      <c r="D1513" s="24">
        <v>2</v>
      </c>
      <c r="E1513" s="24" t="s">
        <v>2181</v>
      </c>
    </row>
    <row r="1514" spans="1:5" ht="15.75" customHeight="1" x14ac:dyDescent="0.4">
      <c r="A1514" s="24" t="s">
        <v>788</v>
      </c>
      <c r="B1514" s="24">
        <v>26</v>
      </c>
      <c r="C1514" s="24">
        <v>19</v>
      </c>
      <c r="D1514" s="24">
        <v>0</v>
      </c>
      <c r="E1514" s="24" t="s">
        <v>2181</v>
      </c>
    </row>
    <row r="1515" spans="1:5" ht="15.75" customHeight="1" x14ac:dyDescent="0.4">
      <c r="A1515" s="24" t="s">
        <v>1957</v>
      </c>
      <c r="B1515" s="24">
        <v>8</v>
      </c>
      <c r="C1515" s="24">
        <v>6</v>
      </c>
      <c r="D1515" s="24">
        <v>0</v>
      </c>
      <c r="E1515" s="24" t="s">
        <v>2181</v>
      </c>
    </row>
    <row r="1516" spans="1:5" ht="15.75" customHeight="1" x14ac:dyDescent="0.4">
      <c r="A1516" s="24" t="s">
        <v>2018</v>
      </c>
      <c r="B1516" s="24">
        <v>26</v>
      </c>
      <c r="C1516" s="24">
        <v>7</v>
      </c>
      <c r="D1516" s="24">
        <v>2</v>
      </c>
      <c r="E1516" s="24" t="s">
        <v>2181</v>
      </c>
    </row>
    <row r="1517" spans="1:5" ht="15.75" customHeight="1" x14ac:dyDescent="0.4">
      <c r="A1517" s="24" t="s">
        <v>1953</v>
      </c>
      <c r="B1517" s="24">
        <v>26</v>
      </c>
      <c r="C1517" s="24">
        <v>21</v>
      </c>
      <c r="D1517" s="24">
        <v>2</v>
      </c>
      <c r="E1517" s="24" t="s">
        <v>2181</v>
      </c>
    </row>
    <row r="1518" spans="1:5" ht="15.75" customHeight="1" x14ac:dyDescent="0.4">
      <c r="A1518" s="24" t="s">
        <v>1861</v>
      </c>
      <c r="B1518" s="24">
        <v>21</v>
      </c>
      <c r="C1518" s="24">
        <v>19</v>
      </c>
      <c r="D1518" s="24">
        <v>0</v>
      </c>
      <c r="E1518" s="24" t="s">
        <v>2181</v>
      </c>
    </row>
    <row r="1519" spans="1:5" ht="15.75" customHeight="1" x14ac:dyDescent="0.4">
      <c r="A1519" s="24" t="s">
        <v>1824</v>
      </c>
      <c r="B1519" s="24">
        <v>26</v>
      </c>
      <c r="C1519" s="24">
        <v>17</v>
      </c>
      <c r="D1519" s="24">
        <v>4</v>
      </c>
      <c r="E1519" s="24" t="s">
        <v>2181</v>
      </c>
    </row>
    <row r="1520" spans="1:5" ht="15.75" customHeight="1" x14ac:dyDescent="0.4">
      <c r="A1520" s="24" t="s">
        <v>1120</v>
      </c>
      <c r="B1520" s="24">
        <v>24</v>
      </c>
      <c r="C1520" s="24">
        <v>14</v>
      </c>
      <c r="D1520" s="24">
        <v>1</v>
      </c>
      <c r="E1520" s="24" t="s">
        <v>2181</v>
      </c>
    </row>
    <row r="1521" spans="1:5" ht="15.75" customHeight="1" x14ac:dyDescent="0.4">
      <c r="A1521" s="24" t="s">
        <v>1665</v>
      </c>
      <c r="B1521" s="24">
        <v>26</v>
      </c>
      <c r="C1521" s="24">
        <v>24</v>
      </c>
      <c r="D1521" s="24">
        <v>1</v>
      </c>
      <c r="E1521" s="24" t="s">
        <v>2181</v>
      </c>
    </row>
    <row r="1522" spans="1:5" ht="15.75" customHeight="1" x14ac:dyDescent="0.4">
      <c r="A1522" s="24" t="s">
        <v>784</v>
      </c>
      <c r="B1522" s="24">
        <v>26</v>
      </c>
      <c r="C1522" s="24">
        <v>9</v>
      </c>
      <c r="D1522" s="24">
        <v>0</v>
      </c>
      <c r="E1522" s="24" t="s">
        <v>2181</v>
      </c>
    </row>
    <row r="1523" spans="1:5" ht="15.75" customHeight="1" x14ac:dyDescent="0.4">
      <c r="A1523" s="24" t="s">
        <v>405</v>
      </c>
      <c r="B1523" s="24">
        <v>24</v>
      </c>
      <c r="C1523" s="24">
        <v>21</v>
      </c>
      <c r="D1523" s="24">
        <v>1</v>
      </c>
      <c r="E1523" s="24" t="s">
        <v>2181</v>
      </c>
    </row>
    <row r="1524" spans="1:5" ht="15.75" customHeight="1" x14ac:dyDescent="0.4">
      <c r="A1524" s="24" t="s">
        <v>1456</v>
      </c>
      <c r="B1524" s="24">
        <v>23</v>
      </c>
      <c r="C1524" s="24">
        <v>23</v>
      </c>
      <c r="D1524" s="24">
        <v>8</v>
      </c>
      <c r="E1524" s="24" t="s">
        <v>2181</v>
      </c>
    </row>
    <row r="1525" spans="1:5" ht="15.75" customHeight="1" x14ac:dyDescent="0.4">
      <c r="A1525" s="24" t="s">
        <v>929</v>
      </c>
      <c r="B1525" s="24">
        <v>23</v>
      </c>
      <c r="C1525" s="24">
        <v>21</v>
      </c>
      <c r="D1525" s="24">
        <v>5</v>
      </c>
      <c r="E1525" s="24" t="s">
        <v>2181</v>
      </c>
    </row>
    <row r="1526" spans="1:5" ht="15.75" customHeight="1" x14ac:dyDescent="0.4">
      <c r="A1526" s="24" t="s">
        <v>258</v>
      </c>
      <c r="B1526" s="24">
        <v>26</v>
      </c>
      <c r="C1526" s="24">
        <v>22</v>
      </c>
      <c r="D1526" s="24">
        <v>1</v>
      </c>
      <c r="E1526" s="24" t="s">
        <v>2181</v>
      </c>
    </row>
    <row r="1527" spans="1:5" ht="15.75" customHeight="1" x14ac:dyDescent="0.4">
      <c r="A1527" s="24" t="s">
        <v>1403</v>
      </c>
      <c r="B1527" s="24">
        <v>23</v>
      </c>
      <c r="C1527" s="24">
        <v>19</v>
      </c>
      <c r="D1527" s="24">
        <v>3</v>
      </c>
      <c r="E1527" s="24" t="s">
        <v>2181</v>
      </c>
    </row>
    <row r="1528" spans="1:5" ht="15.75" customHeight="1" x14ac:dyDescent="0.4">
      <c r="A1528" s="24" t="s">
        <v>911</v>
      </c>
      <c r="B1528" s="24">
        <v>26</v>
      </c>
      <c r="C1528" s="24">
        <v>19</v>
      </c>
      <c r="D1528" s="24">
        <v>7</v>
      </c>
      <c r="E1528" s="24" t="s">
        <v>2181</v>
      </c>
    </row>
    <row r="1529" spans="1:5" ht="15.75" customHeight="1" x14ac:dyDescent="0.4">
      <c r="A1529" s="24" t="s">
        <v>1472</v>
      </c>
      <c r="B1529" s="24">
        <v>26</v>
      </c>
      <c r="C1529" s="24">
        <v>18</v>
      </c>
      <c r="D1529" s="24">
        <v>2</v>
      </c>
      <c r="E1529" s="24" t="s">
        <v>2181</v>
      </c>
    </row>
    <row r="1530" spans="1:5" ht="15.75" customHeight="1" x14ac:dyDescent="0.4">
      <c r="A1530" s="24" t="s">
        <v>1872</v>
      </c>
      <c r="B1530" s="24">
        <v>8</v>
      </c>
      <c r="C1530" s="24">
        <v>0</v>
      </c>
      <c r="D1530" s="24">
        <v>0</v>
      </c>
      <c r="E1530" s="24" t="s">
        <v>2181</v>
      </c>
    </row>
    <row r="1531" spans="1:5" ht="15.75" customHeight="1" x14ac:dyDescent="0.4">
      <c r="A1531" s="24" t="s">
        <v>1411</v>
      </c>
      <c r="B1531" s="24">
        <v>19</v>
      </c>
      <c r="C1531" s="24">
        <v>18</v>
      </c>
      <c r="D1531" s="24">
        <v>9</v>
      </c>
      <c r="E1531" s="24" t="s">
        <v>2181</v>
      </c>
    </row>
    <row r="1532" spans="1:5" ht="15.75" customHeight="1" x14ac:dyDescent="0.4">
      <c r="A1532" s="24" t="s">
        <v>1748</v>
      </c>
      <c r="B1532" s="24">
        <v>26</v>
      </c>
      <c r="C1532" s="24">
        <v>9</v>
      </c>
      <c r="D1532" s="24">
        <v>1</v>
      </c>
      <c r="E1532" s="24" t="s">
        <v>2181</v>
      </c>
    </row>
    <row r="1533" spans="1:5" ht="15.75" customHeight="1" x14ac:dyDescent="0.4">
      <c r="A1533" s="24" t="s">
        <v>268</v>
      </c>
      <c r="B1533" s="24">
        <v>21</v>
      </c>
      <c r="C1533" s="24">
        <v>21</v>
      </c>
      <c r="D1533" s="24">
        <v>2</v>
      </c>
      <c r="E1533" s="24" t="s">
        <v>2181</v>
      </c>
    </row>
    <row r="1534" spans="1:5" ht="15.75" customHeight="1" x14ac:dyDescent="0.4">
      <c r="A1534" s="24" t="s">
        <v>1794</v>
      </c>
      <c r="B1534" s="24">
        <v>26</v>
      </c>
      <c r="C1534" s="24">
        <v>15</v>
      </c>
      <c r="D1534" s="24">
        <v>2</v>
      </c>
      <c r="E1534" s="24" t="s">
        <v>2181</v>
      </c>
    </row>
    <row r="1535" spans="1:5" ht="15.75" customHeight="1" x14ac:dyDescent="0.4">
      <c r="A1535" s="24" t="s">
        <v>1900</v>
      </c>
      <c r="B1535" s="24">
        <v>26</v>
      </c>
      <c r="C1535" s="24">
        <v>22</v>
      </c>
      <c r="D1535" s="24">
        <v>2</v>
      </c>
      <c r="E1535" s="24" t="s">
        <v>2181</v>
      </c>
    </row>
    <row r="1536" spans="1:5" ht="15.75" customHeight="1" x14ac:dyDescent="0.4">
      <c r="A1536" s="24" t="s">
        <v>362</v>
      </c>
      <c r="B1536" s="24">
        <v>8</v>
      </c>
      <c r="C1536" s="24">
        <v>3</v>
      </c>
      <c r="D1536" s="24">
        <v>0</v>
      </c>
      <c r="E1536" s="24" t="s">
        <v>2181</v>
      </c>
    </row>
    <row r="1537" spans="1:5" ht="15.75" customHeight="1" x14ac:dyDescent="0.4">
      <c r="A1537" s="24" t="s">
        <v>1469</v>
      </c>
      <c r="B1537" s="24">
        <v>21</v>
      </c>
      <c r="C1537" s="24">
        <v>15</v>
      </c>
      <c r="D1537" s="24">
        <v>6</v>
      </c>
      <c r="E1537" s="24" t="s">
        <v>2181</v>
      </c>
    </row>
    <row r="1538" spans="1:5" ht="15.75" customHeight="1" x14ac:dyDescent="0.4">
      <c r="A1538" s="24" t="s">
        <v>226</v>
      </c>
      <c r="B1538" s="24">
        <v>21</v>
      </c>
      <c r="C1538" s="24">
        <v>20</v>
      </c>
      <c r="D1538" s="24">
        <v>10</v>
      </c>
      <c r="E1538" s="24" t="s">
        <v>2180</v>
      </c>
    </row>
    <row r="1539" spans="1:5" ht="15.75" customHeight="1" x14ac:dyDescent="0.4">
      <c r="A1539" s="24" t="s">
        <v>1343</v>
      </c>
      <c r="B1539" s="24">
        <v>18</v>
      </c>
      <c r="C1539" s="24">
        <v>0</v>
      </c>
      <c r="D1539" s="24">
        <v>3</v>
      </c>
      <c r="E1539" s="24" t="s">
        <v>2180</v>
      </c>
    </row>
    <row r="1540" spans="1:5" ht="15.75" customHeight="1" x14ac:dyDescent="0.4">
      <c r="A1540" s="24" t="s">
        <v>248</v>
      </c>
      <c r="B1540" s="24">
        <v>13</v>
      </c>
      <c r="C1540" s="24">
        <v>9</v>
      </c>
      <c r="D1540" s="24">
        <v>4</v>
      </c>
      <c r="E1540" s="24" t="s">
        <v>2180</v>
      </c>
    </row>
    <row r="1541" spans="1:5" ht="15.75" customHeight="1" x14ac:dyDescent="0.4">
      <c r="A1541" s="24" t="s">
        <v>1883</v>
      </c>
      <c r="B1541" s="24">
        <v>24</v>
      </c>
      <c r="C1541" s="24">
        <v>20</v>
      </c>
      <c r="D1541" s="24">
        <v>0</v>
      </c>
      <c r="E1541" s="24" t="s">
        <v>2181</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048576"/>
  <sheetViews>
    <sheetView zoomScaleNormal="100" workbookViewId="0"/>
  </sheetViews>
  <sheetFormatPr defaultColWidth="12.6328125" defaultRowHeight="14.5" x14ac:dyDescent="0.4"/>
  <cols>
    <col min="1" max="1" width="8.90625" customWidth="1"/>
    <col min="2" max="2" width="26.08984375" customWidth="1"/>
  </cols>
  <sheetData>
    <row r="1" spans="1:5" ht="15.75" customHeight="1" x14ac:dyDescent="0.4">
      <c r="A1" s="24" t="s">
        <v>213</v>
      </c>
      <c r="B1" s="24" t="s">
        <v>2182</v>
      </c>
      <c r="C1" s="24" t="s">
        <v>2183</v>
      </c>
      <c r="D1" s="24" t="s">
        <v>2184</v>
      </c>
      <c r="E1" s="24" t="s">
        <v>2185</v>
      </c>
    </row>
    <row r="2" spans="1:5" ht="15.75" customHeight="1" x14ac:dyDescent="0.4">
      <c r="A2" s="24" t="s">
        <v>868</v>
      </c>
      <c r="B2" s="24" t="s">
        <v>2186</v>
      </c>
      <c r="C2" s="24">
        <v>100</v>
      </c>
      <c r="D2" s="24">
        <v>99.816800000000001</v>
      </c>
      <c r="E2" s="24">
        <v>13.807700000000001</v>
      </c>
    </row>
    <row r="3" spans="1:5" ht="15.75" customHeight="1" x14ac:dyDescent="0.4">
      <c r="A3" s="24" t="s">
        <v>1224</v>
      </c>
      <c r="B3" s="24" t="s">
        <v>2186</v>
      </c>
      <c r="C3" s="24">
        <v>100</v>
      </c>
      <c r="D3" s="24">
        <v>16.969200000000001</v>
      </c>
      <c r="E3" s="24">
        <v>99.717699999999994</v>
      </c>
    </row>
    <row r="4" spans="1:5" ht="15.75" customHeight="1" x14ac:dyDescent="0.4">
      <c r="A4" s="24" t="s">
        <v>1047</v>
      </c>
      <c r="B4" s="24" t="s">
        <v>2186</v>
      </c>
      <c r="C4" s="24">
        <v>100</v>
      </c>
      <c r="D4" s="24">
        <v>100</v>
      </c>
    </row>
    <row r="5" spans="1:5" ht="15.75" customHeight="1" x14ac:dyDescent="0.4">
      <c r="A5" s="24" t="s">
        <v>1068</v>
      </c>
      <c r="B5" s="24" t="s">
        <v>2186</v>
      </c>
      <c r="C5" s="24">
        <v>100</v>
      </c>
      <c r="D5" s="24">
        <v>39.941699999999997</v>
      </c>
      <c r="E5" s="24">
        <v>59.971800000000002</v>
      </c>
    </row>
    <row r="6" spans="1:5" ht="15.75" customHeight="1" x14ac:dyDescent="0.4">
      <c r="A6" s="24" t="s">
        <v>981</v>
      </c>
      <c r="B6" s="24" t="s">
        <v>2186</v>
      </c>
      <c r="C6" s="24">
        <v>100</v>
      </c>
      <c r="D6" s="24">
        <v>100</v>
      </c>
    </row>
    <row r="7" spans="1:5" ht="15.75" customHeight="1" x14ac:dyDescent="0.4">
      <c r="A7" s="24" t="s">
        <v>1682</v>
      </c>
      <c r="B7" s="24" t="s">
        <v>2186</v>
      </c>
      <c r="C7" s="24">
        <v>100</v>
      </c>
      <c r="D7" s="24">
        <v>84.904200000000003</v>
      </c>
      <c r="E7" s="24">
        <v>97.002700000000004</v>
      </c>
    </row>
    <row r="8" spans="1:5" ht="15.75" customHeight="1" x14ac:dyDescent="0.4">
      <c r="A8" s="24" t="s">
        <v>843</v>
      </c>
      <c r="B8" s="24" t="s">
        <v>2186</v>
      </c>
      <c r="C8" s="24">
        <v>100</v>
      </c>
      <c r="D8" s="24">
        <v>47.4938</v>
      </c>
      <c r="E8" s="24">
        <v>99.775800000000004</v>
      </c>
    </row>
    <row r="9" spans="1:5" ht="15.75" customHeight="1" x14ac:dyDescent="0.4">
      <c r="A9" s="24" t="s">
        <v>1230</v>
      </c>
      <c r="B9" s="24" t="s">
        <v>2186</v>
      </c>
      <c r="C9" s="24">
        <v>100</v>
      </c>
      <c r="D9" s="24">
        <v>99.700199999999995</v>
      </c>
      <c r="E9" s="24">
        <v>14.4221</v>
      </c>
    </row>
    <row r="10" spans="1:5" ht="15.75" customHeight="1" x14ac:dyDescent="0.4">
      <c r="A10" s="24" t="s">
        <v>926</v>
      </c>
      <c r="B10" s="24" t="s">
        <v>2186</v>
      </c>
      <c r="C10" s="24">
        <v>100</v>
      </c>
      <c r="E10" s="24">
        <v>100.05800000000001</v>
      </c>
    </row>
    <row r="11" spans="1:5" ht="15.75" customHeight="1" x14ac:dyDescent="0.4">
      <c r="A11" s="24" t="s">
        <v>1073</v>
      </c>
      <c r="B11" s="24" t="s">
        <v>2186</v>
      </c>
      <c r="C11" s="24">
        <v>100</v>
      </c>
      <c r="D11" s="24">
        <v>99.675299999999993</v>
      </c>
      <c r="E11" s="24">
        <v>100.05800000000001</v>
      </c>
    </row>
    <row r="12" spans="1:5" ht="15.75" customHeight="1" x14ac:dyDescent="0.4">
      <c r="A12" s="24" t="s">
        <v>1676</v>
      </c>
      <c r="B12" s="24" t="s">
        <v>2186</v>
      </c>
      <c r="C12" s="24">
        <v>100</v>
      </c>
      <c r="D12" s="24">
        <v>60.7744</v>
      </c>
      <c r="E12" s="24">
        <v>76.718699999999998</v>
      </c>
    </row>
    <row r="13" spans="1:5" ht="15.75" customHeight="1" x14ac:dyDescent="0.4">
      <c r="A13" s="24" t="s">
        <v>1003</v>
      </c>
      <c r="B13" s="24" t="s">
        <v>2186</v>
      </c>
      <c r="C13" s="24">
        <v>100</v>
      </c>
      <c r="E13" s="24">
        <v>100.05800000000001</v>
      </c>
    </row>
    <row r="14" spans="1:5" ht="15.75" customHeight="1" x14ac:dyDescent="0.4">
      <c r="A14" s="24" t="s">
        <v>844</v>
      </c>
      <c r="B14" s="24" t="s">
        <v>2186</v>
      </c>
      <c r="C14" s="24">
        <v>99.9833</v>
      </c>
      <c r="D14" s="24">
        <v>99.9833</v>
      </c>
    </row>
    <row r="15" spans="1:5" ht="15.75" customHeight="1" x14ac:dyDescent="0.4">
      <c r="A15" s="24" t="s">
        <v>1832</v>
      </c>
      <c r="B15" s="24" t="s">
        <v>2186</v>
      </c>
      <c r="C15" s="24">
        <v>99.95</v>
      </c>
      <c r="D15" s="24">
        <v>97.718599999999995</v>
      </c>
      <c r="E15" s="24">
        <v>20.790400000000002</v>
      </c>
    </row>
    <row r="16" spans="1:5" ht="15.75" customHeight="1" x14ac:dyDescent="0.4">
      <c r="A16" s="24" t="s">
        <v>1041</v>
      </c>
      <c r="B16" s="24" t="s">
        <v>2186</v>
      </c>
      <c r="C16" s="24">
        <v>99.95</v>
      </c>
      <c r="D16" s="24">
        <v>95.262299999999996</v>
      </c>
      <c r="E16" s="24">
        <v>76.502799999999993</v>
      </c>
    </row>
    <row r="17" spans="1:5" ht="15.75" customHeight="1" x14ac:dyDescent="0.4">
      <c r="A17" s="24" t="s">
        <v>1589</v>
      </c>
      <c r="B17" s="24" t="s">
        <v>2186</v>
      </c>
      <c r="C17" s="24">
        <v>99.933400000000006</v>
      </c>
      <c r="D17" s="24">
        <v>99.500399999999999</v>
      </c>
      <c r="E17" s="24">
        <v>50.5563</v>
      </c>
    </row>
    <row r="18" spans="1:5" ht="15.75" customHeight="1" x14ac:dyDescent="0.4">
      <c r="A18" s="24" t="s">
        <v>1095</v>
      </c>
      <c r="B18" s="24" t="s">
        <v>2186</v>
      </c>
      <c r="C18" s="24">
        <v>99.9251</v>
      </c>
      <c r="D18" s="24">
        <v>99.9251</v>
      </c>
    </row>
    <row r="19" spans="1:5" ht="15.75" customHeight="1" x14ac:dyDescent="0.4">
      <c r="A19" s="24" t="s">
        <v>2110</v>
      </c>
      <c r="B19" s="24" t="s">
        <v>2186</v>
      </c>
      <c r="C19" s="24">
        <v>99.9251</v>
      </c>
      <c r="D19" s="24">
        <v>99.9251</v>
      </c>
    </row>
    <row r="20" spans="1:5" ht="15.75" customHeight="1" x14ac:dyDescent="0.4">
      <c r="A20" s="24" t="s">
        <v>716</v>
      </c>
      <c r="B20" s="24" t="s">
        <v>2186</v>
      </c>
      <c r="C20" s="24">
        <v>99.866799999999998</v>
      </c>
      <c r="D20" s="24">
        <v>99.866799999999998</v>
      </c>
    </row>
    <row r="21" spans="1:5" ht="15.75" customHeight="1" x14ac:dyDescent="0.4">
      <c r="A21" s="24" t="s">
        <v>1685</v>
      </c>
      <c r="B21" s="24" t="s">
        <v>2186</v>
      </c>
      <c r="C21" s="24">
        <v>99.816800000000001</v>
      </c>
      <c r="D21" s="24">
        <v>30.857600000000001</v>
      </c>
      <c r="E21" s="24">
        <v>99.534999999999997</v>
      </c>
    </row>
    <row r="22" spans="1:5" ht="15.75" customHeight="1" x14ac:dyDescent="0.4">
      <c r="A22" s="24" t="s">
        <v>433</v>
      </c>
      <c r="B22" s="24" t="s">
        <v>2186</v>
      </c>
      <c r="C22" s="24">
        <v>99.791799999999995</v>
      </c>
      <c r="E22" s="24">
        <v>99.510099999999994</v>
      </c>
    </row>
    <row r="23" spans="1:5" ht="15.75" customHeight="1" x14ac:dyDescent="0.4">
      <c r="A23" s="24" t="s">
        <v>1145</v>
      </c>
      <c r="B23" s="24" t="s">
        <v>2186</v>
      </c>
      <c r="C23" s="24">
        <v>99.766900000000007</v>
      </c>
      <c r="D23" s="24">
        <v>99.766900000000007</v>
      </c>
    </row>
    <row r="24" spans="1:5" ht="15.75" customHeight="1" x14ac:dyDescent="0.4">
      <c r="A24" s="24" t="s">
        <v>1203</v>
      </c>
      <c r="B24" s="24" t="s">
        <v>2186</v>
      </c>
      <c r="C24" s="24">
        <v>99.733599999999996</v>
      </c>
      <c r="D24" s="24">
        <v>99.733599999999996</v>
      </c>
    </row>
    <row r="25" spans="1:5" ht="15.75" customHeight="1" x14ac:dyDescent="0.4">
      <c r="A25" s="24" t="s">
        <v>1113</v>
      </c>
      <c r="B25" s="24" t="s">
        <v>2186</v>
      </c>
      <c r="C25" s="24">
        <v>99.700199999999995</v>
      </c>
      <c r="D25" s="24">
        <v>94.962500000000006</v>
      </c>
      <c r="E25" s="24">
        <v>37.744900000000001</v>
      </c>
    </row>
    <row r="26" spans="1:5" ht="15.75" customHeight="1" x14ac:dyDescent="0.4">
      <c r="A26" s="24" t="s">
        <v>913</v>
      </c>
      <c r="B26" s="24" t="s">
        <v>2186</v>
      </c>
      <c r="C26" s="24">
        <v>99.691900000000004</v>
      </c>
      <c r="D26" s="24">
        <v>99.691900000000004</v>
      </c>
    </row>
    <row r="27" spans="1:5" ht="15.75" customHeight="1" x14ac:dyDescent="0.4">
      <c r="A27" s="24" t="s">
        <v>1159</v>
      </c>
      <c r="B27" s="24" t="s">
        <v>2186</v>
      </c>
      <c r="C27" s="24">
        <v>99.691900000000004</v>
      </c>
      <c r="D27" s="24">
        <v>99.583699999999993</v>
      </c>
      <c r="E27" s="24">
        <v>8.4938599999999997</v>
      </c>
    </row>
    <row r="28" spans="1:5" ht="15.75" customHeight="1" x14ac:dyDescent="0.4">
      <c r="A28" s="24" t="s">
        <v>888</v>
      </c>
      <c r="B28" s="24" t="s">
        <v>2186</v>
      </c>
      <c r="C28" s="24">
        <v>99.633600000000001</v>
      </c>
      <c r="D28" s="24">
        <v>99.633600000000001</v>
      </c>
    </row>
    <row r="29" spans="1:5" ht="15.75" customHeight="1" x14ac:dyDescent="0.4">
      <c r="A29" s="24" t="s">
        <v>1092</v>
      </c>
      <c r="B29" s="24" t="s">
        <v>2186</v>
      </c>
      <c r="C29" s="24">
        <v>99.608699999999999</v>
      </c>
      <c r="D29" s="24">
        <v>69.200699999999998</v>
      </c>
      <c r="E29" s="24">
        <v>36.698799999999999</v>
      </c>
    </row>
    <row r="30" spans="1:5" ht="15.75" customHeight="1" x14ac:dyDescent="0.4">
      <c r="A30" s="24" t="s">
        <v>677</v>
      </c>
      <c r="B30" s="24" t="s">
        <v>2186</v>
      </c>
      <c r="C30" s="24">
        <v>99.600300000000004</v>
      </c>
      <c r="D30" s="24">
        <v>99.600300000000004</v>
      </c>
      <c r="E30" s="24">
        <v>6.0278999999999998</v>
      </c>
    </row>
    <row r="31" spans="1:5" ht="15.75" customHeight="1" x14ac:dyDescent="0.4">
      <c r="A31" s="24" t="s">
        <v>1078</v>
      </c>
      <c r="B31" s="24" t="s">
        <v>2186</v>
      </c>
      <c r="C31" s="24">
        <v>99.591999999999999</v>
      </c>
      <c r="D31" s="24">
        <v>99.591999999999999</v>
      </c>
    </row>
    <row r="32" spans="1:5" ht="15.75" customHeight="1" x14ac:dyDescent="0.4">
      <c r="A32" s="24" t="s">
        <v>617</v>
      </c>
      <c r="B32" s="24" t="s">
        <v>2186</v>
      </c>
      <c r="C32" s="24">
        <v>99.591999999999999</v>
      </c>
      <c r="D32" s="24">
        <v>99.591999999999999</v>
      </c>
    </row>
    <row r="33" spans="1:5" ht="15.75" customHeight="1" x14ac:dyDescent="0.4">
      <c r="A33" s="24" t="s">
        <v>1090</v>
      </c>
      <c r="B33" s="24" t="s">
        <v>2186</v>
      </c>
      <c r="C33" s="24">
        <v>99.575400000000002</v>
      </c>
      <c r="D33" s="24">
        <v>99.575400000000002</v>
      </c>
    </row>
    <row r="34" spans="1:5" ht="15.75" customHeight="1" x14ac:dyDescent="0.4">
      <c r="A34" s="24" t="s">
        <v>1081</v>
      </c>
      <c r="B34" s="24" t="s">
        <v>2186</v>
      </c>
      <c r="C34" s="24">
        <v>99.566999999999993</v>
      </c>
      <c r="D34" s="24">
        <v>44.438000000000002</v>
      </c>
      <c r="E34" s="24">
        <v>69.204599999999999</v>
      </c>
    </row>
    <row r="35" spans="1:5" ht="15.75" customHeight="1" x14ac:dyDescent="0.4">
      <c r="A35" s="24" t="s">
        <v>1201</v>
      </c>
      <c r="B35" s="24" t="s">
        <v>2186</v>
      </c>
      <c r="C35" s="24">
        <v>99.558700000000002</v>
      </c>
      <c r="D35" s="24">
        <v>86.902600000000007</v>
      </c>
      <c r="E35" s="24">
        <v>89.870500000000007</v>
      </c>
    </row>
    <row r="36" spans="1:5" ht="15.75" customHeight="1" x14ac:dyDescent="0.4">
      <c r="A36" s="24" t="s">
        <v>736</v>
      </c>
      <c r="B36" s="24" t="s">
        <v>2186</v>
      </c>
      <c r="C36" s="24">
        <v>99.525400000000005</v>
      </c>
      <c r="D36" s="24">
        <v>91.457099999999997</v>
      </c>
      <c r="E36" s="24">
        <v>9.3241399999999999</v>
      </c>
    </row>
    <row r="37" spans="1:5" ht="15.75" customHeight="1" x14ac:dyDescent="0.4">
      <c r="A37" s="24" t="s">
        <v>1200</v>
      </c>
      <c r="B37" s="24" t="s">
        <v>2186</v>
      </c>
      <c r="C37" s="24">
        <v>99.517099999999999</v>
      </c>
      <c r="D37" s="24">
        <v>95.195700000000002</v>
      </c>
      <c r="E37" s="24">
        <v>13.733000000000001</v>
      </c>
    </row>
    <row r="38" spans="1:5" ht="15.75" customHeight="1" x14ac:dyDescent="0.4">
      <c r="A38" s="24" t="s">
        <v>1182</v>
      </c>
      <c r="B38" s="24" t="s">
        <v>2186</v>
      </c>
      <c r="C38" s="24">
        <v>99.500399999999999</v>
      </c>
      <c r="D38" s="24">
        <v>94.03</v>
      </c>
      <c r="E38" s="24">
        <v>38.840899999999998</v>
      </c>
    </row>
    <row r="39" spans="1:5" ht="15.75" customHeight="1" x14ac:dyDescent="0.4">
      <c r="A39" s="24" t="s">
        <v>1133</v>
      </c>
      <c r="B39" s="24" t="s">
        <v>2186</v>
      </c>
      <c r="C39" s="24">
        <v>99.492099999999994</v>
      </c>
      <c r="D39" s="24">
        <v>65.97</v>
      </c>
      <c r="E39" s="24">
        <v>97.459299999999999</v>
      </c>
    </row>
    <row r="40" spans="1:5" ht="15.75" customHeight="1" x14ac:dyDescent="0.4">
      <c r="A40" s="24" t="s">
        <v>1066</v>
      </c>
      <c r="B40" s="24" t="s">
        <v>2186</v>
      </c>
      <c r="C40" s="24">
        <v>99.492099999999994</v>
      </c>
      <c r="D40" s="24">
        <v>71.540400000000005</v>
      </c>
      <c r="E40" s="24">
        <v>27.872800000000002</v>
      </c>
    </row>
    <row r="41" spans="1:5" ht="15.75" customHeight="1" x14ac:dyDescent="0.4">
      <c r="A41" s="24" t="s">
        <v>1117</v>
      </c>
      <c r="B41" s="24" t="s">
        <v>2186</v>
      </c>
      <c r="C41" s="24">
        <v>99.325599999999994</v>
      </c>
      <c r="D41" s="24">
        <v>99.325599999999994</v>
      </c>
    </row>
    <row r="42" spans="1:5" ht="15.75" customHeight="1" x14ac:dyDescent="0.4">
      <c r="A42" s="24" t="s">
        <v>911</v>
      </c>
      <c r="B42" s="24" t="s">
        <v>2186</v>
      </c>
      <c r="C42" s="24">
        <v>99.308899999999994</v>
      </c>
      <c r="E42" s="24">
        <v>99.028599999999997</v>
      </c>
    </row>
    <row r="43" spans="1:5" ht="15.75" customHeight="1" x14ac:dyDescent="0.4">
      <c r="A43" s="24" t="s">
        <v>865</v>
      </c>
      <c r="B43" s="24" t="s">
        <v>2186</v>
      </c>
      <c r="C43" s="24">
        <v>99.300600000000003</v>
      </c>
      <c r="D43" s="24">
        <v>99.300600000000003</v>
      </c>
    </row>
    <row r="44" spans="1:5" ht="15.75" customHeight="1" x14ac:dyDescent="0.4">
      <c r="A44" s="24" t="s">
        <v>964</v>
      </c>
      <c r="B44" s="24" t="s">
        <v>2186</v>
      </c>
      <c r="C44" s="24">
        <v>99.275599999999997</v>
      </c>
      <c r="D44" s="24">
        <v>99.275599999999997</v>
      </c>
    </row>
    <row r="45" spans="1:5" ht="15.75" customHeight="1" x14ac:dyDescent="0.4">
      <c r="A45" s="24" t="s">
        <v>1844</v>
      </c>
      <c r="B45" s="24" t="s">
        <v>2186</v>
      </c>
      <c r="C45" s="24">
        <v>99.275599999999997</v>
      </c>
      <c r="D45" s="24">
        <v>99.2256</v>
      </c>
      <c r="E45" s="24">
        <v>17.6935</v>
      </c>
    </row>
    <row r="46" spans="1:5" ht="15.75" customHeight="1" x14ac:dyDescent="0.4">
      <c r="A46" s="24" t="s">
        <v>1778</v>
      </c>
      <c r="B46" s="24" t="s">
        <v>2186</v>
      </c>
      <c r="C46" s="24">
        <v>99.275599999999997</v>
      </c>
      <c r="E46" s="24">
        <v>98.995400000000004</v>
      </c>
    </row>
    <row r="47" spans="1:5" ht="15.75" customHeight="1" x14ac:dyDescent="0.4">
      <c r="A47" s="24" t="s">
        <v>1056</v>
      </c>
      <c r="B47" s="24" t="s">
        <v>2186</v>
      </c>
      <c r="C47" s="24">
        <v>99.258899999999997</v>
      </c>
      <c r="D47" s="24">
        <v>98.909199999999998</v>
      </c>
      <c r="E47" s="24">
        <v>50.971400000000003</v>
      </c>
    </row>
    <row r="48" spans="1:5" ht="15.75" customHeight="1" x14ac:dyDescent="0.4">
      <c r="A48" s="24" t="s">
        <v>2122</v>
      </c>
      <c r="B48" s="24" t="s">
        <v>2186</v>
      </c>
      <c r="C48" s="24">
        <v>99.250600000000006</v>
      </c>
      <c r="D48" s="24">
        <v>99.250600000000006</v>
      </c>
    </row>
    <row r="49" spans="1:5" ht="15.75" customHeight="1" x14ac:dyDescent="0.4">
      <c r="A49" s="24" t="s">
        <v>860</v>
      </c>
      <c r="B49" s="24" t="s">
        <v>2186</v>
      </c>
      <c r="C49" s="24">
        <v>99.217299999999994</v>
      </c>
      <c r="D49" s="24">
        <v>99.217299999999994</v>
      </c>
    </row>
    <row r="50" spans="1:5" ht="15.75" customHeight="1" x14ac:dyDescent="0.4">
      <c r="A50" s="24" t="s">
        <v>1608</v>
      </c>
      <c r="B50" s="24" t="s">
        <v>2186</v>
      </c>
      <c r="C50" s="24">
        <v>99.183999999999997</v>
      </c>
      <c r="D50" s="24">
        <v>72.123199999999997</v>
      </c>
      <c r="E50" s="24">
        <v>26.984400000000001</v>
      </c>
    </row>
    <row r="51" spans="1:5" ht="15.75" customHeight="1" x14ac:dyDescent="0.4">
      <c r="A51" s="24" t="s">
        <v>1225</v>
      </c>
      <c r="B51" s="24" t="s">
        <v>2186</v>
      </c>
      <c r="C51" s="24">
        <v>99.134100000000004</v>
      </c>
      <c r="D51" s="24">
        <v>99.134100000000004</v>
      </c>
    </row>
    <row r="52" spans="1:5" ht="15.75" customHeight="1" x14ac:dyDescent="0.4">
      <c r="A52" s="24" t="s">
        <v>912</v>
      </c>
      <c r="B52" s="24" t="s">
        <v>2186</v>
      </c>
      <c r="C52" s="24">
        <v>99.125699999999995</v>
      </c>
      <c r="E52" s="24">
        <v>98.8459</v>
      </c>
    </row>
    <row r="53" spans="1:5" ht="15.75" customHeight="1" x14ac:dyDescent="0.4">
      <c r="A53" s="24" t="s">
        <v>990</v>
      </c>
      <c r="B53" s="24" t="s">
        <v>2186</v>
      </c>
      <c r="C53" s="24">
        <v>98.984200000000001</v>
      </c>
      <c r="D53" s="24">
        <v>98.834299999999999</v>
      </c>
      <c r="E53" s="24">
        <v>4.0269000000000004</v>
      </c>
    </row>
    <row r="54" spans="1:5" ht="15.75" customHeight="1" x14ac:dyDescent="0.4">
      <c r="A54" s="24" t="s">
        <v>1771</v>
      </c>
      <c r="B54" s="24" t="s">
        <v>2186</v>
      </c>
      <c r="C54" s="24">
        <v>98.909199999999998</v>
      </c>
      <c r="E54" s="24">
        <v>98.63</v>
      </c>
    </row>
    <row r="55" spans="1:5" ht="15.75" customHeight="1" x14ac:dyDescent="0.4">
      <c r="A55" s="24" t="s">
        <v>2052</v>
      </c>
      <c r="B55" s="24" t="s">
        <v>2186</v>
      </c>
      <c r="C55" s="24">
        <v>98.850999999999999</v>
      </c>
      <c r="D55" s="24">
        <v>98.850999999999999</v>
      </c>
    </row>
    <row r="56" spans="1:5" ht="15.75" customHeight="1" x14ac:dyDescent="0.4">
      <c r="A56" s="24" t="s">
        <v>1220</v>
      </c>
      <c r="B56" s="24" t="s">
        <v>2186</v>
      </c>
      <c r="C56" s="24">
        <v>98.842600000000004</v>
      </c>
      <c r="D56" s="24">
        <v>42.631100000000004</v>
      </c>
      <c r="E56" s="24">
        <v>95.773799999999994</v>
      </c>
    </row>
    <row r="57" spans="1:5" ht="15.75" customHeight="1" x14ac:dyDescent="0.4">
      <c r="A57" s="24" t="s">
        <v>1177</v>
      </c>
      <c r="B57" s="24" t="s">
        <v>2186</v>
      </c>
      <c r="C57" s="24">
        <v>98.834299999999999</v>
      </c>
      <c r="D57" s="24">
        <v>98.834299999999999</v>
      </c>
    </row>
    <row r="58" spans="1:5" ht="15.75" customHeight="1" x14ac:dyDescent="0.4">
      <c r="A58" s="24" t="s">
        <v>1001</v>
      </c>
      <c r="B58" s="24" t="s">
        <v>2186</v>
      </c>
      <c r="C58" s="24">
        <v>98.709400000000002</v>
      </c>
      <c r="D58" s="24">
        <v>98.709400000000002</v>
      </c>
    </row>
    <row r="59" spans="1:5" ht="15.75" customHeight="1" x14ac:dyDescent="0.4">
      <c r="A59" s="24" t="s">
        <v>1143</v>
      </c>
      <c r="B59" s="24" t="s">
        <v>2186</v>
      </c>
      <c r="C59" s="24">
        <v>98.684399999999997</v>
      </c>
      <c r="D59" s="24">
        <v>98.684399999999997</v>
      </c>
    </row>
    <row r="60" spans="1:5" ht="15.75" customHeight="1" x14ac:dyDescent="0.4">
      <c r="A60" s="24" t="s">
        <v>1631</v>
      </c>
      <c r="B60" s="24" t="s">
        <v>2186</v>
      </c>
      <c r="C60" s="24">
        <v>98.601200000000006</v>
      </c>
      <c r="E60" s="24">
        <v>98.322800000000001</v>
      </c>
    </row>
    <row r="61" spans="1:5" ht="15.75" customHeight="1" x14ac:dyDescent="0.4">
      <c r="A61" s="24" t="s">
        <v>1766</v>
      </c>
      <c r="B61" s="24" t="s">
        <v>2186</v>
      </c>
      <c r="C61" s="24">
        <v>98.5762</v>
      </c>
      <c r="D61" s="24">
        <v>18.776</v>
      </c>
      <c r="E61" s="24">
        <v>97.974100000000007</v>
      </c>
    </row>
    <row r="62" spans="1:5" ht="15.75" customHeight="1" x14ac:dyDescent="0.4">
      <c r="A62" s="24" t="s">
        <v>1223</v>
      </c>
      <c r="B62" s="24" t="s">
        <v>2186</v>
      </c>
      <c r="C62" s="24">
        <v>98.442999999999998</v>
      </c>
      <c r="D62" s="24">
        <v>98.118200000000002</v>
      </c>
      <c r="E62" s="24">
        <v>79.475300000000004</v>
      </c>
    </row>
    <row r="63" spans="1:5" ht="15.75" customHeight="1" x14ac:dyDescent="0.4">
      <c r="A63" s="24" t="s">
        <v>1617</v>
      </c>
      <c r="B63" s="24" t="s">
        <v>2186</v>
      </c>
      <c r="C63" s="24">
        <v>98.434600000000003</v>
      </c>
      <c r="D63" s="24">
        <v>85.878399999999999</v>
      </c>
      <c r="E63" s="24">
        <v>12.8363</v>
      </c>
    </row>
    <row r="64" spans="1:5" ht="15.75" customHeight="1" x14ac:dyDescent="0.4">
      <c r="A64" s="24" t="s">
        <v>1759</v>
      </c>
      <c r="B64" s="24" t="s">
        <v>2186</v>
      </c>
      <c r="C64" s="24">
        <v>98.367999999999995</v>
      </c>
      <c r="D64" s="24">
        <v>98.367999999999995</v>
      </c>
    </row>
    <row r="65" spans="1:5" ht="15.75" customHeight="1" x14ac:dyDescent="0.4">
      <c r="A65" s="24" t="s">
        <v>1033</v>
      </c>
      <c r="B65" s="24" t="s">
        <v>2186</v>
      </c>
      <c r="C65" s="24">
        <v>98.293099999999995</v>
      </c>
      <c r="D65" s="24">
        <v>3.5553699999999999</v>
      </c>
      <c r="E65" s="24">
        <v>98.015600000000006</v>
      </c>
    </row>
    <row r="66" spans="1:5" ht="15.75" customHeight="1" x14ac:dyDescent="0.4">
      <c r="A66" s="24" t="s">
        <v>1161</v>
      </c>
      <c r="B66" s="24" t="s">
        <v>2186</v>
      </c>
      <c r="C66" s="24">
        <v>98.176500000000004</v>
      </c>
      <c r="D66" s="24">
        <v>98.176500000000004</v>
      </c>
    </row>
    <row r="67" spans="1:5" ht="15.75" customHeight="1" x14ac:dyDescent="0.4">
      <c r="A67" s="24" t="s">
        <v>1513</v>
      </c>
      <c r="B67" s="24" t="s">
        <v>2186</v>
      </c>
      <c r="C67" s="24">
        <v>98.159899999999993</v>
      </c>
      <c r="D67" s="24">
        <v>94.079899999999995</v>
      </c>
      <c r="E67" s="24">
        <v>8.8010599999999997</v>
      </c>
    </row>
    <row r="68" spans="1:5" ht="15.75" customHeight="1" x14ac:dyDescent="0.4">
      <c r="A68" s="24" t="s">
        <v>1789</v>
      </c>
      <c r="B68" s="24" t="s">
        <v>2186</v>
      </c>
      <c r="C68" s="24">
        <v>97.868399999999994</v>
      </c>
      <c r="D68" s="24">
        <v>59.6753</v>
      </c>
      <c r="E68" s="24">
        <v>38.0854</v>
      </c>
    </row>
    <row r="69" spans="1:5" ht="15.75" customHeight="1" x14ac:dyDescent="0.4">
      <c r="A69" s="24" t="s">
        <v>1206</v>
      </c>
      <c r="B69" s="24" t="s">
        <v>2186</v>
      </c>
      <c r="C69" s="24">
        <v>97.851799999999997</v>
      </c>
      <c r="E69" s="24">
        <v>97.575599999999994</v>
      </c>
    </row>
    <row r="70" spans="1:5" ht="15.75" customHeight="1" x14ac:dyDescent="0.4">
      <c r="A70" s="24" t="s">
        <v>1106</v>
      </c>
      <c r="B70" s="24" t="s">
        <v>2186</v>
      </c>
      <c r="C70" s="24">
        <v>97.751900000000006</v>
      </c>
      <c r="D70" s="24">
        <v>97.602000000000004</v>
      </c>
      <c r="E70" s="24">
        <v>0.38193300000000002</v>
      </c>
    </row>
    <row r="71" spans="1:5" ht="15.75" customHeight="1" x14ac:dyDescent="0.4">
      <c r="A71" s="24" t="s">
        <v>1089</v>
      </c>
      <c r="B71" s="24" t="s">
        <v>2186</v>
      </c>
      <c r="C71" s="24">
        <v>97.635300000000001</v>
      </c>
      <c r="D71" s="24">
        <v>97.635300000000001</v>
      </c>
    </row>
    <row r="72" spans="1:5" ht="15.75" customHeight="1" x14ac:dyDescent="0.4">
      <c r="A72" s="24" t="s">
        <v>974</v>
      </c>
      <c r="B72" s="24" t="s">
        <v>2186</v>
      </c>
      <c r="C72" s="24">
        <v>97.343900000000005</v>
      </c>
      <c r="D72" s="24">
        <v>97.343900000000005</v>
      </c>
    </row>
    <row r="73" spans="1:5" ht="15.75" customHeight="1" x14ac:dyDescent="0.4">
      <c r="A73" s="24" t="s">
        <v>1827</v>
      </c>
      <c r="B73" s="24" t="s">
        <v>2186</v>
      </c>
      <c r="C73" s="24">
        <v>96.794300000000007</v>
      </c>
      <c r="D73" s="24">
        <v>96.794300000000007</v>
      </c>
    </row>
    <row r="74" spans="1:5" ht="15.75" customHeight="1" x14ac:dyDescent="0.4">
      <c r="A74" s="24" t="s">
        <v>977</v>
      </c>
      <c r="B74" s="24" t="s">
        <v>2186</v>
      </c>
      <c r="C74" s="24">
        <v>96.744399999999999</v>
      </c>
      <c r="D74" s="24">
        <v>96.744399999999999</v>
      </c>
    </row>
    <row r="75" spans="1:5" ht="15.75" customHeight="1" x14ac:dyDescent="0.4">
      <c r="A75" s="24" t="s">
        <v>1725</v>
      </c>
      <c r="B75" s="24" t="s">
        <v>2186</v>
      </c>
      <c r="C75" s="24">
        <v>96.602800000000002</v>
      </c>
      <c r="D75" s="24">
        <v>43.2057</v>
      </c>
      <c r="E75" s="24">
        <v>53.246400000000001</v>
      </c>
    </row>
    <row r="76" spans="1:5" ht="15.75" customHeight="1" x14ac:dyDescent="0.4">
      <c r="A76" s="24" t="s">
        <v>1043</v>
      </c>
      <c r="B76" s="24" t="s">
        <v>2186</v>
      </c>
      <c r="C76" s="24">
        <v>96.5779</v>
      </c>
      <c r="D76" s="24">
        <v>96.5779</v>
      </c>
    </row>
    <row r="77" spans="1:5" ht="15.75" customHeight="1" x14ac:dyDescent="0.4">
      <c r="A77" s="24" t="s">
        <v>837</v>
      </c>
      <c r="B77" s="24" t="s">
        <v>2186</v>
      </c>
      <c r="C77" s="24">
        <v>96.527900000000002</v>
      </c>
      <c r="D77" s="24">
        <v>96.527900000000002</v>
      </c>
    </row>
    <row r="78" spans="1:5" ht="15.75" customHeight="1" x14ac:dyDescent="0.4">
      <c r="A78" s="24" t="s">
        <v>1076</v>
      </c>
      <c r="B78" s="24" t="s">
        <v>2186</v>
      </c>
      <c r="C78" s="24">
        <v>96.519599999999997</v>
      </c>
      <c r="D78" s="24">
        <v>95.037499999999994</v>
      </c>
      <c r="E78" s="24">
        <v>6.63401</v>
      </c>
    </row>
    <row r="79" spans="1:5" ht="15.75" customHeight="1" x14ac:dyDescent="0.4">
      <c r="A79" s="24" t="s">
        <v>1545</v>
      </c>
      <c r="B79" s="24" t="s">
        <v>2186</v>
      </c>
      <c r="C79" s="24">
        <v>96.519599999999997</v>
      </c>
      <c r="D79" s="24">
        <v>96.294799999999995</v>
      </c>
      <c r="E79" s="24">
        <v>64.09</v>
      </c>
    </row>
    <row r="80" spans="1:5" ht="15.75" customHeight="1" x14ac:dyDescent="0.4">
      <c r="A80" s="24" t="s">
        <v>1012</v>
      </c>
      <c r="B80" s="24" t="s">
        <v>2186</v>
      </c>
      <c r="C80" s="24">
        <v>96.4696</v>
      </c>
      <c r="D80" s="24">
        <v>7.8434600000000003</v>
      </c>
      <c r="E80" s="24">
        <v>96.197299999999998</v>
      </c>
    </row>
    <row r="81" spans="1:5" ht="15.75" customHeight="1" x14ac:dyDescent="0.4">
      <c r="A81" s="24" t="s">
        <v>1077</v>
      </c>
      <c r="B81" s="24" t="s">
        <v>2186</v>
      </c>
      <c r="C81" s="24">
        <v>96.427999999999997</v>
      </c>
      <c r="D81" s="24">
        <v>96.427999999999997</v>
      </c>
    </row>
    <row r="82" spans="1:5" ht="15.75" customHeight="1" x14ac:dyDescent="0.4">
      <c r="A82" s="24" t="s">
        <v>1475</v>
      </c>
      <c r="B82" s="24" t="s">
        <v>2186</v>
      </c>
      <c r="C82" s="24">
        <v>96.369699999999995</v>
      </c>
      <c r="E82" s="24">
        <v>96.0976</v>
      </c>
    </row>
    <row r="83" spans="1:5" ht="15.75" customHeight="1" x14ac:dyDescent="0.4">
      <c r="A83" s="24" t="s">
        <v>2086</v>
      </c>
      <c r="B83" s="24" t="s">
        <v>2186</v>
      </c>
      <c r="C83" s="24">
        <v>96.303100000000001</v>
      </c>
      <c r="D83" s="24">
        <v>6.9025800000000004</v>
      </c>
      <c r="E83" s="24">
        <v>89.148099999999999</v>
      </c>
    </row>
    <row r="84" spans="1:5" ht="15.75" customHeight="1" x14ac:dyDescent="0.4">
      <c r="A84" s="24" t="s">
        <v>1752</v>
      </c>
      <c r="B84" s="24" t="s">
        <v>2186</v>
      </c>
      <c r="C84" s="24">
        <v>95.97</v>
      </c>
      <c r="D84" s="24">
        <v>95.97</v>
      </c>
    </row>
    <row r="85" spans="1:5" ht="15.75" customHeight="1" x14ac:dyDescent="0.4">
      <c r="A85" s="24" t="s">
        <v>1236</v>
      </c>
      <c r="B85" s="24" t="s">
        <v>2186</v>
      </c>
      <c r="C85" s="24">
        <v>95.928399999999996</v>
      </c>
      <c r="D85" s="24">
        <v>64.8626</v>
      </c>
      <c r="E85" s="24">
        <v>90.335400000000007</v>
      </c>
    </row>
    <row r="86" spans="1:5" ht="15.75" customHeight="1" x14ac:dyDescent="0.4">
      <c r="A86" s="24" t="s">
        <v>1487</v>
      </c>
      <c r="B86" s="24" t="s">
        <v>2186</v>
      </c>
      <c r="C86" s="24">
        <v>95.512100000000004</v>
      </c>
      <c r="D86" s="24">
        <v>87.477099999999993</v>
      </c>
      <c r="E86" s="24">
        <v>8.0122900000000001</v>
      </c>
    </row>
    <row r="87" spans="1:5" ht="15.75" customHeight="1" x14ac:dyDescent="0.4">
      <c r="A87" s="24" t="s">
        <v>1031</v>
      </c>
      <c r="B87" s="24" t="s">
        <v>2186</v>
      </c>
      <c r="C87" s="24">
        <v>95.462100000000007</v>
      </c>
      <c r="D87" s="24">
        <v>95.462100000000007</v>
      </c>
    </row>
    <row r="88" spans="1:5" ht="15.75" customHeight="1" x14ac:dyDescent="0.4">
      <c r="A88" s="24" t="s">
        <v>2070</v>
      </c>
      <c r="B88" s="24" t="s">
        <v>2186</v>
      </c>
      <c r="C88" s="24">
        <v>95.403800000000004</v>
      </c>
      <c r="D88" s="24">
        <v>69.95</v>
      </c>
      <c r="E88" s="24">
        <v>94.428799999999995</v>
      </c>
    </row>
    <row r="89" spans="1:5" ht="15.75" customHeight="1" x14ac:dyDescent="0.4">
      <c r="A89" s="24" t="s">
        <v>1094</v>
      </c>
      <c r="B89" s="24" t="s">
        <v>2186</v>
      </c>
      <c r="C89" s="24">
        <v>95.345500000000001</v>
      </c>
      <c r="E89" s="24">
        <v>95.076400000000007</v>
      </c>
    </row>
    <row r="90" spans="1:5" ht="15.75" customHeight="1" x14ac:dyDescent="0.4">
      <c r="A90" s="24" t="s">
        <v>1801</v>
      </c>
      <c r="B90" s="24" t="s">
        <v>2186</v>
      </c>
      <c r="C90" s="24">
        <v>94.662800000000004</v>
      </c>
      <c r="D90" s="24">
        <v>94.662800000000004</v>
      </c>
    </row>
    <row r="91" spans="1:5" ht="15.75" customHeight="1" x14ac:dyDescent="0.4">
      <c r="A91" s="24" t="s">
        <v>1648</v>
      </c>
      <c r="B91" s="24" t="s">
        <v>2186</v>
      </c>
      <c r="C91" s="24">
        <v>94.537899999999993</v>
      </c>
      <c r="D91" s="24">
        <v>94.537899999999993</v>
      </c>
    </row>
    <row r="92" spans="1:5" ht="15.75" customHeight="1" x14ac:dyDescent="0.4">
      <c r="A92" s="24" t="s">
        <v>752</v>
      </c>
      <c r="B92" s="24" t="s">
        <v>2186</v>
      </c>
      <c r="C92" s="24">
        <v>94.412999999999997</v>
      </c>
      <c r="D92" s="24">
        <v>94.412999999999997</v>
      </c>
    </row>
    <row r="93" spans="1:5" ht="15.75" customHeight="1" x14ac:dyDescent="0.4">
      <c r="A93" s="24" t="s">
        <v>1123</v>
      </c>
      <c r="B93" s="24" t="s">
        <v>2186</v>
      </c>
      <c r="C93" s="24">
        <v>94.396299999999997</v>
      </c>
      <c r="D93" s="24">
        <v>0.50790999999999997</v>
      </c>
      <c r="E93" s="24">
        <v>94.129900000000006</v>
      </c>
    </row>
    <row r="94" spans="1:5" ht="15.75" customHeight="1" x14ac:dyDescent="0.4">
      <c r="A94" s="24" t="s">
        <v>1000</v>
      </c>
      <c r="B94" s="24" t="s">
        <v>2186</v>
      </c>
      <c r="C94" s="24">
        <v>94.254800000000003</v>
      </c>
      <c r="D94" s="24">
        <v>94.254800000000003</v>
      </c>
    </row>
    <row r="95" spans="1:5" ht="15.75" customHeight="1" x14ac:dyDescent="0.4">
      <c r="A95" s="24" t="s">
        <v>1218</v>
      </c>
      <c r="B95" s="24" t="s">
        <v>2186</v>
      </c>
      <c r="C95" s="24">
        <v>94.163200000000003</v>
      </c>
      <c r="D95" s="24">
        <v>72.323099999999997</v>
      </c>
      <c r="E95" s="24">
        <v>22.7499</v>
      </c>
    </row>
    <row r="96" spans="1:5" ht="15.75" customHeight="1" x14ac:dyDescent="0.4">
      <c r="A96" s="24" t="s">
        <v>1057</v>
      </c>
      <c r="B96" s="24" t="s">
        <v>2186</v>
      </c>
      <c r="C96" s="24">
        <v>94.004999999999995</v>
      </c>
      <c r="D96" s="24">
        <v>86.078299999999999</v>
      </c>
      <c r="E96" s="24">
        <v>7.90435</v>
      </c>
    </row>
    <row r="97" spans="1:5" ht="15.75" customHeight="1" x14ac:dyDescent="0.4">
      <c r="A97" s="24" t="s">
        <v>1762</v>
      </c>
      <c r="B97" s="24" t="s">
        <v>2186</v>
      </c>
      <c r="C97" s="24">
        <v>93.905100000000004</v>
      </c>
      <c r="D97" s="24">
        <v>93.905100000000004</v>
      </c>
    </row>
    <row r="98" spans="1:5" ht="15.75" customHeight="1" x14ac:dyDescent="0.4">
      <c r="A98" s="24" t="s">
        <v>1237</v>
      </c>
      <c r="B98" s="24" t="s">
        <v>2186</v>
      </c>
      <c r="C98" s="24">
        <v>93.522099999999995</v>
      </c>
      <c r="D98" s="24">
        <v>93.522099999999995</v>
      </c>
    </row>
    <row r="99" spans="1:5" ht="15.75" customHeight="1" x14ac:dyDescent="0.4">
      <c r="A99" s="24" t="s">
        <v>1136</v>
      </c>
      <c r="B99" s="24" t="s">
        <v>2186</v>
      </c>
      <c r="C99" s="24">
        <v>93.4221</v>
      </c>
      <c r="D99" s="24">
        <v>84.329700000000003</v>
      </c>
      <c r="E99" s="24">
        <v>73.073700000000002</v>
      </c>
    </row>
    <row r="100" spans="1:5" ht="15.75" customHeight="1" x14ac:dyDescent="0.4">
      <c r="A100" s="24" t="s">
        <v>833</v>
      </c>
      <c r="B100" s="24" t="s">
        <v>2186</v>
      </c>
      <c r="C100" s="24">
        <v>93.380499999999998</v>
      </c>
      <c r="D100" s="24">
        <v>93.380499999999998</v>
      </c>
    </row>
    <row r="101" spans="1:5" ht="15.75" customHeight="1" x14ac:dyDescent="0.4">
      <c r="A101" s="24" t="s">
        <v>967</v>
      </c>
      <c r="B101" s="24" t="s">
        <v>2186</v>
      </c>
      <c r="C101" s="24">
        <v>93.014200000000002</v>
      </c>
      <c r="D101" s="24">
        <v>93.014200000000002</v>
      </c>
    </row>
    <row r="102" spans="1:5" ht="15.75" customHeight="1" x14ac:dyDescent="0.4">
      <c r="A102" s="24" t="s">
        <v>1192</v>
      </c>
      <c r="B102" s="24" t="s">
        <v>2186</v>
      </c>
      <c r="C102" s="24">
        <v>92.747699999999995</v>
      </c>
      <c r="D102" s="24">
        <v>48.776000000000003</v>
      </c>
      <c r="E102" s="24">
        <v>92.485900000000001</v>
      </c>
    </row>
    <row r="103" spans="1:5" ht="15.75" customHeight="1" x14ac:dyDescent="0.4">
      <c r="A103" s="24" t="s">
        <v>1098</v>
      </c>
      <c r="B103" s="24" t="s">
        <v>2186</v>
      </c>
      <c r="C103" s="24">
        <v>92.706100000000006</v>
      </c>
      <c r="D103" s="24">
        <v>67.210700000000003</v>
      </c>
      <c r="E103" s="24">
        <v>31.492899999999999</v>
      </c>
    </row>
    <row r="104" spans="1:5" ht="15.75" customHeight="1" x14ac:dyDescent="0.4">
      <c r="A104" s="24" t="s">
        <v>2105</v>
      </c>
      <c r="B104" s="24" t="s">
        <v>2186</v>
      </c>
      <c r="C104" s="24">
        <v>92.606200000000001</v>
      </c>
      <c r="D104" s="24">
        <v>92.606200000000001</v>
      </c>
    </row>
    <row r="105" spans="1:5" ht="15.75" customHeight="1" x14ac:dyDescent="0.4">
      <c r="A105" s="24" t="s">
        <v>932</v>
      </c>
      <c r="B105" s="24" t="s">
        <v>2186</v>
      </c>
      <c r="C105" s="24">
        <v>92.381299999999996</v>
      </c>
      <c r="D105" s="24">
        <v>90.224800000000002</v>
      </c>
      <c r="E105" s="24">
        <v>4.3673200000000003</v>
      </c>
    </row>
    <row r="106" spans="1:5" ht="15.75" customHeight="1" x14ac:dyDescent="0.4">
      <c r="A106" s="24" t="s">
        <v>1157</v>
      </c>
      <c r="B106" s="24" t="s">
        <v>2186</v>
      </c>
      <c r="C106" s="24">
        <v>92.339699999999993</v>
      </c>
      <c r="D106" s="24">
        <v>92.339699999999993</v>
      </c>
    </row>
    <row r="107" spans="1:5" ht="15.75" customHeight="1" x14ac:dyDescent="0.4">
      <c r="A107" s="24" t="s">
        <v>2123</v>
      </c>
      <c r="B107" s="24" t="s">
        <v>2186</v>
      </c>
      <c r="C107" s="24">
        <v>92.264799999999994</v>
      </c>
      <c r="D107" s="24">
        <v>82.989199999999997</v>
      </c>
      <c r="E107" s="24">
        <v>11.632300000000001</v>
      </c>
    </row>
    <row r="108" spans="1:5" ht="15.75" customHeight="1" x14ac:dyDescent="0.4">
      <c r="A108" s="24" t="s">
        <v>928</v>
      </c>
      <c r="B108" s="24" t="s">
        <v>2186</v>
      </c>
      <c r="C108" s="24">
        <v>92.1982</v>
      </c>
      <c r="D108" s="24">
        <v>92.1982</v>
      </c>
    </row>
    <row r="109" spans="1:5" ht="15.75" customHeight="1" x14ac:dyDescent="0.4">
      <c r="A109" s="24" t="s">
        <v>509</v>
      </c>
      <c r="B109" s="24" t="s">
        <v>2186</v>
      </c>
      <c r="C109" s="24">
        <v>91.756900000000002</v>
      </c>
      <c r="D109" s="24">
        <v>68.367999999999995</v>
      </c>
      <c r="E109" s="24">
        <v>23.322800000000001</v>
      </c>
    </row>
    <row r="110" spans="1:5" ht="15.75" customHeight="1" x14ac:dyDescent="0.4">
      <c r="A110" s="24" t="s">
        <v>1016</v>
      </c>
      <c r="B110" s="24" t="s">
        <v>2186</v>
      </c>
      <c r="C110" s="24">
        <v>91.731899999999996</v>
      </c>
      <c r="D110" s="24">
        <v>91.731899999999996</v>
      </c>
    </row>
    <row r="111" spans="1:5" ht="15.75" customHeight="1" x14ac:dyDescent="0.4">
      <c r="A111" s="24" t="s">
        <v>2085</v>
      </c>
      <c r="B111" s="24" t="s">
        <v>2186</v>
      </c>
      <c r="C111" s="24">
        <v>91.723600000000005</v>
      </c>
      <c r="D111" s="24">
        <v>6.2364699999999997</v>
      </c>
      <c r="E111" s="24">
        <v>91.464600000000004</v>
      </c>
    </row>
    <row r="112" spans="1:5" ht="15.75" customHeight="1" x14ac:dyDescent="0.4">
      <c r="A112" s="24" t="s">
        <v>1209</v>
      </c>
      <c r="B112" s="24" t="s">
        <v>2186</v>
      </c>
      <c r="C112" s="24">
        <v>91.357200000000006</v>
      </c>
      <c r="D112" s="24">
        <v>91.357200000000006</v>
      </c>
    </row>
    <row r="113" spans="1:5" ht="15.75" customHeight="1" x14ac:dyDescent="0.4">
      <c r="A113" s="24" t="s">
        <v>2104</v>
      </c>
      <c r="B113" s="24" t="s">
        <v>2186</v>
      </c>
      <c r="C113" s="24">
        <v>91.315600000000003</v>
      </c>
      <c r="D113" s="24">
        <v>91.315600000000003</v>
      </c>
    </row>
    <row r="114" spans="1:5" ht="15.75" customHeight="1" x14ac:dyDescent="0.4">
      <c r="A114" s="24" t="s">
        <v>2107</v>
      </c>
      <c r="B114" s="24" t="s">
        <v>2186</v>
      </c>
      <c r="C114" s="24">
        <v>91.190700000000007</v>
      </c>
      <c r="D114" s="24">
        <v>91.190700000000007</v>
      </c>
    </row>
    <row r="115" spans="1:5" ht="15.75" customHeight="1" x14ac:dyDescent="0.4">
      <c r="A115" s="24" t="s">
        <v>1104</v>
      </c>
      <c r="B115" s="24" t="s">
        <v>2186</v>
      </c>
      <c r="C115" s="24">
        <v>91.165700000000001</v>
      </c>
      <c r="D115" s="24">
        <v>91.140699999999995</v>
      </c>
      <c r="E115" s="24">
        <v>2.4909000000000001E-2</v>
      </c>
    </row>
    <row r="116" spans="1:5" ht="15.75" customHeight="1" x14ac:dyDescent="0.4">
      <c r="A116" s="24" t="s">
        <v>986</v>
      </c>
      <c r="B116" s="24" t="s">
        <v>2186</v>
      </c>
      <c r="C116" s="24">
        <v>90.932599999999994</v>
      </c>
      <c r="D116" s="24">
        <v>90.932599999999994</v>
      </c>
    </row>
    <row r="117" spans="1:5" ht="15.75" customHeight="1" x14ac:dyDescent="0.4">
      <c r="A117" s="24" t="s">
        <v>1253</v>
      </c>
      <c r="B117" s="24" t="s">
        <v>2186</v>
      </c>
      <c r="C117" s="24">
        <v>90.840999999999994</v>
      </c>
      <c r="D117" s="24">
        <v>90.840999999999994</v>
      </c>
    </row>
    <row r="118" spans="1:5" ht="15.75" customHeight="1" x14ac:dyDescent="0.4">
      <c r="A118" s="24" t="s">
        <v>1150</v>
      </c>
      <c r="B118" s="24" t="s">
        <v>2186</v>
      </c>
      <c r="C118" s="24">
        <v>90.790999999999997</v>
      </c>
      <c r="D118" s="24">
        <v>52.631100000000004</v>
      </c>
      <c r="E118" s="24">
        <v>86.408199999999994</v>
      </c>
    </row>
    <row r="119" spans="1:5" ht="15.75" customHeight="1" x14ac:dyDescent="0.4">
      <c r="A119" s="24" t="s">
        <v>1130</v>
      </c>
      <c r="B119" s="24" t="s">
        <v>2186</v>
      </c>
      <c r="C119" s="24">
        <v>90.732699999999994</v>
      </c>
      <c r="D119" s="24">
        <v>90.557900000000004</v>
      </c>
      <c r="E119" s="24">
        <v>5.52142</v>
      </c>
    </row>
    <row r="120" spans="1:5" ht="15.75" customHeight="1" x14ac:dyDescent="0.4">
      <c r="A120" s="24" t="s">
        <v>1695</v>
      </c>
      <c r="B120" s="24" t="s">
        <v>2186</v>
      </c>
      <c r="C120" s="24">
        <v>90.724400000000003</v>
      </c>
      <c r="E120" s="24">
        <v>90.468299999999999</v>
      </c>
    </row>
    <row r="121" spans="1:5" ht="15.75" customHeight="1" x14ac:dyDescent="0.4">
      <c r="A121" s="24" t="s">
        <v>1823</v>
      </c>
      <c r="B121" s="24" t="s">
        <v>2186</v>
      </c>
      <c r="C121" s="24">
        <v>90.566199999999995</v>
      </c>
      <c r="D121" s="24">
        <v>90.566199999999995</v>
      </c>
    </row>
    <row r="122" spans="1:5" ht="15.75" customHeight="1" x14ac:dyDescent="0.4">
      <c r="A122" s="24" t="s">
        <v>1183</v>
      </c>
      <c r="B122" s="24" t="s">
        <v>2186</v>
      </c>
      <c r="C122" s="24">
        <v>90.532899999999998</v>
      </c>
      <c r="D122" s="24">
        <v>90.532899999999998</v>
      </c>
    </row>
    <row r="123" spans="1:5" ht="15.75" customHeight="1" x14ac:dyDescent="0.4">
      <c r="A123" s="24" t="s">
        <v>1242</v>
      </c>
      <c r="B123" s="24" t="s">
        <v>2186</v>
      </c>
      <c r="C123" s="24">
        <v>90.507900000000006</v>
      </c>
      <c r="D123" s="24">
        <v>90.507900000000006</v>
      </c>
    </row>
    <row r="124" spans="1:5" ht="15.75" customHeight="1" x14ac:dyDescent="0.4">
      <c r="A124" s="24" t="s">
        <v>1135</v>
      </c>
      <c r="B124" s="24" t="s">
        <v>2186</v>
      </c>
      <c r="C124" s="24">
        <v>90.416300000000007</v>
      </c>
      <c r="D124" s="24">
        <v>90.416300000000007</v>
      </c>
    </row>
    <row r="125" spans="1:5" ht="15.75" customHeight="1" x14ac:dyDescent="0.4">
      <c r="A125" s="24" t="s">
        <v>2109</v>
      </c>
      <c r="B125" s="24" t="s">
        <v>2186</v>
      </c>
      <c r="C125" s="24">
        <v>90.191500000000005</v>
      </c>
      <c r="E125" s="24">
        <v>89.936899999999994</v>
      </c>
    </row>
    <row r="126" spans="1:5" ht="15.75" customHeight="1" x14ac:dyDescent="0.4">
      <c r="A126" s="24" t="s">
        <v>2126</v>
      </c>
      <c r="B126" s="24" t="s">
        <v>2186</v>
      </c>
      <c r="C126" s="24">
        <v>90.05</v>
      </c>
      <c r="D126" s="24">
        <v>90.05</v>
      </c>
    </row>
    <row r="127" spans="1:5" ht="15.75" customHeight="1" x14ac:dyDescent="0.4">
      <c r="A127" s="24" t="s">
        <v>453</v>
      </c>
      <c r="B127" s="24" t="s">
        <v>2186</v>
      </c>
      <c r="C127" s="24">
        <v>90</v>
      </c>
      <c r="D127" s="24">
        <v>90</v>
      </c>
    </row>
    <row r="128" spans="1:5" ht="15.75" customHeight="1" x14ac:dyDescent="0.4">
      <c r="A128" s="24" t="s">
        <v>1072</v>
      </c>
      <c r="B128" s="24" t="s">
        <v>2186</v>
      </c>
      <c r="C128" s="24">
        <v>89.900099999999995</v>
      </c>
      <c r="D128" s="24">
        <v>89.2423</v>
      </c>
      <c r="E128" s="24">
        <v>0.65592799999999996</v>
      </c>
    </row>
    <row r="129" spans="1:5" ht="15.75" customHeight="1" x14ac:dyDescent="0.4">
      <c r="A129" s="24" t="s">
        <v>1170</v>
      </c>
      <c r="B129" s="24" t="s">
        <v>2186</v>
      </c>
      <c r="C129" s="24">
        <v>89.725200000000001</v>
      </c>
      <c r="D129" s="24">
        <v>89.725200000000001</v>
      </c>
    </row>
    <row r="130" spans="1:5" ht="15.75" customHeight="1" x14ac:dyDescent="0.4">
      <c r="A130" s="24" t="s">
        <v>1191</v>
      </c>
      <c r="B130" s="24" t="s">
        <v>2186</v>
      </c>
      <c r="C130" s="24">
        <v>89.641999999999996</v>
      </c>
      <c r="D130" s="24">
        <v>89.641999999999996</v>
      </c>
    </row>
    <row r="131" spans="1:5" ht="15.75" customHeight="1" x14ac:dyDescent="0.4">
      <c r="A131" s="24" t="s">
        <v>1750</v>
      </c>
      <c r="B131" s="24" t="s">
        <v>2186</v>
      </c>
      <c r="C131" s="24">
        <v>89.591999999999999</v>
      </c>
      <c r="D131" s="24">
        <v>89.591999999999999</v>
      </c>
    </row>
    <row r="132" spans="1:5" ht="15.75" customHeight="1" x14ac:dyDescent="0.4">
      <c r="A132" s="24" t="s">
        <v>1678</v>
      </c>
      <c r="B132" s="24" t="s">
        <v>2186</v>
      </c>
      <c r="C132" s="24">
        <v>89.467100000000002</v>
      </c>
      <c r="D132" s="24">
        <v>89.467100000000002</v>
      </c>
    </row>
    <row r="133" spans="1:5" ht="15.75" customHeight="1" x14ac:dyDescent="0.4">
      <c r="A133" s="24" t="s">
        <v>1027</v>
      </c>
      <c r="B133" s="24" t="s">
        <v>2186</v>
      </c>
      <c r="C133" s="24">
        <v>89.4255</v>
      </c>
      <c r="E133" s="24">
        <v>89.173000000000002</v>
      </c>
    </row>
    <row r="134" spans="1:5" ht="15.75" customHeight="1" x14ac:dyDescent="0.4">
      <c r="A134" s="24" t="s">
        <v>1739</v>
      </c>
      <c r="B134" s="24" t="s">
        <v>2186</v>
      </c>
      <c r="C134" s="24">
        <v>89.292299999999997</v>
      </c>
      <c r="D134" s="24">
        <v>58.409700000000001</v>
      </c>
      <c r="E134" s="24">
        <v>53.113599999999998</v>
      </c>
    </row>
    <row r="135" spans="1:5" ht="15.75" customHeight="1" x14ac:dyDescent="0.4">
      <c r="A135" s="24" t="s">
        <v>807</v>
      </c>
      <c r="B135" s="24" t="s">
        <v>2186</v>
      </c>
      <c r="C135" s="24">
        <v>89.233999999999995</v>
      </c>
      <c r="D135" s="24">
        <v>1.7985</v>
      </c>
      <c r="E135" s="24">
        <v>88.982100000000003</v>
      </c>
    </row>
    <row r="136" spans="1:5" ht="15.75" customHeight="1" x14ac:dyDescent="0.4">
      <c r="A136" s="24" t="s">
        <v>1168</v>
      </c>
      <c r="B136" s="24" t="s">
        <v>2186</v>
      </c>
      <c r="C136" s="24">
        <v>88.825999999999993</v>
      </c>
      <c r="D136" s="24">
        <v>88.767700000000005</v>
      </c>
      <c r="E136" s="24">
        <v>5.8119999999999998E-2</v>
      </c>
    </row>
    <row r="137" spans="1:5" ht="15.75" customHeight="1" x14ac:dyDescent="0.4">
      <c r="A137" s="24" t="s">
        <v>1675</v>
      </c>
      <c r="B137" s="24" t="s">
        <v>2186</v>
      </c>
      <c r="C137" s="24">
        <v>88.184799999999996</v>
      </c>
      <c r="D137" s="24">
        <v>42.04</v>
      </c>
      <c r="E137" s="24">
        <v>59.033499999999997</v>
      </c>
    </row>
    <row r="138" spans="1:5" ht="15.75" customHeight="1" x14ac:dyDescent="0.4">
      <c r="A138" s="24" t="s">
        <v>1037</v>
      </c>
      <c r="B138" s="24" t="s">
        <v>2186</v>
      </c>
      <c r="C138" s="24">
        <v>88.026600000000002</v>
      </c>
      <c r="D138" s="24">
        <v>88.026600000000002</v>
      </c>
    </row>
    <row r="139" spans="1:5" ht="15.75" customHeight="1" x14ac:dyDescent="0.4">
      <c r="A139" s="24" t="s">
        <v>1926</v>
      </c>
      <c r="B139" s="24" t="s">
        <v>2186</v>
      </c>
      <c r="C139" s="24">
        <v>87.943399999999997</v>
      </c>
      <c r="D139" s="24">
        <v>86.777699999999996</v>
      </c>
      <c r="E139" s="24">
        <v>2.3995299999999999</v>
      </c>
    </row>
    <row r="140" spans="1:5" ht="15.75" customHeight="1" x14ac:dyDescent="0.4">
      <c r="A140" s="24" t="s">
        <v>1112</v>
      </c>
      <c r="B140" s="24" t="s">
        <v>2186</v>
      </c>
      <c r="C140" s="24">
        <v>87.8185</v>
      </c>
      <c r="D140" s="24">
        <v>87.8185</v>
      </c>
    </row>
    <row r="141" spans="1:5" ht="15.75" customHeight="1" x14ac:dyDescent="0.4">
      <c r="A141" s="24" t="s">
        <v>1169</v>
      </c>
      <c r="B141" s="24" t="s">
        <v>2186</v>
      </c>
      <c r="C141" s="24">
        <v>87.668599999999998</v>
      </c>
      <c r="D141" s="24">
        <v>87.668599999999998</v>
      </c>
    </row>
    <row r="142" spans="1:5" ht="15.75" customHeight="1" x14ac:dyDescent="0.4">
      <c r="A142" s="24" t="s">
        <v>1227</v>
      </c>
      <c r="B142" s="24" t="s">
        <v>2186</v>
      </c>
      <c r="C142" s="24">
        <v>87.660300000000007</v>
      </c>
      <c r="D142" s="24">
        <v>69.775199999999998</v>
      </c>
      <c r="E142" s="24">
        <v>17.834599999999998</v>
      </c>
    </row>
    <row r="143" spans="1:5" ht="15.75" customHeight="1" x14ac:dyDescent="0.4">
      <c r="A143" s="24" t="s">
        <v>874</v>
      </c>
      <c r="B143" s="24" t="s">
        <v>2186</v>
      </c>
      <c r="C143" s="24">
        <v>87.552000000000007</v>
      </c>
      <c r="D143" s="24">
        <v>87.552000000000007</v>
      </c>
    </row>
    <row r="144" spans="1:5" ht="15.75" customHeight="1" x14ac:dyDescent="0.4">
      <c r="A144" s="24" t="s">
        <v>1198</v>
      </c>
      <c r="B144" s="24" t="s">
        <v>2186</v>
      </c>
      <c r="C144" s="24">
        <v>87.493799999999993</v>
      </c>
      <c r="D144" s="24">
        <v>87.493799999999993</v>
      </c>
    </row>
    <row r="145" spans="1:5" ht="15.75" customHeight="1" x14ac:dyDescent="0.4">
      <c r="A145" s="24" t="s">
        <v>1118</v>
      </c>
      <c r="B145" s="24" t="s">
        <v>2186</v>
      </c>
      <c r="C145" s="24">
        <v>87.368899999999996</v>
      </c>
      <c r="D145" s="24">
        <v>87.368899999999996</v>
      </c>
    </row>
    <row r="146" spans="1:5" ht="15.75" customHeight="1" x14ac:dyDescent="0.4">
      <c r="A146" s="24" t="s">
        <v>2101</v>
      </c>
      <c r="B146" s="24" t="s">
        <v>2186</v>
      </c>
      <c r="C146" s="24">
        <v>87.277299999999997</v>
      </c>
      <c r="D146" s="24">
        <v>87.277299999999997</v>
      </c>
    </row>
    <row r="147" spans="1:5" ht="15.75" customHeight="1" x14ac:dyDescent="0.4">
      <c r="A147" s="24" t="s">
        <v>1358</v>
      </c>
      <c r="B147" s="24" t="s">
        <v>2186</v>
      </c>
      <c r="C147" s="24">
        <v>87.168999999999997</v>
      </c>
      <c r="D147" s="24">
        <v>87.168999999999997</v>
      </c>
    </row>
    <row r="148" spans="1:5" ht="15.75" customHeight="1" x14ac:dyDescent="0.4">
      <c r="A148" s="24" t="s">
        <v>1126</v>
      </c>
      <c r="B148" s="24" t="s">
        <v>2186</v>
      </c>
      <c r="C148" s="24">
        <v>87.1357</v>
      </c>
      <c r="D148" s="24">
        <v>87.1357</v>
      </c>
    </row>
    <row r="149" spans="1:5" ht="15.75" customHeight="1" x14ac:dyDescent="0.4">
      <c r="A149" s="24" t="s">
        <v>846</v>
      </c>
      <c r="B149" s="24" t="s">
        <v>2186</v>
      </c>
      <c r="C149" s="24">
        <v>87.052499999999995</v>
      </c>
      <c r="D149" s="24">
        <v>87.052499999999995</v>
      </c>
    </row>
    <row r="150" spans="1:5" ht="15.75" customHeight="1" x14ac:dyDescent="0.4">
      <c r="A150" s="24" t="s">
        <v>1087</v>
      </c>
      <c r="B150" s="24" t="s">
        <v>2186</v>
      </c>
      <c r="C150" s="24">
        <v>87.002499999999998</v>
      </c>
      <c r="D150" s="24">
        <v>87.002499999999998</v>
      </c>
    </row>
    <row r="151" spans="1:5" ht="15.75" customHeight="1" x14ac:dyDescent="0.4">
      <c r="A151" s="24" t="s">
        <v>863</v>
      </c>
      <c r="B151" s="24" t="s">
        <v>2186</v>
      </c>
      <c r="C151" s="24">
        <v>86.661100000000005</v>
      </c>
      <c r="D151" s="24">
        <v>22.597799999999999</v>
      </c>
      <c r="E151" s="24">
        <v>82.231800000000007</v>
      </c>
    </row>
    <row r="152" spans="1:5" ht="15.75" customHeight="1" x14ac:dyDescent="0.4">
      <c r="A152" s="24" t="s">
        <v>960</v>
      </c>
      <c r="B152" s="24" t="s">
        <v>2186</v>
      </c>
      <c r="C152" s="24">
        <v>86.619500000000002</v>
      </c>
      <c r="D152" s="24">
        <v>86.619500000000002</v>
      </c>
    </row>
    <row r="153" spans="1:5" ht="15.75" customHeight="1" x14ac:dyDescent="0.4">
      <c r="A153" s="24" t="s">
        <v>1178</v>
      </c>
      <c r="B153" s="24" t="s">
        <v>2186</v>
      </c>
      <c r="C153" s="24">
        <v>86.369699999999995</v>
      </c>
      <c r="D153" s="24">
        <v>86.369699999999995</v>
      </c>
    </row>
    <row r="154" spans="1:5" ht="15.75" customHeight="1" x14ac:dyDescent="0.4">
      <c r="A154" s="24" t="s">
        <v>764</v>
      </c>
      <c r="B154" s="24" t="s">
        <v>2186</v>
      </c>
      <c r="C154" s="24">
        <v>86.261499999999998</v>
      </c>
      <c r="D154" s="24">
        <v>86.261499999999998</v>
      </c>
    </row>
    <row r="155" spans="1:5" ht="15.75" customHeight="1" x14ac:dyDescent="0.4">
      <c r="A155" s="24" t="s">
        <v>1857</v>
      </c>
      <c r="B155" s="24" t="s">
        <v>2186</v>
      </c>
      <c r="C155" s="24">
        <v>86.128200000000007</v>
      </c>
      <c r="D155" s="24">
        <v>26.3614</v>
      </c>
      <c r="E155" s="24">
        <v>74.701099999999997</v>
      </c>
    </row>
    <row r="156" spans="1:5" ht="15.75" customHeight="1" x14ac:dyDescent="0.4">
      <c r="A156" s="24" t="s">
        <v>641</v>
      </c>
      <c r="B156" s="24" t="s">
        <v>2186</v>
      </c>
      <c r="C156" s="24">
        <v>86.003299999999996</v>
      </c>
      <c r="D156" s="24">
        <v>79.433800000000005</v>
      </c>
      <c r="E156" s="24">
        <v>36.399900000000002</v>
      </c>
    </row>
    <row r="157" spans="1:5" ht="15.75" customHeight="1" x14ac:dyDescent="0.4">
      <c r="A157" s="24" t="s">
        <v>1674</v>
      </c>
      <c r="B157" s="24" t="s">
        <v>2186</v>
      </c>
      <c r="C157" s="24">
        <v>85.861800000000002</v>
      </c>
      <c r="E157" s="24">
        <v>85.619399999999999</v>
      </c>
    </row>
    <row r="158" spans="1:5" ht="15.75" customHeight="1" x14ac:dyDescent="0.4">
      <c r="A158" s="24" t="s">
        <v>1114</v>
      </c>
      <c r="B158" s="24" t="s">
        <v>2186</v>
      </c>
      <c r="C158" s="24">
        <v>85.828500000000005</v>
      </c>
      <c r="D158" s="24">
        <v>85.828500000000005</v>
      </c>
    </row>
    <row r="159" spans="1:5" ht="15.75" customHeight="1" x14ac:dyDescent="0.4">
      <c r="A159" s="24" t="s">
        <v>1784</v>
      </c>
      <c r="B159" s="24" t="s">
        <v>2186</v>
      </c>
      <c r="C159" s="24">
        <v>85.811800000000005</v>
      </c>
      <c r="D159" s="24">
        <v>85.811800000000005</v>
      </c>
      <c r="E159" s="24">
        <v>0</v>
      </c>
    </row>
    <row r="160" spans="1:5" ht="15.75" customHeight="1" x14ac:dyDescent="0.4">
      <c r="A160" s="24" t="s">
        <v>1704</v>
      </c>
      <c r="B160" s="24" t="s">
        <v>2186</v>
      </c>
      <c r="C160" s="24">
        <v>85.745199999999997</v>
      </c>
      <c r="D160" s="24">
        <v>85.745199999999997</v>
      </c>
    </row>
    <row r="161" spans="1:5" ht="15.75" customHeight="1" x14ac:dyDescent="0.4">
      <c r="A161" s="24" t="s">
        <v>1038</v>
      </c>
      <c r="B161" s="24" t="s">
        <v>2186</v>
      </c>
      <c r="C161" s="24">
        <v>85.745199999999997</v>
      </c>
      <c r="D161" s="24">
        <v>85.745199999999997</v>
      </c>
    </row>
    <row r="162" spans="1:5" ht="15.75" customHeight="1" x14ac:dyDescent="0.4">
      <c r="A162" s="24" t="s">
        <v>1093</v>
      </c>
      <c r="B162" s="24" t="s">
        <v>2186</v>
      </c>
      <c r="C162" s="24">
        <v>85.7286</v>
      </c>
      <c r="D162" s="24">
        <v>81.523700000000005</v>
      </c>
      <c r="E162" s="24">
        <v>57.846200000000003</v>
      </c>
    </row>
    <row r="163" spans="1:5" ht="15.75" customHeight="1" x14ac:dyDescent="0.4">
      <c r="A163" s="24" t="s">
        <v>243</v>
      </c>
      <c r="B163" s="24" t="s">
        <v>2186</v>
      </c>
      <c r="C163" s="24">
        <v>85.678600000000003</v>
      </c>
      <c r="D163" s="24">
        <v>7.8851000000000004</v>
      </c>
      <c r="E163" s="24">
        <v>85.436700000000002</v>
      </c>
    </row>
    <row r="164" spans="1:5" ht="15.75" customHeight="1" x14ac:dyDescent="0.4">
      <c r="A164" s="24" t="s">
        <v>938</v>
      </c>
      <c r="B164" s="24" t="s">
        <v>2186</v>
      </c>
      <c r="C164" s="24">
        <v>85.495400000000004</v>
      </c>
      <c r="D164" s="24">
        <v>85.495400000000004</v>
      </c>
    </row>
    <row r="165" spans="1:5" ht="15.75" customHeight="1" x14ac:dyDescent="0.4">
      <c r="A165" s="24" t="s">
        <v>1336</v>
      </c>
      <c r="B165" s="24" t="s">
        <v>2186</v>
      </c>
      <c r="C165" s="24">
        <v>85.320599999999999</v>
      </c>
      <c r="D165" s="24">
        <v>62.323099999999997</v>
      </c>
      <c r="E165" s="24">
        <v>80.014899999999997</v>
      </c>
    </row>
    <row r="166" spans="1:5" ht="15.75" customHeight="1" x14ac:dyDescent="0.4">
      <c r="A166" s="24" t="s">
        <v>907</v>
      </c>
      <c r="B166" s="24" t="s">
        <v>2186</v>
      </c>
      <c r="C166" s="24">
        <v>85.287300000000002</v>
      </c>
      <c r="D166" s="24">
        <v>85.287300000000002</v>
      </c>
    </row>
    <row r="167" spans="1:5" ht="15.75" customHeight="1" x14ac:dyDescent="0.4">
      <c r="A167" s="24" t="s">
        <v>1233</v>
      </c>
      <c r="B167" s="24" t="s">
        <v>2186</v>
      </c>
      <c r="C167" s="24">
        <v>85.195700000000002</v>
      </c>
      <c r="D167" s="24">
        <v>85.195700000000002</v>
      </c>
    </row>
    <row r="168" spans="1:5" ht="15.75" customHeight="1" x14ac:dyDescent="0.4">
      <c r="A168" s="24" t="s">
        <v>1151</v>
      </c>
      <c r="B168" s="24" t="s">
        <v>2186</v>
      </c>
      <c r="C168" s="24">
        <v>85.112399999999994</v>
      </c>
      <c r="D168" s="24">
        <v>78.542900000000003</v>
      </c>
      <c r="E168" s="24">
        <v>29.251100000000001</v>
      </c>
    </row>
    <row r="169" spans="1:5" ht="15.75" customHeight="1" x14ac:dyDescent="0.4">
      <c r="A169" s="24" t="s">
        <v>987</v>
      </c>
      <c r="B169" s="24" t="s">
        <v>2186</v>
      </c>
      <c r="C169" s="24">
        <v>84.9542</v>
      </c>
      <c r="D169" s="24">
        <v>84.9542</v>
      </c>
    </row>
    <row r="170" spans="1:5" ht="15.75" customHeight="1" x14ac:dyDescent="0.4">
      <c r="A170" s="24" t="s">
        <v>963</v>
      </c>
      <c r="B170" s="24" t="s">
        <v>2186</v>
      </c>
      <c r="C170" s="24">
        <v>84.937600000000003</v>
      </c>
      <c r="D170" s="24">
        <v>84.937600000000003</v>
      </c>
    </row>
    <row r="171" spans="1:5" ht="15.75" customHeight="1" x14ac:dyDescent="0.4">
      <c r="A171" s="24" t="s">
        <v>1751</v>
      </c>
      <c r="B171" s="24" t="s">
        <v>2186</v>
      </c>
      <c r="C171" s="24">
        <v>84.796000000000006</v>
      </c>
      <c r="D171" s="24">
        <v>84.796000000000006</v>
      </c>
    </row>
    <row r="172" spans="1:5" ht="15.75" customHeight="1" x14ac:dyDescent="0.4">
      <c r="A172" s="24" t="s">
        <v>2071</v>
      </c>
      <c r="B172" s="24" t="s">
        <v>2186</v>
      </c>
      <c r="C172" s="24">
        <v>84.679400000000001</v>
      </c>
      <c r="D172" s="24">
        <v>7.8767699999999996</v>
      </c>
      <c r="E172" s="24">
        <v>76.585899999999995</v>
      </c>
    </row>
    <row r="173" spans="1:5" ht="15.75" customHeight="1" x14ac:dyDescent="0.4">
      <c r="A173" s="24" t="s">
        <v>1924</v>
      </c>
      <c r="B173" s="24" t="s">
        <v>2186</v>
      </c>
      <c r="C173" s="24">
        <v>84.621099999999998</v>
      </c>
      <c r="E173" s="24">
        <v>84.382300000000001</v>
      </c>
    </row>
    <row r="174" spans="1:5" ht="15.75" customHeight="1" x14ac:dyDescent="0.4">
      <c r="A174" s="24" t="s">
        <v>1356</v>
      </c>
      <c r="B174" s="24" t="s">
        <v>2186</v>
      </c>
      <c r="C174" s="24">
        <v>84.612799999999993</v>
      </c>
      <c r="E174" s="24">
        <v>84.373999999999995</v>
      </c>
    </row>
    <row r="175" spans="1:5" ht="15.75" customHeight="1" x14ac:dyDescent="0.4">
      <c r="A175" s="24" t="s">
        <v>1322</v>
      </c>
      <c r="B175" s="24" t="s">
        <v>2186</v>
      </c>
      <c r="C175" s="24">
        <v>84.562899999999999</v>
      </c>
      <c r="D175" s="24">
        <v>84.562899999999999</v>
      </c>
    </row>
    <row r="176" spans="1:5" ht="15.75" customHeight="1" x14ac:dyDescent="0.4">
      <c r="A176" s="24" t="s">
        <v>1096</v>
      </c>
      <c r="B176" s="24" t="s">
        <v>2186</v>
      </c>
      <c r="C176" s="24">
        <v>84.279799999999994</v>
      </c>
      <c r="D176" s="24">
        <v>51.756900000000002</v>
      </c>
      <c r="E176" s="24">
        <v>39.812399999999997</v>
      </c>
    </row>
    <row r="177" spans="1:5" ht="15.75" customHeight="1" x14ac:dyDescent="0.4">
      <c r="A177" s="24" t="s">
        <v>1014</v>
      </c>
      <c r="B177" s="24" t="s">
        <v>2186</v>
      </c>
      <c r="C177" s="24">
        <v>84.254800000000003</v>
      </c>
      <c r="D177" s="24">
        <v>36.402999999999999</v>
      </c>
      <c r="E177" s="24">
        <v>82.862799999999993</v>
      </c>
    </row>
    <row r="178" spans="1:5" ht="15.75" customHeight="1" x14ac:dyDescent="0.4">
      <c r="A178" s="24" t="s">
        <v>1863</v>
      </c>
      <c r="B178" s="24" t="s">
        <v>2186</v>
      </c>
      <c r="C178" s="24">
        <v>84.121600000000001</v>
      </c>
      <c r="D178" s="24">
        <v>84.121600000000001</v>
      </c>
    </row>
    <row r="179" spans="1:5" ht="15.75" customHeight="1" x14ac:dyDescent="0.4">
      <c r="A179" s="24" t="s">
        <v>1670</v>
      </c>
      <c r="B179" s="24" t="s">
        <v>2186</v>
      </c>
      <c r="C179" s="24">
        <v>84.096599999999995</v>
      </c>
      <c r="D179" s="24">
        <v>9.9333899999999993</v>
      </c>
      <c r="E179" s="24">
        <v>73.953800000000001</v>
      </c>
    </row>
    <row r="180" spans="1:5" ht="15.75" customHeight="1" x14ac:dyDescent="0.4">
      <c r="A180" s="24" t="s">
        <v>1936</v>
      </c>
      <c r="B180" s="24" t="s">
        <v>2186</v>
      </c>
      <c r="C180" s="24">
        <v>83.896799999999999</v>
      </c>
      <c r="D180" s="24">
        <v>60.566200000000002</v>
      </c>
      <c r="E180" s="24">
        <v>73.522099999999995</v>
      </c>
    </row>
    <row r="181" spans="1:5" ht="15.75" customHeight="1" x14ac:dyDescent="0.4">
      <c r="A181" s="24" t="s">
        <v>1175</v>
      </c>
      <c r="B181" s="24" t="s">
        <v>2186</v>
      </c>
      <c r="C181" s="24">
        <v>83.821799999999996</v>
      </c>
      <c r="D181" s="24">
        <v>83.821799999999996</v>
      </c>
    </row>
    <row r="182" spans="1:5" ht="15.75" customHeight="1" x14ac:dyDescent="0.4">
      <c r="A182" s="24" t="s">
        <v>1202</v>
      </c>
      <c r="B182" s="24" t="s">
        <v>2186</v>
      </c>
      <c r="C182" s="24">
        <v>83.721900000000005</v>
      </c>
      <c r="D182" s="24">
        <v>83.538700000000006</v>
      </c>
      <c r="E182" s="24">
        <v>1.6605799999999999</v>
      </c>
    </row>
    <row r="183" spans="1:5" ht="15.75" customHeight="1" x14ac:dyDescent="0.4">
      <c r="A183" s="24" t="s">
        <v>1171</v>
      </c>
      <c r="B183" s="24" t="s">
        <v>2186</v>
      </c>
      <c r="C183" s="24">
        <v>83.505399999999995</v>
      </c>
      <c r="D183" s="24">
        <v>68.168199999999999</v>
      </c>
      <c r="E183" s="24">
        <v>55.986400000000003</v>
      </c>
    </row>
    <row r="184" spans="1:5" ht="15.75" customHeight="1" x14ac:dyDescent="0.4">
      <c r="A184" s="24" t="s">
        <v>1578</v>
      </c>
      <c r="B184" s="24" t="s">
        <v>2186</v>
      </c>
      <c r="C184" s="24">
        <v>83.213999999999999</v>
      </c>
      <c r="D184" s="24">
        <v>83.213999999999999</v>
      </c>
    </row>
    <row r="185" spans="1:5" ht="15.75" customHeight="1" x14ac:dyDescent="0.4">
      <c r="A185" s="24" t="s">
        <v>936</v>
      </c>
      <c r="B185" s="24" t="s">
        <v>2186</v>
      </c>
      <c r="C185" s="24">
        <v>83.172399999999996</v>
      </c>
      <c r="D185" s="24">
        <v>83.172399999999996</v>
      </c>
    </row>
    <row r="186" spans="1:5" ht="15.75" customHeight="1" x14ac:dyDescent="0.4">
      <c r="A186" s="24" t="s">
        <v>1240</v>
      </c>
      <c r="B186" s="24" t="s">
        <v>2186</v>
      </c>
      <c r="C186" s="24">
        <v>83.055800000000005</v>
      </c>
      <c r="D186" s="24">
        <v>83.055800000000005</v>
      </c>
    </row>
    <row r="187" spans="1:5" ht="15.75" customHeight="1" x14ac:dyDescent="0.4">
      <c r="A187" s="24" t="s">
        <v>918</v>
      </c>
      <c r="B187" s="24" t="s">
        <v>2186</v>
      </c>
      <c r="C187" s="24">
        <v>82.980900000000005</v>
      </c>
      <c r="D187" s="24">
        <v>80.366399999999999</v>
      </c>
      <c r="E187" s="24">
        <v>4.7741600000000002</v>
      </c>
    </row>
    <row r="188" spans="1:5" ht="15.75" customHeight="1" x14ac:dyDescent="0.4">
      <c r="A188" s="24" t="s">
        <v>1231</v>
      </c>
      <c r="B188" s="24" t="s">
        <v>2186</v>
      </c>
      <c r="C188" s="24">
        <v>82.972499999999997</v>
      </c>
      <c r="D188" s="24">
        <v>82.805999999999997</v>
      </c>
      <c r="E188" s="24">
        <v>0.16605800000000001</v>
      </c>
    </row>
    <row r="189" spans="1:5" ht="15.75" customHeight="1" x14ac:dyDescent="0.4">
      <c r="A189" s="24" t="s">
        <v>1315</v>
      </c>
      <c r="B189" s="24" t="s">
        <v>2186</v>
      </c>
      <c r="C189" s="24">
        <v>82.897599999999997</v>
      </c>
      <c r="E189" s="24">
        <v>82.663600000000002</v>
      </c>
    </row>
    <row r="190" spans="1:5" ht="15.75" customHeight="1" x14ac:dyDescent="0.4">
      <c r="A190" s="24" t="s">
        <v>1063</v>
      </c>
      <c r="B190" s="24" t="s">
        <v>2186</v>
      </c>
      <c r="C190" s="24">
        <v>82.897599999999997</v>
      </c>
      <c r="D190" s="24">
        <v>72.015000000000001</v>
      </c>
      <c r="E190" s="24">
        <v>10.851900000000001</v>
      </c>
    </row>
    <row r="191" spans="1:5" ht="15.75" customHeight="1" x14ac:dyDescent="0.4">
      <c r="A191" s="24" t="s">
        <v>1787</v>
      </c>
      <c r="B191" s="24" t="s">
        <v>2186</v>
      </c>
      <c r="C191" s="24">
        <v>82.889300000000006</v>
      </c>
      <c r="D191" s="24">
        <v>82.889300000000006</v>
      </c>
    </row>
    <row r="192" spans="1:5" ht="15.75" customHeight="1" x14ac:dyDescent="0.4">
      <c r="A192" s="24" t="s">
        <v>1235</v>
      </c>
      <c r="B192" s="24" t="s">
        <v>2186</v>
      </c>
      <c r="C192" s="24">
        <v>82.781000000000006</v>
      </c>
      <c r="D192" s="24">
        <v>82.739400000000003</v>
      </c>
      <c r="E192" s="24">
        <v>0.39023600000000003</v>
      </c>
    </row>
    <row r="193" spans="1:5" ht="15.75" customHeight="1" x14ac:dyDescent="0.4">
      <c r="A193" s="24" t="s">
        <v>1214</v>
      </c>
      <c r="B193" s="24" t="s">
        <v>2186</v>
      </c>
      <c r="C193" s="24">
        <v>82.614500000000007</v>
      </c>
      <c r="D193" s="24">
        <v>82.614500000000007</v>
      </c>
    </row>
    <row r="194" spans="1:5" ht="15.75" customHeight="1" x14ac:dyDescent="0.4">
      <c r="A194" s="24" t="s">
        <v>1659</v>
      </c>
      <c r="B194" s="24" t="s">
        <v>2186</v>
      </c>
      <c r="C194" s="24">
        <v>82.514600000000002</v>
      </c>
      <c r="D194" s="24">
        <v>82.514600000000002</v>
      </c>
    </row>
    <row r="195" spans="1:5" ht="15.75" customHeight="1" x14ac:dyDescent="0.4">
      <c r="A195" s="24" t="s">
        <v>782</v>
      </c>
      <c r="B195" s="24" t="s">
        <v>2186</v>
      </c>
      <c r="C195" s="24">
        <v>82.331400000000002</v>
      </c>
      <c r="D195" s="24">
        <v>82.331400000000002</v>
      </c>
    </row>
    <row r="196" spans="1:5" ht="15.75" customHeight="1" x14ac:dyDescent="0.4">
      <c r="A196" s="24" t="s">
        <v>878</v>
      </c>
      <c r="B196" s="24" t="s">
        <v>2186</v>
      </c>
      <c r="C196" s="24">
        <v>82.248099999999994</v>
      </c>
      <c r="D196" s="24">
        <v>73.863399999999999</v>
      </c>
      <c r="E196" s="24">
        <v>68.415800000000004</v>
      </c>
    </row>
    <row r="197" spans="1:5" ht="15.75" customHeight="1" x14ac:dyDescent="0.4">
      <c r="A197" s="24" t="s">
        <v>985</v>
      </c>
      <c r="B197" s="24" t="s">
        <v>2186</v>
      </c>
      <c r="C197" s="24">
        <v>82.231499999999997</v>
      </c>
      <c r="D197" s="24">
        <v>82.139899999999997</v>
      </c>
      <c r="E197" s="24">
        <v>14.845599999999999</v>
      </c>
    </row>
    <row r="198" spans="1:5" ht="15.75" customHeight="1" x14ac:dyDescent="0.4">
      <c r="A198" s="24" t="s">
        <v>1954</v>
      </c>
      <c r="B198" s="24" t="s">
        <v>2186</v>
      </c>
      <c r="C198" s="24">
        <v>82.223100000000002</v>
      </c>
      <c r="E198" s="24">
        <v>81.991</v>
      </c>
    </row>
    <row r="199" spans="1:5" ht="15.75" customHeight="1" x14ac:dyDescent="0.4">
      <c r="A199" s="24" t="s">
        <v>1148</v>
      </c>
      <c r="B199" s="24" t="s">
        <v>2186</v>
      </c>
      <c r="C199" s="24">
        <v>82.206500000000005</v>
      </c>
      <c r="E199" s="24">
        <v>81.974400000000003</v>
      </c>
    </row>
    <row r="200" spans="1:5" ht="15.75" customHeight="1" x14ac:dyDescent="0.4">
      <c r="A200" s="24" t="s">
        <v>1207</v>
      </c>
      <c r="B200" s="24" t="s">
        <v>2186</v>
      </c>
      <c r="C200" s="24">
        <v>82.164900000000003</v>
      </c>
      <c r="D200" s="24">
        <v>82.164900000000003</v>
      </c>
    </row>
    <row r="201" spans="1:5" ht="15.75" customHeight="1" x14ac:dyDescent="0.4">
      <c r="A201" s="24" t="s">
        <v>1486</v>
      </c>
      <c r="B201" s="24" t="s">
        <v>2186</v>
      </c>
      <c r="C201" s="24">
        <v>82.048299999999998</v>
      </c>
      <c r="D201" s="24">
        <v>80.158199999999994</v>
      </c>
      <c r="E201" s="24">
        <v>55.172699999999999</v>
      </c>
    </row>
    <row r="202" spans="1:5" ht="15.75" customHeight="1" x14ac:dyDescent="0.4">
      <c r="A202" s="24" t="s">
        <v>272</v>
      </c>
      <c r="B202" s="24" t="s">
        <v>2186</v>
      </c>
      <c r="C202" s="24">
        <v>81.923400000000001</v>
      </c>
      <c r="D202" s="24">
        <v>81.107399999999998</v>
      </c>
      <c r="E202" s="24">
        <v>1.7436100000000001</v>
      </c>
    </row>
    <row r="203" spans="1:5" ht="15.75" customHeight="1" x14ac:dyDescent="0.4">
      <c r="A203" s="24" t="s">
        <v>1082</v>
      </c>
      <c r="B203" s="24" t="s">
        <v>2186</v>
      </c>
      <c r="C203" s="24">
        <v>81.881799999999998</v>
      </c>
      <c r="D203" s="24">
        <v>81.881799999999998</v>
      </c>
    </row>
    <row r="204" spans="1:5" ht="15.75" customHeight="1" x14ac:dyDescent="0.4">
      <c r="A204" s="24" t="s">
        <v>1085</v>
      </c>
      <c r="B204" s="24" t="s">
        <v>2186</v>
      </c>
      <c r="C204" s="24">
        <v>81.781800000000004</v>
      </c>
      <c r="D204" s="24">
        <v>79.783500000000004</v>
      </c>
      <c r="E204" s="24">
        <v>76.502799999999993</v>
      </c>
    </row>
    <row r="205" spans="1:5" ht="15.75" customHeight="1" x14ac:dyDescent="0.4">
      <c r="A205" s="24" t="s">
        <v>992</v>
      </c>
      <c r="B205" s="24" t="s">
        <v>2186</v>
      </c>
      <c r="C205" s="24">
        <v>81.715199999999996</v>
      </c>
      <c r="D205" s="24">
        <v>81.715199999999996</v>
      </c>
    </row>
    <row r="206" spans="1:5" ht="15.75" customHeight="1" x14ac:dyDescent="0.4">
      <c r="A206" s="24" t="s">
        <v>591</v>
      </c>
      <c r="B206" s="24" t="s">
        <v>2186</v>
      </c>
      <c r="C206" s="24">
        <v>81.690299999999993</v>
      </c>
      <c r="D206" s="24">
        <v>12.6228</v>
      </c>
      <c r="E206" s="24">
        <v>81.177400000000006</v>
      </c>
    </row>
    <row r="207" spans="1:5" ht="15.75" customHeight="1" x14ac:dyDescent="0.4">
      <c r="A207" s="24" t="s">
        <v>909</v>
      </c>
      <c r="B207" s="24" t="s">
        <v>2186</v>
      </c>
      <c r="C207" s="24">
        <v>81.632000000000005</v>
      </c>
      <c r="E207" s="24">
        <v>81.401499999999999</v>
      </c>
    </row>
    <row r="208" spans="1:5" ht="15.75" customHeight="1" x14ac:dyDescent="0.4">
      <c r="A208" s="24" t="s">
        <v>873</v>
      </c>
      <c r="B208" s="24" t="s">
        <v>2186</v>
      </c>
      <c r="C208" s="24">
        <v>81.606999999999999</v>
      </c>
      <c r="D208" s="24">
        <v>81.606999999999999</v>
      </c>
    </row>
    <row r="209" spans="1:5" ht="15.75" customHeight="1" x14ac:dyDescent="0.4">
      <c r="A209" s="24" t="s">
        <v>1160</v>
      </c>
      <c r="B209" s="24" t="s">
        <v>2186</v>
      </c>
      <c r="C209" s="24">
        <v>81.598699999999994</v>
      </c>
      <c r="D209" s="24">
        <v>81.598699999999994</v>
      </c>
    </row>
    <row r="210" spans="1:5" ht="15.75" customHeight="1" x14ac:dyDescent="0.4">
      <c r="A210" s="24" t="s">
        <v>958</v>
      </c>
      <c r="B210" s="24" t="s">
        <v>2186</v>
      </c>
      <c r="C210" s="24">
        <v>81.581999999999994</v>
      </c>
      <c r="D210" s="24">
        <v>81.581999999999994</v>
      </c>
    </row>
    <row r="211" spans="1:5" ht="15.75" customHeight="1" x14ac:dyDescent="0.4">
      <c r="A211" s="24" t="s">
        <v>424</v>
      </c>
      <c r="B211" s="24" t="s">
        <v>2186</v>
      </c>
      <c r="C211" s="24">
        <v>81.5154</v>
      </c>
      <c r="D211" s="24">
        <v>81.5154</v>
      </c>
    </row>
    <row r="212" spans="1:5" ht="15.75" customHeight="1" x14ac:dyDescent="0.4">
      <c r="A212" s="24" t="s">
        <v>864</v>
      </c>
      <c r="B212" s="24" t="s">
        <v>2186</v>
      </c>
      <c r="C212" s="24">
        <v>81.448800000000006</v>
      </c>
      <c r="D212" s="24">
        <v>81.448800000000006</v>
      </c>
    </row>
    <row r="213" spans="1:5" ht="15.75" customHeight="1" x14ac:dyDescent="0.4">
      <c r="A213" s="24" t="s">
        <v>1282</v>
      </c>
      <c r="B213" s="24" t="s">
        <v>2186</v>
      </c>
      <c r="C213" s="24">
        <v>81.307199999999995</v>
      </c>
      <c r="D213" s="24">
        <v>81.307199999999995</v>
      </c>
    </row>
    <row r="214" spans="1:5" ht="15.75" customHeight="1" x14ac:dyDescent="0.4">
      <c r="A214" s="24" t="s">
        <v>1720</v>
      </c>
      <c r="B214" s="24" t="s">
        <v>2186</v>
      </c>
      <c r="C214" s="24">
        <v>81.290599999999998</v>
      </c>
      <c r="D214" s="24">
        <v>80.05</v>
      </c>
      <c r="E214" s="24">
        <v>1.2371300000000001</v>
      </c>
    </row>
    <row r="215" spans="1:5" ht="15.75" customHeight="1" x14ac:dyDescent="0.4">
      <c r="A215" s="24" t="s">
        <v>935</v>
      </c>
      <c r="B215" s="24" t="s">
        <v>2186</v>
      </c>
      <c r="C215" s="24">
        <v>81.240600000000001</v>
      </c>
      <c r="D215" s="24">
        <v>81.240600000000001</v>
      </c>
    </row>
    <row r="216" spans="1:5" ht="15.75" customHeight="1" x14ac:dyDescent="0.4">
      <c r="A216" s="24" t="s">
        <v>2060</v>
      </c>
      <c r="B216" s="24" t="s">
        <v>2186</v>
      </c>
      <c r="C216" s="24">
        <v>81.157399999999996</v>
      </c>
      <c r="D216" s="24">
        <v>81.124099999999999</v>
      </c>
      <c r="E216" s="24">
        <v>3.3211999999999998E-2</v>
      </c>
    </row>
    <row r="217" spans="1:5" ht="15.75" customHeight="1" x14ac:dyDescent="0.4">
      <c r="A217" s="24" t="s">
        <v>1044</v>
      </c>
      <c r="B217" s="24" t="s">
        <v>2186</v>
      </c>
      <c r="C217" s="24">
        <v>81.107399999999998</v>
      </c>
      <c r="D217" s="24">
        <v>81.107399999999998</v>
      </c>
    </row>
    <row r="218" spans="1:5" ht="15.75" customHeight="1" x14ac:dyDescent="0.4">
      <c r="A218" s="24" t="s">
        <v>969</v>
      </c>
      <c r="B218" s="24" t="s">
        <v>2186</v>
      </c>
      <c r="C218" s="24">
        <v>81.074100000000001</v>
      </c>
      <c r="D218" s="24">
        <v>12.672800000000001</v>
      </c>
      <c r="E218" s="24">
        <v>80.014899999999997</v>
      </c>
    </row>
    <row r="219" spans="1:5" ht="15.75" customHeight="1" x14ac:dyDescent="0.4">
      <c r="A219" s="24" t="s">
        <v>1788</v>
      </c>
      <c r="B219" s="24" t="s">
        <v>2186</v>
      </c>
      <c r="C219" s="24">
        <v>81.032499999999999</v>
      </c>
      <c r="D219" s="24">
        <v>81.032499999999999</v>
      </c>
    </row>
    <row r="220" spans="1:5" ht="15.75" customHeight="1" x14ac:dyDescent="0.4">
      <c r="A220" s="24" t="s">
        <v>1437</v>
      </c>
      <c r="B220" s="24" t="s">
        <v>2186</v>
      </c>
      <c r="C220" s="24">
        <v>80.974199999999996</v>
      </c>
      <c r="D220" s="24">
        <v>80.974199999999996</v>
      </c>
    </row>
    <row r="221" spans="1:5" ht="15.75" customHeight="1" x14ac:dyDescent="0.4">
      <c r="A221" s="24" t="s">
        <v>1059</v>
      </c>
      <c r="B221" s="24" t="s">
        <v>2186</v>
      </c>
      <c r="C221" s="24">
        <v>80.940899999999999</v>
      </c>
      <c r="E221" s="24">
        <v>80.712400000000002</v>
      </c>
    </row>
    <row r="222" spans="1:5" ht="15.75" customHeight="1" x14ac:dyDescent="0.4">
      <c r="A222" s="24" t="s">
        <v>770</v>
      </c>
      <c r="B222" s="24" t="s">
        <v>2186</v>
      </c>
      <c r="C222" s="24">
        <v>80.932599999999994</v>
      </c>
      <c r="D222" s="24">
        <v>76.669399999999996</v>
      </c>
      <c r="E222" s="24">
        <v>4.25108</v>
      </c>
    </row>
    <row r="223" spans="1:5" ht="15.75" customHeight="1" x14ac:dyDescent="0.4">
      <c r="A223" s="24" t="s">
        <v>943</v>
      </c>
      <c r="B223" s="24" t="s">
        <v>2186</v>
      </c>
      <c r="C223" s="24">
        <v>80.874300000000005</v>
      </c>
      <c r="D223" s="24">
        <v>80.874300000000005</v>
      </c>
    </row>
    <row r="224" spans="1:5" ht="15.75" customHeight="1" x14ac:dyDescent="0.4">
      <c r="A224" s="24" t="s">
        <v>1786</v>
      </c>
      <c r="B224" s="24" t="s">
        <v>2186</v>
      </c>
      <c r="C224" s="24">
        <v>80.874300000000005</v>
      </c>
      <c r="D224" s="24">
        <v>80.874300000000005</v>
      </c>
    </row>
    <row r="225" spans="1:5" ht="15.75" customHeight="1" x14ac:dyDescent="0.4">
      <c r="A225" s="24" t="s">
        <v>1052</v>
      </c>
      <c r="B225" s="24" t="s">
        <v>2186</v>
      </c>
      <c r="C225" s="24">
        <v>80.849299999999999</v>
      </c>
      <c r="D225" s="24">
        <v>80.749399999999994</v>
      </c>
      <c r="E225" s="24">
        <v>26.602499999999999</v>
      </c>
    </row>
    <row r="226" spans="1:5" ht="15.75" customHeight="1" x14ac:dyDescent="0.4">
      <c r="A226" s="24" t="s">
        <v>2047</v>
      </c>
      <c r="B226" s="24" t="s">
        <v>2186</v>
      </c>
      <c r="C226" s="24">
        <v>80.824299999999994</v>
      </c>
      <c r="D226" s="24">
        <v>80.824299999999994</v>
      </c>
    </row>
    <row r="227" spans="1:5" ht="15.75" customHeight="1" x14ac:dyDescent="0.4">
      <c r="A227" s="24" t="s">
        <v>2106</v>
      </c>
      <c r="B227" s="24" t="s">
        <v>2186</v>
      </c>
      <c r="C227" s="24">
        <v>80.824299999999994</v>
      </c>
      <c r="D227" s="24">
        <v>80.824299999999994</v>
      </c>
      <c r="E227" s="24">
        <v>0</v>
      </c>
    </row>
    <row r="228" spans="1:5" ht="15.75" customHeight="1" x14ac:dyDescent="0.4">
      <c r="A228" s="24" t="s">
        <v>885</v>
      </c>
      <c r="B228" s="24" t="s">
        <v>2186</v>
      </c>
      <c r="C228" s="24">
        <v>80.790999999999997</v>
      </c>
      <c r="D228" s="24">
        <v>80.790999999999997</v>
      </c>
    </row>
    <row r="229" spans="1:5" ht="15.75" customHeight="1" x14ac:dyDescent="0.4">
      <c r="A229" s="24" t="s">
        <v>853</v>
      </c>
      <c r="B229" s="24" t="s">
        <v>2186</v>
      </c>
      <c r="C229" s="24">
        <v>80.716099999999997</v>
      </c>
      <c r="D229" s="24">
        <v>80.716099999999997</v>
      </c>
    </row>
    <row r="230" spans="1:5" ht="15.75" customHeight="1" x14ac:dyDescent="0.4">
      <c r="A230" s="24" t="s">
        <v>1623</v>
      </c>
      <c r="B230" s="24" t="s">
        <v>2186</v>
      </c>
      <c r="C230" s="24">
        <v>80.707700000000003</v>
      </c>
      <c r="D230" s="24">
        <v>80.707700000000003</v>
      </c>
    </row>
    <row r="231" spans="1:5" ht="15.75" customHeight="1" x14ac:dyDescent="0.4">
      <c r="A231" s="24" t="s">
        <v>1142</v>
      </c>
      <c r="B231" s="24" t="s">
        <v>2186</v>
      </c>
      <c r="C231" s="24">
        <v>80.616100000000003</v>
      </c>
      <c r="D231" s="24">
        <v>80.616100000000003</v>
      </c>
    </row>
    <row r="232" spans="1:5" ht="15.75" customHeight="1" x14ac:dyDescent="0.4">
      <c r="A232" s="24" t="s">
        <v>1080</v>
      </c>
      <c r="B232" s="24" t="s">
        <v>2186</v>
      </c>
      <c r="C232" s="24">
        <v>80.616100000000003</v>
      </c>
      <c r="D232" s="24">
        <v>80.616100000000003</v>
      </c>
    </row>
    <row r="233" spans="1:5" ht="15.75" customHeight="1" x14ac:dyDescent="0.4">
      <c r="A233" s="24" t="s">
        <v>2013</v>
      </c>
      <c r="B233" s="24" t="s">
        <v>2186</v>
      </c>
      <c r="C233" s="24">
        <v>80.516199999999998</v>
      </c>
      <c r="D233" s="24">
        <v>80.516199999999998</v>
      </c>
    </row>
    <row r="234" spans="1:5" ht="15.75" customHeight="1" x14ac:dyDescent="0.4">
      <c r="A234" s="24" t="s">
        <v>1188</v>
      </c>
      <c r="B234" s="24" t="s">
        <v>2186</v>
      </c>
      <c r="C234" s="24">
        <v>80.491299999999995</v>
      </c>
      <c r="D234" s="24">
        <v>80.491299999999995</v>
      </c>
    </row>
    <row r="235" spans="1:5" ht="15.75" customHeight="1" x14ac:dyDescent="0.4">
      <c r="A235" s="24" t="s">
        <v>1696</v>
      </c>
      <c r="B235" s="24" t="s">
        <v>2186</v>
      </c>
      <c r="C235" s="24">
        <v>80.424599999999998</v>
      </c>
      <c r="D235" s="24">
        <v>80.424599999999998</v>
      </c>
    </row>
    <row r="236" spans="1:5" ht="15.75" customHeight="1" x14ac:dyDescent="0.4">
      <c r="A236" s="24" t="s">
        <v>1483</v>
      </c>
      <c r="B236" s="24" t="s">
        <v>2186</v>
      </c>
      <c r="C236" s="24">
        <v>80.408000000000001</v>
      </c>
      <c r="D236" s="24">
        <v>80.408000000000001</v>
      </c>
    </row>
    <row r="237" spans="1:5" ht="15.75" customHeight="1" x14ac:dyDescent="0.4">
      <c r="A237" s="24" t="s">
        <v>411</v>
      </c>
      <c r="B237" s="24" t="s">
        <v>2186</v>
      </c>
      <c r="C237" s="24">
        <v>80.408000000000001</v>
      </c>
      <c r="E237" s="24">
        <v>80.180999999999997</v>
      </c>
    </row>
    <row r="238" spans="1:5" ht="15.75" customHeight="1" x14ac:dyDescent="0.4">
      <c r="A238" s="24" t="s">
        <v>1048</v>
      </c>
      <c r="B238" s="24" t="s">
        <v>2186</v>
      </c>
      <c r="C238" s="24">
        <v>80.341399999999993</v>
      </c>
      <c r="D238" s="24">
        <v>80.341399999999993</v>
      </c>
    </row>
    <row r="239" spans="1:5" ht="15.75" customHeight="1" x14ac:dyDescent="0.4">
      <c r="A239" s="24" t="s">
        <v>1187</v>
      </c>
      <c r="B239" s="24" t="s">
        <v>2186</v>
      </c>
      <c r="C239" s="24">
        <v>80.274799999999999</v>
      </c>
      <c r="D239" s="24">
        <v>80.274799999999999</v>
      </c>
    </row>
    <row r="240" spans="1:5" ht="15.75" customHeight="1" x14ac:dyDescent="0.4">
      <c r="A240" s="24" t="s">
        <v>908</v>
      </c>
      <c r="B240" s="24" t="s">
        <v>2186</v>
      </c>
      <c r="C240" s="24">
        <v>80.216499999999996</v>
      </c>
      <c r="D240" s="24">
        <v>80.216499999999996</v>
      </c>
    </row>
    <row r="241" spans="1:5" ht="15.75" customHeight="1" x14ac:dyDescent="0.4">
      <c r="A241" s="24" t="s">
        <v>2132</v>
      </c>
      <c r="B241" s="24" t="s">
        <v>2186</v>
      </c>
      <c r="C241" s="24">
        <v>80.166499999999999</v>
      </c>
      <c r="D241" s="24">
        <v>80.166499999999999</v>
      </c>
    </row>
    <row r="242" spans="1:5" ht="15.75" customHeight="1" x14ac:dyDescent="0.4">
      <c r="A242" s="24" t="s">
        <v>1367</v>
      </c>
      <c r="B242" s="24" t="s">
        <v>2186</v>
      </c>
      <c r="C242" s="24">
        <v>80.158199999999994</v>
      </c>
      <c r="D242" s="24">
        <v>80.158199999999994</v>
      </c>
    </row>
    <row r="243" spans="1:5" ht="15.75" customHeight="1" x14ac:dyDescent="0.4">
      <c r="A243" s="24" t="s">
        <v>1039</v>
      </c>
      <c r="B243" s="24" t="s">
        <v>2186</v>
      </c>
      <c r="C243" s="24">
        <v>80.116600000000005</v>
      </c>
      <c r="D243" s="24">
        <v>16.169899999999998</v>
      </c>
      <c r="E243" s="24">
        <v>75.954800000000006</v>
      </c>
    </row>
    <row r="244" spans="1:5" ht="15.75" customHeight="1" x14ac:dyDescent="0.4">
      <c r="A244" s="24" t="s">
        <v>886</v>
      </c>
      <c r="B244" s="24" t="s">
        <v>2186</v>
      </c>
      <c r="C244" s="24">
        <v>80.033299999999997</v>
      </c>
      <c r="E244" s="24">
        <v>79.807400000000001</v>
      </c>
    </row>
    <row r="245" spans="1:5" ht="15.75" customHeight="1" x14ac:dyDescent="0.4">
      <c r="A245" s="24" t="s">
        <v>1687</v>
      </c>
      <c r="B245" s="24" t="s">
        <v>2186</v>
      </c>
      <c r="C245" s="24">
        <v>79.974999999999994</v>
      </c>
      <c r="D245" s="24">
        <v>79.974999999999994</v>
      </c>
    </row>
    <row r="246" spans="1:5" ht="15.75" customHeight="1" x14ac:dyDescent="0.4">
      <c r="A246" s="24" t="s">
        <v>920</v>
      </c>
      <c r="B246" s="24" t="s">
        <v>2186</v>
      </c>
      <c r="C246" s="24">
        <v>79.958399999999997</v>
      </c>
      <c r="D246" s="24">
        <v>17.4438</v>
      </c>
      <c r="E246" s="24">
        <v>79.226200000000006</v>
      </c>
    </row>
    <row r="247" spans="1:5" ht="15.75" customHeight="1" x14ac:dyDescent="0.4">
      <c r="A247" s="24" t="s">
        <v>1042</v>
      </c>
      <c r="B247" s="24" t="s">
        <v>2186</v>
      </c>
      <c r="C247" s="24">
        <v>79.958399999999997</v>
      </c>
      <c r="D247" s="24">
        <v>15.6037</v>
      </c>
      <c r="E247" s="24">
        <v>79.732699999999994</v>
      </c>
    </row>
    <row r="248" spans="1:5" ht="15.75" customHeight="1" x14ac:dyDescent="0.4">
      <c r="A248" s="24" t="s">
        <v>1217</v>
      </c>
      <c r="B248" s="24" t="s">
        <v>2186</v>
      </c>
      <c r="C248" s="24">
        <v>79.941699999999997</v>
      </c>
      <c r="D248" s="24">
        <v>79.941699999999997</v>
      </c>
    </row>
    <row r="249" spans="1:5" ht="15.75" customHeight="1" x14ac:dyDescent="0.4">
      <c r="A249" s="24" t="s">
        <v>1211</v>
      </c>
      <c r="B249" s="24" t="s">
        <v>2186</v>
      </c>
      <c r="C249" s="24">
        <v>79.891800000000003</v>
      </c>
      <c r="D249" s="24">
        <v>79.891800000000003</v>
      </c>
    </row>
    <row r="250" spans="1:5" ht="15.75" customHeight="1" x14ac:dyDescent="0.4">
      <c r="A250" s="24" t="s">
        <v>1841</v>
      </c>
      <c r="B250" s="24" t="s">
        <v>2186</v>
      </c>
      <c r="C250" s="24">
        <v>79.850099999999998</v>
      </c>
      <c r="D250" s="24">
        <v>79.850099999999998</v>
      </c>
    </row>
    <row r="251" spans="1:5" ht="15.75" customHeight="1" x14ac:dyDescent="0.4">
      <c r="A251" s="24" t="s">
        <v>898</v>
      </c>
      <c r="B251" s="24" t="s">
        <v>2186</v>
      </c>
      <c r="C251" s="24">
        <v>79.850099999999998</v>
      </c>
      <c r="D251" s="24">
        <v>79.850099999999998</v>
      </c>
    </row>
    <row r="252" spans="1:5" ht="15.75" customHeight="1" x14ac:dyDescent="0.4">
      <c r="A252" s="24" t="s">
        <v>481</v>
      </c>
      <c r="B252" s="24" t="s">
        <v>2186</v>
      </c>
      <c r="C252" s="24">
        <v>79.841800000000006</v>
      </c>
      <c r="D252" s="24">
        <v>79.841800000000006</v>
      </c>
    </row>
    <row r="253" spans="1:5" ht="15.75" customHeight="1" x14ac:dyDescent="0.4">
      <c r="A253" s="24" t="s">
        <v>1139</v>
      </c>
      <c r="B253" s="24" t="s">
        <v>2186</v>
      </c>
      <c r="C253" s="24">
        <v>79.825100000000006</v>
      </c>
      <c r="D253" s="24">
        <v>79.825100000000006</v>
      </c>
    </row>
    <row r="254" spans="1:5" ht="15.75" customHeight="1" x14ac:dyDescent="0.4">
      <c r="A254" s="24" t="s">
        <v>1208</v>
      </c>
      <c r="B254" s="24" t="s">
        <v>2186</v>
      </c>
      <c r="C254" s="24">
        <v>79.675299999999993</v>
      </c>
      <c r="D254" s="24">
        <v>72.431299999999993</v>
      </c>
      <c r="E254" s="24">
        <v>19.578199999999999</v>
      </c>
    </row>
    <row r="255" spans="1:5" ht="15.75" customHeight="1" x14ac:dyDescent="0.4">
      <c r="A255" s="24" t="s">
        <v>1030</v>
      </c>
      <c r="B255" s="24" t="s">
        <v>2186</v>
      </c>
      <c r="C255" s="24">
        <v>79.658600000000007</v>
      </c>
      <c r="D255" s="24">
        <v>79.658600000000007</v>
      </c>
    </row>
    <row r="256" spans="1:5" ht="15.75" customHeight="1" x14ac:dyDescent="0.4">
      <c r="A256" s="24" t="s">
        <v>1461</v>
      </c>
      <c r="B256" s="24" t="s">
        <v>2186</v>
      </c>
      <c r="C256" s="24">
        <v>79.650300000000001</v>
      </c>
      <c r="D256" s="24">
        <v>79.650300000000001</v>
      </c>
    </row>
    <row r="257" spans="1:5" ht="15.75" customHeight="1" x14ac:dyDescent="0.4">
      <c r="A257" s="24" t="s">
        <v>567</v>
      </c>
      <c r="B257" s="24" t="s">
        <v>2186</v>
      </c>
      <c r="C257" s="24">
        <v>79.633600000000001</v>
      </c>
      <c r="D257" s="24">
        <v>79.633600000000001</v>
      </c>
    </row>
    <row r="258" spans="1:5" ht="15.75" customHeight="1" x14ac:dyDescent="0.4">
      <c r="A258" s="24" t="s">
        <v>1906</v>
      </c>
      <c r="B258" s="24" t="s">
        <v>2186</v>
      </c>
      <c r="C258" s="24">
        <v>79.600300000000004</v>
      </c>
      <c r="D258" s="24">
        <v>79.600300000000004</v>
      </c>
    </row>
    <row r="259" spans="1:5" ht="15.75" customHeight="1" x14ac:dyDescent="0.4">
      <c r="A259" s="24" t="s">
        <v>1749</v>
      </c>
      <c r="B259" s="24" t="s">
        <v>2186</v>
      </c>
      <c r="C259" s="24">
        <v>79.566999999999993</v>
      </c>
      <c r="E259" s="24">
        <v>79.342399999999998</v>
      </c>
    </row>
    <row r="260" spans="1:5" ht="15.75" customHeight="1" x14ac:dyDescent="0.4">
      <c r="A260" s="24" t="s">
        <v>1241</v>
      </c>
      <c r="B260" s="24" t="s">
        <v>2186</v>
      </c>
      <c r="C260" s="24">
        <v>79.533699999999996</v>
      </c>
      <c r="D260" s="24">
        <v>79.533699999999996</v>
      </c>
    </row>
    <row r="261" spans="1:5" ht="15.75" customHeight="1" x14ac:dyDescent="0.4">
      <c r="A261" s="24" t="s">
        <v>1137</v>
      </c>
      <c r="B261" s="24" t="s">
        <v>2186</v>
      </c>
      <c r="C261" s="24">
        <v>79.492099999999994</v>
      </c>
      <c r="D261" s="24">
        <v>79.492099999999994</v>
      </c>
    </row>
    <row r="262" spans="1:5" ht="15.75" customHeight="1" x14ac:dyDescent="0.4">
      <c r="A262" s="24" t="s">
        <v>952</v>
      </c>
      <c r="B262" s="24" t="s">
        <v>2186</v>
      </c>
      <c r="C262" s="24">
        <v>79.442099999999996</v>
      </c>
      <c r="D262" s="24">
        <v>79.442099999999996</v>
      </c>
    </row>
    <row r="263" spans="1:5" ht="15.75" customHeight="1" x14ac:dyDescent="0.4">
      <c r="A263" s="24" t="s">
        <v>1167</v>
      </c>
      <c r="B263" s="24" t="s">
        <v>2186</v>
      </c>
      <c r="C263" s="24">
        <v>79.442099999999996</v>
      </c>
      <c r="D263" s="24">
        <v>79.442099999999996</v>
      </c>
    </row>
    <row r="264" spans="1:5" ht="15.75" customHeight="1" x14ac:dyDescent="0.4">
      <c r="A264" s="24" t="s">
        <v>1108</v>
      </c>
      <c r="B264" s="24" t="s">
        <v>2186</v>
      </c>
      <c r="C264" s="24">
        <v>79.383899999999997</v>
      </c>
      <c r="D264" s="24">
        <v>38.193199999999997</v>
      </c>
      <c r="E264" s="24">
        <v>41.074399999999997</v>
      </c>
    </row>
    <row r="265" spans="1:5" ht="15.75" customHeight="1" x14ac:dyDescent="0.4">
      <c r="A265" s="24" t="s">
        <v>1399</v>
      </c>
      <c r="B265" s="24" t="s">
        <v>2186</v>
      </c>
      <c r="C265" s="24">
        <v>79.358900000000006</v>
      </c>
      <c r="D265" s="24">
        <v>79.358900000000006</v>
      </c>
    </row>
    <row r="266" spans="1:5" ht="15.75" customHeight="1" x14ac:dyDescent="0.4">
      <c r="A266" s="24" t="s">
        <v>879</v>
      </c>
      <c r="B266" s="24" t="s">
        <v>2186</v>
      </c>
      <c r="C266" s="24">
        <v>79.350499999999997</v>
      </c>
      <c r="E266" s="24">
        <v>79.126499999999993</v>
      </c>
    </row>
    <row r="267" spans="1:5" ht="15.75" customHeight="1" x14ac:dyDescent="0.4">
      <c r="A267" s="24" t="s">
        <v>973</v>
      </c>
      <c r="B267" s="24" t="s">
        <v>2186</v>
      </c>
      <c r="C267" s="24">
        <v>79.308899999999994</v>
      </c>
      <c r="D267" s="24">
        <v>79.308899999999994</v>
      </c>
    </row>
    <row r="268" spans="1:5" ht="15.75" customHeight="1" x14ac:dyDescent="0.4">
      <c r="A268" s="24" t="s">
        <v>1101</v>
      </c>
      <c r="B268" s="24" t="s">
        <v>2186</v>
      </c>
      <c r="C268" s="24">
        <v>79.275599999999997</v>
      </c>
      <c r="D268" s="24">
        <v>79.275599999999997</v>
      </c>
    </row>
    <row r="269" spans="1:5" ht="15.75" customHeight="1" x14ac:dyDescent="0.4">
      <c r="A269" s="24" t="s">
        <v>611</v>
      </c>
      <c r="B269" s="24" t="s">
        <v>2186</v>
      </c>
      <c r="C269" s="24">
        <v>79.267300000000006</v>
      </c>
      <c r="D269" s="24">
        <v>79.267300000000006</v>
      </c>
    </row>
    <row r="270" spans="1:5" ht="15.75" customHeight="1" x14ac:dyDescent="0.4">
      <c r="A270" s="24" t="s">
        <v>2102</v>
      </c>
      <c r="B270" s="24" t="s">
        <v>2186</v>
      </c>
      <c r="C270" s="24">
        <v>79.217299999999994</v>
      </c>
      <c r="D270" s="24">
        <v>79.217299999999994</v>
      </c>
    </row>
    <row r="271" spans="1:5" ht="15.75" customHeight="1" x14ac:dyDescent="0.4">
      <c r="A271" s="24" t="s">
        <v>1838</v>
      </c>
      <c r="B271" s="24" t="s">
        <v>2186</v>
      </c>
      <c r="C271" s="24">
        <v>79.175700000000006</v>
      </c>
      <c r="D271" s="24">
        <v>10.3164</v>
      </c>
      <c r="E271" s="24">
        <v>70.715699999999998</v>
      </c>
    </row>
    <row r="272" spans="1:5" ht="15.75" customHeight="1" x14ac:dyDescent="0.4">
      <c r="A272" s="24" t="s">
        <v>1735</v>
      </c>
      <c r="B272" s="24" t="s">
        <v>2186</v>
      </c>
      <c r="C272" s="24">
        <v>79.167400000000001</v>
      </c>
      <c r="D272" s="24">
        <v>79.167400000000001</v>
      </c>
    </row>
    <row r="273" spans="1:5" ht="15.75" customHeight="1" x14ac:dyDescent="0.4">
      <c r="A273" s="24" t="s">
        <v>1305</v>
      </c>
      <c r="B273" s="24" t="s">
        <v>2186</v>
      </c>
      <c r="C273" s="24">
        <v>79.109099999999998</v>
      </c>
      <c r="D273" s="24">
        <v>79.109099999999998</v>
      </c>
    </row>
    <row r="274" spans="1:5" ht="15.75" customHeight="1" x14ac:dyDescent="0.4">
      <c r="A274" s="24" t="s">
        <v>1083</v>
      </c>
      <c r="B274" s="24" t="s">
        <v>2186</v>
      </c>
      <c r="C274" s="24">
        <v>79.059100000000001</v>
      </c>
      <c r="D274" s="24">
        <v>79.059100000000001</v>
      </c>
    </row>
    <row r="275" spans="1:5" ht="15.75" customHeight="1" x14ac:dyDescent="0.4">
      <c r="A275" s="24" t="s">
        <v>915</v>
      </c>
      <c r="B275" s="24" t="s">
        <v>2186</v>
      </c>
      <c r="C275" s="24">
        <v>79.034099999999995</v>
      </c>
      <c r="D275" s="24">
        <v>6.2864300000000002</v>
      </c>
      <c r="E275" s="24">
        <v>78.811000000000007</v>
      </c>
    </row>
    <row r="276" spans="1:5" ht="15.75" customHeight="1" x14ac:dyDescent="0.4">
      <c r="A276" s="24" t="s">
        <v>902</v>
      </c>
      <c r="B276" s="24" t="s">
        <v>2186</v>
      </c>
      <c r="C276" s="24">
        <v>79.009200000000007</v>
      </c>
      <c r="E276" s="24">
        <v>78.786100000000005</v>
      </c>
    </row>
    <row r="277" spans="1:5" ht="15.75" customHeight="1" x14ac:dyDescent="0.4">
      <c r="A277" s="24" t="s">
        <v>914</v>
      </c>
      <c r="B277" s="24" t="s">
        <v>2186</v>
      </c>
      <c r="C277" s="24">
        <v>79.009200000000007</v>
      </c>
      <c r="D277" s="24">
        <v>79.009200000000007</v>
      </c>
    </row>
    <row r="278" spans="1:5" ht="15.75" customHeight="1" x14ac:dyDescent="0.4">
      <c r="A278" s="24" t="s">
        <v>1828</v>
      </c>
      <c r="B278" s="24" t="s">
        <v>2186</v>
      </c>
      <c r="C278" s="24">
        <v>78.934200000000004</v>
      </c>
      <c r="D278" s="24">
        <v>78.934200000000004</v>
      </c>
    </row>
    <row r="279" spans="1:5" ht="15.75" customHeight="1" x14ac:dyDescent="0.4">
      <c r="A279" s="24" t="s">
        <v>1244</v>
      </c>
      <c r="B279" s="24" t="s">
        <v>2186</v>
      </c>
      <c r="C279" s="24">
        <v>78.867599999999996</v>
      </c>
      <c r="D279" s="24">
        <v>3.6219800000000002</v>
      </c>
      <c r="E279" s="24">
        <v>77.864500000000007</v>
      </c>
    </row>
    <row r="280" spans="1:5" ht="15.75" customHeight="1" x14ac:dyDescent="0.4">
      <c r="A280" s="24" t="s">
        <v>1025</v>
      </c>
      <c r="B280" s="24" t="s">
        <v>2186</v>
      </c>
      <c r="C280" s="24">
        <v>78.817599999999999</v>
      </c>
      <c r="D280" s="24">
        <v>78.817599999999999</v>
      </c>
    </row>
    <row r="281" spans="1:5" ht="15.75" customHeight="1" x14ac:dyDescent="0.4">
      <c r="A281" s="24" t="s">
        <v>1944</v>
      </c>
      <c r="B281" s="24" t="s">
        <v>2186</v>
      </c>
      <c r="C281" s="24">
        <v>78.801000000000002</v>
      </c>
      <c r="E281" s="24">
        <v>78.578500000000005</v>
      </c>
    </row>
    <row r="282" spans="1:5" ht="15.75" customHeight="1" x14ac:dyDescent="0.4">
      <c r="A282" s="24" t="s">
        <v>1718</v>
      </c>
      <c r="B282" s="24" t="s">
        <v>2186</v>
      </c>
      <c r="C282" s="24">
        <v>78.792699999999996</v>
      </c>
      <c r="D282" s="24">
        <v>78.792699999999996</v>
      </c>
    </row>
    <row r="283" spans="1:5" ht="15.75" customHeight="1" x14ac:dyDescent="0.4">
      <c r="A283" s="24" t="s">
        <v>555</v>
      </c>
      <c r="B283" s="24" t="s">
        <v>2186</v>
      </c>
      <c r="C283" s="24">
        <v>78.759399999999999</v>
      </c>
      <c r="D283" s="24">
        <v>78.759399999999999</v>
      </c>
    </row>
    <row r="284" spans="1:5" ht="15.75" customHeight="1" x14ac:dyDescent="0.4">
      <c r="A284" s="24" t="s">
        <v>1146</v>
      </c>
      <c r="B284" s="24" t="s">
        <v>2186</v>
      </c>
      <c r="C284" s="24">
        <v>78.759399999999999</v>
      </c>
      <c r="D284" s="24">
        <v>78.759399999999999</v>
      </c>
    </row>
    <row r="285" spans="1:5" ht="15.75" customHeight="1" x14ac:dyDescent="0.4">
      <c r="A285" s="24" t="s">
        <v>1722</v>
      </c>
      <c r="B285" s="24" t="s">
        <v>2186</v>
      </c>
      <c r="C285" s="24">
        <v>78.726100000000002</v>
      </c>
      <c r="D285" s="24">
        <v>78.726100000000002</v>
      </c>
    </row>
    <row r="286" spans="1:5" ht="15.75" customHeight="1" x14ac:dyDescent="0.4">
      <c r="A286" s="24" t="s">
        <v>889</v>
      </c>
      <c r="B286" s="24" t="s">
        <v>2186</v>
      </c>
      <c r="C286" s="24">
        <v>78.692800000000005</v>
      </c>
      <c r="D286" s="24">
        <v>78.692800000000005</v>
      </c>
    </row>
    <row r="287" spans="1:5" ht="15.75" customHeight="1" x14ac:dyDescent="0.4">
      <c r="A287" s="24" t="s">
        <v>1120</v>
      </c>
      <c r="B287" s="24" t="s">
        <v>2186</v>
      </c>
      <c r="C287" s="24">
        <v>78.542900000000003</v>
      </c>
      <c r="D287" s="24">
        <v>78.542900000000003</v>
      </c>
    </row>
    <row r="288" spans="1:5" ht="15.75" customHeight="1" x14ac:dyDescent="0.4">
      <c r="A288" s="24" t="s">
        <v>1119</v>
      </c>
      <c r="B288" s="24" t="s">
        <v>2186</v>
      </c>
      <c r="C288" s="24">
        <v>78.376400000000004</v>
      </c>
      <c r="D288" s="24">
        <v>78.376400000000004</v>
      </c>
    </row>
    <row r="289" spans="1:5" ht="15.75" customHeight="1" x14ac:dyDescent="0.4">
      <c r="A289" s="24" t="s">
        <v>892</v>
      </c>
      <c r="B289" s="24" t="s">
        <v>2186</v>
      </c>
      <c r="C289" s="24">
        <v>78.343000000000004</v>
      </c>
      <c r="D289" s="24">
        <v>78.343000000000004</v>
      </c>
    </row>
    <row r="290" spans="1:5" ht="15.75" customHeight="1" x14ac:dyDescent="0.4">
      <c r="A290" s="24" t="s">
        <v>1985</v>
      </c>
      <c r="B290" s="24" t="s">
        <v>2186</v>
      </c>
      <c r="C290" s="24">
        <v>78.301400000000001</v>
      </c>
      <c r="D290" s="24">
        <v>78.301400000000001</v>
      </c>
    </row>
    <row r="291" spans="1:5" ht="15.75" customHeight="1" x14ac:dyDescent="0.4">
      <c r="A291" s="24" t="s">
        <v>942</v>
      </c>
      <c r="B291" s="24" t="s">
        <v>2186</v>
      </c>
      <c r="C291" s="24">
        <v>78.243099999999998</v>
      </c>
      <c r="D291" s="24">
        <v>78.243099999999998</v>
      </c>
    </row>
    <row r="292" spans="1:5" ht="15.75" customHeight="1" x14ac:dyDescent="0.4">
      <c r="A292" s="24" t="s">
        <v>1222</v>
      </c>
      <c r="B292" s="24" t="s">
        <v>2186</v>
      </c>
      <c r="C292" s="24">
        <v>78.184799999999996</v>
      </c>
      <c r="D292" s="24">
        <v>78.184799999999996</v>
      </c>
    </row>
    <row r="293" spans="1:5" ht="15.75" customHeight="1" x14ac:dyDescent="0.4">
      <c r="A293" s="24" t="s">
        <v>1210</v>
      </c>
      <c r="B293" s="24" t="s">
        <v>2186</v>
      </c>
      <c r="C293" s="24">
        <v>78.101600000000005</v>
      </c>
      <c r="D293" s="24">
        <v>78.101600000000005</v>
      </c>
    </row>
    <row r="294" spans="1:5" ht="15.75" customHeight="1" x14ac:dyDescent="0.4">
      <c r="A294" s="24" t="s">
        <v>1808</v>
      </c>
      <c r="B294" s="24" t="s">
        <v>2186</v>
      </c>
      <c r="C294" s="24">
        <v>78.093299999999999</v>
      </c>
      <c r="D294" s="24">
        <v>78.093299999999999</v>
      </c>
    </row>
    <row r="295" spans="1:5" ht="15.75" customHeight="1" x14ac:dyDescent="0.4">
      <c r="A295" s="24" t="s">
        <v>2019</v>
      </c>
      <c r="B295" s="24" t="s">
        <v>2186</v>
      </c>
      <c r="C295" s="24">
        <v>78.084900000000005</v>
      </c>
      <c r="D295" s="24">
        <v>78.084900000000005</v>
      </c>
    </row>
    <row r="296" spans="1:5" ht="15.75" customHeight="1" x14ac:dyDescent="0.4">
      <c r="A296" s="24" t="s">
        <v>1738</v>
      </c>
      <c r="B296" s="24" t="s">
        <v>2186</v>
      </c>
      <c r="C296" s="24">
        <v>77.951700000000002</v>
      </c>
      <c r="E296" s="24">
        <v>77.731700000000004</v>
      </c>
    </row>
    <row r="297" spans="1:5" ht="15.75" customHeight="1" x14ac:dyDescent="0.4">
      <c r="A297" s="24" t="s">
        <v>1662</v>
      </c>
      <c r="B297" s="24" t="s">
        <v>2186</v>
      </c>
      <c r="C297" s="24">
        <v>77.9101</v>
      </c>
      <c r="E297" s="24">
        <v>77.690100000000001</v>
      </c>
    </row>
    <row r="298" spans="1:5" ht="15.75" customHeight="1" x14ac:dyDescent="0.4">
      <c r="A298" s="24" t="s">
        <v>1742</v>
      </c>
      <c r="B298" s="24" t="s">
        <v>2186</v>
      </c>
      <c r="C298" s="24">
        <v>77.876800000000003</v>
      </c>
      <c r="D298" s="24">
        <v>77.876800000000003</v>
      </c>
    </row>
    <row r="299" spans="1:5" ht="15.75" customHeight="1" x14ac:dyDescent="0.4">
      <c r="A299" s="24" t="s">
        <v>1563</v>
      </c>
      <c r="B299" s="24" t="s">
        <v>2186</v>
      </c>
      <c r="C299" s="24">
        <v>77.393799999999999</v>
      </c>
      <c r="D299" s="24">
        <v>77.393799999999999</v>
      </c>
    </row>
    <row r="300" spans="1:5" ht="15.75" customHeight="1" x14ac:dyDescent="0.4">
      <c r="A300" s="24" t="s">
        <v>1812</v>
      </c>
      <c r="B300" s="24" t="s">
        <v>2186</v>
      </c>
      <c r="C300" s="24">
        <v>77.268900000000002</v>
      </c>
      <c r="D300" s="24">
        <v>77.268900000000002</v>
      </c>
    </row>
    <row r="301" spans="1:5" ht="15.75" customHeight="1" x14ac:dyDescent="0.4">
      <c r="A301" s="24" t="s">
        <v>1807</v>
      </c>
      <c r="B301" s="24" t="s">
        <v>2186</v>
      </c>
      <c r="C301" s="24">
        <v>76.952500000000001</v>
      </c>
      <c r="D301" s="24">
        <v>3.4055</v>
      </c>
      <c r="E301" s="24">
        <v>76.461299999999994</v>
      </c>
    </row>
    <row r="302" spans="1:5" ht="15.75" customHeight="1" x14ac:dyDescent="0.4">
      <c r="A302" s="24" t="s">
        <v>2134</v>
      </c>
      <c r="B302" s="24" t="s">
        <v>2186</v>
      </c>
      <c r="C302" s="24">
        <v>76.827600000000004</v>
      </c>
      <c r="D302" s="24">
        <v>76.827600000000004</v>
      </c>
    </row>
    <row r="303" spans="1:5" ht="15.75" customHeight="1" x14ac:dyDescent="0.4">
      <c r="A303" s="24" t="s">
        <v>996</v>
      </c>
      <c r="B303" s="24" t="s">
        <v>2186</v>
      </c>
      <c r="C303" s="24">
        <v>76.827600000000004</v>
      </c>
      <c r="E303" s="24">
        <v>76.610799999999998</v>
      </c>
    </row>
    <row r="304" spans="1:5" ht="15.75" customHeight="1" x14ac:dyDescent="0.4">
      <c r="A304" s="24" t="s">
        <v>1079</v>
      </c>
      <c r="B304" s="24" t="s">
        <v>2186</v>
      </c>
      <c r="C304" s="24">
        <v>76.777699999999996</v>
      </c>
      <c r="D304" s="24">
        <v>76.777699999999996</v>
      </c>
    </row>
    <row r="305" spans="1:5" ht="15.75" customHeight="1" x14ac:dyDescent="0.4">
      <c r="A305" s="24" t="s">
        <v>1060</v>
      </c>
      <c r="B305" s="24" t="s">
        <v>2186</v>
      </c>
      <c r="C305" s="24">
        <v>75.853499999999997</v>
      </c>
      <c r="E305" s="24">
        <v>75.639300000000006</v>
      </c>
    </row>
    <row r="306" spans="1:5" ht="15.75" customHeight="1" x14ac:dyDescent="0.4">
      <c r="A306" s="24" t="s">
        <v>1186</v>
      </c>
      <c r="B306" s="24" t="s">
        <v>2186</v>
      </c>
      <c r="C306" s="24">
        <v>75.528700000000001</v>
      </c>
      <c r="D306" s="24">
        <v>74.646100000000004</v>
      </c>
      <c r="E306" s="24">
        <v>20.6327</v>
      </c>
    </row>
    <row r="307" spans="1:5" ht="15.75" customHeight="1" x14ac:dyDescent="0.4">
      <c r="A307" s="24" t="s">
        <v>1758</v>
      </c>
      <c r="B307" s="24" t="s">
        <v>2186</v>
      </c>
      <c r="C307" s="24">
        <v>75.478800000000007</v>
      </c>
      <c r="D307" s="24">
        <v>73.463800000000006</v>
      </c>
      <c r="E307" s="24">
        <v>2.0093000000000001</v>
      </c>
    </row>
    <row r="308" spans="1:5" ht="15.75" customHeight="1" x14ac:dyDescent="0.4">
      <c r="A308" s="24" t="s">
        <v>1831</v>
      </c>
      <c r="B308" s="24" t="s">
        <v>2186</v>
      </c>
      <c r="C308" s="24">
        <v>75.412199999999999</v>
      </c>
      <c r="D308" s="24">
        <v>75.412199999999999</v>
      </c>
    </row>
    <row r="309" spans="1:5" ht="15.75" customHeight="1" x14ac:dyDescent="0.4">
      <c r="A309" s="24" t="s">
        <v>1163</v>
      </c>
      <c r="B309" s="24" t="s">
        <v>2186</v>
      </c>
      <c r="C309" s="24">
        <v>75.079099999999997</v>
      </c>
      <c r="D309" s="24">
        <v>69.575400000000002</v>
      </c>
      <c r="E309" s="24">
        <v>6.6173999999999999</v>
      </c>
    </row>
    <row r="310" spans="1:5" ht="15.75" customHeight="1" x14ac:dyDescent="0.4">
      <c r="A310" s="24" t="s">
        <v>858</v>
      </c>
      <c r="B310" s="24" t="s">
        <v>2186</v>
      </c>
      <c r="C310" s="24">
        <v>74.920900000000003</v>
      </c>
      <c r="D310" s="24">
        <v>74.920900000000003</v>
      </c>
    </row>
    <row r="311" spans="1:5" ht="15.75" customHeight="1" x14ac:dyDescent="0.4">
      <c r="A311" s="24" t="s">
        <v>997</v>
      </c>
      <c r="B311" s="24" t="s">
        <v>2186</v>
      </c>
      <c r="C311" s="24">
        <v>74.887600000000006</v>
      </c>
      <c r="D311" s="24">
        <v>64.829300000000003</v>
      </c>
      <c r="E311" s="24">
        <v>10.1959</v>
      </c>
    </row>
    <row r="312" spans="1:5" ht="15.75" customHeight="1" x14ac:dyDescent="0.4">
      <c r="A312" s="24" t="s">
        <v>1116</v>
      </c>
      <c r="B312" s="24" t="s">
        <v>2186</v>
      </c>
      <c r="C312" s="24">
        <v>74.654499999999999</v>
      </c>
      <c r="D312" s="24">
        <v>74.654499999999999</v>
      </c>
    </row>
    <row r="313" spans="1:5" ht="15.75" customHeight="1" x14ac:dyDescent="0.4">
      <c r="A313" s="24" t="s">
        <v>1054</v>
      </c>
      <c r="B313" s="24" t="s">
        <v>2186</v>
      </c>
      <c r="C313" s="24">
        <v>74.479600000000005</v>
      </c>
      <c r="D313" s="24">
        <v>37.4938</v>
      </c>
      <c r="E313" s="24">
        <v>36.881399999999999</v>
      </c>
    </row>
    <row r="314" spans="1:5" ht="15.75" customHeight="1" x14ac:dyDescent="0.4">
      <c r="A314" s="24" t="s">
        <v>1127</v>
      </c>
      <c r="B314" s="24" t="s">
        <v>2186</v>
      </c>
      <c r="C314" s="24">
        <v>74.213200000000001</v>
      </c>
      <c r="D314" s="24">
        <v>74.213200000000001</v>
      </c>
    </row>
    <row r="315" spans="1:5" ht="15.75" customHeight="1" x14ac:dyDescent="0.4">
      <c r="A315" s="24" t="s">
        <v>718</v>
      </c>
      <c r="B315" s="24" t="s">
        <v>2186</v>
      </c>
      <c r="C315" s="24">
        <v>73.930099999999996</v>
      </c>
      <c r="D315" s="24">
        <v>73.930099999999996</v>
      </c>
    </row>
    <row r="316" spans="1:5" ht="15.75" customHeight="1" x14ac:dyDescent="0.4">
      <c r="A316" s="24" t="s">
        <v>1149</v>
      </c>
      <c r="B316" s="24" t="s">
        <v>2186</v>
      </c>
      <c r="C316" s="24">
        <v>73.913399999999996</v>
      </c>
      <c r="D316" s="24">
        <v>71.498699999999999</v>
      </c>
      <c r="E316" s="24">
        <v>2.4078400000000002</v>
      </c>
    </row>
    <row r="317" spans="1:5" ht="15.75" customHeight="1" x14ac:dyDescent="0.4">
      <c r="A317" s="24" t="s">
        <v>1019</v>
      </c>
      <c r="B317" s="24" t="s">
        <v>2186</v>
      </c>
      <c r="C317" s="24">
        <v>73.838499999999996</v>
      </c>
      <c r="E317" s="24">
        <v>73.63</v>
      </c>
    </row>
    <row r="318" spans="1:5" ht="15.75" customHeight="1" x14ac:dyDescent="0.4">
      <c r="A318" s="24" t="s">
        <v>1193</v>
      </c>
      <c r="B318" s="24" t="s">
        <v>2186</v>
      </c>
      <c r="C318" s="24">
        <v>73.788499999999999</v>
      </c>
      <c r="D318" s="24">
        <v>40.049999999999997</v>
      </c>
      <c r="E318" s="24">
        <v>40.302199999999999</v>
      </c>
    </row>
    <row r="319" spans="1:5" ht="15.75" customHeight="1" x14ac:dyDescent="0.4">
      <c r="A319" s="24" t="s">
        <v>1194</v>
      </c>
      <c r="B319" s="24" t="s">
        <v>2186</v>
      </c>
      <c r="C319" s="24">
        <v>73.055800000000005</v>
      </c>
      <c r="E319" s="24">
        <v>72.849500000000006</v>
      </c>
    </row>
    <row r="320" spans="1:5" ht="15.75" customHeight="1" x14ac:dyDescent="0.4">
      <c r="A320" s="24" t="s">
        <v>1105</v>
      </c>
      <c r="B320" s="24" t="s">
        <v>2186</v>
      </c>
      <c r="C320" s="24">
        <v>72.656099999999995</v>
      </c>
      <c r="E320" s="24">
        <v>72.450999999999993</v>
      </c>
    </row>
    <row r="321" spans="1:5" ht="15.75" customHeight="1" x14ac:dyDescent="0.4">
      <c r="A321" s="24" t="s">
        <v>1071</v>
      </c>
      <c r="B321" s="24" t="s">
        <v>2186</v>
      </c>
      <c r="C321" s="24">
        <v>72.048299999999998</v>
      </c>
      <c r="D321" s="24">
        <v>66.203199999999995</v>
      </c>
      <c r="E321" s="24">
        <v>20.748899999999999</v>
      </c>
    </row>
    <row r="322" spans="1:5" ht="15.75" customHeight="1" x14ac:dyDescent="0.4">
      <c r="A322" s="24" t="s">
        <v>1746</v>
      </c>
      <c r="B322" s="24" t="s">
        <v>2186</v>
      </c>
      <c r="C322" s="24">
        <v>72.023300000000006</v>
      </c>
      <c r="D322" s="24">
        <v>72.023300000000006</v>
      </c>
    </row>
    <row r="323" spans="1:5" ht="15.75" customHeight="1" x14ac:dyDescent="0.4">
      <c r="A323" s="24" t="s">
        <v>1672</v>
      </c>
      <c r="B323" s="24" t="s">
        <v>2186</v>
      </c>
      <c r="C323" s="24">
        <v>71.765199999999993</v>
      </c>
      <c r="E323" s="24">
        <v>71.562600000000003</v>
      </c>
    </row>
    <row r="324" spans="1:5" ht="15.75" customHeight="1" x14ac:dyDescent="0.4">
      <c r="A324" s="24" t="s">
        <v>835</v>
      </c>
      <c r="B324" s="24" t="s">
        <v>2186</v>
      </c>
      <c r="C324" s="24">
        <v>71.681899999999999</v>
      </c>
      <c r="D324" s="24">
        <v>71.681899999999999</v>
      </c>
    </row>
    <row r="325" spans="1:5" ht="15.75" customHeight="1" x14ac:dyDescent="0.4">
      <c r="A325" s="24" t="s">
        <v>1681</v>
      </c>
      <c r="B325" s="24" t="s">
        <v>2186</v>
      </c>
      <c r="C325" s="24">
        <v>71.648600000000002</v>
      </c>
      <c r="D325" s="24">
        <v>71.648600000000002</v>
      </c>
      <c r="E325" s="24">
        <v>0.16605800000000001</v>
      </c>
    </row>
    <row r="326" spans="1:5" ht="15.75" customHeight="1" x14ac:dyDescent="0.4">
      <c r="A326" s="24" t="s">
        <v>884</v>
      </c>
      <c r="B326" s="24" t="s">
        <v>2186</v>
      </c>
      <c r="C326" s="24">
        <v>71.307199999999995</v>
      </c>
      <c r="D326" s="24">
        <v>70.849299999999999</v>
      </c>
      <c r="E326" s="24">
        <v>0.45665899999999998</v>
      </c>
    </row>
    <row r="327" spans="1:5" ht="15.75" customHeight="1" x14ac:dyDescent="0.4">
      <c r="A327" s="24" t="s">
        <v>529</v>
      </c>
      <c r="B327" s="24" t="s">
        <v>2186</v>
      </c>
      <c r="C327" s="24">
        <v>71.265600000000006</v>
      </c>
      <c r="D327" s="24">
        <v>71.265600000000006</v>
      </c>
    </row>
    <row r="328" spans="1:5" ht="15.75" customHeight="1" x14ac:dyDescent="0.4">
      <c r="A328" s="24" t="s">
        <v>750</v>
      </c>
      <c r="B328" s="24" t="s">
        <v>2186</v>
      </c>
      <c r="C328" s="24">
        <v>70.066599999999994</v>
      </c>
      <c r="D328" s="24">
        <v>70.066599999999994</v>
      </c>
    </row>
    <row r="329" spans="1:5" ht="15.75" customHeight="1" x14ac:dyDescent="0.4">
      <c r="A329" s="24" t="s">
        <v>1867</v>
      </c>
      <c r="B329" s="24" t="s">
        <v>2186</v>
      </c>
      <c r="C329" s="24">
        <v>69.433800000000005</v>
      </c>
      <c r="D329" s="24">
        <v>11.5321</v>
      </c>
      <c r="E329" s="24">
        <v>69.237799999999993</v>
      </c>
    </row>
    <row r="330" spans="1:5" ht="15.75" customHeight="1" x14ac:dyDescent="0.4">
      <c r="A330" s="24" t="s">
        <v>1818</v>
      </c>
      <c r="B330" s="24" t="s">
        <v>2186</v>
      </c>
      <c r="C330" s="24">
        <v>69.200699999999998</v>
      </c>
      <c r="D330" s="24">
        <v>67.510400000000004</v>
      </c>
      <c r="E330" s="24">
        <v>1.6854899999999999</v>
      </c>
    </row>
    <row r="331" spans="1:5" ht="15.75" customHeight="1" x14ac:dyDescent="0.4">
      <c r="A331" s="24" t="s">
        <v>1238</v>
      </c>
      <c r="B331" s="24" t="s">
        <v>2186</v>
      </c>
      <c r="C331" s="24">
        <v>68.900899999999993</v>
      </c>
      <c r="D331" s="24">
        <v>35.212299999999999</v>
      </c>
      <c r="E331" s="24">
        <v>33.593499999999999</v>
      </c>
    </row>
    <row r="332" spans="1:5" ht="15.75" customHeight="1" x14ac:dyDescent="0.4">
      <c r="A332" s="24" t="s">
        <v>956</v>
      </c>
      <c r="B332" s="24" t="s">
        <v>2186</v>
      </c>
      <c r="C332" s="24">
        <v>68.517899999999997</v>
      </c>
      <c r="D332" s="24">
        <v>68.517899999999997</v>
      </c>
    </row>
    <row r="333" spans="1:5" ht="15.75" customHeight="1" x14ac:dyDescent="0.4">
      <c r="A333" s="24" t="s">
        <v>557</v>
      </c>
      <c r="B333" s="24" t="s">
        <v>2186</v>
      </c>
      <c r="C333" s="24">
        <v>67.760199999999998</v>
      </c>
      <c r="D333" s="24">
        <v>67.760199999999998</v>
      </c>
    </row>
    <row r="334" spans="1:5" ht="15.75" customHeight="1" x14ac:dyDescent="0.4">
      <c r="A334" s="24" t="s">
        <v>1107</v>
      </c>
      <c r="B334" s="24" t="s">
        <v>2186</v>
      </c>
      <c r="C334" s="24">
        <v>64.554500000000004</v>
      </c>
      <c r="D334" s="24">
        <v>48.101599999999998</v>
      </c>
      <c r="E334" s="24">
        <v>16.406500000000001</v>
      </c>
    </row>
    <row r="335" spans="1:5" ht="15.75" customHeight="1" x14ac:dyDescent="0.4">
      <c r="A335" s="24" t="s">
        <v>227</v>
      </c>
      <c r="B335" s="24" t="s">
        <v>2186</v>
      </c>
      <c r="C335" s="24">
        <v>64.354699999999994</v>
      </c>
      <c r="D335" s="24">
        <v>21.0991</v>
      </c>
      <c r="E335" s="24">
        <v>45.093000000000004</v>
      </c>
    </row>
    <row r="336" spans="1:5" ht="15.75" customHeight="1" x14ac:dyDescent="0.4">
      <c r="A336" s="24" t="s">
        <v>239</v>
      </c>
      <c r="B336" s="24" t="s">
        <v>2186</v>
      </c>
      <c r="C336" s="24">
        <v>64.346400000000003</v>
      </c>
      <c r="E336" s="24">
        <v>64.164699999999996</v>
      </c>
    </row>
    <row r="337" spans="1:5" ht="15.75" customHeight="1" x14ac:dyDescent="0.4">
      <c r="A337" s="24" t="s">
        <v>1181</v>
      </c>
      <c r="B337" s="24" t="s">
        <v>2186</v>
      </c>
      <c r="C337" s="24">
        <v>64.204800000000006</v>
      </c>
      <c r="D337" s="24">
        <v>16.744399999999999</v>
      </c>
      <c r="E337" s="24">
        <v>62.902700000000003</v>
      </c>
    </row>
    <row r="338" spans="1:5" ht="15.75" customHeight="1" x14ac:dyDescent="0.4">
      <c r="A338" s="24" t="s">
        <v>1767</v>
      </c>
      <c r="B338" s="24" t="s">
        <v>2186</v>
      </c>
      <c r="C338" s="24">
        <v>62.356400000000001</v>
      </c>
      <c r="D338" s="24">
        <v>61.9983</v>
      </c>
      <c r="E338" s="24">
        <v>1.08768</v>
      </c>
    </row>
    <row r="339" spans="1:5" ht="15.75" customHeight="1" x14ac:dyDescent="0.4">
      <c r="A339" s="24" t="s">
        <v>998</v>
      </c>
      <c r="B339" s="24" t="s">
        <v>2186</v>
      </c>
      <c r="C339" s="24">
        <v>60.965899999999998</v>
      </c>
      <c r="D339" s="24">
        <v>60.965899999999998</v>
      </c>
    </row>
    <row r="340" spans="1:5" ht="15.75" customHeight="1" x14ac:dyDescent="0.4">
      <c r="A340" s="24" t="s">
        <v>1131</v>
      </c>
      <c r="B340" s="24" t="s">
        <v>2186</v>
      </c>
      <c r="C340" s="24">
        <v>60.433</v>
      </c>
      <c r="E340" s="24">
        <v>60.2624</v>
      </c>
    </row>
    <row r="341" spans="1:5" ht="15.75" customHeight="1" x14ac:dyDescent="0.4">
      <c r="A341" s="24" t="s">
        <v>1064</v>
      </c>
      <c r="B341" s="24" t="s">
        <v>2186</v>
      </c>
      <c r="C341" s="24">
        <v>60.399700000000003</v>
      </c>
      <c r="E341" s="24">
        <v>60.229199999999999</v>
      </c>
    </row>
    <row r="342" spans="1:5" ht="15.75" customHeight="1" x14ac:dyDescent="0.4">
      <c r="A342" s="24" t="s">
        <v>559</v>
      </c>
      <c r="B342" s="24" t="s">
        <v>2186</v>
      </c>
      <c r="C342" s="24">
        <v>59.508699999999997</v>
      </c>
      <c r="D342" s="24">
        <v>59.508699999999997</v>
      </c>
    </row>
    <row r="343" spans="1:5" ht="15.75" customHeight="1" x14ac:dyDescent="0.4">
      <c r="A343" s="24" t="s">
        <v>994</v>
      </c>
      <c r="B343" s="24" t="s">
        <v>2186</v>
      </c>
      <c r="C343" s="24">
        <v>59.442100000000003</v>
      </c>
      <c r="D343" s="24">
        <v>37.935099999999998</v>
      </c>
      <c r="E343" s="24">
        <v>31.584199999999999</v>
      </c>
    </row>
    <row r="344" spans="1:5" ht="15.75" customHeight="1" x14ac:dyDescent="0.4">
      <c r="A344" s="24" t="s">
        <v>929</v>
      </c>
      <c r="B344" s="24" t="s">
        <v>2186</v>
      </c>
      <c r="C344" s="24">
        <v>58.134900000000002</v>
      </c>
      <c r="D344" s="24">
        <v>58.134900000000002</v>
      </c>
    </row>
    <row r="345" spans="1:5" ht="15.75" customHeight="1" x14ac:dyDescent="0.4">
      <c r="A345" s="24" t="s">
        <v>1232</v>
      </c>
      <c r="B345" s="24" t="s">
        <v>2186</v>
      </c>
      <c r="C345" s="24">
        <v>58.0017</v>
      </c>
      <c r="D345" s="24">
        <v>26.3614</v>
      </c>
      <c r="E345" s="24">
        <v>31.550999999999998</v>
      </c>
    </row>
    <row r="346" spans="1:5" ht="15.75" customHeight="1" x14ac:dyDescent="0.4">
      <c r="A346" s="24" t="s">
        <v>1121</v>
      </c>
      <c r="B346" s="24" t="s">
        <v>2186</v>
      </c>
      <c r="C346" s="24">
        <v>57.285600000000002</v>
      </c>
      <c r="D346" s="24">
        <v>57.285600000000002</v>
      </c>
    </row>
    <row r="347" spans="1:5" ht="15.75" customHeight="1" x14ac:dyDescent="0.4">
      <c r="A347" s="24" t="s">
        <v>2005</v>
      </c>
      <c r="B347" s="24" t="s">
        <v>2186</v>
      </c>
      <c r="C347" s="24">
        <v>56.169899999999998</v>
      </c>
      <c r="D347" s="24">
        <v>56.169899999999998</v>
      </c>
    </row>
    <row r="348" spans="1:5" ht="15.75" customHeight="1" x14ac:dyDescent="0.4">
      <c r="A348" s="24" t="s">
        <v>698</v>
      </c>
      <c r="B348" s="24" t="s">
        <v>2186</v>
      </c>
      <c r="C348" s="24">
        <v>55.878399999999999</v>
      </c>
      <c r="D348" s="24">
        <v>55.878399999999999</v>
      </c>
    </row>
    <row r="349" spans="1:5" ht="15.75" customHeight="1" x14ac:dyDescent="0.4">
      <c r="A349" s="24" t="s">
        <v>1737</v>
      </c>
      <c r="B349" s="24" t="s">
        <v>2186</v>
      </c>
      <c r="C349" s="24">
        <v>55.270600000000002</v>
      </c>
      <c r="D349" s="24">
        <v>5.5287300000000004</v>
      </c>
      <c r="E349" s="24">
        <v>49.601500000000001</v>
      </c>
    </row>
    <row r="350" spans="1:5" ht="15.75" customHeight="1" x14ac:dyDescent="0.4">
      <c r="A350" s="24" t="s">
        <v>1165</v>
      </c>
      <c r="B350" s="24" t="s">
        <v>2186</v>
      </c>
      <c r="C350" s="24">
        <v>55.087400000000002</v>
      </c>
      <c r="D350" s="24">
        <v>55.087400000000002</v>
      </c>
    </row>
    <row r="351" spans="1:5" ht="15.75" customHeight="1" x14ac:dyDescent="0.4">
      <c r="A351" s="24" t="s">
        <v>2040</v>
      </c>
      <c r="B351" s="24" t="s">
        <v>2186</v>
      </c>
      <c r="C351" s="24">
        <v>54.5212</v>
      </c>
      <c r="E351" s="24">
        <v>54.3673</v>
      </c>
    </row>
    <row r="352" spans="1:5" ht="15.75" customHeight="1" x14ac:dyDescent="0.4">
      <c r="A352" s="24" t="s">
        <v>1036</v>
      </c>
      <c r="B352" s="24" t="s">
        <v>2186</v>
      </c>
      <c r="C352" s="24">
        <v>53.863399999999999</v>
      </c>
      <c r="D352" s="24">
        <v>53.863399999999999</v>
      </c>
    </row>
    <row r="353" spans="1:5" ht="15.75" customHeight="1" x14ac:dyDescent="0.4">
      <c r="A353" s="24" t="s">
        <v>1833</v>
      </c>
      <c r="B353" s="24" t="s">
        <v>2186</v>
      </c>
      <c r="C353" s="24">
        <v>52.664400000000001</v>
      </c>
      <c r="D353" s="24">
        <v>51.8568</v>
      </c>
      <c r="E353" s="24">
        <v>0.86350000000000005</v>
      </c>
    </row>
    <row r="354" spans="1:5" ht="15.75" customHeight="1" x14ac:dyDescent="0.4">
      <c r="A354" s="24" t="s">
        <v>669</v>
      </c>
      <c r="B354" s="24" t="s">
        <v>2186</v>
      </c>
      <c r="C354" s="24">
        <v>51.265599999999999</v>
      </c>
      <c r="D354" s="24">
        <v>51.265599999999999</v>
      </c>
    </row>
    <row r="355" spans="1:5" ht="15.75" customHeight="1" x14ac:dyDescent="0.4">
      <c r="A355" s="24" t="s">
        <v>1051</v>
      </c>
      <c r="B355" s="24" t="s">
        <v>2186</v>
      </c>
      <c r="C355" s="24">
        <v>50.616199999999999</v>
      </c>
      <c r="D355" s="24">
        <v>50.616199999999999</v>
      </c>
    </row>
    <row r="356" spans="1:5" ht="15.75" customHeight="1" x14ac:dyDescent="0.4">
      <c r="A356" s="24" t="s">
        <v>1111</v>
      </c>
      <c r="B356" s="24" t="s">
        <v>2186</v>
      </c>
      <c r="C356" s="24">
        <v>49.483800000000002</v>
      </c>
      <c r="D356" s="24">
        <v>0.77435500000000002</v>
      </c>
      <c r="E356" s="24">
        <v>49.344099999999997</v>
      </c>
    </row>
    <row r="357" spans="1:5" ht="15.75" customHeight="1" x14ac:dyDescent="0.4">
      <c r="A357" s="24" t="s">
        <v>2051</v>
      </c>
      <c r="B357" s="24" t="s">
        <v>2186</v>
      </c>
      <c r="C357" s="24">
        <v>48.925899999999999</v>
      </c>
      <c r="D357" s="24">
        <v>38.975900000000003</v>
      </c>
      <c r="E357" s="24">
        <v>9.9219500000000007</v>
      </c>
    </row>
    <row r="358" spans="1:5" ht="15.75" customHeight="1" x14ac:dyDescent="0.4">
      <c r="A358" s="24" t="s">
        <v>706</v>
      </c>
      <c r="B358" s="24" t="s">
        <v>2186</v>
      </c>
      <c r="C358" s="24">
        <v>47.002499999999998</v>
      </c>
      <c r="D358" s="24">
        <v>30.732700000000001</v>
      </c>
      <c r="E358" s="24">
        <v>30.895099999999999</v>
      </c>
    </row>
    <row r="359" spans="1:5" ht="15.75" customHeight="1" x14ac:dyDescent="0.4">
      <c r="A359" s="24" t="s">
        <v>1007</v>
      </c>
      <c r="B359" s="24" t="s">
        <v>2186</v>
      </c>
      <c r="C359" s="24">
        <v>46.094900000000003</v>
      </c>
      <c r="D359" s="24">
        <v>46.094900000000003</v>
      </c>
    </row>
    <row r="360" spans="1:5" ht="15.75" customHeight="1" x14ac:dyDescent="0.4">
      <c r="A360" s="24" t="s">
        <v>1199</v>
      </c>
      <c r="B360" s="24" t="s">
        <v>2186</v>
      </c>
      <c r="C360" s="24">
        <v>46.003300000000003</v>
      </c>
      <c r="D360" s="24">
        <v>46.003300000000003</v>
      </c>
    </row>
    <row r="361" spans="1:5" ht="15.75" customHeight="1" x14ac:dyDescent="0.4">
      <c r="A361" s="24" t="s">
        <v>953</v>
      </c>
      <c r="B361" s="24" t="s">
        <v>2186</v>
      </c>
      <c r="C361" s="24">
        <v>45.4621</v>
      </c>
      <c r="D361" s="24">
        <v>27.002500000000001</v>
      </c>
      <c r="E361" s="24">
        <v>18.424099999999999</v>
      </c>
    </row>
    <row r="362" spans="1:5" ht="15.75" customHeight="1" x14ac:dyDescent="0.4">
      <c r="A362" s="24" t="s">
        <v>503</v>
      </c>
      <c r="B362" s="24" t="s">
        <v>2186</v>
      </c>
      <c r="C362" s="24">
        <v>45.412199999999999</v>
      </c>
      <c r="D362" s="24">
        <v>13.3972</v>
      </c>
      <c r="E362" s="24">
        <v>31.924600000000002</v>
      </c>
    </row>
    <row r="363" spans="1:5" ht="15.75" customHeight="1" x14ac:dyDescent="0.4">
      <c r="A363" s="24" t="s">
        <v>854</v>
      </c>
      <c r="B363" s="24" t="s">
        <v>2186</v>
      </c>
      <c r="C363" s="24">
        <v>44.887599999999999</v>
      </c>
      <c r="D363" s="24">
        <v>44.887599999999999</v>
      </c>
    </row>
    <row r="364" spans="1:5" ht="15.75" customHeight="1" x14ac:dyDescent="0.4">
      <c r="A364" s="24" t="s">
        <v>1667</v>
      </c>
      <c r="B364" s="24" t="s">
        <v>2186</v>
      </c>
      <c r="C364" s="24">
        <v>43.588700000000003</v>
      </c>
      <c r="D364" s="24">
        <v>34.571199999999997</v>
      </c>
      <c r="E364" s="24">
        <v>27.499199999999998</v>
      </c>
    </row>
    <row r="365" spans="1:5" ht="15.75" customHeight="1" x14ac:dyDescent="0.4">
      <c r="A365" s="24" t="s">
        <v>1625</v>
      </c>
      <c r="B365" s="24" t="s">
        <v>2186</v>
      </c>
      <c r="C365" s="24">
        <v>43.522100000000002</v>
      </c>
      <c r="D365" s="24">
        <v>0.99916700000000003</v>
      </c>
      <c r="E365" s="24">
        <v>43.3992</v>
      </c>
    </row>
    <row r="366" spans="1:5" ht="15.75" customHeight="1" x14ac:dyDescent="0.4">
      <c r="A366" s="24" t="s">
        <v>597</v>
      </c>
      <c r="B366" s="24" t="s">
        <v>2186</v>
      </c>
      <c r="C366" s="24">
        <v>42.214799999999997</v>
      </c>
      <c r="D366" s="24">
        <v>22.831</v>
      </c>
      <c r="E366" s="24">
        <v>22.592199999999998</v>
      </c>
    </row>
    <row r="367" spans="1:5" ht="15.75" customHeight="1" x14ac:dyDescent="0.4">
      <c r="A367" s="24" t="s">
        <v>1889</v>
      </c>
      <c r="B367" s="24" t="s">
        <v>2186</v>
      </c>
      <c r="C367" s="24">
        <v>40.882599999999996</v>
      </c>
      <c r="D367" s="24">
        <v>24.9376</v>
      </c>
      <c r="E367" s="24">
        <v>39.853900000000003</v>
      </c>
    </row>
    <row r="368" spans="1:5" ht="15.75" customHeight="1" x14ac:dyDescent="0.4">
      <c r="A368" s="24" t="s">
        <v>399</v>
      </c>
      <c r="B368" s="24" t="s">
        <v>2186</v>
      </c>
      <c r="C368" s="24">
        <v>39.616999999999997</v>
      </c>
      <c r="E368" s="24">
        <v>39.505099999999999</v>
      </c>
    </row>
    <row r="369" spans="1:5" ht="15.75" customHeight="1" x14ac:dyDescent="0.4">
      <c r="A369" s="24" t="s">
        <v>523</v>
      </c>
      <c r="B369" s="24" t="s">
        <v>2186</v>
      </c>
      <c r="C369" s="24">
        <v>38.5595</v>
      </c>
      <c r="D369" s="24">
        <v>38.084899999999998</v>
      </c>
      <c r="E369" s="24">
        <v>0.61441400000000002</v>
      </c>
    </row>
    <row r="370" spans="1:5" ht="15.75" customHeight="1" x14ac:dyDescent="0.4">
      <c r="A370" s="24" t="s">
        <v>543</v>
      </c>
      <c r="B370" s="24" t="s">
        <v>2186</v>
      </c>
      <c r="C370" s="24">
        <v>37.310600000000001</v>
      </c>
      <c r="E370" s="24">
        <v>37.205199999999998</v>
      </c>
    </row>
    <row r="371" spans="1:5" ht="15.75" customHeight="1" x14ac:dyDescent="0.4">
      <c r="A371" s="24" t="s">
        <v>2026</v>
      </c>
      <c r="B371" s="24" t="s">
        <v>2186</v>
      </c>
      <c r="C371" s="24">
        <v>37.268900000000002</v>
      </c>
      <c r="E371" s="24">
        <v>37.163699999999999</v>
      </c>
    </row>
    <row r="372" spans="1:5" ht="15.75" customHeight="1" x14ac:dyDescent="0.4">
      <c r="A372" s="24" t="s">
        <v>1694</v>
      </c>
      <c r="B372" s="24" t="s">
        <v>2186</v>
      </c>
      <c r="C372" s="24">
        <v>37.1357</v>
      </c>
      <c r="D372" s="24">
        <v>7.7851800000000004</v>
      </c>
      <c r="E372" s="24">
        <v>29.267700000000001</v>
      </c>
    </row>
    <row r="373" spans="1:5" ht="15.75" customHeight="1" x14ac:dyDescent="0.4">
      <c r="A373" s="24" t="s">
        <v>887</v>
      </c>
      <c r="B373" s="24" t="s">
        <v>2186</v>
      </c>
      <c r="C373" s="24">
        <v>36.611199999999997</v>
      </c>
      <c r="D373" s="24">
        <v>36.611199999999997</v>
      </c>
    </row>
    <row r="374" spans="1:5" ht="15.75" customHeight="1" x14ac:dyDescent="0.4">
      <c r="A374" s="24" t="s">
        <v>1174</v>
      </c>
      <c r="B374" s="24" t="s">
        <v>2186</v>
      </c>
      <c r="C374" s="24">
        <v>35.861800000000002</v>
      </c>
      <c r="D374" s="24">
        <v>30.224799999999998</v>
      </c>
      <c r="E374" s="24">
        <v>30.114599999999999</v>
      </c>
    </row>
    <row r="375" spans="1:5" ht="15.75" customHeight="1" x14ac:dyDescent="0.4">
      <c r="A375" s="24" t="s">
        <v>1179</v>
      </c>
      <c r="B375" s="24" t="s">
        <v>2186</v>
      </c>
      <c r="C375" s="24">
        <v>35.445500000000003</v>
      </c>
      <c r="E375" s="24">
        <v>35.345399999999998</v>
      </c>
    </row>
    <row r="376" spans="1:5" ht="15.75" customHeight="1" x14ac:dyDescent="0.4">
      <c r="A376" s="24" t="s">
        <v>1147</v>
      </c>
      <c r="B376" s="24" t="s">
        <v>2186</v>
      </c>
      <c r="C376" s="24">
        <v>34.587800000000001</v>
      </c>
      <c r="E376" s="24">
        <v>34.490200000000002</v>
      </c>
    </row>
    <row r="377" spans="1:5" ht="15.75" customHeight="1" x14ac:dyDescent="0.4">
      <c r="A377" s="24" t="s">
        <v>1100</v>
      </c>
      <c r="B377" s="24" t="s">
        <v>2186</v>
      </c>
      <c r="C377" s="24">
        <v>33.064100000000003</v>
      </c>
      <c r="E377" s="24">
        <v>32.970799999999997</v>
      </c>
    </row>
    <row r="378" spans="1:5" ht="15.75" customHeight="1" x14ac:dyDescent="0.4">
      <c r="A378" s="24" t="s">
        <v>1002</v>
      </c>
      <c r="B378" s="24" t="s">
        <v>2186</v>
      </c>
      <c r="C378" s="24">
        <v>31.7485</v>
      </c>
      <c r="D378" s="24">
        <v>31.7485</v>
      </c>
    </row>
    <row r="379" spans="1:5" ht="15.75" customHeight="1" x14ac:dyDescent="0.4">
      <c r="A379" s="24" t="s">
        <v>1158</v>
      </c>
      <c r="B379" s="24" t="s">
        <v>2186</v>
      </c>
      <c r="C379" s="24">
        <v>31.0991</v>
      </c>
      <c r="D379" s="24">
        <v>27.219000000000001</v>
      </c>
      <c r="E379" s="24">
        <v>3.8691499999999999</v>
      </c>
    </row>
    <row r="380" spans="1:5" ht="15.75" customHeight="1" x14ac:dyDescent="0.4">
      <c r="A380" s="24" t="s">
        <v>995</v>
      </c>
      <c r="B380" s="24" t="s">
        <v>2186</v>
      </c>
      <c r="C380" s="24">
        <v>30.5246</v>
      </c>
      <c r="E380" s="24">
        <v>30.438400000000001</v>
      </c>
    </row>
    <row r="381" spans="1:5" ht="15.75" customHeight="1" x14ac:dyDescent="0.4">
      <c r="A381" s="24" t="s">
        <v>1699</v>
      </c>
      <c r="B381" s="24" t="s">
        <v>2186</v>
      </c>
      <c r="C381" s="24">
        <v>28.334700000000002</v>
      </c>
      <c r="D381" s="24">
        <v>28.334700000000002</v>
      </c>
      <c r="E381" s="24">
        <v>0</v>
      </c>
    </row>
    <row r="382" spans="1:5" ht="15.75" customHeight="1" x14ac:dyDescent="0.4">
      <c r="A382" s="24" t="s">
        <v>673</v>
      </c>
      <c r="B382" s="24" t="s">
        <v>2186</v>
      </c>
      <c r="C382" s="24">
        <v>27.9101</v>
      </c>
      <c r="D382" s="24">
        <v>27.9101</v>
      </c>
    </row>
    <row r="383" spans="1:5" ht="15.75" customHeight="1" x14ac:dyDescent="0.4">
      <c r="A383" s="24" t="s">
        <v>881</v>
      </c>
      <c r="B383" s="24" t="s">
        <v>2186</v>
      </c>
      <c r="C383" s="24">
        <v>27.9101</v>
      </c>
      <c r="D383" s="24">
        <v>27.9101</v>
      </c>
    </row>
    <row r="384" spans="1:5" ht="15.75" customHeight="1" x14ac:dyDescent="0.4">
      <c r="A384" s="24" t="s">
        <v>1597</v>
      </c>
      <c r="B384" s="24" t="s">
        <v>2186</v>
      </c>
      <c r="C384" s="24">
        <v>27.4938</v>
      </c>
      <c r="D384" s="24">
        <v>3.8301400000000001</v>
      </c>
      <c r="E384" s="24">
        <v>23.596800000000002</v>
      </c>
    </row>
    <row r="385" spans="1:5" ht="15.75" customHeight="1" x14ac:dyDescent="0.4">
      <c r="A385" s="24" t="s">
        <v>443</v>
      </c>
      <c r="B385" s="24" t="s">
        <v>2186</v>
      </c>
      <c r="C385" s="24">
        <v>25.903400000000001</v>
      </c>
      <c r="E385" s="24">
        <v>25.830300000000001</v>
      </c>
    </row>
    <row r="386" spans="1:5" ht="15.75" customHeight="1" x14ac:dyDescent="0.4">
      <c r="A386" s="24" t="s">
        <v>455</v>
      </c>
      <c r="B386" s="24" t="s">
        <v>2186</v>
      </c>
      <c r="C386" s="24">
        <v>25.645299999999999</v>
      </c>
      <c r="E386" s="24">
        <v>25.572900000000001</v>
      </c>
    </row>
    <row r="387" spans="1:5" ht="15.75" customHeight="1" x14ac:dyDescent="0.4">
      <c r="A387" s="24" t="s">
        <v>968</v>
      </c>
      <c r="B387" s="24" t="s">
        <v>2186</v>
      </c>
      <c r="C387" s="24">
        <v>25.645299999999999</v>
      </c>
      <c r="D387" s="24">
        <v>25.645299999999999</v>
      </c>
    </row>
    <row r="388" spans="1:5" ht="15.75" customHeight="1" x14ac:dyDescent="0.4">
      <c r="A388" s="24" t="s">
        <v>583</v>
      </c>
      <c r="B388" s="24" t="s">
        <v>2186</v>
      </c>
      <c r="C388" s="24">
        <v>24.854299999999999</v>
      </c>
      <c r="D388" s="24">
        <v>24.854299999999999</v>
      </c>
    </row>
    <row r="389" spans="1:5" ht="15.75" customHeight="1" x14ac:dyDescent="0.4">
      <c r="A389" s="24" t="s">
        <v>235</v>
      </c>
      <c r="B389" s="24" t="s">
        <v>2186</v>
      </c>
      <c r="C389" s="24">
        <v>22.856000000000002</v>
      </c>
      <c r="E389" s="24">
        <v>22.791399999999999</v>
      </c>
    </row>
    <row r="390" spans="1:5" ht="15.75" customHeight="1" x14ac:dyDescent="0.4">
      <c r="A390" s="24" t="s">
        <v>948</v>
      </c>
      <c r="B390" s="24" t="s">
        <v>2186</v>
      </c>
      <c r="C390" s="24">
        <v>22.006699999999999</v>
      </c>
      <c r="D390" s="24">
        <v>22.006699999999999</v>
      </c>
    </row>
    <row r="391" spans="1:5" ht="15.75" customHeight="1" x14ac:dyDescent="0.4">
      <c r="A391" s="24" t="s">
        <v>1153</v>
      </c>
      <c r="B391" s="24" t="s">
        <v>2186</v>
      </c>
      <c r="C391" s="24">
        <v>21.149000000000001</v>
      </c>
      <c r="D391" s="24">
        <v>10.1332</v>
      </c>
      <c r="E391" s="24">
        <v>10.9847</v>
      </c>
    </row>
    <row r="392" spans="1:5" ht="15.75" customHeight="1" x14ac:dyDescent="0.4">
      <c r="A392" s="24" t="s">
        <v>1689</v>
      </c>
      <c r="B392" s="24" t="s">
        <v>2186</v>
      </c>
      <c r="C392" s="24">
        <v>20.824300000000001</v>
      </c>
      <c r="D392" s="24">
        <v>11.249000000000001</v>
      </c>
      <c r="E392" s="24">
        <v>9.5483200000000004</v>
      </c>
    </row>
    <row r="393" spans="1:5" ht="15.75" customHeight="1" x14ac:dyDescent="0.4">
      <c r="A393" s="24" t="s">
        <v>754</v>
      </c>
      <c r="B393" s="24" t="s">
        <v>2186</v>
      </c>
      <c r="C393" s="24">
        <v>20.457999999999998</v>
      </c>
      <c r="D393" s="24">
        <v>18.476299999999998</v>
      </c>
      <c r="E393" s="24">
        <v>1.9760899999999999</v>
      </c>
    </row>
    <row r="394" spans="1:5" ht="15.75" customHeight="1" x14ac:dyDescent="0.4">
      <c r="A394" s="24" t="s">
        <v>1045</v>
      </c>
      <c r="B394" s="24" t="s">
        <v>2186</v>
      </c>
      <c r="C394" s="24">
        <v>20.391300000000001</v>
      </c>
      <c r="D394" s="24">
        <v>3.9050799999999999</v>
      </c>
      <c r="E394" s="24">
        <v>16.439699999999998</v>
      </c>
    </row>
    <row r="395" spans="1:5" ht="15.75" customHeight="1" x14ac:dyDescent="0.4">
      <c r="A395" s="24" t="s">
        <v>1979</v>
      </c>
      <c r="B395" s="24" t="s">
        <v>2186</v>
      </c>
      <c r="C395" s="24">
        <v>20.158200000000001</v>
      </c>
      <c r="D395" s="24">
        <v>20.158200000000001</v>
      </c>
    </row>
    <row r="396" spans="1:5" ht="15.75" customHeight="1" x14ac:dyDescent="0.4">
      <c r="A396" s="24" t="s">
        <v>1686</v>
      </c>
      <c r="B396" s="24" t="s">
        <v>2186</v>
      </c>
      <c r="C396" s="24">
        <v>18.243099999999998</v>
      </c>
      <c r="E396" s="24">
        <v>18.191600000000001</v>
      </c>
    </row>
    <row r="397" spans="1:5" ht="15.75" customHeight="1" x14ac:dyDescent="0.4">
      <c r="A397" s="24" t="s">
        <v>1028</v>
      </c>
      <c r="B397" s="24" t="s">
        <v>2186</v>
      </c>
      <c r="C397" s="24">
        <v>18.051600000000001</v>
      </c>
      <c r="E397" s="24">
        <v>18.000699999999998</v>
      </c>
    </row>
    <row r="398" spans="1:5" ht="15.75" customHeight="1" x14ac:dyDescent="0.4">
      <c r="A398" s="24" t="s">
        <v>511</v>
      </c>
      <c r="B398" s="24" t="s">
        <v>2186</v>
      </c>
      <c r="C398" s="24">
        <v>15.9201</v>
      </c>
      <c r="D398" s="24">
        <v>15.095800000000001</v>
      </c>
      <c r="E398" s="24">
        <v>0.82198599999999999</v>
      </c>
    </row>
    <row r="399" spans="1:5" ht="15.75" customHeight="1" x14ac:dyDescent="0.4">
      <c r="A399" s="24" t="s">
        <v>1753</v>
      </c>
      <c r="B399" s="24" t="s">
        <v>2186</v>
      </c>
      <c r="C399" s="24">
        <v>14.887600000000001</v>
      </c>
      <c r="E399" s="24">
        <v>14.845599999999999</v>
      </c>
    </row>
    <row r="400" spans="1:5" ht="15.75" customHeight="1" x14ac:dyDescent="0.4">
      <c r="A400" s="24" t="s">
        <v>1757</v>
      </c>
      <c r="B400" s="24" t="s">
        <v>2186</v>
      </c>
      <c r="C400" s="24">
        <v>14.013299999999999</v>
      </c>
      <c r="D400" s="24">
        <v>14.013299999999999</v>
      </c>
    </row>
    <row r="401" spans="1:5" ht="15.75" customHeight="1" x14ac:dyDescent="0.4">
      <c r="A401" s="24" t="s">
        <v>1196</v>
      </c>
      <c r="B401" s="24" t="s">
        <v>2186</v>
      </c>
      <c r="C401" s="24">
        <v>13.347200000000001</v>
      </c>
      <c r="E401" s="24">
        <v>13.3095</v>
      </c>
    </row>
    <row r="402" spans="1:5" ht="15.75" customHeight="1" x14ac:dyDescent="0.4">
      <c r="A402" s="24" t="s">
        <v>1004</v>
      </c>
      <c r="B402" s="24" t="s">
        <v>2186</v>
      </c>
      <c r="C402" s="24">
        <v>12.0067</v>
      </c>
      <c r="E402" s="24">
        <v>11.972799999999999</v>
      </c>
    </row>
    <row r="403" spans="1:5" ht="15.75" customHeight="1" x14ac:dyDescent="0.4">
      <c r="A403" s="24" t="s">
        <v>1155</v>
      </c>
      <c r="B403" s="24" t="s">
        <v>2186</v>
      </c>
      <c r="C403" s="24">
        <v>10.9742</v>
      </c>
      <c r="E403" s="24">
        <v>10.943199999999999</v>
      </c>
    </row>
    <row r="404" spans="1:5" ht="15.75" customHeight="1" x14ac:dyDescent="0.4">
      <c r="A404" s="24" t="s">
        <v>842</v>
      </c>
      <c r="B404" s="24" t="s">
        <v>2186</v>
      </c>
      <c r="C404" s="24">
        <v>9.8750999999999998</v>
      </c>
      <c r="E404" s="24">
        <v>9.8472299999999997</v>
      </c>
    </row>
    <row r="405" spans="1:5" ht="15.75" customHeight="1" x14ac:dyDescent="0.4">
      <c r="A405" s="24" t="s">
        <v>2045</v>
      </c>
      <c r="B405" s="24" t="s">
        <v>2186</v>
      </c>
      <c r="C405" s="24">
        <v>9.3089099999999991</v>
      </c>
      <c r="E405" s="24">
        <v>9.2826299999999993</v>
      </c>
    </row>
    <row r="406" spans="1:5" ht="15.75" customHeight="1" x14ac:dyDescent="0.4">
      <c r="A406" s="24" t="s">
        <v>933</v>
      </c>
      <c r="B406" s="24" t="s">
        <v>2186</v>
      </c>
      <c r="C406" s="24">
        <v>7.8684399999999997</v>
      </c>
      <c r="E406" s="24">
        <v>7.8462300000000003</v>
      </c>
    </row>
    <row r="407" spans="1:5" ht="15.75" customHeight="1" x14ac:dyDescent="0.4">
      <c r="A407" s="24" t="s">
        <v>841</v>
      </c>
      <c r="B407" s="24" t="s">
        <v>2186</v>
      </c>
      <c r="C407" s="24">
        <v>6.4113199999999999</v>
      </c>
      <c r="E407" s="24">
        <v>6.3932200000000003</v>
      </c>
    </row>
    <row r="408" spans="1:5" ht="15.75" customHeight="1" x14ac:dyDescent="0.4">
      <c r="A408" s="24" t="s">
        <v>1086</v>
      </c>
      <c r="B408" s="24" t="s">
        <v>2186</v>
      </c>
      <c r="C408" s="24">
        <v>6.0199800000000003</v>
      </c>
      <c r="E408" s="24">
        <v>6.0029899999999996</v>
      </c>
    </row>
    <row r="409" spans="1:5" ht="15.75" customHeight="1" x14ac:dyDescent="0.4">
      <c r="A409" s="24" t="s">
        <v>349</v>
      </c>
      <c r="B409" s="24" t="s">
        <v>2186</v>
      </c>
      <c r="C409" s="24">
        <v>4.9042500000000002</v>
      </c>
      <c r="E409" s="24">
        <v>4.8903999999999996</v>
      </c>
    </row>
    <row r="410" spans="1:5" ht="15.75" customHeight="1" x14ac:dyDescent="0.4">
      <c r="A410" s="24" t="s">
        <v>989</v>
      </c>
      <c r="B410" s="24" t="s">
        <v>2186</v>
      </c>
      <c r="C410" s="24">
        <v>4.5129099999999998</v>
      </c>
      <c r="E410" s="24">
        <v>4.5001699999999998</v>
      </c>
    </row>
    <row r="411" spans="1:5" ht="15.75" customHeight="1" x14ac:dyDescent="0.4">
      <c r="A411" s="24" t="s">
        <v>569</v>
      </c>
      <c r="B411" s="24" t="s">
        <v>2186</v>
      </c>
      <c r="C411" s="24">
        <v>4.3796799999999996</v>
      </c>
      <c r="E411" s="24">
        <v>4.3673200000000003</v>
      </c>
    </row>
    <row r="412" spans="1:5" ht="15.75" customHeight="1" x14ac:dyDescent="0.4">
      <c r="A412" s="24" t="s">
        <v>1067</v>
      </c>
      <c r="B412" s="24" t="s">
        <v>2186</v>
      </c>
      <c r="C412" s="24">
        <v>3.9050799999999999</v>
      </c>
      <c r="D412" s="24">
        <v>3.9050799999999999</v>
      </c>
    </row>
    <row r="413" spans="1:5" ht="15.75" customHeight="1" x14ac:dyDescent="0.4">
      <c r="A413" s="24" t="s">
        <v>1099</v>
      </c>
      <c r="B413" s="24" t="s">
        <v>2186</v>
      </c>
      <c r="C413" s="24">
        <v>2.3980000000000001</v>
      </c>
      <c r="E413" s="24">
        <v>2.3912300000000002</v>
      </c>
    </row>
    <row r="414" spans="1:5" ht="15.75" customHeight="1" x14ac:dyDescent="0.4">
      <c r="A414" s="24" t="s">
        <v>930</v>
      </c>
      <c r="B414" s="24" t="s">
        <v>2186</v>
      </c>
      <c r="C414" s="24">
        <v>2.0399699999999998</v>
      </c>
      <c r="E414" s="24">
        <v>2.0342099999999999</v>
      </c>
    </row>
    <row r="415" spans="1:5" ht="15.75" customHeight="1" x14ac:dyDescent="0.4">
      <c r="A415" s="24" t="s">
        <v>1091</v>
      </c>
      <c r="B415" s="24" t="s">
        <v>2186</v>
      </c>
      <c r="C415" s="24">
        <v>1.97336</v>
      </c>
      <c r="E415" s="24">
        <v>1.9677800000000001</v>
      </c>
    </row>
    <row r="416" spans="1:5" ht="15.75" customHeight="1" x14ac:dyDescent="0.4">
      <c r="A416" s="24" t="s">
        <v>417</v>
      </c>
      <c r="B416" s="24" t="s">
        <v>2186</v>
      </c>
      <c r="C416" s="24">
        <v>1.9567000000000001</v>
      </c>
      <c r="E416" s="24">
        <v>1.9511799999999999</v>
      </c>
    </row>
    <row r="417" spans="1:5" ht="15.75" customHeight="1" x14ac:dyDescent="0.4">
      <c r="A417" s="24" t="s">
        <v>428</v>
      </c>
      <c r="B417" s="24" t="s">
        <v>2186</v>
      </c>
      <c r="C417" s="24">
        <v>1.9067400000000001</v>
      </c>
      <c r="E417" s="24">
        <v>1.9013599999999999</v>
      </c>
    </row>
    <row r="418" spans="1:5" ht="15.75" customHeight="1" x14ac:dyDescent="0.4">
      <c r="A418" s="24" t="s">
        <v>1129</v>
      </c>
      <c r="B418" s="24" t="s">
        <v>2186</v>
      </c>
      <c r="C418" s="24">
        <v>1.89842</v>
      </c>
      <c r="E418" s="24">
        <v>1.89306</v>
      </c>
    </row>
    <row r="419" spans="1:5" ht="15.75" customHeight="1" x14ac:dyDescent="0.4">
      <c r="A419" s="24" t="s">
        <v>1234</v>
      </c>
      <c r="B419" s="24" t="s">
        <v>2186</v>
      </c>
      <c r="C419" s="24">
        <v>1.7568699999999999</v>
      </c>
      <c r="E419" s="24">
        <v>1.7519100000000001</v>
      </c>
    </row>
    <row r="420" spans="1:5" ht="15.75" customHeight="1" x14ac:dyDescent="0.4">
      <c r="A420" s="24" t="s">
        <v>1125</v>
      </c>
      <c r="B420" s="24" t="s">
        <v>2186</v>
      </c>
      <c r="C420" s="24">
        <v>1.72356</v>
      </c>
      <c r="D420" s="24">
        <v>1.72356</v>
      </c>
    </row>
    <row r="421" spans="1:5" ht="15.75" customHeight="1" x14ac:dyDescent="0.4">
      <c r="A421" s="24" t="s">
        <v>1124</v>
      </c>
      <c r="B421" s="24" t="s">
        <v>2186</v>
      </c>
      <c r="C421" s="24">
        <v>1.45712</v>
      </c>
      <c r="E421" s="24">
        <v>1.4530099999999999</v>
      </c>
    </row>
    <row r="422" spans="1:5" ht="15.75" customHeight="1" x14ac:dyDescent="0.4">
      <c r="A422" s="24" t="s">
        <v>415</v>
      </c>
      <c r="B422" s="24" t="s">
        <v>2186</v>
      </c>
      <c r="C422" s="24">
        <v>0.83263900000000002</v>
      </c>
      <c r="E422" s="24">
        <v>0.83028900000000005</v>
      </c>
    </row>
    <row r="423" spans="1:5" ht="15.75" customHeight="1" x14ac:dyDescent="0.4">
      <c r="A423" s="24" t="s">
        <v>521</v>
      </c>
      <c r="B423" s="24" t="s">
        <v>2186</v>
      </c>
      <c r="C423" s="24">
        <v>0.81598700000000002</v>
      </c>
      <c r="D423" s="24">
        <v>0.73272300000000001</v>
      </c>
      <c r="E423" s="24">
        <v>8.3029000000000006E-2</v>
      </c>
    </row>
    <row r="424" spans="1:5" ht="15.75" customHeight="1" x14ac:dyDescent="0.4">
      <c r="A424" s="24" t="s">
        <v>1512</v>
      </c>
      <c r="B424" s="24" t="s">
        <v>2186</v>
      </c>
      <c r="C424" s="24">
        <v>0.59117399999999998</v>
      </c>
      <c r="E424" s="24">
        <v>0.58950499999999995</v>
      </c>
    </row>
    <row r="425" spans="1:5" ht="15.75" customHeight="1" x14ac:dyDescent="0.4">
      <c r="A425" s="24" t="s">
        <v>347</v>
      </c>
      <c r="B425" s="24" t="s">
        <v>2186</v>
      </c>
      <c r="C425" s="24">
        <v>0.441299</v>
      </c>
      <c r="E425" s="24">
        <v>0.44005300000000003</v>
      </c>
    </row>
    <row r="426" spans="1:5" ht="15.75" customHeight="1" x14ac:dyDescent="0.4">
      <c r="A426" s="24" t="s">
        <v>1435</v>
      </c>
      <c r="B426" s="24" t="s">
        <v>2186</v>
      </c>
      <c r="C426" s="24">
        <v>0.39966699999999999</v>
      </c>
      <c r="E426" s="24">
        <v>0.39853899999999998</v>
      </c>
    </row>
    <row r="427" spans="1:5" ht="15.75" customHeight="1" x14ac:dyDescent="0.4">
      <c r="A427" s="24" t="s">
        <v>744</v>
      </c>
      <c r="B427" s="24" t="s">
        <v>2186</v>
      </c>
      <c r="C427" s="24">
        <v>0.37468800000000002</v>
      </c>
      <c r="E427" s="24">
        <v>0.37363000000000002</v>
      </c>
    </row>
    <row r="428" spans="1:5" ht="15.75" customHeight="1" x14ac:dyDescent="0.4">
      <c r="A428" s="24" t="s">
        <v>1046</v>
      </c>
      <c r="B428" s="24" t="s">
        <v>2186</v>
      </c>
      <c r="C428" s="24">
        <v>0.32472899999999999</v>
      </c>
      <c r="E428" s="24">
        <v>0.32381300000000002</v>
      </c>
    </row>
    <row r="429" spans="1:5" ht="15.75" customHeight="1" x14ac:dyDescent="0.4">
      <c r="A429" s="24" t="s">
        <v>1006</v>
      </c>
      <c r="B429" s="24" t="s">
        <v>2186</v>
      </c>
      <c r="C429" s="24">
        <v>0.17485400000000001</v>
      </c>
      <c r="E429" s="24">
        <v>0.17436099999999999</v>
      </c>
    </row>
    <row r="430" spans="1:5" ht="15.75" customHeight="1" x14ac:dyDescent="0.4">
      <c r="A430" s="24" t="s">
        <v>1756</v>
      </c>
      <c r="B430" s="24" t="s">
        <v>2187</v>
      </c>
      <c r="C430" s="24">
        <v>100</v>
      </c>
      <c r="D430" s="24">
        <v>100</v>
      </c>
    </row>
    <row r="431" spans="1:5" ht="15.75" customHeight="1" x14ac:dyDescent="0.4">
      <c r="A431" s="24" t="s">
        <v>2113</v>
      </c>
      <c r="B431" s="24" t="s">
        <v>2187</v>
      </c>
      <c r="C431" s="24">
        <v>100</v>
      </c>
      <c r="D431" s="24">
        <v>65.667699999999996</v>
      </c>
      <c r="E431" s="24">
        <v>92.127799999999993</v>
      </c>
    </row>
    <row r="432" spans="1:5" ht="15.75" customHeight="1" x14ac:dyDescent="0.4">
      <c r="A432" s="24" t="s">
        <v>1427</v>
      </c>
      <c r="B432" s="24" t="s">
        <v>2187</v>
      </c>
      <c r="C432" s="24">
        <v>100</v>
      </c>
      <c r="D432" s="24">
        <v>76.711600000000004</v>
      </c>
      <c r="E432" s="24">
        <v>99.590500000000006</v>
      </c>
    </row>
    <row r="433" spans="1:5" ht="15.75" customHeight="1" x14ac:dyDescent="0.4">
      <c r="A433" s="24" t="s">
        <v>1855</v>
      </c>
      <c r="B433" s="24" t="s">
        <v>2187</v>
      </c>
      <c r="C433" s="24">
        <v>100</v>
      </c>
      <c r="D433" s="24">
        <v>28.4209</v>
      </c>
      <c r="E433" s="24">
        <v>99.7179</v>
      </c>
    </row>
    <row r="434" spans="1:5" ht="15.75" customHeight="1" x14ac:dyDescent="0.4">
      <c r="A434" s="24" t="s">
        <v>1967</v>
      </c>
      <c r="B434" s="24" t="s">
        <v>2187</v>
      </c>
      <c r="C434" s="24">
        <v>100</v>
      </c>
      <c r="E434" s="24">
        <v>100</v>
      </c>
    </row>
    <row r="435" spans="1:5" ht="15.75" customHeight="1" x14ac:dyDescent="0.4">
      <c r="A435" s="24" t="s">
        <v>1492</v>
      </c>
      <c r="B435" s="24" t="s">
        <v>2187</v>
      </c>
      <c r="C435" s="24">
        <v>100</v>
      </c>
      <c r="D435" s="24">
        <v>100</v>
      </c>
    </row>
    <row r="436" spans="1:5" ht="15.75" customHeight="1" x14ac:dyDescent="0.4">
      <c r="A436" s="24" t="s">
        <v>1312</v>
      </c>
      <c r="B436" s="24" t="s">
        <v>2187</v>
      </c>
      <c r="C436" s="24">
        <v>100</v>
      </c>
      <c r="D436" s="24">
        <v>100</v>
      </c>
      <c r="E436" s="24">
        <v>2.7939600000000002</v>
      </c>
    </row>
    <row r="437" spans="1:5" ht="15.75" customHeight="1" x14ac:dyDescent="0.4">
      <c r="A437" s="24" t="s">
        <v>1915</v>
      </c>
      <c r="B437" s="24" t="s">
        <v>2187</v>
      </c>
      <c r="C437" s="24">
        <v>100</v>
      </c>
      <c r="D437" s="24">
        <v>98.707700000000003</v>
      </c>
      <c r="E437" s="24">
        <v>99.608699999999999</v>
      </c>
    </row>
    <row r="438" spans="1:5" ht="15.75" customHeight="1" x14ac:dyDescent="0.4">
      <c r="A438" s="24" t="s">
        <v>720</v>
      </c>
      <c r="B438" s="24" t="s">
        <v>2187</v>
      </c>
      <c r="C438" s="24">
        <v>100</v>
      </c>
      <c r="D438" s="24">
        <v>79.534400000000005</v>
      </c>
      <c r="E438" s="24">
        <v>20.4405</v>
      </c>
    </row>
    <row r="439" spans="1:5" ht="15.75" customHeight="1" x14ac:dyDescent="0.4">
      <c r="A439" s="24" t="s">
        <v>1775</v>
      </c>
      <c r="B439" s="24" t="s">
        <v>2187</v>
      </c>
      <c r="C439" s="24">
        <v>100</v>
      </c>
      <c r="D439" s="24">
        <v>54.807099999999998</v>
      </c>
      <c r="E439" s="24">
        <v>94.221000000000004</v>
      </c>
    </row>
    <row r="440" spans="1:5" ht="15.75" customHeight="1" x14ac:dyDescent="0.4">
      <c r="A440" s="24" t="s">
        <v>657</v>
      </c>
      <c r="B440" s="24" t="s">
        <v>2187</v>
      </c>
      <c r="C440" s="24">
        <v>100</v>
      </c>
      <c r="D440" s="24">
        <v>100</v>
      </c>
    </row>
    <row r="441" spans="1:5" ht="15.75" customHeight="1" x14ac:dyDescent="0.4">
      <c r="A441" s="24" t="s">
        <v>1252</v>
      </c>
      <c r="B441" s="24" t="s">
        <v>2187</v>
      </c>
      <c r="C441" s="24">
        <v>100</v>
      </c>
      <c r="D441" s="24">
        <v>100</v>
      </c>
      <c r="E441" s="24">
        <v>1.2741199999999999</v>
      </c>
    </row>
    <row r="442" spans="1:5" ht="15.75" customHeight="1" x14ac:dyDescent="0.4">
      <c r="A442" s="24" t="s">
        <v>1729</v>
      </c>
      <c r="B442" s="24" t="s">
        <v>2187</v>
      </c>
      <c r="C442" s="24">
        <v>100</v>
      </c>
      <c r="D442" s="24">
        <v>100</v>
      </c>
    </row>
    <row r="443" spans="1:5" ht="15.75" customHeight="1" x14ac:dyDescent="0.4">
      <c r="A443" s="24" t="s">
        <v>1914</v>
      </c>
      <c r="B443" s="24" t="s">
        <v>2187</v>
      </c>
      <c r="C443" s="24">
        <v>100</v>
      </c>
      <c r="D443" s="24">
        <v>100</v>
      </c>
    </row>
    <row r="444" spans="1:5" ht="15.75" customHeight="1" x14ac:dyDescent="0.4">
      <c r="A444" s="24" t="s">
        <v>1734</v>
      </c>
      <c r="B444" s="24" t="s">
        <v>2187</v>
      </c>
      <c r="C444" s="24">
        <v>100</v>
      </c>
      <c r="D444" s="24">
        <v>91.238200000000006</v>
      </c>
      <c r="E444" s="24">
        <v>9.2100500000000007</v>
      </c>
    </row>
    <row r="445" spans="1:5" ht="15.75" customHeight="1" x14ac:dyDescent="0.4">
      <c r="A445" s="24" t="s">
        <v>1592</v>
      </c>
      <c r="B445" s="24" t="s">
        <v>2187</v>
      </c>
      <c r="C445" s="24">
        <v>100</v>
      </c>
      <c r="D445" s="24">
        <v>100</v>
      </c>
    </row>
    <row r="446" spans="1:5" ht="15.75" customHeight="1" x14ac:dyDescent="0.4">
      <c r="A446" s="24" t="s">
        <v>2048</v>
      </c>
      <c r="B446" s="24" t="s">
        <v>2187</v>
      </c>
      <c r="C446" s="24">
        <v>100</v>
      </c>
      <c r="E446" s="24">
        <v>99.836200000000005</v>
      </c>
    </row>
    <row r="447" spans="1:5" ht="15.75" customHeight="1" x14ac:dyDescent="0.4">
      <c r="A447" s="24" t="s">
        <v>1308</v>
      </c>
      <c r="B447" s="24" t="s">
        <v>2187</v>
      </c>
      <c r="C447" s="24">
        <v>100</v>
      </c>
      <c r="D447" s="24">
        <v>41.041200000000003</v>
      </c>
      <c r="E447" s="24">
        <v>59.055300000000003</v>
      </c>
    </row>
    <row r="448" spans="1:5" ht="15.75" customHeight="1" x14ac:dyDescent="0.4">
      <c r="A448" s="24" t="s">
        <v>2093</v>
      </c>
      <c r="B448" s="24" t="s">
        <v>2187</v>
      </c>
      <c r="C448" s="24">
        <v>100</v>
      </c>
      <c r="D448" s="24">
        <v>100</v>
      </c>
      <c r="E448" s="24">
        <v>59.037100000000002</v>
      </c>
    </row>
    <row r="449" spans="1:5" ht="15.75" customHeight="1" x14ac:dyDescent="0.4">
      <c r="A449" s="24" t="s">
        <v>1226</v>
      </c>
      <c r="B449" s="24" t="s">
        <v>2187</v>
      </c>
      <c r="C449" s="24">
        <v>100</v>
      </c>
      <c r="D449" s="24">
        <v>100</v>
      </c>
    </row>
    <row r="450" spans="1:5" ht="15.75" customHeight="1" x14ac:dyDescent="0.4">
      <c r="A450" s="24" t="s">
        <v>2033</v>
      </c>
      <c r="B450" s="24" t="s">
        <v>2187</v>
      </c>
      <c r="C450" s="24">
        <v>100</v>
      </c>
      <c r="D450" s="24">
        <v>100</v>
      </c>
    </row>
    <row r="451" spans="1:5" ht="15.75" customHeight="1" x14ac:dyDescent="0.4">
      <c r="A451" s="24" t="s">
        <v>1810</v>
      </c>
      <c r="B451" s="24" t="s">
        <v>2187</v>
      </c>
      <c r="C451" s="24">
        <v>100</v>
      </c>
      <c r="D451" s="24">
        <v>100</v>
      </c>
    </row>
    <row r="452" spans="1:5" ht="15.75" customHeight="1" x14ac:dyDescent="0.4">
      <c r="A452" s="24" t="s">
        <v>1702</v>
      </c>
      <c r="B452" s="24" t="s">
        <v>2187</v>
      </c>
      <c r="C452" s="24">
        <v>100</v>
      </c>
      <c r="D452" s="24">
        <v>100</v>
      </c>
    </row>
    <row r="453" spans="1:5" ht="15.75" customHeight="1" x14ac:dyDescent="0.4">
      <c r="A453" s="24" t="s">
        <v>1993</v>
      </c>
      <c r="B453" s="24" t="s">
        <v>2187</v>
      </c>
      <c r="C453" s="24">
        <v>100</v>
      </c>
      <c r="E453" s="24">
        <v>100.06399999999999</v>
      </c>
    </row>
    <row r="454" spans="1:5" ht="15.75" customHeight="1" x14ac:dyDescent="0.4">
      <c r="A454" s="24" t="s">
        <v>867</v>
      </c>
      <c r="B454" s="24" t="s">
        <v>2187</v>
      </c>
      <c r="C454" s="24">
        <v>100</v>
      </c>
      <c r="D454" s="24">
        <v>100</v>
      </c>
      <c r="E454" s="24">
        <v>40.080100000000002</v>
      </c>
    </row>
    <row r="455" spans="1:5" ht="15.75" customHeight="1" x14ac:dyDescent="0.4">
      <c r="A455" s="24" t="s">
        <v>1017</v>
      </c>
      <c r="B455" s="24" t="s">
        <v>2187</v>
      </c>
      <c r="C455" s="24">
        <v>100</v>
      </c>
      <c r="D455" s="24">
        <v>67.0608</v>
      </c>
      <c r="E455" s="24">
        <v>99.836200000000005</v>
      </c>
    </row>
    <row r="456" spans="1:5" ht="15.75" customHeight="1" x14ac:dyDescent="0.4">
      <c r="A456" s="24" t="s">
        <v>2010</v>
      </c>
      <c r="B456" s="24" t="s">
        <v>2187</v>
      </c>
      <c r="C456" s="24">
        <v>100</v>
      </c>
      <c r="D456" s="24">
        <v>100</v>
      </c>
    </row>
    <row r="457" spans="1:5" ht="15.75" customHeight="1" x14ac:dyDescent="0.4">
      <c r="A457" s="24" t="s">
        <v>1909</v>
      </c>
      <c r="B457" s="24" t="s">
        <v>2187</v>
      </c>
      <c r="C457" s="24">
        <v>100</v>
      </c>
      <c r="D457" s="24">
        <v>24.241599999999998</v>
      </c>
      <c r="E457" s="24">
        <v>99.099000000000004</v>
      </c>
    </row>
    <row r="458" spans="1:5" ht="15.75" customHeight="1" x14ac:dyDescent="0.4">
      <c r="A458" s="24" t="s">
        <v>1384</v>
      </c>
      <c r="B458" s="24" t="s">
        <v>2187</v>
      </c>
      <c r="C458" s="24">
        <v>100</v>
      </c>
      <c r="D458" s="24">
        <v>100</v>
      </c>
      <c r="E458" s="24">
        <v>0</v>
      </c>
    </row>
    <row r="459" spans="1:5" ht="15.75" customHeight="1" x14ac:dyDescent="0.4">
      <c r="A459" s="24" t="s">
        <v>756</v>
      </c>
      <c r="B459" s="24" t="s">
        <v>2187</v>
      </c>
      <c r="C459" s="24">
        <v>100</v>
      </c>
      <c r="D459" s="24">
        <v>63.5505</v>
      </c>
      <c r="E459" s="24">
        <v>40.070999999999998</v>
      </c>
    </row>
    <row r="460" spans="1:5" ht="15.75" customHeight="1" x14ac:dyDescent="0.4">
      <c r="A460" s="24" t="s">
        <v>1316</v>
      </c>
      <c r="B460" s="24" t="s">
        <v>2187</v>
      </c>
      <c r="C460" s="24">
        <v>100</v>
      </c>
      <c r="D460" s="24">
        <v>100</v>
      </c>
      <c r="E460" s="24">
        <v>83.318200000000004</v>
      </c>
    </row>
    <row r="461" spans="1:5" ht="15.75" customHeight="1" x14ac:dyDescent="0.4">
      <c r="A461" s="24" t="s">
        <v>1221</v>
      </c>
      <c r="B461" s="24" t="s">
        <v>2187</v>
      </c>
      <c r="C461" s="24">
        <v>100</v>
      </c>
      <c r="D461" s="24">
        <v>100</v>
      </c>
      <c r="E461" s="24">
        <v>6.9894400000000001</v>
      </c>
    </row>
    <row r="462" spans="1:5" ht="15.75" customHeight="1" x14ac:dyDescent="0.4">
      <c r="A462" s="24" t="s">
        <v>1929</v>
      </c>
      <c r="B462" s="24" t="s">
        <v>2187</v>
      </c>
      <c r="C462" s="24">
        <v>100</v>
      </c>
      <c r="D462" s="24">
        <v>99.899199999999993</v>
      </c>
      <c r="E462" s="24">
        <v>68.956999999999994</v>
      </c>
    </row>
    <row r="463" spans="1:5" ht="15.75" customHeight="1" x14ac:dyDescent="0.4">
      <c r="A463" s="24" t="s">
        <v>236</v>
      </c>
      <c r="B463" s="24" t="s">
        <v>2187</v>
      </c>
      <c r="C463" s="24">
        <v>100</v>
      </c>
      <c r="D463" s="24">
        <v>100</v>
      </c>
    </row>
    <row r="464" spans="1:5" ht="15.75" customHeight="1" x14ac:dyDescent="0.4">
      <c r="A464" s="24" t="s">
        <v>1697</v>
      </c>
      <c r="B464" s="24" t="s">
        <v>2187</v>
      </c>
      <c r="C464" s="24">
        <v>100</v>
      </c>
      <c r="E464" s="24">
        <v>100.06399999999999</v>
      </c>
    </row>
    <row r="465" spans="1:5" ht="15.75" customHeight="1" x14ac:dyDescent="0.4">
      <c r="A465" s="24" t="s">
        <v>1961</v>
      </c>
      <c r="B465" s="24" t="s">
        <v>2187</v>
      </c>
      <c r="C465" s="24">
        <v>100</v>
      </c>
      <c r="D465" s="24">
        <v>100</v>
      </c>
    </row>
    <row r="466" spans="1:5" ht="15.75" customHeight="1" x14ac:dyDescent="0.4">
      <c r="A466" s="24" t="s">
        <v>1395</v>
      </c>
      <c r="B466" s="24" t="s">
        <v>2187</v>
      </c>
      <c r="C466" s="24">
        <v>100</v>
      </c>
      <c r="D466" s="24">
        <v>100</v>
      </c>
    </row>
    <row r="467" spans="1:5" ht="15.75" customHeight="1" x14ac:dyDescent="0.4">
      <c r="A467" s="24" t="s">
        <v>951</v>
      </c>
      <c r="B467" s="24" t="s">
        <v>2187</v>
      </c>
      <c r="C467" s="24">
        <v>100</v>
      </c>
      <c r="D467" s="24">
        <v>92.768799999999999</v>
      </c>
      <c r="E467" s="24">
        <v>50.127400000000002</v>
      </c>
    </row>
    <row r="468" spans="1:5" ht="15.75" customHeight="1" x14ac:dyDescent="0.4">
      <c r="A468" s="24" t="s">
        <v>2169</v>
      </c>
      <c r="B468" s="24" t="s">
        <v>2187</v>
      </c>
      <c r="C468" s="24">
        <v>100</v>
      </c>
      <c r="D468" s="24">
        <v>100</v>
      </c>
    </row>
    <row r="469" spans="1:5" ht="15.75" customHeight="1" x14ac:dyDescent="0.4">
      <c r="A469" s="24" t="s">
        <v>1526</v>
      </c>
      <c r="B469" s="24" t="s">
        <v>2187</v>
      </c>
      <c r="C469" s="24">
        <v>100</v>
      </c>
      <c r="D469" s="24">
        <v>100</v>
      </c>
    </row>
    <row r="470" spans="1:5" ht="15.75" customHeight="1" x14ac:dyDescent="0.4">
      <c r="A470" s="24" t="s">
        <v>1278</v>
      </c>
      <c r="B470" s="24" t="s">
        <v>2187</v>
      </c>
      <c r="C470" s="24">
        <v>100</v>
      </c>
      <c r="E470" s="24">
        <v>99.763400000000004</v>
      </c>
    </row>
    <row r="471" spans="1:5" ht="15.75" customHeight="1" x14ac:dyDescent="0.4">
      <c r="A471" s="24" t="s">
        <v>1026</v>
      </c>
      <c r="B471" s="24" t="s">
        <v>2187</v>
      </c>
      <c r="C471" s="24">
        <v>100</v>
      </c>
      <c r="D471" s="24">
        <v>100</v>
      </c>
    </row>
    <row r="472" spans="1:5" ht="15.75" customHeight="1" x14ac:dyDescent="0.4">
      <c r="A472" s="24" t="s">
        <v>1956</v>
      </c>
      <c r="B472" s="24" t="s">
        <v>2187</v>
      </c>
      <c r="C472" s="24">
        <v>100</v>
      </c>
      <c r="D472" s="24">
        <v>100</v>
      </c>
      <c r="E472" s="24">
        <v>19.4849</v>
      </c>
    </row>
    <row r="473" spans="1:5" ht="15.75" customHeight="1" x14ac:dyDescent="0.4">
      <c r="A473" s="24" t="s">
        <v>1555</v>
      </c>
      <c r="B473" s="24" t="s">
        <v>2187</v>
      </c>
      <c r="C473" s="24">
        <v>100</v>
      </c>
      <c r="D473" s="24">
        <v>100</v>
      </c>
    </row>
    <row r="474" spans="1:5" ht="15.75" customHeight="1" x14ac:dyDescent="0.4">
      <c r="A474" s="24" t="s">
        <v>1790</v>
      </c>
      <c r="B474" s="24" t="s">
        <v>2187</v>
      </c>
      <c r="C474" s="24">
        <v>100</v>
      </c>
      <c r="D474" s="24">
        <v>100</v>
      </c>
      <c r="E474" s="24">
        <v>21.487100000000002</v>
      </c>
    </row>
    <row r="475" spans="1:5" ht="15.75" customHeight="1" x14ac:dyDescent="0.4">
      <c r="A475" s="24" t="s">
        <v>872</v>
      </c>
      <c r="B475" s="24" t="s">
        <v>2187</v>
      </c>
      <c r="C475" s="24">
        <v>100</v>
      </c>
      <c r="D475" s="24">
        <v>100</v>
      </c>
    </row>
    <row r="476" spans="1:5" ht="15.75" customHeight="1" x14ac:dyDescent="0.4">
      <c r="A476" s="24" t="s">
        <v>1341</v>
      </c>
      <c r="B476" s="24" t="s">
        <v>2187</v>
      </c>
      <c r="C476" s="24">
        <v>100</v>
      </c>
      <c r="D476" s="24">
        <v>100</v>
      </c>
    </row>
    <row r="477" spans="1:5" ht="15.75" customHeight="1" x14ac:dyDescent="0.4">
      <c r="A477" s="24" t="s">
        <v>1824</v>
      </c>
      <c r="B477" s="24" t="s">
        <v>2187</v>
      </c>
      <c r="C477" s="24">
        <v>100</v>
      </c>
      <c r="D477" s="24">
        <v>100</v>
      </c>
      <c r="E477" s="24">
        <v>0</v>
      </c>
    </row>
    <row r="478" spans="1:5" ht="15.75" customHeight="1" x14ac:dyDescent="0.4">
      <c r="A478" s="24" t="s">
        <v>2006</v>
      </c>
      <c r="B478" s="24" t="s">
        <v>2187</v>
      </c>
      <c r="C478" s="24">
        <v>100</v>
      </c>
      <c r="D478" s="24">
        <v>93.236199999999997</v>
      </c>
      <c r="E478" s="24">
        <v>100.06399999999999</v>
      </c>
    </row>
    <row r="479" spans="1:5" ht="15.75" customHeight="1" x14ac:dyDescent="0.4">
      <c r="A479" s="24" t="s">
        <v>643</v>
      </c>
      <c r="B479" s="24" t="s">
        <v>2187</v>
      </c>
      <c r="C479" s="24">
        <v>100</v>
      </c>
      <c r="D479" s="24">
        <v>89.625200000000007</v>
      </c>
      <c r="E479" s="24">
        <v>99.990899999999996</v>
      </c>
    </row>
    <row r="480" spans="1:5" ht="15.75" customHeight="1" x14ac:dyDescent="0.4">
      <c r="A480" s="24" t="s">
        <v>1747</v>
      </c>
      <c r="B480" s="24" t="s">
        <v>2187</v>
      </c>
      <c r="C480" s="24">
        <v>100</v>
      </c>
      <c r="E480" s="24">
        <v>100.06399999999999</v>
      </c>
    </row>
    <row r="481" spans="1:5" ht="15.75" customHeight="1" x14ac:dyDescent="0.4">
      <c r="A481" s="24" t="s">
        <v>1409</v>
      </c>
      <c r="B481" s="24" t="s">
        <v>2187</v>
      </c>
      <c r="C481" s="24">
        <v>100</v>
      </c>
      <c r="D481" s="24">
        <v>99.926699999999997</v>
      </c>
      <c r="E481" s="24">
        <v>17.246099999999998</v>
      </c>
    </row>
    <row r="482" spans="1:5" ht="15.75" customHeight="1" x14ac:dyDescent="0.4">
      <c r="A482" s="24" t="s">
        <v>1260</v>
      </c>
      <c r="B482" s="24" t="s">
        <v>2187</v>
      </c>
      <c r="C482" s="24">
        <v>100</v>
      </c>
      <c r="D482" s="24">
        <v>99.028499999999994</v>
      </c>
      <c r="E482" s="24">
        <v>37.722999999999999</v>
      </c>
    </row>
    <row r="483" spans="1:5" ht="15.75" customHeight="1" x14ac:dyDescent="0.4">
      <c r="A483" s="24" t="s">
        <v>2002</v>
      </c>
      <c r="B483" s="24" t="s">
        <v>2187</v>
      </c>
      <c r="C483" s="24">
        <v>100</v>
      </c>
      <c r="D483" s="24">
        <v>77.298100000000005</v>
      </c>
      <c r="E483" s="24">
        <v>39.351999999999997</v>
      </c>
    </row>
    <row r="484" spans="1:5" ht="15.75" customHeight="1" x14ac:dyDescent="0.4">
      <c r="A484" s="24" t="s">
        <v>1535</v>
      </c>
      <c r="B484" s="24" t="s">
        <v>2187</v>
      </c>
      <c r="C484" s="24">
        <v>100</v>
      </c>
      <c r="D484" s="24">
        <v>97.983699999999999</v>
      </c>
      <c r="E484" s="24">
        <v>7.2806699999999998</v>
      </c>
    </row>
    <row r="485" spans="1:5" ht="15.75" customHeight="1" x14ac:dyDescent="0.4">
      <c r="A485" s="24" t="s">
        <v>1713</v>
      </c>
      <c r="B485" s="24" t="s">
        <v>2187</v>
      </c>
      <c r="C485" s="24">
        <v>100</v>
      </c>
      <c r="D485" s="24">
        <v>94.345200000000006</v>
      </c>
      <c r="E485" s="24">
        <v>30.933700000000002</v>
      </c>
    </row>
    <row r="486" spans="1:5" ht="15.75" customHeight="1" x14ac:dyDescent="0.4">
      <c r="A486" s="24" t="s">
        <v>1891</v>
      </c>
      <c r="B486" s="24" t="s">
        <v>2187</v>
      </c>
      <c r="C486" s="24">
        <v>100</v>
      </c>
      <c r="D486" s="24">
        <v>100</v>
      </c>
    </row>
    <row r="487" spans="1:5" ht="15.75" customHeight="1" x14ac:dyDescent="0.4">
      <c r="A487" s="24" t="s">
        <v>893</v>
      </c>
      <c r="B487" s="24" t="s">
        <v>2187</v>
      </c>
      <c r="C487" s="24">
        <v>100</v>
      </c>
      <c r="D487" s="24">
        <v>100</v>
      </c>
      <c r="E487" s="24">
        <v>11.2941</v>
      </c>
    </row>
    <row r="488" spans="1:5" ht="15.75" customHeight="1" x14ac:dyDescent="0.4">
      <c r="A488" s="24" t="s">
        <v>1296</v>
      </c>
      <c r="B488" s="24" t="s">
        <v>2187</v>
      </c>
      <c r="C488" s="24">
        <v>100</v>
      </c>
      <c r="D488" s="24">
        <v>100</v>
      </c>
    </row>
    <row r="489" spans="1:5" ht="15.75" customHeight="1" x14ac:dyDescent="0.4">
      <c r="A489" s="24" t="s">
        <v>1393</v>
      </c>
      <c r="B489" s="24" t="s">
        <v>2187</v>
      </c>
      <c r="C489" s="24">
        <v>100</v>
      </c>
      <c r="D489" s="24">
        <v>46.613500000000002</v>
      </c>
      <c r="E489" s="24">
        <v>100.06399999999999</v>
      </c>
    </row>
    <row r="490" spans="1:5" ht="15.75" customHeight="1" x14ac:dyDescent="0.4">
      <c r="A490" s="24" t="s">
        <v>1385</v>
      </c>
      <c r="B490" s="24" t="s">
        <v>2187</v>
      </c>
      <c r="C490" s="24">
        <v>100</v>
      </c>
      <c r="E490" s="24">
        <v>99.936300000000003</v>
      </c>
    </row>
    <row r="491" spans="1:5" ht="15.75" customHeight="1" x14ac:dyDescent="0.4">
      <c r="A491" s="24" t="s">
        <v>2170</v>
      </c>
      <c r="B491" s="24" t="s">
        <v>2187</v>
      </c>
      <c r="C491" s="24">
        <v>100</v>
      </c>
      <c r="E491" s="24">
        <v>99.626900000000006</v>
      </c>
    </row>
    <row r="492" spans="1:5" ht="15.75" customHeight="1" x14ac:dyDescent="0.4">
      <c r="A492" s="24" t="s">
        <v>627</v>
      </c>
      <c r="B492" s="24" t="s">
        <v>2187</v>
      </c>
      <c r="C492" s="24">
        <v>100</v>
      </c>
      <c r="D492" s="24">
        <v>100</v>
      </c>
    </row>
    <row r="493" spans="1:5" ht="15.75" customHeight="1" x14ac:dyDescent="0.4">
      <c r="A493" s="24" t="s">
        <v>1603</v>
      </c>
      <c r="B493" s="24" t="s">
        <v>2187</v>
      </c>
      <c r="C493" s="24">
        <v>100</v>
      </c>
      <c r="D493" s="24">
        <v>100</v>
      </c>
    </row>
    <row r="494" spans="1:5" ht="15.75" customHeight="1" x14ac:dyDescent="0.4">
      <c r="A494" s="24" t="s">
        <v>1317</v>
      </c>
      <c r="B494" s="24" t="s">
        <v>2187</v>
      </c>
      <c r="C494" s="24">
        <v>100</v>
      </c>
      <c r="D494" s="24">
        <v>100</v>
      </c>
      <c r="E494" s="24">
        <v>4.5504000000000003E-2</v>
      </c>
    </row>
    <row r="495" spans="1:5" ht="15.75" customHeight="1" x14ac:dyDescent="0.4">
      <c r="A495" s="24" t="s">
        <v>1329</v>
      </c>
      <c r="B495" s="24" t="s">
        <v>2187</v>
      </c>
      <c r="C495" s="24">
        <v>100</v>
      </c>
      <c r="D495" s="24">
        <v>100</v>
      </c>
      <c r="E495" s="24">
        <v>100.06399999999999</v>
      </c>
    </row>
    <row r="496" spans="1:5" ht="15.75" customHeight="1" x14ac:dyDescent="0.4">
      <c r="A496" s="24" t="s">
        <v>1765</v>
      </c>
      <c r="B496" s="24" t="s">
        <v>2187</v>
      </c>
      <c r="C496" s="24">
        <v>100</v>
      </c>
      <c r="D496" s="24">
        <v>100</v>
      </c>
    </row>
    <row r="497" spans="1:5" ht="15.75" customHeight="1" x14ac:dyDescent="0.4">
      <c r="A497" s="24" t="s">
        <v>1850</v>
      </c>
      <c r="B497" s="24" t="s">
        <v>2187</v>
      </c>
      <c r="C497" s="24">
        <v>100</v>
      </c>
      <c r="D497" s="24">
        <v>96.947999999999993</v>
      </c>
      <c r="E497" s="24">
        <v>61.976700000000001</v>
      </c>
    </row>
    <row r="498" spans="1:5" ht="15.75" customHeight="1" x14ac:dyDescent="0.4">
      <c r="A498" s="24" t="s">
        <v>1314</v>
      </c>
      <c r="B498" s="24" t="s">
        <v>2187</v>
      </c>
      <c r="C498" s="24">
        <v>100</v>
      </c>
      <c r="D498" s="24">
        <v>100</v>
      </c>
    </row>
    <row r="499" spans="1:5" ht="15.75" customHeight="1" x14ac:dyDescent="0.4">
      <c r="A499" s="24" t="s">
        <v>2021</v>
      </c>
      <c r="B499" s="24" t="s">
        <v>2187</v>
      </c>
      <c r="C499" s="24">
        <v>100</v>
      </c>
      <c r="D499" s="24">
        <v>100</v>
      </c>
    </row>
    <row r="500" spans="1:5" ht="15.75" customHeight="1" x14ac:dyDescent="0.4">
      <c r="A500" s="24" t="s">
        <v>2024</v>
      </c>
      <c r="B500" s="24" t="s">
        <v>2187</v>
      </c>
      <c r="C500" s="24">
        <v>100</v>
      </c>
      <c r="D500" s="24">
        <v>96.150700000000001</v>
      </c>
      <c r="E500" s="24">
        <v>86.949399999999997</v>
      </c>
    </row>
    <row r="501" spans="1:5" ht="15.75" customHeight="1" x14ac:dyDescent="0.4">
      <c r="A501" s="24" t="s">
        <v>1853</v>
      </c>
      <c r="B501" s="24" t="s">
        <v>2187</v>
      </c>
      <c r="C501" s="24">
        <v>100</v>
      </c>
      <c r="D501" s="24">
        <v>100</v>
      </c>
    </row>
    <row r="502" spans="1:5" ht="15.75" customHeight="1" x14ac:dyDescent="0.4">
      <c r="A502" s="24" t="s">
        <v>945</v>
      </c>
      <c r="B502" s="24" t="s">
        <v>2187</v>
      </c>
      <c r="C502" s="24">
        <v>100</v>
      </c>
      <c r="D502" s="24">
        <v>100</v>
      </c>
    </row>
    <row r="503" spans="1:5" ht="15.75" customHeight="1" x14ac:dyDescent="0.4">
      <c r="A503" s="24" t="s">
        <v>1780</v>
      </c>
      <c r="B503" s="24" t="s">
        <v>2187</v>
      </c>
      <c r="C503" s="24">
        <v>100</v>
      </c>
      <c r="D503" s="24">
        <v>87.727999999999994</v>
      </c>
      <c r="E503" s="24">
        <v>81.498000000000005</v>
      </c>
    </row>
    <row r="504" spans="1:5" ht="15.75" customHeight="1" x14ac:dyDescent="0.4">
      <c r="A504" s="24" t="s">
        <v>2020</v>
      </c>
      <c r="B504" s="24" t="s">
        <v>2187</v>
      </c>
      <c r="C504" s="24">
        <v>100</v>
      </c>
      <c r="D504" s="24">
        <v>97.562100000000001</v>
      </c>
      <c r="E504" s="24">
        <v>99.217299999999994</v>
      </c>
    </row>
    <row r="505" spans="1:5" ht="15.75" customHeight="1" x14ac:dyDescent="0.4">
      <c r="A505" s="24" t="s">
        <v>2068</v>
      </c>
      <c r="B505" s="24" t="s">
        <v>2187</v>
      </c>
      <c r="C505" s="24">
        <v>100</v>
      </c>
      <c r="D505" s="24">
        <v>100</v>
      </c>
    </row>
    <row r="506" spans="1:5" ht="15.75" customHeight="1" x14ac:dyDescent="0.4">
      <c r="A506" s="24" t="s">
        <v>1156</v>
      </c>
      <c r="B506" s="24" t="s">
        <v>2187</v>
      </c>
      <c r="C506" s="24">
        <v>100</v>
      </c>
      <c r="D506" s="24">
        <v>100</v>
      </c>
    </row>
    <row r="507" spans="1:5" ht="15.75" customHeight="1" x14ac:dyDescent="0.4">
      <c r="A507" s="24" t="s">
        <v>1628</v>
      </c>
      <c r="B507" s="24" t="s">
        <v>2187</v>
      </c>
      <c r="C507" s="24">
        <v>100</v>
      </c>
      <c r="D507" s="24">
        <v>100</v>
      </c>
    </row>
    <row r="508" spans="1:5" ht="15.75" customHeight="1" x14ac:dyDescent="0.4">
      <c r="A508" s="24" t="s">
        <v>2038</v>
      </c>
      <c r="B508" s="24" t="s">
        <v>2187</v>
      </c>
      <c r="C508" s="24">
        <v>100</v>
      </c>
      <c r="D508" s="24">
        <v>100</v>
      </c>
    </row>
    <row r="509" spans="1:5" ht="15.75" customHeight="1" x14ac:dyDescent="0.4">
      <c r="A509" s="24" t="s">
        <v>1279</v>
      </c>
      <c r="B509" s="24" t="s">
        <v>2187</v>
      </c>
      <c r="C509" s="24">
        <v>100</v>
      </c>
      <c r="D509" s="24">
        <v>99.789199999999994</v>
      </c>
      <c r="E509" s="24">
        <v>0.73716800000000005</v>
      </c>
    </row>
    <row r="510" spans="1:5" ht="15.75" customHeight="1" x14ac:dyDescent="0.4">
      <c r="A510" s="24" t="s">
        <v>788</v>
      </c>
      <c r="B510" s="24" t="s">
        <v>2187</v>
      </c>
      <c r="C510" s="24">
        <v>100</v>
      </c>
      <c r="E510" s="24">
        <v>100.06399999999999</v>
      </c>
    </row>
    <row r="511" spans="1:5" ht="15.75" customHeight="1" x14ac:dyDescent="0.4">
      <c r="A511" s="24" t="s">
        <v>2141</v>
      </c>
      <c r="B511" s="24" t="s">
        <v>2187</v>
      </c>
      <c r="C511" s="24">
        <v>100</v>
      </c>
      <c r="D511" s="24">
        <v>40.967799999999997</v>
      </c>
      <c r="E511" s="24">
        <v>59.200899999999997</v>
      </c>
    </row>
    <row r="512" spans="1:5" ht="15.75" customHeight="1" x14ac:dyDescent="0.4">
      <c r="A512" s="24" t="s">
        <v>2127</v>
      </c>
      <c r="B512" s="24" t="s">
        <v>2187</v>
      </c>
      <c r="C512" s="24">
        <v>100</v>
      </c>
      <c r="D512" s="24">
        <v>100</v>
      </c>
    </row>
    <row r="513" spans="1:5" ht="15.75" customHeight="1" x14ac:dyDescent="0.4">
      <c r="A513" s="24" t="s">
        <v>1403</v>
      </c>
      <c r="B513" s="24" t="s">
        <v>2187</v>
      </c>
      <c r="C513" s="24">
        <v>100</v>
      </c>
      <c r="E513" s="24">
        <v>100.06399999999999</v>
      </c>
    </row>
    <row r="514" spans="1:5" ht="15.75" customHeight="1" x14ac:dyDescent="0.4">
      <c r="A514" s="24" t="s">
        <v>1460</v>
      </c>
      <c r="B514" s="24" t="s">
        <v>2187</v>
      </c>
      <c r="C514" s="24">
        <v>100</v>
      </c>
      <c r="D514" s="24">
        <v>97.617099999999994</v>
      </c>
      <c r="E514" s="24">
        <v>86.849299999999999</v>
      </c>
    </row>
    <row r="515" spans="1:5" ht="15.75" customHeight="1" x14ac:dyDescent="0.4">
      <c r="A515" s="24" t="s">
        <v>1084</v>
      </c>
      <c r="B515" s="24" t="s">
        <v>2187</v>
      </c>
      <c r="C515" s="24">
        <v>100</v>
      </c>
      <c r="E515" s="24">
        <v>99.4084</v>
      </c>
    </row>
    <row r="516" spans="1:5" ht="15.75" customHeight="1" x14ac:dyDescent="0.4">
      <c r="A516" s="24" t="s">
        <v>1892</v>
      </c>
      <c r="B516" s="24" t="s">
        <v>2187</v>
      </c>
      <c r="C516" s="24">
        <v>100</v>
      </c>
      <c r="D516" s="24">
        <v>100</v>
      </c>
    </row>
    <row r="517" spans="1:5" ht="15.75" customHeight="1" x14ac:dyDescent="0.4">
      <c r="A517" s="24" t="s">
        <v>1902</v>
      </c>
      <c r="B517" s="24" t="s">
        <v>2187</v>
      </c>
      <c r="C517" s="24">
        <v>100</v>
      </c>
      <c r="D517" s="24">
        <v>100</v>
      </c>
    </row>
    <row r="518" spans="1:5" ht="15.75" customHeight="1" x14ac:dyDescent="0.4">
      <c r="A518" s="24" t="s">
        <v>2015</v>
      </c>
      <c r="B518" s="24" t="s">
        <v>2187</v>
      </c>
      <c r="C518" s="24">
        <v>100</v>
      </c>
      <c r="D518" s="24">
        <v>100</v>
      </c>
      <c r="E518" s="24">
        <v>16.609000000000002</v>
      </c>
    </row>
    <row r="519" spans="1:5" ht="15.75" customHeight="1" x14ac:dyDescent="0.4">
      <c r="A519" s="24" t="s">
        <v>694</v>
      </c>
      <c r="B519" s="24" t="s">
        <v>2187</v>
      </c>
      <c r="C519" s="24">
        <v>100</v>
      </c>
      <c r="D519" s="24">
        <v>67.033299999999997</v>
      </c>
      <c r="E519" s="24">
        <v>32.835799999999999</v>
      </c>
    </row>
    <row r="520" spans="1:5" ht="15.75" customHeight="1" x14ac:dyDescent="0.4">
      <c r="A520" s="24" t="s">
        <v>2000</v>
      </c>
      <c r="B520" s="24" t="s">
        <v>2187</v>
      </c>
      <c r="C520" s="24">
        <v>100</v>
      </c>
      <c r="D520" s="24">
        <v>100</v>
      </c>
    </row>
    <row r="521" spans="1:5" ht="15.75" customHeight="1" x14ac:dyDescent="0.4">
      <c r="A521" s="24" t="s">
        <v>1304</v>
      </c>
      <c r="B521" s="24" t="s">
        <v>2187</v>
      </c>
      <c r="C521" s="24">
        <v>100</v>
      </c>
      <c r="D521" s="24">
        <v>46.888500000000001</v>
      </c>
      <c r="E521" s="24">
        <v>87.340699999999998</v>
      </c>
    </row>
    <row r="522" spans="1:5" ht="15.75" customHeight="1" x14ac:dyDescent="0.4">
      <c r="A522" s="24" t="s">
        <v>1414</v>
      </c>
      <c r="B522" s="24" t="s">
        <v>2187</v>
      </c>
      <c r="C522" s="24">
        <v>100</v>
      </c>
      <c r="D522" s="24">
        <v>100</v>
      </c>
    </row>
    <row r="523" spans="1:5" ht="15.75" customHeight="1" x14ac:dyDescent="0.4">
      <c r="A523" s="24" t="s">
        <v>1881</v>
      </c>
      <c r="B523" s="24" t="s">
        <v>2187</v>
      </c>
      <c r="C523" s="24">
        <v>100</v>
      </c>
      <c r="D523" s="24">
        <v>100</v>
      </c>
    </row>
    <row r="524" spans="1:5" ht="15.75" customHeight="1" x14ac:dyDescent="0.4">
      <c r="A524" s="24" t="s">
        <v>1748</v>
      </c>
      <c r="B524" s="24" t="s">
        <v>2187</v>
      </c>
      <c r="C524" s="24">
        <v>100</v>
      </c>
      <c r="D524" s="24">
        <v>99.431799999999996</v>
      </c>
      <c r="E524" s="24">
        <v>31.9894</v>
      </c>
    </row>
    <row r="525" spans="1:5" ht="15.75" customHeight="1" x14ac:dyDescent="0.4">
      <c r="A525" s="24" t="s">
        <v>1417</v>
      </c>
      <c r="B525" s="24" t="s">
        <v>2187</v>
      </c>
      <c r="C525" s="24">
        <v>100</v>
      </c>
      <c r="D525" s="24">
        <v>100</v>
      </c>
    </row>
    <row r="526" spans="1:5" ht="15.75" customHeight="1" x14ac:dyDescent="0.4">
      <c r="A526" s="24" t="s">
        <v>1498</v>
      </c>
      <c r="B526" s="24" t="s">
        <v>2187</v>
      </c>
      <c r="C526" s="24">
        <v>100</v>
      </c>
      <c r="D526" s="24">
        <v>0.41242800000000002</v>
      </c>
      <c r="E526" s="24">
        <v>100.06399999999999</v>
      </c>
    </row>
    <row r="527" spans="1:5" ht="15.75" customHeight="1" x14ac:dyDescent="0.4">
      <c r="A527" s="24" t="s">
        <v>1821</v>
      </c>
      <c r="B527" s="24" t="s">
        <v>2187</v>
      </c>
      <c r="C527" s="24">
        <v>100</v>
      </c>
      <c r="D527" s="24">
        <v>39.088999999999999</v>
      </c>
      <c r="E527" s="24">
        <v>100.06399999999999</v>
      </c>
    </row>
    <row r="528" spans="1:5" ht="15.75" customHeight="1" x14ac:dyDescent="0.4">
      <c r="A528" s="24" t="s">
        <v>2116</v>
      </c>
      <c r="B528" s="24" t="s">
        <v>2187</v>
      </c>
      <c r="C528" s="24">
        <v>100</v>
      </c>
      <c r="D528" s="24">
        <v>100</v>
      </c>
      <c r="E528" s="24">
        <v>7.6265000000000001</v>
      </c>
    </row>
    <row r="529" spans="1:5" ht="15.75" customHeight="1" x14ac:dyDescent="0.4">
      <c r="A529" s="24" t="s">
        <v>1840</v>
      </c>
      <c r="B529" s="24" t="s">
        <v>2187</v>
      </c>
      <c r="C529" s="24">
        <v>100</v>
      </c>
      <c r="D529" s="24">
        <v>96.755600000000001</v>
      </c>
      <c r="E529" s="24">
        <v>3.6585399999999999</v>
      </c>
    </row>
    <row r="530" spans="1:5" ht="15.75" customHeight="1" x14ac:dyDescent="0.4">
      <c r="A530" s="24" t="s">
        <v>1374</v>
      </c>
      <c r="B530" s="24" t="s">
        <v>2187</v>
      </c>
      <c r="C530" s="24">
        <v>100</v>
      </c>
      <c r="D530" s="24">
        <v>100</v>
      </c>
    </row>
    <row r="531" spans="1:5" ht="15.75" customHeight="1" x14ac:dyDescent="0.4">
      <c r="A531" s="24" t="s">
        <v>1724</v>
      </c>
      <c r="B531" s="24" t="s">
        <v>2187</v>
      </c>
      <c r="C531" s="24">
        <v>100</v>
      </c>
      <c r="D531" s="24">
        <v>97.754599999999996</v>
      </c>
      <c r="E531" s="24">
        <v>91.281400000000005</v>
      </c>
    </row>
    <row r="532" spans="1:5" ht="15.75" customHeight="1" x14ac:dyDescent="0.4">
      <c r="A532" s="24" t="s">
        <v>1328</v>
      </c>
      <c r="B532" s="24" t="s">
        <v>2187</v>
      </c>
      <c r="C532" s="24">
        <v>100</v>
      </c>
      <c r="D532" s="24">
        <v>100</v>
      </c>
    </row>
    <row r="533" spans="1:5" ht="15.75" customHeight="1" x14ac:dyDescent="0.4">
      <c r="A533" s="24" t="s">
        <v>1464</v>
      </c>
      <c r="B533" s="24" t="s">
        <v>2187</v>
      </c>
      <c r="C533" s="24">
        <v>100</v>
      </c>
      <c r="D533" s="24">
        <v>100</v>
      </c>
    </row>
    <row r="534" spans="1:5" ht="15.75" customHeight="1" x14ac:dyDescent="0.4">
      <c r="A534" s="24" t="s">
        <v>1588</v>
      </c>
      <c r="B534" s="24" t="s">
        <v>2187</v>
      </c>
      <c r="C534" s="24">
        <v>100</v>
      </c>
      <c r="D534" s="24">
        <v>100</v>
      </c>
    </row>
    <row r="535" spans="1:5" ht="15.75" customHeight="1" x14ac:dyDescent="0.4">
      <c r="A535" s="24" t="s">
        <v>2099</v>
      </c>
      <c r="B535" s="24" t="s">
        <v>2187</v>
      </c>
      <c r="C535" s="24">
        <v>100</v>
      </c>
      <c r="D535" s="24">
        <v>100</v>
      </c>
    </row>
    <row r="536" spans="1:5" ht="15.75" customHeight="1" x14ac:dyDescent="0.4">
      <c r="A536" s="24" t="s">
        <v>1969</v>
      </c>
      <c r="B536" s="24" t="s">
        <v>2187</v>
      </c>
      <c r="C536" s="24">
        <v>100</v>
      </c>
      <c r="D536" s="24">
        <v>100</v>
      </c>
    </row>
    <row r="537" spans="1:5" ht="15.75" customHeight="1" x14ac:dyDescent="0.4">
      <c r="A537" s="24" t="s">
        <v>1306</v>
      </c>
      <c r="B537" s="24" t="s">
        <v>2187</v>
      </c>
      <c r="C537" s="24">
        <v>99.990799999999993</v>
      </c>
      <c r="D537" s="24">
        <v>99.990799999999993</v>
      </c>
    </row>
    <row r="538" spans="1:5" ht="15.75" customHeight="1" x14ac:dyDescent="0.4">
      <c r="A538" s="24" t="s">
        <v>1637</v>
      </c>
      <c r="B538" s="24" t="s">
        <v>2187</v>
      </c>
      <c r="C538" s="24">
        <v>99.990799999999993</v>
      </c>
      <c r="E538" s="24">
        <v>99.290099999999995</v>
      </c>
    </row>
    <row r="539" spans="1:5" ht="15.75" customHeight="1" x14ac:dyDescent="0.4">
      <c r="A539" s="24" t="s">
        <v>1570</v>
      </c>
      <c r="B539" s="24" t="s">
        <v>2187</v>
      </c>
      <c r="C539" s="24">
        <v>99.990799999999993</v>
      </c>
      <c r="D539" s="24">
        <v>99.990799999999993</v>
      </c>
    </row>
    <row r="540" spans="1:5" ht="15.75" customHeight="1" x14ac:dyDescent="0.4">
      <c r="A540" s="24" t="s">
        <v>1517</v>
      </c>
      <c r="B540" s="24" t="s">
        <v>2187</v>
      </c>
      <c r="C540" s="24">
        <v>99.981700000000004</v>
      </c>
      <c r="D540" s="24">
        <v>7.0296000000000003</v>
      </c>
      <c r="E540" s="24">
        <v>99.281000000000006</v>
      </c>
    </row>
    <row r="541" spans="1:5" ht="15.75" customHeight="1" x14ac:dyDescent="0.4">
      <c r="A541" s="24" t="s">
        <v>1496</v>
      </c>
      <c r="B541" s="24" t="s">
        <v>2187</v>
      </c>
      <c r="C541" s="24">
        <v>99.972499999999997</v>
      </c>
      <c r="D541" s="24">
        <v>99.9358</v>
      </c>
      <c r="E541" s="24">
        <v>3.6402999999999998E-2</v>
      </c>
    </row>
    <row r="542" spans="1:5" ht="15.75" customHeight="1" x14ac:dyDescent="0.4">
      <c r="A542" s="24" t="s">
        <v>722</v>
      </c>
      <c r="B542" s="24" t="s">
        <v>2187</v>
      </c>
      <c r="C542" s="24">
        <v>99.963300000000004</v>
      </c>
      <c r="D542" s="24">
        <v>98.634399999999999</v>
      </c>
      <c r="E542" s="24">
        <v>3.59483</v>
      </c>
    </row>
    <row r="543" spans="1:5" ht="15.75" customHeight="1" x14ac:dyDescent="0.4">
      <c r="A543" s="24" t="s">
        <v>2041</v>
      </c>
      <c r="B543" s="24" t="s">
        <v>2187</v>
      </c>
      <c r="C543" s="24">
        <v>99.963300000000004</v>
      </c>
      <c r="D543" s="24">
        <v>98.744399999999999</v>
      </c>
      <c r="E543" s="24">
        <v>96.714600000000004</v>
      </c>
    </row>
    <row r="544" spans="1:5" ht="15.75" customHeight="1" x14ac:dyDescent="0.4">
      <c r="A544" s="24" t="s">
        <v>1711</v>
      </c>
      <c r="B544" s="24" t="s">
        <v>2187</v>
      </c>
      <c r="C544" s="24">
        <v>99.963300000000004</v>
      </c>
      <c r="D544" s="24">
        <v>99.963300000000004</v>
      </c>
    </row>
    <row r="545" spans="1:5" ht="15.75" customHeight="1" x14ac:dyDescent="0.4">
      <c r="A545" s="24" t="s">
        <v>848</v>
      </c>
      <c r="B545" s="24" t="s">
        <v>2187</v>
      </c>
      <c r="C545" s="24">
        <v>99.963300000000004</v>
      </c>
      <c r="D545" s="24">
        <v>85.931600000000003</v>
      </c>
      <c r="E545" s="24">
        <v>13.933400000000001</v>
      </c>
    </row>
    <row r="546" spans="1:5" ht="15.75" customHeight="1" x14ac:dyDescent="0.4">
      <c r="A546" s="24" t="s">
        <v>1983</v>
      </c>
      <c r="B546" s="24" t="s">
        <v>2187</v>
      </c>
      <c r="C546" s="24">
        <v>99.963300000000004</v>
      </c>
      <c r="D546" s="24">
        <v>99.963300000000004</v>
      </c>
    </row>
    <row r="547" spans="1:5" ht="15.75" customHeight="1" x14ac:dyDescent="0.4">
      <c r="A547" s="24" t="s">
        <v>2153</v>
      </c>
      <c r="B547" s="24" t="s">
        <v>2187</v>
      </c>
      <c r="C547" s="24">
        <v>99.9542</v>
      </c>
      <c r="D547" s="24">
        <v>99.9542</v>
      </c>
    </row>
    <row r="548" spans="1:5" ht="15.75" customHeight="1" x14ac:dyDescent="0.4">
      <c r="A548" s="24" t="s">
        <v>1919</v>
      </c>
      <c r="B548" s="24" t="s">
        <v>2187</v>
      </c>
      <c r="C548" s="24">
        <v>99.9358</v>
      </c>
      <c r="D548" s="24">
        <v>99.9358</v>
      </c>
    </row>
    <row r="549" spans="1:5" ht="15.75" customHeight="1" x14ac:dyDescent="0.4">
      <c r="A549" s="24" t="s">
        <v>1061</v>
      </c>
      <c r="B549" s="24" t="s">
        <v>2187</v>
      </c>
      <c r="C549" s="24">
        <v>99.9358</v>
      </c>
      <c r="D549" s="24">
        <v>99.761700000000005</v>
      </c>
      <c r="E549" s="24">
        <v>1.9293800000000001</v>
      </c>
    </row>
    <row r="550" spans="1:5" ht="15.75" customHeight="1" x14ac:dyDescent="0.4">
      <c r="A550" s="24" t="s">
        <v>233</v>
      </c>
      <c r="B550" s="24" t="s">
        <v>2187</v>
      </c>
      <c r="C550" s="24">
        <v>99.9358</v>
      </c>
      <c r="D550" s="24">
        <v>99.9358</v>
      </c>
    </row>
    <row r="551" spans="1:5" ht="15.75" customHeight="1" x14ac:dyDescent="0.4">
      <c r="A551" s="24" t="s">
        <v>1368</v>
      </c>
      <c r="B551" s="24" t="s">
        <v>2187</v>
      </c>
      <c r="C551" s="24">
        <v>99.9358</v>
      </c>
      <c r="D551" s="24">
        <v>99.9358</v>
      </c>
      <c r="E551" s="24">
        <v>79.887100000000004</v>
      </c>
    </row>
    <row r="552" spans="1:5" ht="15.75" customHeight="1" x14ac:dyDescent="0.4">
      <c r="A552" s="24" t="s">
        <v>691</v>
      </c>
      <c r="B552" s="24" t="s">
        <v>2187</v>
      </c>
      <c r="C552" s="24">
        <v>99.9358</v>
      </c>
      <c r="D552" s="24">
        <v>97.360500000000002</v>
      </c>
      <c r="E552" s="24">
        <v>28.876999999999999</v>
      </c>
    </row>
    <row r="553" spans="1:5" ht="15.75" customHeight="1" x14ac:dyDescent="0.4">
      <c r="A553" s="24" t="s">
        <v>1804</v>
      </c>
      <c r="B553" s="24" t="s">
        <v>2187</v>
      </c>
      <c r="C553" s="24">
        <v>99.926699999999997</v>
      </c>
      <c r="D553" s="24">
        <v>99.853399999999993</v>
      </c>
      <c r="E553" s="24">
        <v>1.01929</v>
      </c>
    </row>
    <row r="554" spans="1:5" ht="15.75" customHeight="1" x14ac:dyDescent="0.4">
      <c r="A554" s="24" t="s">
        <v>1449</v>
      </c>
      <c r="B554" s="24" t="s">
        <v>2187</v>
      </c>
      <c r="C554" s="24">
        <v>99.926699999999997</v>
      </c>
      <c r="D554" s="24">
        <v>99.926699999999997</v>
      </c>
    </row>
    <row r="555" spans="1:5" ht="15.75" customHeight="1" x14ac:dyDescent="0.4">
      <c r="A555" s="24" t="s">
        <v>1128</v>
      </c>
      <c r="B555" s="24" t="s">
        <v>2187</v>
      </c>
      <c r="C555" s="24">
        <v>99.917500000000004</v>
      </c>
      <c r="D555" s="24">
        <v>99.917500000000004</v>
      </c>
    </row>
    <row r="556" spans="1:5" ht="15.75" customHeight="1" x14ac:dyDescent="0.4">
      <c r="A556" s="24" t="s">
        <v>954</v>
      </c>
      <c r="B556" s="24" t="s">
        <v>2187</v>
      </c>
      <c r="C556" s="24">
        <v>99.917500000000004</v>
      </c>
      <c r="D556" s="24">
        <v>99.78</v>
      </c>
      <c r="E556" s="24">
        <v>0.28212599999999999</v>
      </c>
    </row>
    <row r="557" spans="1:5" ht="15.75" customHeight="1" x14ac:dyDescent="0.4">
      <c r="A557" s="24" t="s">
        <v>1779</v>
      </c>
      <c r="B557" s="24" t="s">
        <v>2187</v>
      </c>
      <c r="C557" s="24">
        <v>99.908299999999997</v>
      </c>
      <c r="D557" s="24">
        <v>99.908299999999997</v>
      </c>
    </row>
    <row r="558" spans="1:5" ht="15.75" customHeight="1" x14ac:dyDescent="0.4">
      <c r="A558" s="24" t="s">
        <v>2072</v>
      </c>
      <c r="B558" s="24" t="s">
        <v>2187</v>
      </c>
      <c r="C558" s="24">
        <v>99.908299999999997</v>
      </c>
      <c r="D558" s="24">
        <v>99.908299999999997</v>
      </c>
    </row>
    <row r="559" spans="1:5" ht="15.75" customHeight="1" x14ac:dyDescent="0.4">
      <c r="A559" s="24" t="s">
        <v>2064</v>
      </c>
      <c r="B559" s="24" t="s">
        <v>2187</v>
      </c>
      <c r="C559" s="24">
        <v>99.899199999999993</v>
      </c>
      <c r="E559" s="24">
        <v>99.199100000000001</v>
      </c>
    </row>
    <row r="560" spans="1:5" ht="15.75" customHeight="1" x14ac:dyDescent="0.4">
      <c r="A560" s="24" t="s">
        <v>2079</v>
      </c>
      <c r="B560" s="24" t="s">
        <v>2187</v>
      </c>
      <c r="C560" s="24">
        <v>99.899199999999993</v>
      </c>
      <c r="D560" s="24">
        <v>99.862499999999997</v>
      </c>
      <c r="E560" s="24">
        <v>2.6119400000000002</v>
      </c>
    </row>
    <row r="561" spans="1:5" ht="15.75" customHeight="1" x14ac:dyDescent="0.4">
      <c r="A561" s="24" t="s">
        <v>1714</v>
      </c>
      <c r="B561" s="24" t="s">
        <v>2187</v>
      </c>
      <c r="C561" s="24">
        <v>99.89</v>
      </c>
      <c r="D561" s="24">
        <v>99.807500000000005</v>
      </c>
      <c r="E561" s="24">
        <v>3.1943899999999998</v>
      </c>
    </row>
    <row r="562" spans="1:5" ht="15.75" customHeight="1" x14ac:dyDescent="0.4">
      <c r="A562" s="24" t="s">
        <v>1622</v>
      </c>
      <c r="B562" s="24" t="s">
        <v>2187</v>
      </c>
      <c r="C562" s="24">
        <v>99.89</v>
      </c>
      <c r="D562" s="24">
        <v>99.89</v>
      </c>
    </row>
    <row r="563" spans="1:5" ht="15.75" customHeight="1" x14ac:dyDescent="0.4">
      <c r="A563" s="24" t="s">
        <v>1776</v>
      </c>
      <c r="B563" s="24" t="s">
        <v>2187</v>
      </c>
      <c r="C563" s="24">
        <v>99.880899999999997</v>
      </c>
      <c r="D563" s="24">
        <v>86.206599999999995</v>
      </c>
      <c r="E563" s="24">
        <v>95.103800000000007</v>
      </c>
    </row>
    <row r="564" spans="1:5" ht="15.75" customHeight="1" x14ac:dyDescent="0.4">
      <c r="A564" s="24" t="s">
        <v>1854</v>
      </c>
      <c r="B564" s="24" t="s">
        <v>2187</v>
      </c>
      <c r="C564" s="24">
        <v>99.880899999999997</v>
      </c>
      <c r="D564" s="24">
        <v>99.880899999999997</v>
      </c>
    </row>
    <row r="565" spans="1:5" ht="15.75" customHeight="1" x14ac:dyDescent="0.4">
      <c r="A565" s="24" t="s">
        <v>1180</v>
      </c>
      <c r="B565" s="24" t="s">
        <v>2187</v>
      </c>
      <c r="C565" s="24">
        <v>99.880899999999997</v>
      </c>
      <c r="D565" s="24">
        <v>99.880899999999997</v>
      </c>
    </row>
    <row r="566" spans="1:5" ht="15.75" customHeight="1" x14ac:dyDescent="0.4">
      <c r="A566" s="24" t="s">
        <v>1472</v>
      </c>
      <c r="B566" s="24" t="s">
        <v>2187</v>
      </c>
      <c r="C566" s="24">
        <v>99.871700000000004</v>
      </c>
      <c r="D566" s="24">
        <v>99.871700000000004</v>
      </c>
    </row>
    <row r="567" spans="1:5" ht="15.75" customHeight="1" x14ac:dyDescent="0.4">
      <c r="A567" s="24" t="s">
        <v>1442</v>
      </c>
      <c r="B567" s="24" t="s">
        <v>2187</v>
      </c>
      <c r="C567" s="24">
        <v>99.871700000000004</v>
      </c>
      <c r="E567" s="24">
        <v>99.171800000000005</v>
      </c>
    </row>
    <row r="568" spans="1:5" ht="15.75" customHeight="1" x14ac:dyDescent="0.4">
      <c r="A568" s="24" t="s">
        <v>1355</v>
      </c>
      <c r="B568" s="24" t="s">
        <v>2187</v>
      </c>
      <c r="C568" s="24">
        <v>99.853399999999993</v>
      </c>
      <c r="E568" s="24">
        <v>99.153599999999997</v>
      </c>
    </row>
    <row r="569" spans="1:5" ht="15.75" customHeight="1" x14ac:dyDescent="0.4">
      <c r="A569" s="24" t="s">
        <v>2108</v>
      </c>
      <c r="B569" s="24" t="s">
        <v>2187</v>
      </c>
      <c r="C569" s="24">
        <v>99.853399999999993</v>
      </c>
      <c r="D569" s="24">
        <v>99.853399999999993</v>
      </c>
    </row>
    <row r="570" spans="1:5" ht="15.75" customHeight="1" x14ac:dyDescent="0.4">
      <c r="A570" s="24" t="s">
        <v>1425</v>
      </c>
      <c r="B570" s="24" t="s">
        <v>2187</v>
      </c>
      <c r="C570" s="24">
        <v>99.844200000000001</v>
      </c>
      <c r="D570" s="24">
        <v>99.725099999999998</v>
      </c>
      <c r="E570" s="24">
        <v>14.898099999999999</v>
      </c>
    </row>
    <row r="571" spans="1:5" ht="15.75" customHeight="1" x14ac:dyDescent="0.4">
      <c r="A571" s="24" t="s">
        <v>1846</v>
      </c>
      <c r="B571" s="24" t="s">
        <v>2187</v>
      </c>
      <c r="C571" s="24">
        <v>99.834999999999994</v>
      </c>
      <c r="D571" s="24">
        <v>99.055999999999997</v>
      </c>
      <c r="E571" s="24">
        <v>94.457599999999999</v>
      </c>
    </row>
    <row r="572" spans="1:5" ht="15.75" customHeight="1" x14ac:dyDescent="0.4">
      <c r="A572" s="24" t="s">
        <v>1656</v>
      </c>
      <c r="B572" s="24" t="s">
        <v>2187</v>
      </c>
      <c r="C572" s="24">
        <v>99.825900000000004</v>
      </c>
      <c r="D572" s="24">
        <v>99.825900000000004</v>
      </c>
    </row>
    <row r="573" spans="1:5" ht="15.75" customHeight="1" x14ac:dyDescent="0.4">
      <c r="A573" s="24" t="s">
        <v>1948</v>
      </c>
      <c r="B573" s="24" t="s">
        <v>2187</v>
      </c>
      <c r="C573" s="24">
        <v>99.825900000000004</v>
      </c>
      <c r="D573" s="24">
        <v>61.460900000000002</v>
      </c>
      <c r="E573" s="24">
        <v>59.237400000000001</v>
      </c>
    </row>
    <row r="574" spans="1:5" ht="15.75" customHeight="1" x14ac:dyDescent="0.4">
      <c r="A574" s="24" t="s">
        <v>229</v>
      </c>
      <c r="B574" s="24" t="s">
        <v>2187</v>
      </c>
      <c r="C574" s="24">
        <v>99.825900000000004</v>
      </c>
      <c r="D574" s="24">
        <v>64.604500000000002</v>
      </c>
      <c r="E574" s="24">
        <v>47.943199999999997</v>
      </c>
    </row>
    <row r="575" spans="1:5" ht="15.75" customHeight="1" x14ac:dyDescent="0.4">
      <c r="A575" s="24" t="s">
        <v>1895</v>
      </c>
      <c r="B575" s="24" t="s">
        <v>2187</v>
      </c>
      <c r="C575" s="24">
        <v>99.825900000000004</v>
      </c>
      <c r="D575" s="24">
        <v>99.825900000000004</v>
      </c>
    </row>
    <row r="576" spans="1:5" ht="15.75" customHeight="1" x14ac:dyDescent="0.4">
      <c r="A576" s="24" t="s">
        <v>1276</v>
      </c>
      <c r="B576" s="24" t="s">
        <v>2187</v>
      </c>
      <c r="C576" s="24">
        <v>99.816699999999997</v>
      </c>
      <c r="D576" s="24">
        <v>23.416699999999999</v>
      </c>
      <c r="E576" s="24">
        <v>99.117199999999997</v>
      </c>
    </row>
    <row r="577" spans="1:5" ht="15.75" customHeight="1" x14ac:dyDescent="0.4">
      <c r="A577" s="24" t="s">
        <v>1514</v>
      </c>
      <c r="B577" s="24" t="s">
        <v>2187</v>
      </c>
      <c r="C577" s="24">
        <v>99.816699999999997</v>
      </c>
      <c r="D577" s="24">
        <v>99.816699999999997</v>
      </c>
    </row>
    <row r="578" spans="1:5" ht="15.75" customHeight="1" x14ac:dyDescent="0.4">
      <c r="A578" s="24" t="s">
        <v>1829</v>
      </c>
      <c r="B578" s="24" t="s">
        <v>2187</v>
      </c>
      <c r="C578" s="24">
        <v>99.798400000000001</v>
      </c>
      <c r="D578" s="24">
        <v>99.798400000000001</v>
      </c>
    </row>
    <row r="579" spans="1:5" ht="15.75" customHeight="1" x14ac:dyDescent="0.4">
      <c r="A579" s="24" t="s">
        <v>1952</v>
      </c>
      <c r="B579" s="24" t="s">
        <v>2187</v>
      </c>
      <c r="C579" s="24">
        <v>99.798400000000001</v>
      </c>
      <c r="D579" s="24">
        <v>99.633399999999995</v>
      </c>
      <c r="E579" s="24">
        <v>1.33782</v>
      </c>
    </row>
    <row r="580" spans="1:5" ht="15.75" customHeight="1" x14ac:dyDescent="0.4">
      <c r="A580" s="24" t="s">
        <v>1458</v>
      </c>
      <c r="B580" s="24" t="s">
        <v>2187</v>
      </c>
      <c r="C580" s="24">
        <v>99.78</v>
      </c>
      <c r="D580" s="24">
        <v>99.734200000000001</v>
      </c>
      <c r="E580" s="24">
        <v>46.696399999999997</v>
      </c>
    </row>
    <row r="581" spans="1:5" ht="15.75" customHeight="1" x14ac:dyDescent="0.4">
      <c r="A581" s="24" t="s">
        <v>1951</v>
      </c>
      <c r="B581" s="24" t="s">
        <v>2187</v>
      </c>
      <c r="C581" s="24">
        <v>99.78</v>
      </c>
      <c r="D581" s="24">
        <v>99.78</v>
      </c>
    </row>
    <row r="582" spans="1:5" ht="15.75" customHeight="1" x14ac:dyDescent="0.4">
      <c r="A582" s="24" t="s">
        <v>2067</v>
      </c>
      <c r="B582" s="24" t="s">
        <v>2187</v>
      </c>
      <c r="C582" s="24">
        <v>99.752499999999998</v>
      </c>
      <c r="D582" s="24">
        <v>99.752499999999998</v>
      </c>
    </row>
    <row r="583" spans="1:5" ht="15.75" customHeight="1" x14ac:dyDescent="0.4">
      <c r="A583" s="24" t="s">
        <v>1590</v>
      </c>
      <c r="B583" s="24" t="s">
        <v>2187</v>
      </c>
      <c r="C583" s="24">
        <v>99.752499999999998</v>
      </c>
      <c r="D583" s="24">
        <v>99.752499999999998</v>
      </c>
      <c r="E583" s="24">
        <v>29.5868</v>
      </c>
    </row>
    <row r="584" spans="1:5" ht="15.75" customHeight="1" x14ac:dyDescent="0.4">
      <c r="A584" s="24" t="s">
        <v>1669</v>
      </c>
      <c r="B584" s="24" t="s">
        <v>2187</v>
      </c>
      <c r="C584" s="24">
        <v>99.734200000000001</v>
      </c>
      <c r="D584" s="24">
        <v>99.202600000000004</v>
      </c>
      <c r="E584" s="24">
        <v>59.865299999999998</v>
      </c>
    </row>
    <row r="585" spans="1:5" ht="15.75" customHeight="1" x14ac:dyDescent="0.4">
      <c r="A585" s="24" t="s">
        <v>1049</v>
      </c>
      <c r="B585" s="24" t="s">
        <v>2187</v>
      </c>
      <c r="C585" s="24">
        <v>99.734200000000001</v>
      </c>
      <c r="D585" s="24">
        <v>99.734200000000001</v>
      </c>
    </row>
    <row r="586" spans="1:5" ht="15.75" customHeight="1" x14ac:dyDescent="0.4">
      <c r="A586" s="24" t="s">
        <v>1552</v>
      </c>
      <c r="B586" s="24" t="s">
        <v>2187</v>
      </c>
      <c r="C586" s="24">
        <v>99.725099999999998</v>
      </c>
      <c r="D586" s="24">
        <v>99.725099999999998</v>
      </c>
    </row>
    <row r="587" spans="1:5" ht="15.75" customHeight="1" x14ac:dyDescent="0.4">
      <c r="A587" s="24" t="s">
        <v>1610</v>
      </c>
      <c r="B587" s="24" t="s">
        <v>2187</v>
      </c>
      <c r="C587" s="24">
        <v>99.725099999999998</v>
      </c>
      <c r="D587" s="24">
        <v>99.725099999999998</v>
      </c>
    </row>
    <row r="588" spans="1:5" ht="15.75" customHeight="1" x14ac:dyDescent="0.4">
      <c r="A588" s="24" t="s">
        <v>1655</v>
      </c>
      <c r="B588" s="24" t="s">
        <v>2187</v>
      </c>
      <c r="C588" s="24">
        <v>99.706699999999998</v>
      </c>
      <c r="D588" s="24">
        <v>99.706699999999998</v>
      </c>
    </row>
    <row r="589" spans="1:5" ht="15.75" customHeight="1" x14ac:dyDescent="0.4">
      <c r="A589" s="24" t="s">
        <v>1990</v>
      </c>
      <c r="B589" s="24" t="s">
        <v>2187</v>
      </c>
      <c r="C589" s="24">
        <v>99.697599999999994</v>
      </c>
      <c r="D589" s="24">
        <v>99.569199999999995</v>
      </c>
      <c r="E589" s="24">
        <v>0.92828500000000003</v>
      </c>
    </row>
    <row r="590" spans="1:5" ht="15.75" customHeight="1" x14ac:dyDescent="0.4">
      <c r="A590" s="24" t="s">
        <v>2032</v>
      </c>
      <c r="B590" s="24" t="s">
        <v>2187</v>
      </c>
      <c r="C590" s="24">
        <v>99.697599999999994</v>
      </c>
      <c r="D590" s="24">
        <v>99.697599999999994</v>
      </c>
    </row>
    <row r="591" spans="1:5" ht="15.75" customHeight="1" x14ac:dyDescent="0.4">
      <c r="A591" s="24" t="s">
        <v>1652</v>
      </c>
      <c r="B591" s="24" t="s">
        <v>2187</v>
      </c>
      <c r="C591" s="24">
        <v>99.697599999999994</v>
      </c>
      <c r="D591" s="24">
        <v>99.697599999999994</v>
      </c>
    </row>
    <row r="592" spans="1:5" ht="15.75" customHeight="1" x14ac:dyDescent="0.4">
      <c r="A592" s="24" t="s">
        <v>1883</v>
      </c>
      <c r="B592" s="24" t="s">
        <v>2187</v>
      </c>
      <c r="C592" s="24">
        <v>99.688400000000001</v>
      </c>
      <c r="D592" s="24">
        <v>99.688400000000001</v>
      </c>
    </row>
    <row r="593" spans="1:5" ht="15.75" customHeight="1" x14ac:dyDescent="0.4">
      <c r="A593" s="24" t="s">
        <v>1664</v>
      </c>
      <c r="B593" s="24" t="s">
        <v>2187</v>
      </c>
      <c r="C593" s="24">
        <v>99.688400000000001</v>
      </c>
      <c r="D593" s="24">
        <v>99.688400000000001</v>
      </c>
    </row>
    <row r="594" spans="1:5" ht="15.75" customHeight="1" x14ac:dyDescent="0.4">
      <c r="A594" s="24" t="s">
        <v>1865</v>
      </c>
      <c r="B594" s="24" t="s">
        <v>2187</v>
      </c>
      <c r="C594" s="24">
        <v>99.660899999999998</v>
      </c>
      <c r="D594" s="24">
        <v>99.660899999999998</v>
      </c>
    </row>
    <row r="595" spans="1:5" ht="15.75" customHeight="1" x14ac:dyDescent="0.4">
      <c r="A595" s="24" t="s">
        <v>1644</v>
      </c>
      <c r="B595" s="24" t="s">
        <v>2187</v>
      </c>
      <c r="C595" s="24">
        <v>99.660899999999998</v>
      </c>
      <c r="D595" s="24">
        <v>99.660899999999998</v>
      </c>
    </row>
    <row r="596" spans="1:5" ht="15.75" customHeight="1" x14ac:dyDescent="0.4">
      <c r="A596" s="24" t="s">
        <v>1580</v>
      </c>
      <c r="B596" s="24" t="s">
        <v>2187</v>
      </c>
      <c r="C596" s="24">
        <v>99.651700000000005</v>
      </c>
      <c r="D596" s="24">
        <v>99.651700000000005</v>
      </c>
    </row>
    <row r="597" spans="1:5" ht="15.75" customHeight="1" x14ac:dyDescent="0.4">
      <c r="A597" s="24" t="s">
        <v>734</v>
      </c>
      <c r="B597" s="24" t="s">
        <v>2187</v>
      </c>
      <c r="C597" s="24">
        <v>99.642600000000002</v>
      </c>
      <c r="D597" s="24">
        <v>99.642600000000002</v>
      </c>
      <c r="E597" s="24">
        <v>0.74626899999999996</v>
      </c>
    </row>
    <row r="598" spans="1:5" ht="15.75" customHeight="1" x14ac:dyDescent="0.4">
      <c r="A598" s="24" t="s">
        <v>1508</v>
      </c>
      <c r="B598" s="24" t="s">
        <v>2187</v>
      </c>
      <c r="C598" s="24">
        <v>99.642600000000002</v>
      </c>
      <c r="D598" s="24">
        <v>99.642600000000002</v>
      </c>
    </row>
    <row r="599" spans="1:5" ht="15.75" customHeight="1" x14ac:dyDescent="0.4">
      <c r="A599" s="24" t="s">
        <v>1795</v>
      </c>
      <c r="B599" s="24" t="s">
        <v>2187</v>
      </c>
      <c r="C599" s="24">
        <v>99.633399999999995</v>
      </c>
      <c r="D599" s="24">
        <v>99.633399999999995</v>
      </c>
    </row>
    <row r="600" spans="1:5" ht="15.75" customHeight="1" x14ac:dyDescent="0.4">
      <c r="A600" s="24" t="s">
        <v>1055</v>
      </c>
      <c r="B600" s="24" t="s">
        <v>2187</v>
      </c>
      <c r="C600" s="24">
        <v>99.624200000000002</v>
      </c>
      <c r="E600" s="24">
        <v>98.926100000000005</v>
      </c>
    </row>
    <row r="601" spans="1:5" ht="15.75" customHeight="1" x14ac:dyDescent="0.4">
      <c r="A601" s="24" t="s">
        <v>1680</v>
      </c>
      <c r="B601" s="24" t="s">
        <v>2187</v>
      </c>
      <c r="C601" s="24">
        <v>99.624200000000002</v>
      </c>
      <c r="D601" s="24">
        <v>99.624200000000002</v>
      </c>
    </row>
    <row r="602" spans="1:5" ht="15.75" customHeight="1" x14ac:dyDescent="0.4">
      <c r="A602" s="24" t="s">
        <v>1822</v>
      </c>
      <c r="B602" s="24" t="s">
        <v>2187</v>
      </c>
      <c r="C602" s="24">
        <v>99.624200000000002</v>
      </c>
      <c r="D602" s="24">
        <v>99.624200000000002</v>
      </c>
    </row>
    <row r="603" spans="1:5" ht="15.75" customHeight="1" x14ac:dyDescent="0.4">
      <c r="A603" s="24" t="s">
        <v>1657</v>
      </c>
      <c r="B603" s="24" t="s">
        <v>2187</v>
      </c>
      <c r="C603" s="24">
        <v>99.624200000000002</v>
      </c>
      <c r="D603" s="24">
        <v>99.440899999999999</v>
      </c>
      <c r="E603" s="24">
        <v>84.537700000000001</v>
      </c>
    </row>
    <row r="604" spans="1:5" ht="15.75" customHeight="1" x14ac:dyDescent="0.4">
      <c r="A604" s="24" t="s">
        <v>1754</v>
      </c>
      <c r="B604" s="24" t="s">
        <v>2187</v>
      </c>
      <c r="C604" s="24">
        <v>99.605900000000005</v>
      </c>
      <c r="D604" s="24">
        <v>99.605900000000005</v>
      </c>
    </row>
    <row r="605" spans="1:5" ht="15.75" customHeight="1" x14ac:dyDescent="0.4">
      <c r="A605" s="24" t="s">
        <v>1642</v>
      </c>
      <c r="B605" s="24" t="s">
        <v>2187</v>
      </c>
      <c r="C605" s="24">
        <v>99.605900000000005</v>
      </c>
      <c r="D605" s="24">
        <v>99.605900000000005</v>
      </c>
    </row>
    <row r="606" spans="1:5" ht="15.75" customHeight="1" x14ac:dyDescent="0.4">
      <c r="A606" s="24" t="s">
        <v>639</v>
      </c>
      <c r="B606" s="24" t="s">
        <v>2187</v>
      </c>
      <c r="C606" s="24">
        <v>99.596699999999998</v>
      </c>
      <c r="D606" s="24">
        <v>99.1935</v>
      </c>
      <c r="E606" s="24">
        <v>93.010599999999997</v>
      </c>
    </row>
    <row r="607" spans="1:5" ht="15.75" customHeight="1" x14ac:dyDescent="0.4">
      <c r="A607" s="24" t="s">
        <v>1088</v>
      </c>
      <c r="B607" s="24" t="s">
        <v>2187</v>
      </c>
      <c r="C607" s="24">
        <v>99.587599999999995</v>
      </c>
      <c r="D607" s="24">
        <v>99.587599999999995</v>
      </c>
    </row>
    <row r="608" spans="1:5" ht="15.75" customHeight="1" x14ac:dyDescent="0.4">
      <c r="A608" s="24" t="s">
        <v>1887</v>
      </c>
      <c r="B608" s="24" t="s">
        <v>2187</v>
      </c>
      <c r="C608" s="24">
        <v>99.578400000000002</v>
      </c>
      <c r="D608" s="24">
        <v>0.66905000000000003</v>
      </c>
      <c r="E608" s="24">
        <v>98.880600000000001</v>
      </c>
    </row>
    <row r="609" spans="1:5" ht="15.75" customHeight="1" x14ac:dyDescent="0.4">
      <c r="A609" s="24" t="s">
        <v>1698</v>
      </c>
      <c r="B609" s="24" t="s">
        <v>2187</v>
      </c>
      <c r="C609" s="24">
        <v>99.550899999999999</v>
      </c>
      <c r="D609" s="24">
        <v>99.550899999999999</v>
      </c>
    </row>
    <row r="610" spans="1:5" ht="15.75" customHeight="1" x14ac:dyDescent="0.4">
      <c r="A610" s="24" t="s">
        <v>1811</v>
      </c>
      <c r="B610" s="24" t="s">
        <v>2187</v>
      </c>
      <c r="C610" s="24">
        <v>99.532600000000002</v>
      </c>
      <c r="D610" s="24">
        <v>83.356200000000001</v>
      </c>
      <c r="E610" s="24">
        <v>51.2286</v>
      </c>
    </row>
    <row r="611" spans="1:5" ht="15.75" customHeight="1" x14ac:dyDescent="0.4">
      <c r="A611" s="24" t="s">
        <v>1485</v>
      </c>
      <c r="B611" s="24" t="s">
        <v>2187</v>
      </c>
      <c r="C611" s="24">
        <v>99.532600000000002</v>
      </c>
      <c r="D611" s="24">
        <v>99.532600000000002</v>
      </c>
    </row>
    <row r="612" spans="1:5" ht="15.75" customHeight="1" x14ac:dyDescent="0.4">
      <c r="A612" s="24" t="s">
        <v>919</v>
      </c>
      <c r="B612" s="24" t="s">
        <v>2187</v>
      </c>
      <c r="C612" s="24">
        <v>99.532600000000002</v>
      </c>
      <c r="D612" s="24">
        <v>99.532600000000002</v>
      </c>
    </row>
    <row r="613" spans="1:5" ht="15.75" customHeight="1" x14ac:dyDescent="0.4">
      <c r="A613" s="24" t="s">
        <v>1444</v>
      </c>
      <c r="B613" s="24" t="s">
        <v>2187</v>
      </c>
      <c r="C613" s="24">
        <v>99.532600000000002</v>
      </c>
      <c r="D613" s="24">
        <v>99.532600000000002</v>
      </c>
    </row>
    <row r="614" spans="1:5" ht="15.75" customHeight="1" x14ac:dyDescent="0.4">
      <c r="A614" s="24" t="s">
        <v>2031</v>
      </c>
      <c r="B614" s="24" t="s">
        <v>2187</v>
      </c>
      <c r="C614" s="24">
        <v>99.523399999999995</v>
      </c>
      <c r="D614" s="24">
        <v>99.523399999999995</v>
      </c>
    </row>
    <row r="615" spans="1:5" ht="15.75" customHeight="1" x14ac:dyDescent="0.4">
      <c r="A615" s="24" t="s">
        <v>1594</v>
      </c>
      <c r="B615" s="24" t="s">
        <v>2187</v>
      </c>
      <c r="C615" s="24">
        <v>99.514300000000006</v>
      </c>
      <c r="D615" s="24">
        <v>6.41554</v>
      </c>
      <c r="E615" s="24">
        <v>98.816900000000004</v>
      </c>
    </row>
    <row r="616" spans="1:5" ht="15.75" customHeight="1" x14ac:dyDescent="0.4">
      <c r="A616" s="24" t="s">
        <v>845</v>
      </c>
      <c r="B616" s="24" t="s">
        <v>2187</v>
      </c>
      <c r="C616" s="24">
        <v>99.505099999999999</v>
      </c>
      <c r="D616" s="24">
        <v>99.505099999999999</v>
      </c>
    </row>
    <row r="617" spans="1:5" ht="15.75" customHeight="1" x14ac:dyDescent="0.4">
      <c r="A617" s="24" t="s">
        <v>1477</v>
      </c>
      <c r="B617" s="24" t="s">
        <v>2187</v>
      </c>
      <c r="C617" s="24">
        <v>99.505099999999999</v>
      </c>
      <c r="D617" s="24">
        <v>99.505099999999999</v>
      </c>
    </row>
    <row r="618" spans="1:5" ht="15.75" customHeight="1" x14ac:dyDescent="0.4">
      <c r="A618" s="24" t="s">
        <v>1065</v>
      </c>
      <c r="B618" s="24" t="s">
        <v>2187</v>
      </c>
      <c r="C618" s="24">
        <v>99.505099999999999</v>
      </c>
      <c r="D618" s="24">
        <v>99.1751</v>
      </c>
      <c r="E618" s="24">
        <v>1.8565700000000001</v>
      </c>
    </row>
    <row r="619" spans="1:5" ht="15.75" customHeight="1" x14ac:dyDescent="0.4">
      <c r="A619" s="24" t="s">
        <v>1479</v>
      </c>
      <c r="B619" s="24" t="s">
        <v>2187</v>
      </c>
      <c r="C619" s="24">
        <v>99.505099999999999</v>
      </c>
      <c r="E619" s="24">
        <v>98.8078</v>
      </c>
    </row>
    <row r="620" spans="1:5" ht="15.75" customHeight="1" x14ac:dyDescent="0.4">
      <c r="A620" s="24" t="s">
        <v>1166</v>
      </c>
      <c r="B620" s="24" t="s">
        <v>2187</v>
      </c>
      <c r="C620" s="24">
        <v>99.505099999999999</v>
      </c>
      <c r="D620" s="24">
        <v>99.505099999999999</v>
      </c>
    </row>
    <row r="621" spans="1:5" ht="15.75" customHeight="1" x14ac:dyDescent="0.4">
      <c r="A621" s="24" t="s">
        <v>1516</v>
      </c>
      <c r="B621" s="24" t="s">
        <v>2187</v>
      </c>
      <c r="C621" s="24">
        <v>99.495900000000006</v>
      </c>
      <c r="D621" s="24">
        <v>99.495900000000006</v>
      </c>
    </row>
    <row r="622" spans="1:5" ht="15.75" customHeight="1" x14ac:dyDescent="0.4">
      <c r="A622" s="24" t="s">
        <v>1505</v>
      </c>
      <c r="B622" s="24" t="s">
        <v>2187</v>
      </c>
      <c r="C622" s="24">
        <v>99.431799999999996</v>
      </c>
      <c r="D622" s="24">
        <v>99.431799999999996</v>
      </c>
    </row>
    <row r="623" spans="1:5" ht="15.75" customHeight="1" x14ac:dyDescent="0.4">
      <c r="A623" s="24" t="s">
        <v>1388</v>
      </c>
      <c r="B623" s="24" t="s">
        <v>2187</v>
      </c>
      <c r="C623" s="24">
        <v>99.431799999999996</v>
      </c>
      <c r="D623" s="24">
        <v>99.431799999999996</v>
      </c>
    </row>
    <row r="624" spans="1:5" ht="15.75" customHeight="1" x14ac:dyDescent="0.4">
      <c r="A624" s="24" t="s">
        <v>1565</v>
      </c>
      <c r="B624" s="24" t="s">
        <v>2187</v>
      </c>
      <c r="C624" s="24">
        <v>99.422600000000003</v>
      </c>
      <c r="D624" s="24">
        <v>99.422600000000003</v>
      </c>
    </row>
    <row r="625" spans="1:5" ht="15.75" customHeight="1" x14ac:dyDescent="0.4">
      <c r="A625" s="24" t="s">
        <v>1419</v>
      </c>
      <c r="B625" s="24" t="s">
        <v>2187</v>
      </c>
      <c r="C625" s="24">
        <v>99.413399999999996</v>
      </c>
      <c r="D625" s="24">
        <v>99.413399999999996</v>
      </c>
    </row>
    <row r="626" spans="1:5" ht="15.75" customHeight="1" x14ac:dyDescent="0.4">
      <c r="A626" s="24" t="s">
        <v>2112</v>
      </c>
      <c r="B626" s="24" t="s">
        <v>2187</v>
      </c>
      <c r="C626" s="24">
        <v>99.413399999999996</v>
      </c>
      <c r="D626" s="24">
        <v>87.058899999999994</v>
      </c>
      <c r="E626" s="24">
        <v>12.267899999999999</v>
      </c>
    </row>
    <row r="627" spans="1:5" ht="15.75" customHeight="1" x14ac:dyDescent="0.4">
      <c r="A627" s="24" t="s">
        <v>1572</v>
      </c>
      <c r="B627" s="24" t="s">
        <v>2187</v>
      </c>
      <c r="C627" s="24">
        <v>99.385900000000007</v>
      </c>
      <c r="E627" s="24">
        <v>98.689499999999995</v>
      </c>
    </row>
    <row r="628" spans="1:5" ht="15.75" customHeight="1" x14ac:dyDescent="0.4">
      <c r="A628" s="24" t="s">
        <v>1102</v>
      </c>
      <c r="B628" s="24" t="s">
        <v>2187</v>
      </c>
      <c r="C628" s="24">
        <v>99.367599999999996</v>
      </c>
      <c r="D628" s="24">
        <v>99.367599999999996</v>
      </c>
    </row>
    <row r="629" spans="1:5" ht="15.75" customHeight="1" x14ac:dyDescent="0.4">
      <c r="A629" s="24" t="s">
        <v>2155</v>
      </c>
      <c r="B629" s="24" t="s">
        <v>2187</v>
      </c>
      <c r="C629" s="24">
        <v>99.367599999999996</v>
      </c>
      <c r="D629" s="24">
        <v>99.248500000000007</v>
      </c>
      <c r="E629" s="24">
        <v>0.573353</v>
      </c>
    </row>
    <row r="630" spans="1:5" ht="15.75" customHeight="1" x14ac:dyDescent="0.4">
      <c r="A630" s="24" t="s">
        <v>1499</v>
      </c>
      <c r="B630" s="24" t="s">
        <v>2187</v>
      </c>
      <c r="C630" s="24">
        <v>99.358400000000003</v>
      </c>
      <c r="D630" s="24">
        <v>99.358400000000003</v>
      </c>
    </row>
    <row r="631" spans="1:5" ht="15.75" customHeight="1" x14ac:dyDescent="0.4">
      <c r="A631" s="24" t="s">
        <v>1987</v>
      </c>
      <c r="B631" s="24" t="s">
        <v>2187</v>
      </c>
      <c r="C631" s="24">
        <v>99.349299999999999</v>
      </c>
      <c r="D631" s="24">
        <v>99.349299999999999</v>
      </c>
    </row>
    <row r="632" spans="1:5" ht="15.75" customHeight="1" x14ac:dyDescent="0.4">
      <c r="A632" s="24" t="s">
        <v>1274</v>
      </c>
      <c r="B632" s="24" t="s">
        <v>2187</v>
      </c>
      <c r="C632" s="24">
        <v>99.340100000000007</v>
      </c>
      <c r="D632" s="24">
        <v>99.340100000000007</v>
      </c>
    </row>
    <row r="633" spans="1:5" ht="15.75" customHeight="1" x14ac:dyDescent="0.4">
      <c r="A633" s="24" t="s">
        <v>1660</v>
      </c>
      <c r="B633" s="24" t="s">
        <v>2187</v>
      </c>
      <c r="C633" s="24">
        <v>99.321799999999996</v>
      </c>
      <c r="D633" s="24">
        <v>99.321799999999996</v>
      </c>
    </row>
    <row r="634" spans="1:5" ht="15.75" customHeight="1" x14ac:dyDescent="0.4">
      <c r="A634" s="24" t="s">
        <v>975</v>
      </c>
      <c r="B634" s="24" t="s">
        <v>2187</v>
      </c>
      <c r="C634" s="24">
        <v>99.312600000000003</v>
      </c>
      <c r="D634" s="24">
        <v>99.312600000000003</v>
      </c>
    </row>
    <row r="635" spans="1:5" ht="15.75" customHeight="1" x14ac:dyDescent="0.4">
      <c r="A635" s="24" t="s">
        <v>1568</v>
      </c>
      <c r="B635" s="24" t="s">
        <v>2187</v>
      </c>
      <c r="C635" s="24">
        <v>99.3035</v>
      </c>
      <c r="D635" s="24">
        <v>76.592399999999998</v>
      </c>
      <c r="E635" s="24">
        <v>35.575200000000002</v>
      </c>
    </row>
    <row r="636" spans="1:5" ht="15.75" customHeight="1" x14ac:dyDescent="0.4">
      <c r="A636" s="24" t="s">
        <v>1432</v>
      </c>
      <c r="B636" s="24" t="s">
        <v>2187</v>
      </c>
      <c r="C636" s="24">
        <v>99.2851</v>
      </c>
      <c r="E636" s="24">
        <v>98.589399999999998</v>
      </c>
    </row>
    <row r="637" spans="1:5" ht="15.75" customHeight="1" x14ac:dyDescent="0.4">
      <c r="A637" s="24" t="s">
        <v>1925</v>
      </c>
      <c r="B637" s="24" t="s">
        <v>2187</v>
      </c>
      <c r="C637" s="24">
        <v>99.2851</v>
      </c>
      <c r="D637" s="24">
        <v>99.2851</v>
      </c>
    </row>
    <row r="638" spans="1:5" ht="15.75" customHeight="1" x14ac:dyDescent="0.4">
      <c r="A638" s="24" t="s">
        <v>2027</v>
      </c>
      <c r="B638" s="24" t="s">
        <v>2187</v>
      </c>
      <c r="C638" s="24">
        <v>99.275999999999996</v>
      </c>
      <c r="D638" s="24">
        <v>99.275999999999996</v>
      </c>
    </row>
    <row r="639" spans="1:5" ht="15.75" customHeight="1" x14ac:dyDescent="0.4">
      <c r="A639" s="24" t="s">
        <v>1893</v>
      </c>
      <c r="B639" s="24" t="s">
        <v>2187</v>
      </c>
      <c r="C639" s="24">
        <v>99.266800000000003</v>
      </c>
      <c r="D639" s="24">
        <v>90.550799999999995</v>
      </c>
      <c r="E639" s="24">
        <v>32.043999999999997</v>
      </c>
    </row>
    <row r="640" spans="1:5" ht="15.75" customHeight="1" x14ac:dyDescent="0.4">
      <c r="A640" s="24" t="s">
        <v>1463</v>
      </c>
      <c r="B640" s="24" t="s">
        <v>2187</v>
      </c>
      <c r="C640" s="24">
        <v>99.257599999999996</v>
      </c>
      <c r="E640" s="24">
        <v>98.562100000000001</v>
      </c>
    </row>
    <row r="641" spans="1:5" ht="15.75" customHeight="1" x14ac:dyDescent="0.4">
      <c r="A641" s="24" t="s">
        <v>1392</v>
      </c>
      <c r="B641" s="24" t="s">
        <v>2187</v>
      </c>
      <c r="C641" s="24">
        <v>99.230099999999993</v>
      </c>
      <c r="D641" s="24">
        <v>99.230099999999993</v>
      </c>
    </row>
    <row r="642" spans="1:5" ht="15.75" customHeight="1" x14ac:dyDescent="0.4">
      <c r="A642" s="24" t="s">
        <v>2029</v>
      </c>
      <c r="B642" s="24" t="s">
        <v>2187</v>
      </c>
      <c r="C642" s="24">
        <v>99.221000000000004</v>
      </c>
      <c r="D642" s="24">
        <v>99.221000000000004</v>
      </c>
    </row>
    <row r="643" spans="1:5" ht="15.75" customHeight="1" x14ac:dyDescent="0.4">
      <c r="A643" s="24" t="s">
        <v>2160</v>
      </c>
      <c r="B643" s="24" t="s">
        <v>2187</v>
      </c>
      <c r="C643" s="24">
        <v>99.221000000000004</v>
      </c>
      <c r="D643" s="24">
        <v>99.221000000000004</v>
      </c>
    </row>
    <row r="644" spans="1:5" ht="15.75" customHeight="1" x14ac:dyDescent="0.4">
      <c r="A644" s="24" t="s">
        <v>1484</v>
      </c>
      <c r="B644" s="24" t="s">
        <v>2187</v>
      </c>
      <c r="C644" s="24">
        <v>99.1935</v>
      </c>
      <c r="E644" s="24">
        <v>98.498400000000004</v>
      </c>
    </row>
    <row r="645" spans="1:5" ht="15.75" customHeight="1" x14ac:dyDescent="0.4">
      <c r="A645" s="24" t="s">
        <v>2022</v>
      </c>
      <c r="B645" s="24" t="s">
        <v>2187</v>
      </c>
      <c r="C645" s="24">
        <v>99.1751</v>
      </c>
      <c r="D645" s="24">
        <v>93.016199999999998</v>
      </c>
      <c r="E645" s="24">
        <v>11.7128</v>
      </c>
    </row>
    <row r="646" spans="1:5" ht="15.75" customHeight="1" x14ac:dyDescent="0.4">
      <c r="A646" s="24" t="s">
        <v>1866</v>
      </c>
      <c r="B646" s="24" t="s">
        <v>2187</v>
      </c>
      <c r="C646" s="24">
        <v>99.156800000000004</v>
      </c>
      <c r="D646" s="24">
        <v>99.156800000000004</v>
      </c>
      <c r="E646" s="24">
        <v>20.1675</v>
      </c>
    </row>
    <row r="647" spans="1:5" ht="15.75" customHeight="1" x14ac:dyDescent="0.4">
      <c r="A647" s="24" t="s">
        <v>1431</v>
      </c>
      <c r="B647" s="24" t="s">
        <v>2187</v>
      </c>
      <c r="C647" s="24">
        <v>99.1477</v>
      </c>
      <c r="D647" s="24">
        <v>99.1477</v>
      </c>
    </row>
    <row r="648" spans="1:5" ht="15.75" customHeight="1" x14ac:dyDescent="0.4">
      <c r="A648" s="24" t="s">
        <v>1040</v>
      </c>
      <c r="B648" s="24" t="s">
        <v>2187</v>
      </c>
      <c r="C648" s="24">
        <v>99.129300000000001</v>
      </c>
      <c r="D648" s="24">
        <v>99.129300000000001</v>
      </c>
    </row>
    <row r="649" spans="1:5" ht="15.75" customHeight="1" x14ac:dyDescent="0.4">
      <c r="A649" s="24" t="s">
        <v>1693</v>
      </c>
      <c r="B649" s="24" t="s">
        <v>2187</v>
      </c>
      <c r="C649" s="24">
        <v>99.129300000000001</v>
      </c>
      <c r="D649" s="24">
        <v>99.129300000000001</v>
      </c>
    </row>
    <row r="650" spans="1:5" ht="15.75" customHeight="1" x14ac:dyDescent="0.4">
      <c r="A650" s="24" t="s">
        <v>1591</v>
      </c>
      <c r="B650" s="24" t="s">
        <v>2187</v>
      </c>
      <c r="C650" s="24">
        <v>99.129300000000001</v>
      </c>
      <c r="D650" s="24">
        <v>97.928700000000006</v>
      </c>
      <c r="E650" s="24">
        <v>97.2607</v>
      </c>
    </row>
    <row r="651" spans="1:5" ht="15.75" customHeight="1" x14ac:dyDescent="0.4">
      <c r="A651" s="24" t="s">
        <v>1803</v>
      </c>
      <c r="B651" s="24" t="s">
        <v>2187</v>
      </c>
      <c r="C651" s="24">
        <v>99.111000000000004</v>
      </c>
      <c r="D651" s="24">
        <v>99.111000000000004</v>
      </c>
    </row>
    <row r="652" spans="1:5" ht="15.75" customHeight="1" x14ac:dyDescent="0.4">
      <c r="A652" s="24" t="s">
        <v>1332</v>
      </c>
      <c r="B652" s="24" t="s">
        <v>2187</v>
      </c>
      <c r="C652" s="24">
        <v>99.111000000000004</v>
      </c>
      <c r="D652" s="24">
        <v>99.111000000000004</v>
      </c>
    </row>
    <row r="653" spans="1:5" ht="15.75" customHeight="1" x14ac:dyDescent="0.4">
      <c r="A653" s="24" t="s">
        <v>1350</v>
      </c>
      <c r="B653" s="24" t="s">
        <v>2187</v>
      </c>
      <c r="C653" s="24">
        <v>99.101799999999997</v>
      </c>
      <c r="D653" s="24">
        <v>99.101799999999997</v>
      </c>
    </row>
    <row r="654" spans="1:5" ht="15.75" customHeight="1" x14ac:dyDescent="0.4">
      <c r="A654" s="24" t="s">
        <v>1297</v>
      </c>
      <c r="B654" s="24" t="s">
        <v>2187</v>
      </c>
      <c r="C654" s="24">
        <v>99.101799999999997</v>
      </c>
      <c r="D654" s="24">
        <v>99.101799999999997</v>
      </c>
    </row>
    <row r="655" spans="1:5" ht="15.75" customHeight="1" x14ac:dyDescent="0.4">
      <c r="A655" s="24" t="s">
        <v>2037</v>
      </c>
      <c r="B655" s="24" t="s">
        <v>2187</v>
      </c>
      <c r="C655" s="24">
        <v>99.101799999999997</v>
      </c>
      <c r="E655" s="24">
        <v>98.407399999999996</v>
      </c>
    </row>
    <row r="656" spans="1:5" ht="15.75" customHeight="1" x14ac:dyDescent="0.4">
      <c r="A656" s="24" t="s">
        <v>1574</v>
      </c>
      <c r="B656" s="24" t="s">
        <v>2187</v>
      </c>
      <c r="C656" s="24">
        <v>99.092699999999994</v>
      </c>
      <c r="D656" s="24">
        <v>99.092699999999994</v>
      </c>
    </row>
    <row r="657" spans="1:5" ht="15.75" customHeight="1" x14ac:dyDescent="0.4">
      <c r="A657" s="24" t="s">
        <v>1933</v>
      </c>
      <c r="B657" s="24" t="s">
        <v>2187</v>
      </c>
      <c r="C657" s="24">
        <v>99.092699999999994</v>
      </c>
      <c r="D657" s="24">
        <v>99.092699999999994</v>
      </c>
    </row>
    <row r="658" spans="1:5" ht="15.75" customHeight="1" x14ac:dyDescent="0.4">
      <c r="A658" s="24" t="s">
        <v>1423</v>
      </c>
      <c r="B658" s="24" t="s">
        <v>2187</v>
      </c>
      <c r="C658" s="24">
        <v>99.083500000000001</v>
      </c>
      <c r="D658" s="24">
        <v>65.401899999999998</v>
      </c>
      <c r="E658" s="24">
        <v>92.173299999999998</v>
      </c>
    </row>
    <row r="659" spans="1:5" ht="15.75" customHeight="1" x14ac:dyDescent="0.4">
      <c r="A659" s="24" t="s">
        <v>1455</v>
      </c>
      <c r="B659" s="24" t="s">
        <v>2187</v>
      </c>
      <c r="C659" s="24">
        <v>99.065200000000004</v>
      </c>
      <c r="D659" s="24">
        <v>99.065200000000004</v>
      </c>
    </row>
    <row r="660" spans="1:5" ht="15.75" customHeight="1" x14ac:dyDescent="0.4">
      <c r="A660" s="24" t="s">
        <v>1115</v>
      </c>
      <c r="B660" s="24" t="s">
        <v>2187</v>
      </c>
      <c r="C660" s="24">
        <v>99.037700000000001</v>
      </c>
      <c r="D660" s="24">
        <v>99.037700000000001</v>
      </c>
    </row>
    <row r="661" spans="1:5" ht="15.75" customHeight="1" x14ac:dyDescent="0.4">
      <c r="A661" s="24" t="s">
        <v>1029</v>
      </c>
      <c r="B661" s="24" t="s">
        <v>2187</v>
      </c>
      <c r="C661" s="24">
        <v>99.037700000000001</v>
      </c>
      <c r="D661" s="24">
        <v>99.037700000000001</v>
      </c>
    </row>
    <row r="662" spans="1:5" ht="15.75" customHeight="1" x14ac:dyDescent="0.4">
      <c r="A662" s="24" t="s">
        <v>1947</v>
      </c>
      <c r="B662" s="24" t="s">
        <v>2187</v>
      </c>
      <c r="C662" s="24">
        <v>99.019300000000001</v>
      </c>
      <c r="E662" s="24">
        <v>98.325400000000002</v>
      </c>
    </row>
    <row r="663" spans="1:5" ht="15.75" customHeight="1" x14ac:dyDescent="0.4">
      <c r="A663" s="24" t="s">
        <v>535</v>
      </c>
      <c r="B663" s="24" t="s">
        <v>2187</v>
      </c>
      <c r="C663" s="24">
        <v>99.001000000000005</v>
      </c>
      <c r="D663" s="24">
        <v>99.001000000000005</v>
      </c>
      <c r="E663" s="24">
        <v>0.54605000000000004</v>
      </c>
    </row>
    <row r="664" spans="1:5" ht="15.75" customHeight="1" x14ac:dyDescent="0.4">
      <c r="A664" s="24" t="s">
        <v>1357</v>
      </c>
      <c r="B664" s="24" t="s">
        <v>2187</v>
      </c>
      <c r="C664" s="24">
        <v>98.991799999999998</v>
      </c>
      <c r="D664" s="24">
        <v>98.991799999999998</v>
      </c>
    </row>
    <row r="665" spans="1:5" ht="15.75" customHeight="1" x14ac:dyDescent="0.4">
      <c r="A665" s="24" t="s">
        <v>1917</v>
      </c>
      <c r="B665" s="24" t="s">
        <v>2187</v>
      </c>
      <c r="C665" s="24">
        <v>98.991799999999998</v>
      </c>
      <c r="D665" s="24">
        <v>98.991799999999998</v>
      </c>
    </row>
    <row r="666" spans="1:5" ht="15.75" customHeight="1" x14ac:dyDescent="0.4">
      <c r="A666" s="24" t="s">
        <v>904</v>
      </c>
      <c r="B666" s="24" t="s">
        <v>2187</v>
      </c>
      <c r="C666" s="24">
        <v>98.973500000000001</v>
      </c>
      <c r="D666" s="24">
        <v>31.931100000000001</v>
      </c>
      <c r="E666" s="24">
        <v>98.279899999999998</v>
      </c>
    </row>
    <row r="667" spans="1:5" ht="15.75" customHeight="1" x14ac:dyDescent="0.4">
      <c r="A667" s="24" t="s">
        <v>1619</v>
      </c>
      <c r="B667" s="24" t="s">
        <v>2187</v>
      </c>
      <c r="C667" s="24">
        <v>98.964299999999994</v>
      </c>
      <c r="D667" s="24">
        <v>98.964299999999994</v>
      </c>
    </row>
    <row r="668" spans="1:5" ht="15.75" customHeight="1" x14ac:dyDescent="0.4">
      <c r="A668" s="24" t="s">
        <v>983</v>
      </c>
      <c r="B668" s="24" t="s">
        <v>2187</v>
      </c>
      <c r="C668" s="24">
        <v>98.955200000000005</v>
      </c>
      <c r="D668" s="24">
        <v>98.955200000000005</v>
      </c>
    </row>
    <row r="669" spans="1:5" ht="15.75" customHeight="1" x14ac:dyDescent="0.4">
      <c r="A669" s="24" t="s">
        <v>1474</v>
      </c>
      <c r="B669" s="24" t="s">
        <v>2187</v>
      </c>
      <c r="C669" s="24">
        <v>98.945999999999998</v>
      </c>
      <c r="D669" s="24">
        <v>98.945999999999998</v>
      </c>
    </row>
    <row r="670" spans="1:5" ht="15.75" customHeight="1" x14ac:dyDescent="0.4">
      <c r="A670" s="24" t="s">
        <v>1287</v>
      </c>
      <c r="B670" s="24" t="s">
        <v>2187</v>
      </c>
      <c r="C670" s="24">
        <v>98.918499999999995</v>
      </c>
      <c r="D670" s="24">
        <v>98.918499999999995</v>
      </c>
    </row>
    <row r="671" spans="1:5" ht="15.75" customHeight="1" x14ac:dyDescent="0.4">
      <c r="A671" s="24" t="s">
        <v>1974</v>
      </c>
      <c r="B671" s="24" t="s">
        <v>2187</v>
      </c>
      <c r="C671" s="24">
        <v>98.900199999999998</v>
      </c>
      <c r="D671" s="24">
        <v>98.900199999999998</v>
      </c>
    </row>
    <row r="672" spans="1:5" ht="15.75" customHeight="1" x14ac:dyDescent="0.4">
      <c r="A672" s="24" t="s">
        <v>1173</v>
      </c>
      <c r="B672" s="24" t="s">
        <v>2187</v>
      </c>
      <c r="C672" s="24">
        <v>98.891000000000005</v>
      </c>
      <c r="D672" s="24">
        <v>98.845200000000006</v>
      </c>
      <c r="E672" s="24">
        <v>1.1285000000000001</v>
      </c>
    </row>
    <row r="673" spans="1:5" ht="15.75" customHeight="1" x14ac:dyDescent="0.4">
      <c r="A673" s="24" t="s">
        <v>1321</v>
      </c>
      <c r="B673" s="24" t="s">
        <v>2187</v>
      </c>
      <c r="C673" s="24">
        <v>98.845200000000006</v>
      </c>
      <c r="D673" s="24">
        <v>98.845200000000006</v>
      </c>
    </row>
    <row r="674" spans="1:5" ht="15.75" customHeight="1" x14ac:dyDescent="0.4">
      <c r="A674" s="24" t="s">
        <v>2007</v>
      </c>
      <c r="B674" s="24" t="s">
        <v>2187</v>
      </c>
      <c r="C674" s="24">
        <v>98.835999999999999</v>
      </c>
      <c r="D674" s="24">
        <v>98.835999999999999</v>
      </c>
    </row>
    <row r="675" spans="1:5" ht="15.75" customHeight="1" x14ac:dyDescent="0.4">
      <c r="A675" s="24" t="s">
        <v>1369</v>
      </c>
      <c r="B675" s="24" t="s">
        <v>2187</v>
      </c>
      <c r="C675" s="24">
        <v>98.835999999999999</v>
      </c>
      <c r="D675" s="24">
        <v>98.781000000000006</v>
      </c>
      <c r="E675" s="24">
        <v>5.4605000000000001E-2</v>
      </c>
    </row>
    <row r="676" spans="1:5" ht="15.75" customHeight="1" x14ac:dyDescent="0.4">
      <c r="A676" s="24" t="s">
        <v>1256</v>
      </c>
      <c r="B676" s="24" t="s">
        <v>2187</v>
      </c>
      <c r="C676" s="24">
        <v>98.835999999999999</v>
      </c>
      <c r="E676" s="24">
        <v>98.1434</v>
      </c>
    </row>
    <row r="677" spans="1:5" ht="15.75" customHeight="1" x14ac:dyDescent="0.4">
      <c r="A677" s="24" t="s">
        <v>1999</v>
      </c>
      <c r="B677" s="24" t="s">
        <v>2187</v>
      </c>
      <c r="C677" s="24">
        <v>98.808499999999995</v>
      </c>
      <c r="D677" s="24">
        <v>98.808499999999995</v>
      </c>
    </row>
    <row r="678" spans="1:5" ht="15.75" customHeight="1" x14ac:dyDescent="0.4">
      <c r="A678" s="24" t="s">
        <v>980</v>
      </c>
      <c r="B678" s="24" t="s">
        <v>2187</v>
      </c>
      <c r="C678" s="24">
        <v>98.771900000000002</v>
      </c>
      <c r="D678" s="24">
        <v>98.771900000000002</v>
      </c>
    </row>
    <row r="679" spans="1:5" ht="15.75" customHeight="1" x14ac:dyDescent="0.4">
      <c r="A679" s="24" t="s">
        <v>1294</v>
      </c>
      <c r="B679" s="24" t="s">
        <v>2187</v>
      </c>
      <c r="C679" s="24">
        <v>98.753500000000003</v>
      </c>
      <c r="D679" s="24">
        <v>98.753500000000003</v>
      </c>
    </row>
    <row r="680" spans="1:5" ht="15.75" customHeight="1" x14ac:dyDescent="0.4">
      <c r="A680" s="24" t="s">
        <v>2165</v>
      </c>
      <c r="B680" s="24" t="s">
        <v>2187</v>
      </c>
      <c r="C680" s="24">
        <v>98.753500000000003</v>
      </c>
      <c r="D680" s="24">
        <v>98.735200000000006</v>
      </c>
      <c r="E680" s="24">
        <v>0.354933</v>
      </c>
    </row>
    <row r="681" spans="1:5" ht="15.75" customHeight="1" x14ac:dyDescent="0.4">
      <c r="A681" s="24" t="s">
        <v>1847</v>
      </c>
      <c r="B681" s="24" t="s">
        <v>2187</v>
      </c>
      <c r="C681" s="24">
        <v>98.707700000000003</v>
      </c>
      <c r="D681" s="24">
        <v>98.533600000000007</v>
      </c>
      <c r="E681" s="24">
        <v>32.235199999999999</v>
      </c>
    </row>
    <row r="682" spans="1:5" ht="15.75" customHeight="1" x14ac:dyDescent="0.4">
      <c r="A682" s="24" t="s">
        <v>2129</v>
      </c>
      <c r="B682" s="24" t="s">
        <v>2187</v>
      </c>
      <c r="C682" s="24">
        <v>98.689400000000006</v>
      </c>
      <c r="D682" s="24">
        <v>76.7941</v>
      </c>
      <c r="E682" s="24">
        <v>97.633799999999994</v>
      </c>
    </row>
    <row r="683" spans="1:5" ht="15.75" customHeight="1" x14ac:dyDescent="0.4">
      <c r="A683" s="24" t="s">
        <v>1805</v>
      </c>
      <c r="B683" s="24" t="s">
        <v>2187</v>
      </c>
      <c r="C683" s="24">
        <v>98.689400000000006</v>
      </c>
      <c r="D683" s="24">
        <v>98.689400000000006</v>
      </c>
    </row>
    <row r="684" spans="1:5" ht="15.75" customHeight="1" x14ac:dyDescent="0.4">
      <c r="A684" s="24" t="s">
        <v>1541</v>
      </c>
      <c r="B684" s="24" t="s">
        <v>2187</v>
      </c>
      <c r="C684" s="24">
        <v>98.606899999999996</v>
      </c>
      <c r="D684" s="24">
        <v>98.606899999999996</v>
      </c>
    </row>
    <row r="685" spans="1:5" ht="15.75" customHeight="1" x14ac:dyDescent="0.4">
      <c r="A685" s="24" t="s">
        <v>1299</v>
      </c>
      <c r="B685" s="24" t="s">
        <v>2187</v>
      </c>
      <c r="C685" s="24">
        <v>98.606899999999996</v>
      </c>
      <c r="D685" s="24">
        <v>93.749399999999994</v>
      </c>
      <c r="E685" s="24">
        <v>49.490400000000001</v>
      </c>
    </row>
    <row r="686" spans="1:5" ht="15.75" customHeight="1" x14ac:dyDescent="0.4">
      <c r="A686" s="24" t="s">
        <v>1964</v>
      </c>
      <c r="B686" s="24" t="s">
        <v>2187</v>
      </c>
      <c r="C686" s="24">
        <v>98.570300000000003</v>
      </c>
      <c r="D686" s="24">
        <v>98.570300000000003</v>
      </c>
    </row>
    <row r="687" spans="1:5" ht="15.75" customHeight="1" x14ac:dyDescent="0.4">
      <c r="A687" s="24" t="s">
        <v>871</v>
      </c>
      <c r="B687" s="24" t="s">
        <v>2187</v>
      </c>
      <c r="C687" s="24">
        <v>98.5244</v>
      </c>
      <c r="D687" s="24">
        <v>57.3733</v>
      </c>
      <c r="E687" s="24">
        <v>40.8628</v>
      </c>
    </row>
    <row r="688" spans="1:5" ht="15.75" customHeight="1" x14ac:dyDescent="0.4">
      <c r="A688" s="24" t="s">
        <v>501</v>
      </c>
      <c r="B688" s="24" t="s">
        <v>2187</v>
      </c>
      <c r="C688" s="24">
        <v>98.515299999999996</v>
      </c>
      <c r="D688" s="24">
        <v>98.515299999999996</v>
      </c>
    </row>
    <row r="689" spans="1:5" ht="15.75" customHeight="1" x14ac:dyDescent="0.4">
      <c r="A689" s="24" t="s">
        <v>1400</v>
      </c>
      <c r="B689" s="24" t="s">
        <v>2187</v>
      </c>
      <c r="C689" s="24">
        <v>98.506100000000004</v>
      </c>
      <c r="D689" s="24">
        <v>98.506100000000004</v>
      </c>
    </row>
    <row r="690" spans="1:5" ht="15.75" customHeight="1" x14ac:dyDescent="0.4">
      <c r="A690" s="24" t="s">
        <v>1380</v>
      </c>
      <c r="B690" s="24" t="s">
        <v>2187</v>
      </c>
      <c r="C690" s="24">
        <v>98.487799999999993</v>
      </c>
      <c r="D690" s="24">
        <v>98.487799999999993</v>
      </c>
    </row>
    <row r="691" spans="1:5" ht="15.75" customHeight="1" x14ac:dyDescent="0.4">
      <c r="A691" s="24" t="s">
        <v>1579</v>
      </c>
      <c r="B691" s="24" t="s">
        <v>2187</v>
      </c>
      <c r="C691" s="24">
        <v>98.423599999999993</v>
      </c>
      <c r="D691" s="24">
        <v>98.423599999999993</v>
      </c>
    </row>
    <row r="692" spans="1:5" ht="15.75" customHeight="1" x14ac:dyDescent="0.4">
      <c r="A692" s="24" t="s">
        <v>1300</v>
      </c>
      <c r="B692" s="24" t="s">
        <v>2187</v>
      </c>
      <c r="C692" s="24">
        <v>98.414400000000001</v>
      </c>
      <c r="D692" s="24">
        <v>33.388300000000001</v>
      </c>
      <c r="E692" s="24">
        <v>97.724800000000002</v>
      </c>
    </row>
    <row r="693" spans="1:5" ht="15.75" customHeight="1" x14ac:dyDescent="0.4">
      <c r="A693" s="24" t="s">
        <v>1348</v>
      </c>
      <c r="B693" s="24" t="s">
        <v>2187</v>
      </c>
      <c r="C693" s="24">
        <v>98.386899999999997</v>
      </c>
      <c r="D693" s="24">
        <v>98.386899999999997</v>
      </c>
    </row>
    <row r="694" spans="1:5" ht="15.75" customHeight="1" x14ac:dyDescent="0.4">
      <c r="A694" s="24" t="s">
        <v>1942</v>
      </c>
      <c r="B694" s="24" t="s">
        <v>2187</v>
      </c>
      <c r="C694" s="24">
        <v>98.359499999999997</v>
      </c>
      <c r="D694" s="24">
        <v>86.967299999999994</v>
      </c>
      <c r="E694" s="24">
        <v>47.888599999999997</v>
      </c>
    </row>
    <row r="695" spans="1:5" ht="15.75" customHeight="1" x14ac:dyDescent="0.4">
      <c r="A695" s="24" t="s">
        <v>1927</v>
      </c>
      <c r="B695" s="24" t="s">
        <v>2187</v>
      </c>
      <c r="C695" s="24">
        <v>98.350300000000004</v>
      </c>
      <c r="D695" s="24">
        <v>98.350300000000004</v>
      </c>
    </row>
    <row r="696" spans="1:5" ht="15.75" customHeight="1" x14ac:dyDescent="0.4">
      <c r="A696" s="24" t="s">
        <v>1311</v>
      </c>
      <c r="B696" s="24" t="s">
        <v>2187</v>
      </c>
      <c r="C696" s="24">
        <v>98.221999999999994</v>
      </c>
      <c r="D696" s="24">
        <v>98.221999999999994</v>
      </c>
    </row>
    <row r="697" spans="1:5" ht="15.75" customHeight="1" x14ac:dyDescent="0.4">
      <c r="A697" s="24" t="s">
        <v>1639</v>
      </c>
      <c r="B697" s="24" t="s">
        <v>2187</v>
      </c>
      <c r="C697" s="24">
        <v>98.221999999999994</v>
      </c>
      <c r="D697" s="24">
        <v>98.221999999999994</v>
      </c>
    </row>
    <row r="698" spans="1:5" ht="15.75" customHeight="1" x14ac:dyDescent="0.4">
      <c r="A698" s="24" t="s">
        <v>2053</v>
      </c>
      <c r="B698" s="24" t="s">
        <v>2187</v>
      </c>
      <c r="C698" s="24">
        <v>98.203699999999998</v>
      </c>
      <c r="D698" s="24">
        <v>98.203699999999998</v>
      </c>
    </row>
    <row r="699" spans="1:5" ht="15.75" customHeight="1" x14ac:dyDescent="0.4">
      <c r="A699" s="24" t="s">
        <v>635</v>
      </c>
      <c r="B699" s="24" t="s">
        <v>2187</v>
      </c>
      <c r="C699" s="24">
        <v>98.111999999999995</v>
      </c>
      <c r="D699" s="24">
        <v>96.700599999999994</v>
      </c>
      <c r="E699" s="24">
        <v>1.4015299999999999</v>
      </c>
    </row>
    <row r="700" spans="1:5" ht="15.75" customHeight="1" x14ac:dyDescent="0.4">
      <c r="A700" s="24" t="s">
        <v>1651</v>
      </c>
      <c r="B700" s="24" t="s">
        <v>2187</v>
      </c>
      <c r="C700" s="24">
        <v>98.075299999999999</v>
      </c>
      <c r="D700" s="24">
        <v>98.075299999999999</v>
      </c>
    </row>
    <row r="701" spans="1:5" ht="15.75" customHeight="1" x14ac:dyDescent="0.4">
      <c r="A701" s="24" t="s">
        <v>2017</v>
      </c>
      <c r="B701" s="24" t="s">
        <v>2187</v>
      </c>
      <c r="C701" s="24">
        <v>98.075299999999999</v>
      </c>
      <c r="D701" s="24">
        <v>98.075299999999999</v>
      </c>
    </row>
    <row r="702" spans="1:5" ht="15.75" customHeight="1" x14ac:dyDescent="0.4">
      <c r="A702" s="24" t="s">
        <v>1422</v>
      </c>
      <c r="B702" s="24" t="s">
        <v>2187</v>
      </c>
      <c r="C702" s="24">
        <v>98.047799999999995</v>
      </c>
      <c r="D702" s="24">
        <v>88.8553</v>
      </c>
      <c r="E702" s="24">
        <v>13.7332</v>
      </c>
    </row>
    <row r="703" spans="1:5" ht="15.75" customHeight="1" x14ac:dyDescent="0.4">
      <c r="A703" s="24" t="s">
        <v>1635</v>
      </c>
      <c r="B703" s="24" t="s">
        <v>2187</v>
      </c>
      <c r="C703" s="24">
        <v>98.047799999999995</v>
      </c>
      <c r="E703" s="24">
        <v>97.360799999999998</v>
      </c>
    </row>
    <row r="704" spans="1:5" ht="15.75" customHeight="1" x14ac:dyDescent="0.4">
      <c r="A704" s="24" t="s">
        <v>1826</v>
      </c>
      <c r="B704" s="24" t="s">
        <v>2187</v>
      </c>
      <c r="C704" s="24">
        <v>98.011200000000002</v>
      </c>
      <c r="D704" s="24">
        <v>98.011200000000002</v>
      </c>
    </row>
    <row r="705" spans="1:5" ht="15.75" customHeight="1" x14ac:dyDescent="0.4">
      <c r="A705" s="24" t="s">
        <v>1383</v>
      </c>
      <c r="B705" s="24" t="s">
        <v>2187</v>
      </c>
      <c r="C705" s="24">
        <v>97.983699999999999</v>
      </c>
      <c r="D705" s="24">
        <v>97.332999999999998</v>
      </c>
      <c r="E705" s="24">
        <v>0.77357100000000001</v>
      </c>
    </row>
    <row r="706" spans="1:5" ht="15.75" customHeight="1" x14ac:dyDescent="0.4">
      <c r="A706" s="24" t="s">
        <v>1540</v>
      </c>
      <c r="B706" s="24" t="s">
        <v>2187</v>
      </c>
      <c r="C706" s="24">
        <v>97.937899999999999</v>
      </c>
      <c r="D706" s="24">
        <v>97.937899999999999</v>
      </c>
    </row>
    <row r="707" spans="1:5" ht="15.75" customHeight="1" x14ac:dyDescent="0.4">
      <c r="A707" s="24" t="s">
        <v>1886</v>
      </c>
      <c r="B707" s="24" t="s">
        <v>2187</v>
      </c>
      <c r="C707" s="24">
        <v>97.928700000000006</v>
      </c>
      <c r="D707" s="24">
        <v>89.185199999999995</v>
      </c>
      <c r="E707" s="24">
        <v>94.803399999999996</v>
      </c>
    </row>
    <row r="708" spans="1:5" ht="15.75" customHeight="1" x14ac:dyDescent="0.4">
      <c r="A708" s="24" t="s">
        <v>1931</v>
      </c>
      <c r="B708" s="24" t="s">
        <v>2187</v>
      </c>
      <c r="C708" s="24">
        <v>97.919499999999999</v>
      </c>
      <c r="D708" s="24">
        <v>97.919499999999999</v>
      </c>
    </row>
    <row r="709" spans="1:5" ht="15.75" customHeight="1" x14ac:dyDescent="0.4">
      <c r="A709" s="24" t="s">
        <v>1471</v>
      </c>
      <c r="B709" s="24" t="s">
        <v>2187</v>
      </c>
      <c r="C709" s="24">
        <v>97.910399999999996</v>
      </c>
      <c r="D709" s="24">
        <v>97.910399999999996</v>
      </c>
    </row>
    <row r="710" spans="1:5" ht="15.75" customHeight="1" x14ac:dyDescent="0.4">
      <c r="A710" s="24" t="s">
        <v>1318</v>
      </c>
      <c r="B710" s="24" t="s">
        <v>2187</v>
      </c>
      <c r="C710" s="24">
        <v>97.837000000000003</v>
      </c>
      <c r="D710" s="24">
        <v>97.837000000000003</v>
      </c>
    </row>
    <row r="711" spans="1:5" ht="15.75" customHeight="1" x14ac:dyDescent="0.4">
      <c r="A711" s="24" t="s">
        <v>1920</v>
      </c>
      <c r="B711" s="24" t="s">
        <v>2187</v>
      </c>
      <c r="C711" s="24">
        <v>97.8095</v>
      </c>
      <c r="D711" s="24">
        <v>97.8095</v>
      </c>
    </row>
    <row r="712" spans="1:5" ht="15.75" customHeight="1" x14ac:dyDescent="0.4">
      <c r="A712" s="24" t="s">
        <v>1880</v>
      </c>
      <c r="B712" s="24" t="s">
        <v>2187</v>
      </c>
      <c r="C712" s="24">
        <v>97.800399999999996</v>
      </c>
      <c r="D712" s="24">
        <v>97.800399999999996</v>
      </c>
    </row>
    <row r="713" spans="1:5" ht="15.75" customHeight="1" x14ac:dyDescent="0.4">
      <c r="A713" s="24" t="s">
        <v>1715</v>
      </c>
      <c r="B713" s="24" t="s">
        <v>2187</v>
      </c>
      <c r="C713" s="24">
        <v>97.7821</v>
      </c>
      <c r="D713" s="24">
        <v>97.7821</v>
      </c>
    </row>
    <row r="714" spans="1:5" ht="15.75" customHeight="1" x14ac:dyDescent="0.4">
      <c r="A714" s="24" t="s">
        <v>645</v>
      </c>
      <c r="B714" s="24" t="s">
        <v>2187</v>
      </c>
      <c r="C714" s="24">
        <v>97.754599999999996</v>
      </c>
      <c r="D714" s="24">
        <v>97.378799999999998</v>
      </c>
      <c r="E714" s="24">
        <v>0.37313400000000002</v>
      </c>
    </row>
    <row r="715" spans="1:5" ht="15.75" customHeight="1" x14ac:dyDescent="0.4">
      <c r="A715" s="24" t="s">
        <v>959</v>
      </c>
      <c r="B715" s="24" t="s">
        <v>2187</v>
      </c>
      <c r="C715" s="24">
        <v>97.727099999999993</v>
      </c>
      <c r="D715" s="24">
        <v>97.727099999999993</v>
      </c>
    </row>
    <row r="716" spans="1:5" ht="15.75" customHeight="1" x14ac:dyDescent="0.4">
      <c r="A716" s="24" t="s">
        <v>2115</v>
      </c>
      <c r="B716" s="24" t="s">
        <v>2187</v>
      </c>
      <c r="C716" s="24">
        <v>97.699600000000004</v>
      </c>
      <c r="D716" s="24">
        <v>97.699600000000004</v>
      </c>
    </row>
    <row r="717" spans="1:5" ht="15.75" customHeight="1" x14ac:dyDescent="0.4">
      <c r="A717" s="24" t="s">
        <v>1283</v>
      </c>
      <c r="B717" s="24" t="s">
        <v>2187</v>
      </c>
      <c r="C717" s="24">
        <v>97.699600000000004</v>
      </c>
      <c r="D717" s="24">
        <v>97.699600000000004</v>
      </c>
    </row>
    <row r="718" spans="1:5" ht="15.75" customHeight="1" x14ac:dyDescent="0.4">
      <c r="A718" s="24" t="s">
        <v>1733</v>
      </c>
      <c r="B718" s="24" t="s">
        <v>2187</v>
      </c>
      <c r="C718" s="24">
        <v>97.6721</v>
      </c>
      <c r="D718" s="24">
        <v>97.6721</v>
      </c>
    </row>
    <row r="719" spans="1:5" ht="15.75" customHeight="1" x14ac:dyDescent="0.4">
      <c r="A719" s="24" t="s">
        <v>738</v>
      </c>
      <c r="B719" s="24" t="s">
        <v>2187</v>
      </c>
      <c r="C719" s="24">
        <v>97.653700000000001</v>
      </c>
      <c r="D719" s="24">
        <v>97.653700000000001</v>
      </c>
    </row>
    <row r="720" spans="1:5" ht="15.75" customHeight="1" x14ac:dyDescent="0.4">
      <c r="A720" s="24" t="s">
        <v>1436</v>
      </c>
      <c r="B720" s="24" t="s">
        <v>2187</v>
      </c>
      <c r="C720" s="24">
        <v>97.653700000000001</v>
      </c>
      <c r="D720" s="24">
        <v>97.653700000000001</v>
      </c>
    </row>
    <row r="721" spans="1:5" ht="15.75" customHeight="1" x14ac:dyDescent="0.4">
      <c r="A721" s="24" t="s">
        <v>2150</v>
      </c>
      <c r="B721" s="24" t="s">
        <v>2187</v>
      </c>
      <c r="C721" s="24">
        <v>97.635400000000004</v>
      </c>
      <c r="D721" s="24">
        <v>97.635400000000004</v>
      </c>
    </row>
    <row r="722" spans="1:5" ht="15.75" customHeight="1" x14ac:dyDescent="0.4">
      <c r="A722" s="24" t="s">
        <v>1963</v>
      </c>
      <c r="B722" s="24" t="s">
        <v>2187</v>
      </c>
      <c r="C722" s="24">
        <v>97.626300000000001</v>
      </c>
      <c r="D722" s="24">
        <v>97.626300000000001</v>
      </c>
    </row>
    <row r="723" spans="1:5" ht="15.75" customHeight="1" x14ac:dyDescent="0.4">
      <c r="A723" s="24" t="s">
        <v>1531</v>
      </c>
      <c r="B723" s="24" t="s">
        <v>2187</v>
      </c>
      <c r="C723" s="24">
        <v>97.626300000000001</v>
      </c>
      <c r="D723" s="24">
        <v>97.626300000000001</v>
      </c>
    </row>
    <row r="724" spans="1:5" ht="15.75" customHeight="1" x14ac:dyDescent="0.4">
      <c r="A724" s="24" t="s">
        <v>1382</v>
      </c>
      <c r="B724" s="24" t="s">
        <v>2187</v>
      </c>
      <c r="C724" s="24">
        <v>97.598799999999997</v>
      </c>
      <c r="E724" s="24">
        <v>96.9148</v>
      </c>
    </row>
    <row r="725" spans="1:5" ht="15.75" customHeight="1" x14ac:dyDescent="0.4">
      <c r="A725" s="24" t="s">
        <v>1992</v>
      </c>
      <c r="B725" s="24" t="s">
        <v>2187</v>
      </c>
      <c r="C725" s="24">
        <v>97.562100000000001</v>
      </c>
      <c r="D725" s="24">
        <v>67.042400000000001</v>
      </c>
      <c r="E725" s="24">
        <v>30.7972</v>
      </c>
    </row>
    <row r="726" spans="1:5" ht="15.75" customHeight="1" x14ac:dyDescent="0.4">
      <c r="A726" s="24" t="s">
        <v>1710</v>
      </c>
      <c r="B726" s="24" t="s">
        <v>2187</v>
      </c>
      <c r="C726" s="24">
        <v>97.525400000000005</v>
      </c>
      <c r="D726" s="24">
        <v>97.525400000000005</v>
      </c>
    </row>
    <row r="727" spans="1:5" ht="15.75" customHeight="1" x14ac:dyDescent="0.4">
      <c r="A727" s="24" t="s">
        <v>2097</v>
      </c>
      <c r="B727" s="24" t="s">
        <v>2187</v>
      </c>
      <c r="C727" s="24">
        <v>97.507099999999994</v>
      </c>
      <c r="D727" s="24">
        <v>97.507099999999994</v>
      </c>
    </row>
    <row r="728" spans="1:5" ht="15.75" customHeight="1" x14ac:dyDescent="0.4">
      <c r="A728" s="24" t="s">
        <v>2076</v>
      </c>
      <c r="B728" s="24" t="s">
        <v>2187</v>
      </c>
      <c r="C728" s="24">
        <v>97.433800000000005</v>
      </c>
      <c r="D728" s="24">
        <v>83.768699999999995</v>
      </c>
      <c r="E728" s="24">
        <v>13.5693</v>
      </c>
    </row>
    <row r="729" spans="1:5" ht="15.75" customHeight="1" x14ac:dyDescent="0.4">
      <c r="A729" s="24" t="s">
        <v>1907</v>
      </c>
      <c r="B729" s="24" t="s">
        <v>2187</v>
      </c>
      <c r="C729" s="24">
        <v>97.397099999999995</v>
      </c>
      <c r="D729" s="24">
        <v>97.397099999999995</v>
      </c>
    </row>
    <row r="730" spans="1:5" ht="15.75" customHeight="1" x14ac:dyDescent="0.4">
      <c r="A730" s="24" t="s">
        <v>1856</v>
      </c>
      <c r="B730" s="24" t="s">
        <v>2187</v>
      </c>
      <c r="C730" s="24">
        <v>97.351299999999995</v>
      </c>
      <c r="D730" s="24">
        <v>94.391000000000005</v>
      </c>
      <c r="E730" s="24">
        <v>96.6691</v>
      </c>
    </row>
    <row r="731" spans="1:5" ht="15.75" customHeight="1" x14ac:dyDescent="0.4">
      <c r="A731" s="24" t="s">
        <v>1518</v>
      </c>
      <c r="B731" s="24" t="s">
        <v>2187</v>
      </c>
      <c r="C731" s="24">
        <v>97.259600000000006</v>
      </c>
      <c r="D731" s="24">
        <v>97.259600000000006</v>
      </c>
    </row>
    <row r="732" spans="1:5" ht="15.75" customHeight="1" x14ac:dyDescent="0.4">
      <c r="A732" s="24" t="s">
        <v>1576</v>
      </c>
      <c r="B732" s="24" t="s">
        <v>2187</v>
      </c>
      <c r="C732" s="24">
        <v>97.250500000000002</v>
      </c>
      <c r="D732" s="24">
        <v>97.250500000000002</v>
      </c>
    </row>
    <row r="733" spans="1:5" ht="15.75" customHeight="1" x14ac:dyDescent="0.4">
      <c r="A733" s="24" t="s">
        <v>1885</v>
      </c>
      <c r="B733" s="24" t="s">
        <v>2187</v>
      </c>
      <c r="C733" s="24">
        <v>97.232200000000006</v>
      </c>
      <c r="D733" s="24">
        <v>97.232200000000006</v>
      </c>
    </row>
    <row r="734" spans="1:5" ht="15.75" customHeight="1" x14ac:dyDescent="0.4">
      <c r="A734" s="24" t="s">
        <v>2055</v>
      </c>
      <c r="B734" s="24" t="s">
        <v>2187</v>
      </c>
      <c r="C734" s="24">
        <v>97.140500000000003</v>
      </c>
      <c r="D734" s="24">
        <v>97.140500000000003</v>
      </c>
    </row>
    <row r="735" spans="1:5" ht="15.75" customHeight="1" x14ac:dyDescent="0.4">
      <c r="A735" s="24" t="s">
        <v>1814</v>
      </c>
      <c r="B735" s="24" t="s">
        <v>2187</v>
      </c>
      <c r="C735" s="24">
        <v>97.140500000000003</v>
      </c>
      <c r="D735" s="24">
        <v>97.140500000000003</v>
      </c>
    </row>
    <row r="736" spans="1:5" ht="15.75" customHeight="1" x14ac:dyDescent="0.4">
      <c r="A736" s="24" t="s">
        <v>1692</v>
      </c>
      <c r="B736" s="24" t="s">
        <v>2187</v>
      </c>
      <c r="C736" s="24">
        <v>97.113</v>
      </c>
      <c r="D736" s="24">
        <v>97.113</v>
      </c>
    </row>
    <row r="737" spans="1:5" ht="15.75" customHeight="1" x14ac:dyDescent="0.4">
      <c r="A737" s="24" t="s">
        <v>1020</v>
      </c>
      <c r="B737" s="24" t="s">
        <v>2187</v>
      </c>
      <c r="C737" s="24">
        <v>97.094700000000003</v>
      </c>
      <c r="D737" s="24">
        <v>97.094700000000003</v>
      </c>
    </row>
    <row r="738" spans="1:5" ht="15.75" customHeight="1" x14ac:dyDescent="0.4">
      <c r="A738" s="24" t="s">
        <v>1708</v>
      </c>
      <c r="B738" s="24" t="s">
        <v>2187</v>
      </c>
      <c r="C738" s="24">
        <v>97.076300000000003</v>
      </c>
      <c r="D738" s="24">
        <v>97.076300000000003</v>
      </c>
    </row>
    <row r="739" spans="1:5" ht="15.75" customHeight="1" x14ac:dyDescent="0.4">
      <c r="A739" s="24" t="s">
        <v>1798</v>
      </c>
      <c r="B739" s="24" t="s">
        <v>2187</v>
      </c>
      <c r="C739" s="24">
        <v>97.0672</v>
      </c>
      <c r="D739" s="24">
        <v>97.0214</v>
      </c>
      <c r="E739" s="24">
        <v>0.227521</v>
      </c>
    </row>
    <row r="740" spans="1:5" ht="15.75" customHeight="1" x14ac:dyDescent="0.4">
      <c r="A740" s="24" t="s">
        <v>2172</v>
      </c>
      <c r="B740" s="24" t="s">
        <v>2187</v>
      </c>
      <c r="C740" s="24">
        <v>97.0672</v>
      </c>
      <c r="E740" s="24">
        <v>96.387</v>
      </c>
    </row>
    <row r="741" spans="1:5" ht="15.75" customHeight="1" x14ac:dyDescent="0.4">
      <c r="A741" s="24" t="s">
        <v>1842</v>
      </c>
      <c r="B741" s="24" t="s">
        <v>2187</v>
      </c>
      <c r="C741" s="24">
        <v>97.048900000000003</v>
      </c>
      <c r="D741" s="24">
        <v>97.048900000000003</v>
      </c>
    </row>
    <row r="742" spans="1:5" ht="15.75" customHeight="1" x14ac:dyDescent="0.4">
      <c r="A742" s="24" t="s">
        <v>2008</v>
      </c>
      <c r="B742" s="24" t="s">
        <v>2187</v>
      </c>
      <c r="C742" s="24">
        <v>97.039699999999996</v>
      </c>
      <c r="D742" s="24">
        <v>97.039699999999996</v>
      </c>
    </row>
    <row r="743" spans="1:5" ht="15.75" customHeight="1" x14ac:dyDescent="0.4">
      <c r="A743" s="24" t="s">
        <v>1152</v>
      </c>
      <c r="B743" s="24" t="s">
        <v>2187</v>
      </c>
      <c r="C743" s="24">
        <v>97.003</v>
      </c>
      <c r="D743" s="24">
        <v>97.003</v>
      </c>
    </row>
    <row r="744" spans="1:5" ht="15.75" customHeight="1" x14ac:dyDescent="0.4">
      <c r="A744" s="24" t="s">
        <v>1286</v>
      </c>
      <c r="B744" s="24" t="s">
        <v>2187</v>
      </c>
      <c r="C744" s="24">
        <v>97.003</v>
      </c>
      <c r="D744" s="24">
        <v>96.315600000000003</v>
      </c>
      <c r="E744" s="24">
        <v>19.393899999999999</v>
      </c>
    </row>
    <row r="745" spans="1:5" ht="15.75" customHeight="1" x14ac:dyDescent="0.4">
      <c r="A745" s="24" t="s">
        <v>1204</v>
      </c>
      <c r="B745" s="24" t="s">
        <v>2187</v>
      </c>
      <c r="C745" s="24">
        <v>96.984700000000004</v>
      </c>
      <c r="D745" s="24">
        <v>96.984700000000004</v>
      </c>
    </row>
    <row r="746" spans="1:5" ht="15.75" customHeight="1" x14ac:dyDescent="0.4">
      <c r="A746" s="24" t="s">
        <v>2119</v>
      </c>
      <c r="B746" s="24" t="s">
        <v>2187</v>
      </c>
      <c r="C746" s="24">
        <v>96.883899999999997</v>
      </c>
      <c r="D746" s="24">
        <v>96.883899999999997</v>
      </c>
    </row>
    <row r="747" spans="1:5" ht="15.75" customHeight="1" x14ac:dyDescent="0.4">
      <c r="A747" s="24" t="s">
        <v>1469</v>
      </c>
      <c r="B747" s="24" t="s">
        <v>2187</v>
      </c>
      <c r="C747" s="24">
        <v>96.764700000000005</v>
      </c>
      <c r="D747" s="24">
        <v>85.390900000000002</v>
      </c>
      <c r="E747" s="24">
        <v>11.2941</v>
      </c>
    </row>
    <row r="748" spans="1:5" ht="15.75" customHeight="1" x14ac:dyDescent="0.4">
      <c r="A748" s="24" t="s">
        <v>2080</v>
      </c>
      <c r="B748" s="24" t="s">
        <v>2187</v>
      </c>
      <c r="C748" s="24">
        <v>96.755600000000001</v>
      </c>
      <c r="D748" s="24">
        <v>3.4369000000000001</v>
      </c>
      <c r="E748" s="24">
        <v>96.077500000000001</v>
      </c>
    </row>
    <row r="749" spans="1:5" ht="15.75" customHeight="1" x14ac:dyDescent="0.4">
      <c r="A749" s="24" t="s">
        <v>696</v>
      </c>
      <c r="B749" s="24" t="s">
        <v>2187</v>
      </c>
      <c r="C749" s="24">
        <v>96.737200000000001</v>
      </c>
      <c r="D749" s="24">
        <v>96.737200000000001</v>
      </c>
    </row>
    <row r="750" spans="1:5" ht="15.75" customHeight="1" x14ac:dyDescent="0.4">
      <c r="A750" s="24" t="s">
        <v>1391</v>
      </c>
      <c r="B750" s="24" t="s">
        <v>2187</v>
      </c>
      <c r="C750" s="24">
        <v>96.691400000000002</v>
      </c>
      <c r="D750" s="24">
        <v>40.747900000000001</v>
      </c>
      <c r="E750" s="24">
        <v>80.132900000000006</v>
      </c>
    </row>
    <row r="751" spans="1:5" ht="15.75" customHeight="1" x14ac:dyDescent="0.4">
      <c r="A751" s="24" t="s">
        <v>1415</v>
      </c>
      <c r="B751" s="24" t="s">
        <v>2187</v>
      </c>
      <c r="C751" s="24">
        <v>96.627300000000005</v>
      </c>
      <c r="D751" s="24">
        <v>96.627300000000005</v>
      </c>
    </row>
    <row r="752" spans="1:5" ht="15.75" customHeight="1" x14ac:dyDescent="0.4">
      <c r="A752" s="24" t="s">
        <v>1913</v>
      </c>
      <c r="B752" s="24" t="s">
        <v>2187</v>
      </c>
      <c r="C752" s="24">
        <v>96.471500000000006</v>
      </c>
      <c r="D752" s="24">
        <v>96.471500000000006</v>
      </c>
    </row>
    <row r="753" spans="1:5" ht="15.75" customHeight="1" x14ac:dyDescent="0.4">
      <c r="A753" s="24" t="s">
        <v>1977</v>
      </c>
      <c r="B753" s="24" t="s">
        <v>2187</v>
      </c>
      <c r="C753" s="24">
        <v>96.471500000000006</v>
      </c>
      <c r="D753" s="24">
        <v>96.471500000000006</v>
      </c>
    </row>
    <row r="754" spans="1:5" ht="15.75" customHeight="1" x14ac:dyDescent="0.4">
      <c r="A754" s="24" t="s">
        <v>1164</v>
      </c>
      <c r="B754" s="24" t="s">
        <v>2187</v>
      </c>
      <c r="C754" s="24">
        <v>96.462299999999999</v>
      </c>
      <c r="D754" s="24">
        <v>96.462299999999999</v>
      </c>
    </row>
    <row r="755" spans="1:5" ht="15.75" customHeight="1" x14ac:dyDescent="0.4">
      <c r="A755" s="24" t="s">
        <v>2039</v>
      </c>
      <c r="B755" s="24" t="s">
        <v>2187</v>
      </c>
      <c r="C755" s="24">
        <v>96.388999999999996</v>
      </c>
      <c r="D755" s="24">
        <v>96.388999999999996</v>
      </c>
    </row>
    <row r="756" spans="1:5" ht="15.75" customHeight="1" x14ac:dyDescent="0.4">
      <c r="A756" s="24" t="s">
        <v>857</v>
      </c>
      <c r="B756" s="24" t="s">
        <v>2187</v>
      </c>
      <c r="C756" s="24">
        <v>96.3523</v>
      </c>
      <c r="D756" s="24">
        <v>96.3523</v>
      </c>
    </row>
    <row r="757" spans="1:5" ht="15.75" customHeight="1" x14ac:dyDescent="0.4">
      <c r="A757" s="24" t="s">
        <v>1320</v>
      </c>
      <c r="B757" s="24" t="s">
        <v>2187</v>
      </c>
      <c r="C757" s="24">
        <v>96.2881</v>
      </c>
      <c r="D757" s="24">
        <v>96.2881</v>
      </c>
    </row>
    <row r="758" spans="1:5" ht="15.75" customHeight="1" x14ac:dyDescent="0.4">
      <c r="A758" s="24" t="s">
        <v>1439</v>
      </c>
      <c r="B758" s="24" t="s">
        <v>2187</v>
      </c>
      <c r="C758" s="24">
        <v>96.178200000000004</v>
      </c>
      <c r="D758" s="24">
        <v>96.178200000000004</v>
      </c>
    </row>
    <row r="759" spans="1:5" ht="15.75" customHeight="1" x14ac:dyDescent="0.4">
      <c r="A759" s="24" t="s">
        <v>856</v>
      </c>
      <c r="B759" s="24" t="s">
        <v>2187</v>
      </c>
      <c r="C759" s="24">
        <v>96.132300000000001</v>
      </c>
      <c r="D759" s="24">
        <v>96.132300000000001</v>
      </c>
    </row>
    <row r="760" spans="1:5" ht="15.75" customHeight="1" x14ac:dyDescent="0.4">
      <c r="A760" s="24" t="s">
        <v>1712</v>
      </c>
      <c r="B760" s="24" t="s">
        <v>2187</v>
      </c>
      <c r="C760" s="24">
        <v>96.049899999999994</v>
      </c>
      <c r="D760" s="24">
        <v>89.240200000000002</v>
      </c>
      <c r="E760" s="24">
        <v>7.01675</v>
      </c>
    </row>
    <row r="761" spans="1:5" ht="15.75" customHeight="1" x14ac:dyDescent="0.4">
      <c r="A761" s="24" t="s">
        <v>1494</v>
      </c>
      <c r="B761" s="24" t="s">
        <v>2187</v>
      </c>
      <c r="C761" s="24">
        <v>96.040700000000001</v>
      </c>
      <c r="D761" s="24">
        <v>96.040700000000001</v>
      </c>
    </row>
    <row r="762" spans="1:5" ht="15.75" customHeight="1" x14ac:dyDescent="0.4">
      <c r="A762" s="24" t="s">
        <v>2078</v>
      </c>
      <c r="B762" s="24" t="s">
        <v>2187</v>
      </c>
      <c r="C762" s="24">
        <v>95.994900000000001</v>
      </c>
      <c r="D762" s="24">
        <v>95.994900000000001</v>
      </c>
    </row>
    <row r="763" spans="1:5" ht="15.75" customHeight="1" x14ac:dyDescent="0.4">
      <c r="A763" s="24" t="s">
        <v>1447</v>
      </c>
      <c r="B763" s="24" t="s">
        <v>2187</v>
      </c>
      <c r="C763" s="24">
        <v>95.985699999999994</v>
      </c>
      <c r="D763" s="24">
        <v>95.985699999999994</v>
      </c>
    </row>
    <row r="764" spans="1:5" ht="15.75" customHeight="1" x14ac:dyDescent="0.4">
      <c r="A764" s="24" t="s">
        <v>1538</v>
      </c>
      <c r="B764" s="24" t="s">
        <v>2187</v>
      </c>
      <c r="C764" s="24">
        <v>95.985699999999994</v>
      </c>
      <c r="D764" s="24">
        <v>95.985699999999994</v>
      </c>
    </row>
    <row r="765" spans="1:5" ht="15.75" customHeight="1" x14ac:dyDescent="0.4">
      <c r="A765" s="24" t="s">
        <v>1411</v>
      </c>
      <c r="B765" s="24" t="s">
        <v>2187</v>
      </c>
      <c r="C765" s="24">
        <v>95.884900000000002</v>
      </c>
      <c r="E765" s="24">
        <v>95.212999999999994</v>
      </c>
    </row>
    <row r="766" spans="1:5" ht="15.75" customHeight="1" x14ac:dyDescent="0.4">
      <c r="A766" s="24" t="s">
        <v>1640</v>
      </c>
      <c r="B766" s="24" t="s">
        <v>2187</v>
      </c>
      <c r="C766" s="24">
        <v>95.820700000000002</v>
      </c>
      <c r="D766" s="24">
        <v>95.820700000000002</v>
      </c>
    </row>
    <row r="767" spans="1:5" ht="15.75" customHeight="1" x14ac:dyDescent="0.4">
      <c r="A767" s="24" t="s">
        <v>1528</v>
      </c>
      <c r="B767" s="24" t="s">
        <v>2187</v>
      </c>
      <c r="C767" s="24">
        <v>95.802400000000006</v>
      </c>
      <c r="D767" s="24">
        <v>95.802400000000006</v>
      </c>
    </row>
    <row r="768" spans="1:5" ht="15.75" customHeight="1" x14ac:dyDescent="0.4">
      <c r="A768" s="24" t="s">
        <v>2120</v>
      </c>
      <c r="B768" s="24" t="s">
        <v>2187</v>
      </c>
      <c r="C768" s="24">
        <v>95.784099999999995</v>
      </c>
      <c r="D768" s="24">
        <v>95.784099999999995</v>
      </c>
    </row>
    <row r="769" spans="1:5" ht="15.75" customHeight="1" x14ac:dyDescent="0.4">
      <c r="A769" s="24" t="s">
        <v>2145</v>
      </c>
      <c r="B769" s="24" t="s">
        <v>2187</v>
      </c>
      <c r="C769" s="24">
        <v>95.784099999999995</v>
      </c>
      <c r="E769" s="24">
        <v>95.112899999999996</v>
      </c>
    </row>
    <row r="770" spans="1:5" ht="15.75" customHeight="1" x14ac:dyDescent="0.4">
      <c r="A770" s="24" t="s">
        <v>1326</v>
      </c>
      <c r="B770" s="24" t="s">
        <v>2187</v>
      </c>
      <c r="C770" s="24">
        <v>95.710800000000006</v>
      </c>
      <c r="D770" s="24">
        <v>95.710800000000006</v>
      </c>
    </row>
    <row r="771" spans="1:5" ht="15.75" customHeight="1" x14ac:dyDescent="0.4">
      <c r="A771" s="24" t="s">
        <v>1980</v>
      </c>
      <c r="B771" s="24" t="s">
        <v>2187</v>
      </c>
      <c r="C771" s="24">
        <v>95.609899999999996</v>
      </c>
      <c r="D771" s="24">
        <v>95.17</v>
      </c>
      <c r="E771" s="24">
        <v>2.1751</v>
      </c>
    </row>
    <row r="772" spans="1:5" ht="15.75" customHeight="1" x14ac:dyDescent="0.4">
      <c r="A772" s="24" t="s">
        <v>1968</v>
      </c>
      <c r="B772" s="24" t="s">
        <v>2187</v>
      </c>
      <c r="C772" s="24">
        <v>95.490799999999993</v>
      </c>
      <c r="D772" s="24">
        <v>95.490799999999993</v>
      </c>
    </row>
    <row r="773" spans="1:5" ht="15.75" customHeight="1" x14ac:dyDescent="0.4">
      <c r="A773" s="24" t="s">
        <v>2135</v>
      </c>
      <c r="B773" s="24" t="s">
        <v>2187</v>
      </c>
      <c r="C773" s="24">
        <v>95.4816</v>
      </c>
      <c r="D773" s="24">
        <v>95.4816</v>
      </c>
    </row>
    <row r="774" spans="1:5" ht="15.75" customHeight="1" x14ac:dyDescent="0.4">
      <c r="A774" s="24" t="s">
        <v>1285</v>
      </c>
      <c r="B774" s="24" t="s">
        <v>2187</v>
      </c>
      <c r="C774" s="24">
        <v>95.463300000000004</v>
      </c>
      <c r="D774" s="24">
        <v>95.463300000000004</v>
      </c>
    </row>
    <row r="775" spans="1:5" ht="15.75" customHeight="1" x14ac:dyDescent="0.4">
      <c r="A775" s="24" t="s">
        <v>2062</v>
      </c>
      <c r="B775" s="24" t="s">
        <v>2187</v>
      </c>
      <c r="C775" s="24">
        <v>95.454099999999997</v>
      </c>
      <c r="D775" s="24">
        <v>95.454099999999997</v>
      </c>
    </row>
    <row r="776" spans="1:5" ht="15.75" customHeight="1" x14ac:dyDescent="0.4">
      <c r="A776" s="24" t="s">
        <v>1331</v>
      </c>
      <c r="B776" s="24" t="s">
        <v>2187</v>
      </c>
      <c r="C776" s="24">
        <v>95.399100000000004</v>
      </c>
      <c r="D776" s="24">
        <v>86.756500000000003</v>
      </c>
      <c r="E776" s="24">
        <v>8.5820900000000009</v>
      </c>
    </row>
    <row r="777" spans="1:5" ht="15.75" customHeight="1" x14ac:dyDescent="0.4">
      <c r="A777" s="24" t="s">
        <v>965</v>
      </c>
      <c r="B777" s="24" t="s">
        <v>2187</v>
      </c>
      <c r="C777" s="24">
        <v>95.353300000000004</v>
      </c>
      <c r="D777" s="24">
        <v>95.353300000000004</v>
      </c>
    </row>
    <row r="778" spans="1:5" ht="15.75" customHeight="1" x14ac:dyDescent="0.4">
      <c r="A778" s="24" t="s">
        <v>685</v>
      </c>
      <c r="B778" s="24" t="s">
        <v>2187</v>
      </c>
      <c r="C778" s="24">
        <v>95.252499999999998</v>
      </c>
      <c r="E778" s="24">
        <v>94.584999999999994</v>
      </c>
    </row>
    <row r="779" spans="1:5" ht="15.75" customHeight="1" x14ac:dyDescent="0.4">
      <c r="A779" s="24" t="s">
        <v>2046</v>
      </c>
      <c r="B779" s="24" t="s">
        <v>2187</v>
      </c>
      <c r="C779" s="24">
        <v>95.179199999999994</v>
      </c>
      <c r="D779" s="24">
        <v>95.179199999999994</v>
      </c>
    </row>
    <row r="780" spans="1:5" ht="15.75" customHeight="1" x14ac:dyDescent="0.4">
      <c r="A780" s="24" t="s">
        <v>2133</v>
      </c>
      <c r="B780" s="24" t="s">
        <v>2187</v>
      </c>
      <c r="C780" s="24">
        <v>95.105900000000005</v>
      </c>
      <c r="D780" s="24">
        <v>95.105900000000005</v>
      </c>
    </row>
    <row r="781" spans="1:5" ht="15.75" customHeight="1" x14ac:dyDescent="0.4">
      <c r="A781" s="24" t="s">
        <v>1547</v>
      </c>
      <c r="B781" s="24" t="s">
        <v>2187</v>
      </c>
      <c r="C781" s="24">
        <v>95.096699999999998</v>
      </c>
      <c r="D781" s="24">
        <v>95.096699999999998</v>
      </c>
    </row>
    <row r="782" spans="1:5" ht="15.75" customHeight="1" x14ac:dyDescent="0.4">
      <c r="A782" s="24" t="s">
        <v>1973</v>
      </c>
      <c r="B782" s="24" t="s">
        <v>2187</v>
      </c>
      <c r="C782" s="24">
        <v>95.087500000000006</v>
      </c>
      <c r="D782" s="24">
        <v>95.087500000000006</v>
      </c>
    </row>
    <row r="783" spans="1:5" ht="15.75" customHeight="1" x14ac:dyDescent="0.4">
      <c r="A783" s="24" t="s">
        <v>1587</v>
      </c>
      <c r="B783" s="24" t="s">
        <v>2187</v>
      </c>
      <c r="C783" s="24">
        <v>95.041700000000006</v>
      </c>
      <c r="D783" s="24">
        <v>95.041700000000006</v>
      </c>
    </row>
    <row r="784" spans="1:5" ht="15.75" customHeight="1" x14ac:dyDescent="0.4">
      <c r="A784" s="24" t="s">
        <v>1897</v>
      </c>
      <c r="B784" s="24" t="s">
        <v>2187</v>
      </c>
      <c r="C784" s="24">
        <v>95.032499999999999</v>
      </c>
      <c r="D784" s="24">
        <v>95.032499999999999</v>
      </c>
    </row>
    <row r="785" spans="1:5" ht="15.75" customHeight="1" x14ac:dyDescent="0.4">
      <c r="A785" s="24" t="s">
        <v>1618</v>
      </c>
      <c r="B785" s="24" t="s">
        <v>2187</v>
      </c>
      <c r="C785" s="24">
        <v>94.986699999999999</v>
      </c>
      <c r="D785" s="24">
        <v>94.986699999999999</v>
      </c>
    </row>
    <row r="786" spans="1:5" ht="15.75" customHeight="1" x14ac:dyDescent="0.4">
      <c r="A786" s="24" t="s">
        <v>1476</v>
      </c>
      <c r="B786" s="24" t="s">
        <v>2187</v>
      </c>
      <c r="C786" s="24">
        <v>94.922600000000003</v>
      </c>
      <c r="D786" s="24">
        <v>94.922600000000003</v>
      </c>
    </row>
    <row r="787" spans="1:5" ht="15.75" customHeight="1" x14ac:dyDescent="0.4">
      <c r="A787" s="24" t="s">
        <v>991</v>
      </c>
      <c r="B787" s="24" t="s">
        <v>2187</v>
      </c>
      <c r="C787" s="24">
        <v>94.867599999999996</v>
      </c>
      <c r="D787" s="24">
        <v>94.867599999999996</v>
      </c>
    </row>
    <row r="788" spans="1:5" ht="15.75" customHeight="1" x14ac:dyDescent="0.4">
      <c r="A788" s="24" t="s">
        <v>1627</v>
      </c>
      <c r="B788" s="24" t="s">
        <v>2187</v>
      </c>
      <c r="C788" s="24">
        <v>94.858400000000003</v>
      </c>
      <c r="D788" s="24">
        <v>94.858400000000003</v>
      </c>
    </row>
    <row r="789" spans="1:5" ht="15.75" customHeight="1" x14ac:dyDescent="0.4">
      <c r="A789" s="24" t="s">
        <v>1912</v>
      </c>
      <c r="B789" s="24" t="s">
        <v>2187</v>
      </c>
      <c r="C789" s="24">
        <v>94.849199999999996</v>
      </c>
      <c r="D789" s="24">
        <v>94.849199999999996</v>
      </c>
    </row>
    <row r="790" spans="1:5" ht="15.75" customHeight="1" x14ac:dyDescent="0.4">
      <c r="A790" s="24" t="s">
        <v>1245</v>
      </c>
      <c r="B790" s="24" t="s">
        <v>2187</v>
      </c>
      <c r="C790" s="24">
        <v>94.840100000000007</v>
      </c>
      <c r="D790" s="24">
        <v>94.840100000000007</v>
      </c>
    </row>
    <row r="791" spans="1:5" ht="15.75" customHeight="1" x14ac:dyDescent="0.4">
      <c r="A791" s="24" t="s">
        <v>1898</v>
      </c>
      <c r="B791" s="24" t="s">
        <v>2187</v>
      </c>
      <c r="C791" s="24">
        <v>94.702600000000004</v>
      </c>
      <c r="E791" s="24">
        <v>94.038899999999998</v>
      </c>
    </row>
    <row r="792" spans="1:5" ht="15.75" customHeight="1" x14ac:dyDescent="0.4">
      <c r="A792" s="24" t="s">
        <v>2089</v>
      </c>
      <c r="B792" s="24" t="s">
        <v>2187</v>
      </c>
      <c r="C792" s="24">
        <v>94.501000000000005</v>
      </c>
      <c r="D792" s="24">
        <v>94.501000000000005</v>
      </c>
    </row>
    <row r="793" spans="1:5" ht="15.75" customHeight="1" x14ac:dyDescent="0.4">
      <c r="A793" s="24" t="s">
        <v>1998</v>
      </c>
      <c r="B793" s="24" t="s">
        <v>2187</v>
      </c>
      <c r="C793" s="24">
        <v>94.501000000000005</v>
      </c>
      <c r="D793" s="24">
        <v>75.914199999999994</v>
      </c>
      <c r="E793" s="24">
        <v>25.454999999999998</v>
      </c>
    </row>
    <row r="794" spans="1:5" ht="15.75" customHeight="1" x14ac:dyDescent="0.4">
      <c r="A794" s="24" t="s">
        <v>1473</v>
      </c>
      <c r="B794" s="24" t="s">
        <v>2187</v>
      </c>
      <c r="C794" s="24">
        <v>94.409300000000002</v>
      </c>
      <c r="D794" s="24">
        <v>94.409300000000002</v>
      </c>
    </row>
    <row r="795" spans="1:5" ht="15.75" customHeight="1" x14ac:dyDescent="0.4">
      <c r="A795" s="24" t="s">
        <v>1450</v>
      </c>
      <c r="B795" s="24" t="s">
        <v>2187</v>
      </c>
      <c r="C795" s="24">
        <v>94.299300000000002</v>
      </c>
      <c r="D795" s="24">
        <v>94.299300000000002</v>
      </c>
    </row>
    <row r="796" spans="1:5" ht="15.75" customHeight="1" x14ac:dyDescent="0.4">
      <c r="A796" s="24" t="s">
        <v>1376</v>
      </c>
      <c r="B796" s="24" t="s">
        <v>2187</v>
      </c>
      <c r="C796" s="24">
        <v>94.262699999999995</v>
      </c>
      <c r="E796" s="24">
        <v>93.602099999999993</v>
      </c>
    </row>
    <row r="797" spans="1:5" ht="15.75" customHeight="1" x14ac:dyDescent="0.4">
      <c r="A797" s="24" t="s">
        <v>1972</v>
      </c>
      <c r="B797" s="24" t="s">
        <v>2187</v>
      </c>
      <c r="C797" s="24">
        <v>94.262699999999995</v>
      </c>
      <c r="D797" s="24">
        <v>94.262699999999995</v>
      </c>
    </row>
    <row r="798" spans="1:5" ht="15.75" customHeight="1" x14ac:dyDescent="0.4">
      <c r="A798" s="24" t="s">
        <v>1761</v>
      </c>
      <c r="B798" s="24" t="s">
        <v>2187</v>
      </c>
      <c r="C798" s="24">
        <v>94.225999999999999</v>
      </c>
      <c r="D798" s="24">
        <v>94.225999999999999</v>
      </c>
    </row>
    <row r="799" spans="1:5" ht="15.75" customHeight="1" x14ac:dyDescent="0.4">
      <c r="A799" s="24" t="s">
        <v>1024</v>
      </c>
      <c r="B799" s="24" t="s">
        <v>2187</v>
      </c>
      <c r="C799" s="24">
        <v>94.152699999999996</v>
      </c>
      <c r="D799" s="24">
        <v>65.686000000000007</v>
      </c>
      <c r="E799" s="24">
        <v>28.267199999999999</v>
      </c>
    </row>
    <row r="800" spans="1:5" ht="15.75" customHeight="1" x14ac:dyDescent="0.4">
      <c r="A800" s="24" t="s">
        <v>1938</v>
      </c>
      <c r="B800" s="24" t="s">
        <v>2187</v>
      </c>
      <c r="C800" s="24">
        <v>94.097700000000003</v>
      </c>
      <c r="D800" s="24">
        <v>94.097700000000003</v>
      </c>
    </row>
    <row r="801" spans="1:5" ht="15.75" customHeight="1" x14ac:dyDescent="0.4">
      <c r="A801" s="24" t="s">
        <v>2049</v>
      </c>
      <c r="B801" s="24" t="s">
        <v>2187</v>
      </c>
      <c r="C801" s="24">
        <v>94.097700000000003</v>
      </c>
      <c r="D801" s="24">
        <v>93.685299999999998</v>
      </c>
      <c r="E801" s="24">
        <v>0.40953800000000001</v>
      </c>
    </row>
    <row r="802" spans="1:5" ht="15.75" customHeight="1" x14ac:dyDescent="0.4">
      <c r="A802" s="24" t="s">
        <v>1782</v>
      </c>
      <c r="B802" s="24" t="s">
        <v>2187</v>
      </c>
      <c r="C802" s="24">
        <v>94.0702</v>
      </c>
      <c r="D802" s="24">
        <v>94.0702</v>
      </c>
    </row>
    <row r="803" spans="1:5" ht="15.75" customHeight="1" x14ac:dyDescent="0.4">
      <c r="A803" s="24" t="s">
        <v>1575</v>
      </c>
      <c r="B803" s="24" t="s">
        <v>2187</v>
      </c>
      <c r="C803" s="24">
        <v>94.051900000000003</v>
      </c>
      <c r="D803" s="24">
        <v>94.051900000000003</v>
      </c>
    </row>
    <row r="804" spans="1:5" ht="15.75" customHeight="1" x14ac:dyDescent="0.4">
      <c r="A804" s="24" t="s">
        <v>1467</v>
      </c>
      <c r="B804" s="24" t="s">
        <v>2187</v>
      </c>
      <c r="C804" s="24">
        <v>94.042699999999996</v>
      </c>
      <c r="D804" s="24">
        <v>85.152600000000007</v>
      </c>
      <c r="E804" s="24">
        <v>8.8278099999999995</v>
      </c>
    </row>
    <row r="805" spans="1:5" ht="15.75" customHeight="1" x14ac:dyDescent="0.4">
      <c r="A805" s="24" t="s">
        <v>1397</v>
      </c>
      <c r="B805" s="24" t="s">
        <v>2187</v>
      </c>
      <c r="C805" s="24">
        <v>93.877700000000004</v>
      </c>
      <c r="D805" s="24">
        <v>93.877700000000004</v>
      </c>
    </row>
    <row r="806" spans="1:5" ht="15.75" customHeight="1" x14ac:dyDescent="0.4">
      <c r="A806" s="24" t="s">
        <v>1905</v>
      </c>
      <c r="B806" s="24" t="s">
        <v>2187</v>
      </c>
      <c r="C806" s="24">
        <v>93.786100000000005</v>
      </c>
      <c r="E806" s="24">
        <v>93.128900000000002</v>
      </c>
    </row>
    <row r="807" spans="1:5" ht="15.75" customHeight="1" x14ac:dyDescent="0.4">
      <c r="A807" s="24" t="s">
        <v>2014</v>
      </c>
      <c r="B807" s="24" t="s">
        <v>2187</v>
      </c>
      <c r="C807" s="24">
        <v>93.786100000000005</v>
      </c>
      <c r="D807" s="24">
        <v>93.786100000000005</v>
      </c>
    </row>
    <row r="808" spans="1:5" ht="15.75" customHeight="1" x14ac:dyDescent="0.4">
      <c r="A808" s="24" t="s">
        <v>1265</v>
      </c>
      <c r="B808" s="24" t="s">
        <v>2187</v>
      </c>
      <c r="C808" s="24">
        <v>93.786100000000005</v>
      </c>
      <c r="D808" s="24">
        <v>93.071200000000005</v>
      </c>
      <c r="E808" s="24">
        <v>0.70986499999999997</v>
      </c>
    </row>
    <row r="809" spans="1:5" ht="15.75" customHeight="1" x14ac:dyDescent="0.4">
      <c r="A809" s="24" t="s">
        <v>2130</v>
      </c>
      <c r="B809" s="24" t="s">
        <v>2187</v>
      </c>
      <c r="C809" s="24">
        <v>93.767799999999994</v>
      </c>
      <c r="D809" s="24">
        <v>93.767799999999994</v>
      </c>
    </row>
    <row r="810" spans="1:5" ht="15.75" customHeight="1" x14ac:dyDescent="0.4">
      <c r="A810" s="24" t="s">
        <v>2084</v>
      </c>
      <c r="B810" s="24" t="s">
        <v>2187</v>
      </c>
      <c r="C810" s="24">
        <v>93.657799999999995</v>
      </c>
      <c r="D810" s="24">
        <v>20.099</v>
      </c>
      <c r="E810" s="24">
        <v>90.034599999999998</v>
      </c>
    </row>
    <row r="811" spans="1:5" ht="15.75" customHeight="1" x14ac:dyDescent="0.4">
      <c r="A811" s="24" t="s">
        <v>726</v>
      </c>
      <c r="B811" s="24" t="s">
        <v>2187</v>
      </c>
      <c r="C811" s="24">
        <v>93.639499999999998</v>
      </c>
      <c r="D811" s="24">
        <v>93.639499999999998</v>
      </c>
    </row>
    <row r="812" spans="1:5" ht="15.75" customHeight="1" x14ac:dyDescent="0.4">
      <c r="A812" s="24" t="s">
        <v>1361</v>
      </c>
      <c r="B812" s="24" t="s">
        <v>2187</v>
      </c>
      <c r="C812" s="24">
        <v>93.501999999999995</v>
      </c>
      <c r="D812" s="24">
        <v>93.501999999999995</v>
      </c>
    </row>
    <row r="813" spans="1:5" ht="15.75" customHeight="1" x14ac:dyDescent="0.4">
      <c r="A813" s="24" t="s">
        <v>2043</v>
      </c>
      <c r="B813" s="24" t="s">
        <v>2187</v>
      </c>
      <c r="C813" s="24">
        <v>93.465299999999999</v>
      </c>
      <c r="D813" s="24">
        <v>43.130800000000001</v>
      </c>
      <c r="E813" s="24">
        <v>87.459000000000003</v>
      </c>
    </row>
    <row r="814" spans="1:5" ht="15.75" customHeight="1" x14ac:dyDescent="0.4">
      <c r="A814" s="24" t="s">
        <v>2173</v>
      </c>
      <c r="B814" s="24" t="s">
        <v>2187</v>
      </c>
      <c r="C814" s="24">
        <v>93.337000000000003</v>
      </c>
      <c r="D814" s="24">
        <v>24.828199999999999</v>
      </c>
      <c r="E814" s="24">
        <v>85.675299999999993</v>
      </c>
    </row>
    <row r="815" spans="1:5" ht="15.75" customHeight="1" x14ac:dyDescent="0.4">
      <c r="A815" s="24" t="s">
        <v>1581</v>
      </c>
      <c r="B815" s="24" t="s">
        <v>2187</v>
      </c>
      <c r="C815" s="24">
        <v>93.291200000000003</v>
      </c>
      <c r="D815" s="24">
        <v>93.291200000000003</v>
      </c>
    </row>
    <row r="816" spans="1:5" ht="15.75" customHeight="1" x14ac:dyDescent="0.4">
      <c r="A816" s="24" t="s">
        <v>1988</v>
      </c>
      <c r="B816" s="24" t="s">
        <v>2187</v>
      </c>
      <c r="C816" s="24">
        <v>93.208699999999993</v>
      </c>
      <c r="D816" s="24">
        <v>58.500599999999999</v>
      </c>
      <c r="E816" s="24">
        <v>39.160899999999998</v>
      </c>
    </row>
    <row r="817" spans="1:5" ht="15.75" customHeight="1" x14ac:dyDescent="0.4">
      <c r="A817" s="24" t="s">
        <v>1965</v>
      </c>
      <c r="B817" s="24" t="s">
        <v>2187</v>
      </c>
      <c r="C817" s="24">
        <v>93.181200000000004</v>
      </c>
      <c r="D817" s="24">
        <v>93.135400000000004</v>
      </c>
      <c r="E817" s="24">
        <v>8.5820900000000009</v>
      </c>
    </row>
    <row r="818" spans="1:5" ht="15.75" customHeight="1" x14ac:dyDescent="0.4">
      <c r="A818" s="24" t="s">
        <v>2168</v>
      </c>
      <c r="B818" s="24" t="s">
        <v>2187</v>
      </c>
      <c r="C818" s="24">
        <v>92.979600000000005</v>
      </c>
      <c r="D818" s="24">
        <v>92.979600000000005</v>
      </c>
    </row>
    <row r="819" spans="1:5" ht="15.75" customHeight="1" x14ac:dyDescent="0.4">
      <c r="A819" s="24" t="s">
        <v>1162</v>
      </c>
      <c r="B819" s="24" t="s">
        <v>2187</v>
      </c>
      <c r="C819" s="24">
        <v>92.942899999999995</v>
      </c>
      <c r="E819" s="24">
        <v>92.291600000000003</v>
      </c>
    </row>
    <row r="820" spans="1:5" ht="15.75" customHeight="1" x14ac:dyDescent="0.4">
      <c r="A820" s="24" t="s">
        <v>1537</v>
      </c>
      <c r="B820" s="24" t="s">
        <v>2187</v>
      </c>
      <c r="C820" s="24">
        <v>92.832899999999995</v>
      </c>
      <c r="D820" s="24">
        <v>92.832899999999995</v>
      </c>
    </row>
    <row r="821" spans="1:5" ht="15.75" customHeight="1" x14ac:dyDescent="0.4">
      <c r="A821" s="24" t="s">
        <v>1507</v>
      </c>
      <c r="B821" s="24" t="s">
        <v>2187</v>
      </c>
      <c r="C821" s="24">
        <v>92.750399999999999</v>
      </c>
      <c r="D821" s="24">
        <v>91.962199999999996</v>
      </c>
      <c r="E821" s="24">
        <v>83.172600000000003</v>
      </c>
    </row>
    <row r="822" spans="1:5" ht="15.75" customHeight="1" x14ac:dyDescent="0.4">
      <c r="A822" s="24" t="s">
        <v>2163</v>
      </c>
      <c r="B822" s="24" t="s">
        <v>2187</v>
      </c>
      <c r="C822" s="24">
        <v>92.668000000000006</v>
      </c>
      <c r="D822" s="24">
        <v>92.668000000000006</v>
      </c>
    </row>
    <row r="823" spans="1:5" ht="15.75" customHeight="1" x14ac:dyDescent="0.4">
      <c r="A823" s="24" t="s">
        <v>1345</v>
      </c>
      <c r="B823" s="24" t="s">
        <v>2187</v>
      </c>
      <c r="C823" s="24">
        <v>92.512100000000004</v>
      </c>
      <c r="D823" s="24">
        <v>0.64155399999999996</v>
      </c>
      <c r="E823" s="24">
        <v>91.863900000000001</v>
      </c>
    </row>
    <row r="824" spans="1:5" ht="15.75" customHeight="1" x14ac:dyDescent="0.4">
      <c r="A824" s="24" t="s">
        <v>2100</v>
      </c>
      <c r="B824" s="24" t="s">
        <v>2187</v>
      </c>
      <c r="C824" s="24">
        <v>92.475499999999997</v>
      </c>
      <c r="D824" s="24">
        <v>92.475499999999997</v>
      </c>
    </row>
    <row r="825" spans="1:5" ht="15.75" customHeight="1" x14ac:dyDescent="0.4">
      <c r="A825" s="24" t="s">
        <v>1293</v>
      </c>
      <c r="B825" s="24" t="s">
        <v>2187</v>
      </c>
      <c r="C825" s="24">
        <v>92.447999999999993</v>
      </c>
      <c r="D825" s="24">
        <v>90.010099999999994</v>
      </c>
      <c r="E825" s="24">
        <v>78.767700000000005</v>
      </c>
    </row>
    <row r="826" spans="1:5" ht="15.75" customHeight="1" x14ac:dyDescent="0.4">
      <c r="A826" s="24" t="s">
        <v>1451</v>
      </c>
      <c r="B826" s="24" t="s">
        <v>2187</v>
      </c>
      <c r="C826" s="24">
        <v>92.447999999999993</v>
      </c>
      <c r="D826" s="24">
        <v>92.447999999999993</v>
      </c>
    </row>
    <row r="827" spans="1:5" ht="15.75" customHeight="1" x14ac:dyDescent="0.4">
      <c r="A827" s="24" t="s">
        <v>2096</v>
      </c>
      <c r="B827" s="24" t="s">
        <v>2187</v>
      </c>
      <c r="C827" s="24">
        <v>92.429699999999997</v>
      </c>
      <c r="D827" s="24">
        <v>92.283000000000001</v>
      </c>
      <c r="E827" s="24">
        <v>0.14561299999999999</v>
      </c>
    </row>
    <row r="828" spans="1:5" ht="15.75" customHeight="1" x14ac:dyDescent="0.4">
      <c r="A828" s="24" t="s">
        <v>1363</v>
      </c>
      <c r="B828" s="24" t="s">
        <v>2187</v>
      </c>
      <c r="C828" s="24">
        <v>92.356300000000005</v>
      </c>
      <c r="D828" s="24">
        <v>92.356300000000005</v>
      </c>
    </row>
    <row r="829" spans="1:5" ht="15.75" customHeight="1" x14ac:dyDescent="0.4">
      <c r="A829" s="24" t="s">
        <v>1615</v>
      </c>
      <c r="B829" s="24" t="s">
        <v>2187</v>
      </c>
      <c r="C829" s="24">
        <v>92.310500000000005</v>
      </c>
      <c r="E829" s="24">
        <v>91.663600000000002</v>
      </c>
    </row>
    <row r="830" spans="1:5" ht="15.75" customHeight="1" x14ac:dyDescent="0.4">
      <c r="A830" s="24" t="s">
        <v>905</v>
      </c>
      <c r="B830" s="24" t="s">
        <v>2187</v>
      </c>
      <c r="C830" s="24">
        <v>92.264700000000005</v>
      </c>
      <c r="D830" s="24">
        <v>91.201499999999996</v>
      </c>
      <c r="E830" s="24">
        <v>38.268999999999998</v>
      </c>
    </row>
    <row r="831" spans="1:5" ht="15.75" customHeight="1" x14ac:dyDescent="0.4">
      <c r="A831" s="24" t="s">
        <v>1511</v>
      </c>
      <c r="B831" s="24" t="s">
        <v>2187</v>
      </c>
      <c r="C831" s="24">
        <v>92.145499999999998</v>
      </c>
      <c r="D831" s="24">
        <v>92.145499999999998</v>
      </c>
    </row>
    <row r="832" spans="1:5" ht="15.75" customHeight="1" x14ac:dyDescent="0.4">
      <c r="A832" s="24" t="s">
        <v>232</v>
      </c>
      <c r="B832" s="24" t="s">
        <v>2187</v>
      </c>
      <c r="C832" s="24">
        <v>92.081400000000002</v>
      </c>
      <c r="D832" s="24">
        <v>92.081400000000002</v>
      </c>
    </row>
    <row r="833" spans="1:5" ht="15.75" customHeight="1" x14ac:dyDescent="0.4">
      <c r="A833" s="24" t="s">
        <v>748</v>
      </c>
      <c r="B833" s="24" t="s">
        <v>2187</v>
      </c>
      <c r="C833" s="24">
        <v>91.953100000000006</v>
      </c>
      <c r="D833" s="24">
        <v>91.879800000000003</v>
      </c>
      <c r="E833" s="24">
        <v>5.0691699999999997</v>
      </c>
    </row>
    <row r="834" spans="1:5" ht="15.75" customHeight="1" x14ac:dyDescent="0.4">
      <c r="A834" s="24" t="s">
        <v>1480</v>
      </c>
      <c r="B834" s="24" t="s">
        <v>2187</v>
      </c>
      <c r="C834" s="24">
        <v>91.934700000000007</v>
      </c>
      <c r="E834" s="24">
        <v>91.290499999999994</v>
      </c>
    </row>
    <row r="835" spans="1:5" ht="15.75" customHeight="1" x14ac:dyDescent="0.4">
      <c r="A835" s="24" t="s">
        <v>1677</v>
      </c>
      <c r="B835" s="24" t="s">
        <v>2187</v>
      </c>
      <c r="C835" s="24">
        <v>91.907200000000003</v>
      </c>
      <c r="D835" s="24">
        <v>91.907200000000003</v>
      </c>
    </row>
    <row r="836" spans="1:5" ht="15.75" customHeight="1" x14ac:dyDescent="0.4">
      <c r="A836" s="24" t="s">
        <v>1940</v>
      </c>
      <c r="B836" s="24" t="s">
        <v>2187</v>
      </c>
      <c r="C836" s="24">
        <v>91.861400000000003</v>
      </c>
      <c r="D836" s="24">
        <v>91.861400000000003</v>
      </c>
    </row>
    <row r="837" spans="1:5" ht="15.75" customHeight="1" x14ac:dyDescent="0.4">
      <c r="A837" s="24" t="s">
        <v>240</v>
      </c>
      <c r="B837" s="24" t="s">
        <v>2187</v>
      </c>
      <c r="C837" s="24">
        <v>91.8339</v>
      </c>
      <c r="D837" s="24">
        <v>47.713299999999997</v>
      </c>
      <c r="E837" s="24">
        <v>43.811399999999999</v>
      </c>
    </row>
    <row r="838" spans="1:5" ht="15.75" customHeight="1" x14ac:dyDescent="0.4">
      <c r="A838" s="24" t="s">
        <v>1923</v>
      </c>
      <c r="B838" s="24" t="s">
        <v>2187</v>
      </c>
      <c r="C838" s="24">
        <v>91.778899999999993</v>
      </c>
      <c r="D838" s="24">
        <v>40.317100000000003</v>
      </c>
      <c r="E838" s="24">
        <v>91.135800000000003</v>
      </c>
    </row>
    <row r="839" spans="1:5" ht="15.75" customHeight="1" x14ac:dyDescent="0.4">
      <c r="A839" s="24" t="s">
        <v>1497</v>
      </c>
      <c r="B839" s="24" t="s">
        <v>2187</v>
      </c>
      <c r="C839" s="24">
        <v>91.714799999999997</v>
      </c>
      <c r="D839" s="24">
        <v>91.714799999999997</v>
      </c>
    </row>
    <row r="840" spans="1:5" ht="15.75" customHeight="1" x14ac:dyDescent="0.4">
      <c r="A840" s="24" t="s">
        <v>1611</v>
      </c>
      <c r="B840" s="24" t="s">
        <v>2187</v>
      </c>
      <c r="C840" s="24">
        <v>91.705600000000004</v>
      </c>
      <c r="D840" s="24">
        <v>91.705600000000004</v>
      </c>
    </row>
    <row r="841" spans="1:5" ht="15.75" customHeight="1" x14ac:dyDescent="0.4">
      <c r="A841" s="24" t="s">
        <v>1454</v>
      </c>
      <c r="B841" s="24" t="s">
        <v>2187</v>
      </c>
      <c r="C841" s="24">
        <v>91.623099999999994</v>
      </c>
      <c r="D841" s="24">
        <v>91.623099999999994</v>
      </c>
    </row>
    <row r="842" spans="1:5" ht="15.75" customHeight="1" x14ac:dyDescent="0.4">
      <c r="A842" s="24" t="s">
        <v>1982</v>
      </c>
      <c r="B842" s="24" t="s">
        <v>2187</v>
      </c>
      <c r="C842" s="24">
        <v>91.540599999999998</v>
      </c>
      <c r="D842" s="24">
        <v>91.540599999999998</v>
      </c>
    </row>
    <row r="843" spans="1:5" ht="15.75" customHeight="1" x14ac:dyDescent="0.4">
      <c r="A843" s="24" t="s">
        <v>1263</v>
      </c>
      <c r="B843" s="24" t="s">
        <v>2187</v>
      </c>
      <c r="C843" s="24">
        <v>91.467299999999994</v>
      </c>
      <c r="D843" s="24">
        <v>91.467299999999994</v>
      </c>
    </row>
    <row r="844" spans="1:5" ht="15.75" customHeight="1" x14ac:dyDescent="0.4">
      <c r="A844" s="24" t="s">
        <v>2088</v>
      </c>
      <c r="B844" s="24" t="s">
        <v>2187</v>
      </c>
      <c r="C844" s="24">
        <v>91.448999999999998</v>
      </c>
      <c r="D844" s="24">
        <v>91.448999999999998</v>
      </c>
    </row>
    <row r="845" spans="1:5" ht="15.75" customHeight="1" x14ac:dyDescent="0.4">
      <c r="A845" s="24" t="s">
        <v>1871</v>
      </c>
      <c r="B845" s="24" t="s">
        <v>2187</v>
      </c>
      <c r="C845" s="24">
        <v>91.421499999999995</v>
      </c>
      <c r="D845" s="24">
        <v>0.75153499999999995</v>
      </c>
      <c r="E845" s="24">
        <v>90.034599999999998</v>
      </c>
    </row>
    <row r="846" spans="1:5" ht="15.75" customHeight="1" x14ac:dyDescent="0.4">
      <c r="A846" s="24" t="s">
        <v>1976</v>
      </c>
      <c r="B846" s="24" t="s">
        <v>2187</v>
      </c>
      <c r="C846" s="24">
        <v>91.357299999999995</v>
      </c>
      <c r="D846" s="24">
        <v>91.329800000000006</v>
      </c>
      <c r="E846" s="24">
        <v>12.295199999999999</v>
      </c>
    </row>
    <row r="847" spans="1:5" ht="15.75" customHeight="1" x14ac:dyDescent="0.4">
      <c r="A847" s="24" t="s">
        <v>866</v>
      </c>
      <c r="B847" s="24" t="s">
        <v>2187</v>
      </c>
      <c r="C847" s="24">
        <v>91.338999999999999</v>
      </c>
      <c r="D847" s="24">
        <v>31.628599999999999</v>
      </c>
      <c r="E847" s="24">
        <v>59.292000000000002</v>
      </c>
    </row>
    <row r="848" spans="1:5" ht="15.75" customHeight="1" x14ac:dyDescent="0.4">
      <c r="A848" s="24" t="s">
        <v>1666</v>
      </c>
      <c r="B848" s="24" t="s">
        <v>2187</v>
      </c>
      <c r="C848" s="24">
        <v>91.320700000000002</v>
      </c>
      <c r="D848" s="24">
        <v>91.320700000000002</v>
      </c>
    </row>
    <row r="849" spans="1:5" ht="15.75" customHeight="1" x14ac:dyDescent="0.4">
      <c r="A849" s="24" t="s">
        <v>1851</v>
      </c>
      <c r="B849" s="24" t="s">
        <v>2187</v>
      </c>
      <c r="C849" s="24">
        <v>91.311499999999995</v>
      </c>
      <c r="E849" s="24">
        <v>90.671599999999998</v>
      </c>
    </row>
    <row r="850" spans="1:5" ht="15.75" customHeight="1" x14ac:dyDescent="0.4">
      <c r="A850" s="24" t="s">
        <v>1190</v>
      </c>
      <c r="B850" s="24" t="s">
        <v>2187</v>
      </c>
      <c r="C850" s="24">
        <v>91.1374</v>
      </c>
      <c r="D850" s="24">
        <v>91.1374</v>
      </c>
    </row>
    <row r="851" spans="1:5" ht="15.75" customHeight="1" x14ac:dyDescent="0.4">
      <c r="A851" s="24" t="s">
        <v>1684</v>
      </c>
      <c r="B851" s="24" t="s">
        <v>2187</v>
      </c>
      <c r="C851" s="24">
        <v>91.128200000000007</v>
      </c>
      <c r="D851" s="24">
        <v>91.128200000000007</v>
      </c>
    </row>
    <row r="852" spans="1:5" ht="15.75" customHeight="1" x14ac:dyDescent="0.4">
      <c r="A852" s="24" t="s">
        <v>1493</v>
      </c>
      <c r="B852" s="24" t="s">
        <v>2187</v>
      </c>
      <c r="C852" s="24">
        <v>91.100700000000003</v>
      </c>
      <c r="D852" s="24">
        <v>90.596599999999995</v>
      </c>
      <c r="E852" s="24">
        <v>36.539900000000003</v>
      </c>
    </row>
    <row r="853" spans="1:5" ht="15.75" customHeight="1" x14ac:dyDescent="0.4">
      <c r="A853" s="24" t="s">
        <v>758</v>
      </c>
      <c r="B853" s="24" t="s">
        <v>2187</v>
      </c>
      <c r="C853" s="24">
        <v>91.0732</v>
      </c>
      <c r="D853" s="24">
        <v>91.0732</v>
      </c>
    </row>
    <row r="854" spans="1:5" ht="15.75" customHeight="1" x14ac:dyDescent="0.4">
      <c r="A854" s="24" t="s">
        <v>1683</v>
      </c>
      <c r="B854" s="24" t="s">
        <v>2187</v>
      </c>
      <c r="C854" s="24">
        <v>91.0274</v>
      </c>
      <c r="D854" s="24">
        <v>91.0274</v>
      </c>
    </row>
    <row r="855" spans="1:5" ht="15.75" customHeight="1" x14ac:dyDescent="0.4">
      <c r="A855" s="24" t="s">
        <v>2149</v>
      </c>
      <c r="B855" s="24" t="s">
        <v>2187</v>
      </c>
      <c r="C855" s="24">
        <v>90.990700000000004</v>
      </c>
      <c r="D855" s="24">
        <v>90.990700000000004</v>
      </c>
    </row>
    <row r="856" spans="1:5" ht="15.75" customHeight="1" x14ac:dyDescent="0.4">
      <c r="A856" s="24" t="s">
        <v>688</v>
      </c>
      <c r="B856" s="24" t="s">
        <v>2187</v>
      </c>
      <c r="C856" s="24">
        <v>90.926599999999993</v>
      </c>
      <c r="D856" s="24">
        <v>90.926599999999993</v>
      </c>
    </row>
    <row r="857" spans="1:5" ht="15.75" customHeight="1" x14ac:dyDescent="0.4">
      <c r="A857" s="24" t="s">
        <v>1462</v>
      </c>
      <c r="B857" s="24" t="s">
        <v>2187</v>
      </c>
      <c r="C857" s="24">
        <v>90.889899999999997</v>
      </c>
      <c r="D857" s="24">
        <v>90.889899999999997</v>
      </c>
    </row>
    <row r="858" spans="1:5" ht="15.75" customHeight="1" x14ac:dyDescent="0.4">
      <c r="A858" s="24" t="s">
        <v>549</v>
      </c>
      <c r="B858" s="24" t="s">
        <v>2187</v>
      </c>
      <c r="C858" s="24">
        <v>90.798299999999998</v>
      </c>
      <c r="D858" s="24">
        <v>90.798299999999998</v>
      </c>
    </row>
    <row r="859" spans="1:5" ht="15.75" customHeight="1" x14ac:dyDescent="0.4">
      <c r="A859" s="24" t="s">
        <v>1456</v>
      </c>
      <c r="B859" s="24" t="s">
        <v>2187</v>
      </c>
      <c r="C859" s="24">
        <v>90.734099999999998</v>
      </c>
      <c r="D859" s="24">
        <v>59.398800000000001</v>
      </c>
      <c r="E859" s="24">
        <v>31.1158</v>
      </c>
    </row>
    <row r="860" spans="1:5" ht="15.75" customHeight="1" x14ac:dyDescent="0.4">
      <c r="A860" s="24" t="s">
        <v>1289</v>
      </c>
      <c r="B860" s="24" t="s">
        <v>2187</v>
      </c>
      <c r="C860" s="24">
        <v>90.734099999999998</v>
      </c>
      <c r="E860" s="24">
        <v>90.098299999999995</v>
      </c>
    </row>
    <row r="861" spans="1:5" ht="15.75" customHeight="1" x14ac:dyDescent="0.4">
      <c r="A861" s="24" t="s">
        <v>1941</v>
      </c>
      <c r="B861" s="24" t="s">
        <v>2187</v>
      </c>
      <c r="C861" s="24">
        <v>90.605800000000002</v>
      </c>
      <c r="D861" s="24">
        <v>77.472300000000004</v>
      </c>
      <c r="E861" s="24">
        <v>86.931200000000004</v>
      </c>
    </row>
    <row r="862" spans="1:5" ht="15.75" customHeight="1" x14ac:dyDescent="0.4">
      <c r="A862" s="24" t="s">
        <v>599</v>
      </c>
      <c r="B862" s="24" t="s">
        <v>2187</v>
      </c>
      <c r="C862" s="24">
        <v>90.523300000000006</v>
      </c>
      <c r="D862" s="24">
        <v>40.271299999999997</v>
      </c>
      <c r="E862" s="24">
        <v>49.899900000000002</v>
      </c>
    </row>
    <row r="863" spans="1:5" ht="15.75" customHeight="1" x14ac:dyDescent="0.4">
      <c r="A863" s="24" t="s">
        <v>2137</v>
      </c>
      <c r="B863" s="24" t="s">
        <v>2187</v>
      </c>
      <c r="C863" s="24">
        <v>90.504999999999995</v>
      </c>
      <c r="D863" s="24">
        <v>90.101699999999994</v>
      </c>
      <c r="E863" s="24">
        <v>40.680700000000002</v>
      </c>
    </row>
    <row r="864" spans="1:5" ht="15.75" customHeight="1" x14ac:dyDescent="0.4">
      <c r="A864" s="24" t="s">
        <v>792</v>
      </c>
      <c r="B864" s="24" t="s">
        <v>2187</v>
      </c>
      <c r="C864" s="24">
        <v>90.495800000000003</v>
      </c>
      <c r="E864" s="24">
        <v>89.861699999999999</v>
      </c>
    </row>
    <row r="865" spans="1:5" ht="15.75" customHeight="1" x14ac:dyDescent="0.4">
      <c r="A865" s="24" t="s">
        <v>1609</v>
      </c>
      <c r="B865" s="24" t="s">
        <v>2187</v>
      </c>
      <c r="C865" s="24">
        <v>90.3125</v>
      </c>
      <c r="D865" s="24">
        <v>90.3125</v>
      </c>
    </row>
    <row r="866" spans="1:5" ht="15.75" customHeight="1" x14ac:dyDescent="0.4">
      <c r="A866" s="24" t="s">
        <v>1406</v>
      </c>
      <c r="B866" s="24" t="s">
        <v>2187</v>
      </c>
      <c r="C866" s="24">
        <v>90.3125</v>
      </c>
      <c r="D866" s="24">
        <v>90.3125</v>
      </c>
      <c r="E866" s="24">
        <v>0.14561299999999999</v>
      </c>
    </row>
    <row r="867" spans="1:5" ht="15.75" customHeight="1" x14ac:dyDescent="0.4">
      <c r="A867" s="24" t="s">
        <v>2167</v>
      </c>
      <c r="B867" s="24" t="s">
        <v>2187</v>
      </c>
      <c r="C867" s="24">
        <v>90.239199999999997</v>
      </c>
      <c r="D867" s="24">
        <v>90.239199999999997</v>
      </c>
    </row>
    <row r="868" spans="1:5" ht="15.75" customHeight="1" x14ac:dyDescent="0.4">
      <c r="A868" s="24" t="s">
        <v>1478</v>
      </c>
      <c r="B868" s="24" t="s">
        <v>2187</v>
      </c>
      <c r="C868" s="24">
        <v>90.23</v>
      </c>
      <c r="D868" s="24">
        <v>90.23</v>
      </c>
    </row>
    <row r="869" spans="1:5" ht="15.75" customHeight="1" x14ac:dyDescent="0.4">
      <c r="A869" s="24" t="s">
        <v>1654</v>
      </c>
      <c r="B869" s="24" t="s">
        <v>2187</v>
      </c>
      <c r="C869" s="24">
        <v>90.211699999999993</v>
      </c>
      <c r="D869" s="24">
        <v>90.211699999999993</v>
      </c>
    </row>
    <row r="870" spans="1:5" ht="15.75" customHeight="1" x14ac:dyDescent="0.4">
      <c r="A870" s="24" t="s">
        <v>226</v>
      </c>
      <c r="B870" s="24" t="s">
        <v>2187</v>
      </c>
      <c r="C870" s="24">
        <v>90.156700000000001</v>
      </c>
      <c r="D870" s="24">
        <v>86.188199999999995</v>
      </c>
      <c r="E870" s="24">
        <v>74.444800000000001</v>
      </c>
    </row>
    <row r="871" spans="1:5" ht="15.75" customHeight="1" x14ac:dyDescent="0.4">
      <c r="A871" s="24" t="s">
        <v>2128</v>
      </c>
      <c r="B871" s="24" t="s">
        <v>2187</v>
      </c>
      <c r="C871" s="24">
        <v>90.101699999999994</v>
      </c>
      <c r="D871" s="24">
        <v>90.101699999999994</v>
      </c>
    </row>
    <row r="872" spans="1:5" ht="15.75" customHeight="1" x14ac:dyDescent="0.4">
      <c r="A872" s="24" t="s">
        <v>1774</v>
      </c>
      <c r="B872" s="24" t="s">
        <v>2187</v>
      </c>
      <c r="C872" s="24">
        <v>90.019199999999998</v>
      </c>
      <c r="D872" s="24">
        <v>90.019199999999998</v>
      </c>
    </row>
    <row r="873" spans="1:5" ht="15.75" customHeight="1" x14ac:dyDescent="0.4">
      <c r="A873" s="24" t="s">
        <v>1546</v>
      </c>
      <c r="B873" s="24" t="s">
        <v>2187</v>
      </c>
      <c r="C873" s="24">
        <v>89.991799999999998</v>
      </c>
      <c r="D873" s="24">
        <v>66.996600000000001</v>
      </c>
      <c r="E873" s="24">
        <v>32.317100000000003</v>
      </c>
    </row>
    <row r="874" spans="1:5" ht="15.75" customHeight="1" x14ac:dyDescent="0.4">
      <c r="A874" s="24" t="s">
        <v>1966</v>
      </c>
      <c r="B874" s="24" t="s">
        <v>2187</v>
      </c>
      <c r="C874" s="24">
        <v>89.982600000000005</v>
      </c>
      <c r="D874" s="24">
        <v>51.791800000000002</v>
      </c>
      <c r="E874" s="24">
        <v>88.087000000000003</v>
      </c>
    </row>
    <row r="875" spans="1:5" ht="15.75" customHeight="1" x14ac:dyDescent="0.4">
      <c r="A875" s="24" t="s">
        <v>1340</v>
      </c>
      <c r="B875" s="24" t="s">
        <v>2187</v>
      </c>
      <c r="C875" s="24">
        <v>89.945899999999995</v>
      </c>
      <c r="D875" s="24">
        <v>89.945899999999995</v>
      </c>
    </row>
    <row r="876" spans="1:5" ht="15.75" customHeight="1" x14ac:dyDescent="0.4">
      <c r="A876" s="24" t="s">
        <v>1275</v>
      </c>
      <c r="B876" s="24" t="s">
        <v>2187</v>
      </c>
      <c r="C876" s="24">
        <v>89.881799999999998</v>
      </c>
      <c r="D876" s="24">
        <v>89.881799999999998</v>
      </c>
    </row>
    <row r="877" spans="1:5" ht="15.75" customHeight="1" x14ac:dyDescent="0.4">
      <c r="A877" s="24" t="s">
        <v>2124</v>
      </c>
      <c r="B877" s="24" t="s">
        <v>2187</v>
      </c>
      <c r="C877" s="24">
        <v>89.762600000000006</v>
      </c>
      <c r="D877" s="24">
        <v>89.762600000000006</v>
      </c>
    </row>
    <row r="878" spans="1:5" ht="15.75" customHeight="1" x14ac:dyDescent="0.4">
      <c r="A878" s="24" t="s">
        <v>1989</v>
      </c>
      <c r="B878" s="24" t="s">
        <v>2187</v>
      </c>
      <c r="C878" s="24">
        <v>89.725999999999999</v>
      </c>
      <c r="D878" s="24">
        <v>89.725999999999999</v>
      </c>
    </row>
    <row r="879" spans="1:5" ht="15.75" customHeight="1" x14ac:dyDescent="0.4">
      <c r="A879" s="24" t="s">
        <v>2081</v>
      </c>
      <c r="B879" s="24" t="s">
        <v>2187</v>
      </c>
      <c r="C879" s="24">
        <v>89.625200000000007</v>
      </c>
      <c r="D879" s="24">
        <v>89.625200000000007</v>
      </c>
    </row>
    <row r="880" spans="1:5" ht="15.75" customHeight="1" x14ac:dyDescent="0.4">
      <c r="A880" s="24" t="s">
        <v>1219</v>
      </c>
      <c r="B880" s="24" t="s">
        <v>2187</v>
      </c>
      <c r="C880" s="24">
        <v>89.597700000000003</v>
      </c>
      <c r="D880" s="24">
        <v>89.597700000000003</v>
      </c>
    </row>
    <row r="881" spans="1:5" ht="15.75" customHeight="1" x14ac:dyDescent="0.4">
      <c r="A881" s="24" t="s">
        <v>1034</v>
      </c>
      <c r="B881" s="24" t="s">
        <v>2187</v>
      </c>
      <c r="C881" s="24">
        <v>89.533500000000004</v>
      </c>
      <c r="D881" s="24">
        <v>89.533500000000004</v>
      </c>
    </row>
    <row r="882" spans="1:5" ht="15.75" customHeight="1" x14ac:dyDescent="0.4">
      <c r="A882" s="24" t="s">
        <v>1530</v>
      </c>
      <c r="B882" s="24" t="s">
        <v>2187</v>
      </c>
      <c r="C882" s="24">
        <v>89.524299999999997</v>
      </c>
      <c r="D882" s="24">
        <v>89.524299999999997</v>
      </c>
    </row>
    <row r="883" spans="1:5" ht="15.75" customHeight="1" x14ac:dyDescent="0.4">
      <c r="A883" s="24" t="s">
        <v>1981</v>
      </c>
      <c r="B883" s="24" t="s">
        <v>2187</v>
      </c>
      <c r="C883" s="24">
        <v>89.496799999999993</v>
      </c>
      <c r="D883" s="24">
        <v>89.038600000000002</v>
      </c>
      <c r="E883" s="24">
        <v>17.7193</v>
      </c>
    </row>
    <row r="884" spans="1:5" ht="15.75" customHeight="1" x14ac:dyDescent="0.4">
      <c r="A884" s="24" t="s">
        <v>1343</v>
      </c>
      <c r="B884" s="24" t="s">
        <v>2187</v>
      </c>
      <c r="C884" s="24">
        <v>89.359399999999994</v>
      </c>
      <c r="D884" s="24">
        <v>3.47356</v>
      </c>
      <c r="E884" s="24">
        <v>88.733199999999997</v>
      </c>
    </row>
    <row r="885" spans="1:5" ht="15.75" customHeight="1" x14ac:dyDescent="0.4">
      <c r="A885" s="24" t="s">
        <v>1817</v>
      </c>
      <c r="B885" s="24" t="s">
        <v>2187</v>
      </c>
      <c r="C885" s="24">
        <v>89.331900000000005</v>
      </c>
      <c r="D885" s="24">
        <v>89.331900000000005</v>
      </c>
    </row>
    <row r="886" spans="1:5" ht="15.75" customHeight="1" x14ac:dyDescent="0.4">
      <c r="A886" s="24" t="s">
        <v>979</v>
      </c>
      <c r="B886" s="24" t="s">
        <v>2187</v>
      </c>
      <c r="C886" s="24">
        <v>89.267700000000005</v>
      </c>
      <c r="E886" s="24">
        <v>88.642200000000003</v>
      </c>
    </row>
    <row r="887" spans="1:5" ht="15.75" customHeight="1" x14ac:dyDescent="0.4">
      <c r="A887" s="24" t="s">
        <v>1763</v>
      </c>
      <c r="B887" s="24" t="s">
        <v>2187</v>
      </c>
      <c r="C887" s="24">
        <v>89.240200000000002</v>
      </c>
      <c r="D887" s="24">
        <v>88.488699999999994</v>
      </c>
      <c r="E887" s="24">
        <v>13.178000000000001</v>
      </c>
    </row>
    <row r="888" spans="1:5" ht="15.75" customHeight="1" x14ac:dyDescent="0.4">
      <c r="A888" s="24" t="s">
        <v>1215</v>
      </c>
      <c r="B888" s="24" t="s">
        <v>2187</v>
      </c>
      <c r="C888" s="24">
        <v>89.203599999999994</v>
      </c>
      <c r="D888" s="24">
        <v>89.203599999999994</v>
      </c>
    </row>
    <row r="889" spans="1:5" ht="15.75" customHeight="1" x14ac:dyDescent="0.4">
      <c r="A889" s="24" t="s">
        <v>1404</v>
      </c>
      <c r="B889" s="24" t="s">
        <v>2187</v>
      </c>
      <c r="C889" s="24">
        <v>89.121099999999998</v>
      </c>
      <c r="D889" s="24">
        <v>89.075199999999995</v>
      </c>
      <c r="E889" s="24">
        <v>0.19111800000000001</v>
      </c>
    </row>
    <row r="890" spans="1:5" ht="15.75" customHeight="1" x14ac:dyDescent="0.4">
      <c r="A890" s="24" t="s">
        <v>1438</v>
      </c>
      <c r="B890" s="24" t="s">
        <v>2187</v>
      </c>
      <c r="C890" s="24">
        <v>89.084400000000002</v>
      </c>
      <c r="D890" s="24">
        <v>89.084400000000002</v>
      </c>
    </row>
    <row r="891" spans="1:5" ht="15.75" customHeight="1" x14ac:dyDescent="0.4">
      <c r="A891" s="24" t="s">
        <v>1529</v>
      </c>
      <c r="B891" s="24" t="s">
        <v>2187</v>
      </c>
      <c r="C891" s="24">
        <v>89.001900000000006</v>
      </c>
      <c r="D891" s="24">
        <v>89.001900000000006</v>
      </c>
      <c r="E891" s="24">
        <v>0</v>
      </c>
    </row>
    <row r="892" spans="1:5" ht="15.75" customHeight="1" x14ac:dyDescent="0.4">
      <c r="A892" s="24" t="s">
        <v>830</v>
      </c>
      <c r="B892" s="24" t="s">
        <v>2187</v>
      </c>
      <c r="C892" s="24">
        <v>88.965299999999999</v>
      </c>
      <c r="D892" s="24">
        <v>88.965299999999999</v>
      </c>
    </row>
    <row r="893" spans="1:5" ht="15.75" customHeight="1" x14ac:dyDescent="0.4">
      <c r="A893" s="24" t="s">
        <v>1271</v>
      </c>
      <c r="B893" s="24" t="s">
        <v>2187</v>
      </c>
      <c r="C893" s="24">
        <v>88.928600000000003</v>
      </c>
      <c r="D893" s="24">
        <v>88.928600000000003</v>
      </c>
    </row>
    <row r="894" spans="1:5" ht="15.75" customHeight="1" x14ac:dyDescent="0.4">
      <c r="A894" s="24" t="s">
        <v>2042</v>
      </c>
      <c r="B894" s="24" t="s">
        <v>2187</v>
      </c>
      <c r="C894" s="24">
        <v>88.919399999999996</v>
      </c>
      <c r="D894" s="24">
        <v>88.919399999999996</v>
      </c>
    </row>
    <row r="895" spans="1:5" ht="15.75" customHeight="1" x14ac:dyDescent="0.4">
      <c r="A895" s="24" t="s">
        <v>1272</v>
      </c>
      <c r="B895" s="24" t="s">
        <v>2187</v>
      </c>
      <c r="C895" s="24">
        <v>88.910300000000007</v>
      </c>
      <c r="D895" s="24">
        <v>88.910300000000007</v>
      </c>
    </row>
    <row r="896" spans="1:5" ht="15.75" customHeight="1" x14ac:dyDescent="0.4">
      <c r="A896" s="24" t="s">
        <v>220</v>
      </c>
      <c r="B896" s="24" t="s">
        <v>2187</v>
      </c>
      <c r="C896" s="24">
        <v>88.910300000000007</v>
      </c>
      <c r="D896" s="24">
        <v>88.910300000000007</v>
      </c>
    </row>
    <row r="897" spans="1:5" ht="15.75" customHeight="1" x14ac:dyDescent="0.4">
      <c r="A897" s="24" t="s">
        <v>1557</v>
      </c>
      <c r="B897" s="24" t="s">
        <v>2187</v>
      </c>
      <c r="C897" s="24">
        <v>88.818600000000004</v>
      </c>
      <c r="D897" s="24">
        <v>88.818600000000004</v>
      </c>
    </row>
    <row r="898" spans="1:5" ht="15.75" customHeight="1" x14ac:dyDescent="0.4">
      <c r="A898" s="24" t="s">
        <v>1785</v>
      </c>
      <c r="B898" s="24" t="s">
        <v>2187</v>
      </c>
      <c r="C898" s="24">
        <v>88.818600000000004</v>
      </c>
      <c r="E898" s="24">
        <v>88.196200000000005</v>
      </c>
    </row>
    <row r="899" spans="1:5" ht="15.75" customHeight="1" x14ac:dyDescent="0.4">
      <c r="A899" s="24" t="s">
        <v>2050</v>
      </c>
      <c r="B899" s="24" t="s">
        <v>2187</v>
      </c>
      <c r="C899" s="24">
        <v>88.818600000000004</v>
      </c>
      <c r="D899" s="24">
        <v>88.818600000000004</v>
      </c>
    </row>
    <row r="900" spans="1:5" ht="15.75" customHeight="1" x14ac:dyDescent="0.4">
      <c r="A900" s="24" t="s">
        <v>1398</v>
      </c>
      <c r="B900" s="24" t="s">
        <v>2187</v>
      </c>
      <c r="C900" s="24">
        <v>88.7911</v>
      </c>
      <c r="D900" s="24">
        <v>88.7911</v>
      </c>
    </row>
    <row r="901" spans="1:5" ht="15.75" customHeight="1" x14ac:dyDescent="0.4">
      <c r="A901" s="24" t="s">
        <v>1584</v>
      </c>
      <c r="B901" s="24" t="s">
        <v>2187</v>
      </c>
      <c r="C901" s="24">
        <v>88.7911</v>
      </c>
      <c r="D901" s="24">
        <v>88.7911</v>
      </c>
    </row>
    <row r="902" spans="1:5" ht="15.75" customHeight="1" x14ac:dyDescent="0.4">
      <c r="A902" s="24" t="s">
        <v>1700</v>
      </c>
      <c r="B902" s="24" t="s">
        <v>2187</v>
      </c>
      <c r="C902" s="24">
        <v>88.781999999999996</v>
      </c>
      <c r="D902" s="24">
        <v>88.781999999999996</v>
      </c>
    </row>
    <row r="903" spans="1:5" ht="15.75" customHeight="1" x14ac:dyDescent="0.4">
      <c r="A903" s="24" t="s">
        <v>1645</v>
      </c>
      <c r="B903" s="24" t="s">
        <v>2187</v>
      </c>
      <c r="C903" s="24">
        <v>88.772800000000004</v>
      </c>
      <c r="D903" s="24">
        <v>76.308300000000003</v>
      </c>
      <c r="E903" s="24">
        <v>22.424499999999998</v>
      </c>
    </row>
    <row r="904" spans="1:5" ht="15.75" customHeight="1" x14ac:dyDescent="0.4">
      <c r="A904" s="24" t="s">
        <v>1267</v>
      </c>
      <c r="B904" s="24" t="s">
        <v>2187</v>
      </c>
      <c r="C904" s="24">
        <v>88.754499999999993</v>
      </c>
      <c r="D904" s="24">
        <v>88.754499999999993</v>
      </c>
    </row>
    <row r="905" spans="1:5" ht="15.75" customHeight="1" x14ac:dyDescent="0.4">
      <c r="A905" s="24" t="s">
        <v>1482</v>
      </c>
      <c r="B905" s="24" t="s">
        <v>2187</v>
      </c>
      <c r="C905" s="24">
        <v>88.617000000000004</v>
      </c>
      <c r="D905" s="24">
        <v>39.886400000000002</v>
      </c>
      <c r="E905" s="24">
        <v>61.3123</v>
      </c>
    </row>
    <row r="906" spans="1:5" ht="15.75" customHeight="1" x14ac:dyDescent="0.4">
      <c r="A906" s="24" t="s">
        <v>957</v>
      </c>
      <c r="B906" s="24" t="s">
        <v>2187</v>
      </c>
      <c r="C906" s="24">
        <v>88.607799999999997</v>
      </c>
      <c r="E906" s="24">
        <v>87.986900000000006</v>
      </c>
    </row>
    <row r="907" spans="1:5" ht="15.75" customHeight="1" x14ac:dyDescent="0.4">
      <c r="A907" s="24" t="s">
        <v>2094</v>
      </c>
      <c r="B907" s="24" t="s">
        <v>2187</v>
      </c>
      <c r="C907" s="24">
        <v>88.525300000000001</v>
      </c>
      <c r="D907" s="24">
        <v>87.617999999999995</v>
      </c>
      <c r="E907" s="24">
        <v>0.90098299999999998</v>
      </c>
    </row>
    <row r="908" spans="1:5" ht="15.75" customHeight="1" x14ac:dyDescent="0.4">
      <c r="A908" s="24" t="s">
        <v>1103</v>
      </c>
      <c r="B908" s="24" t="s">
        <v>2187</v>
      </c>
      <c r="C908" s="24">
        <v>88.488699999999994</v>
      </c>
      <c r="D908" s="24">
        <v>88.488699999999994</v>
      </c>
    </row>
    <row r="909" spans="1:5" ht="15.75" customHeight="1" x14ac:dyDescent="0.4">
      <c r="A909" s="24" t="s">
        <v>1872</v>
      </c>
      <c r="B909" s="24" t="s">
        <v>2187</v>
      </c>
      <c r="C909" s="24">
        <v>88.470399999999998</v>
      </c>
      <c r="D909" s="24">
        <v>88.470399999999998</v>
      </c>
    </row>
    <row r="910" spans="1:5" ht="15.75" customHeight="1" x14ac:dyDescent="0.4">
      <c r="A910" s="24" t="s">
        <v>1533</v>
      </c>
      <c r="B910" s="24" t="s">
        <v>2187</v>
      </c>
      <c r="C910" s="24">
        <v>88.442899999999995</v>
      </c>
      <c r="D910" s="24">
        <v>88.442899999999995</v>
      </c>
    </row>
    <row r="911" spans="1:5" ht="15.75" customHeight="1" x14ac:dyDescent="0.4">
      <c r="A911" s="24" t="s">
        <v>1918</v>
      </c>
      <c r="B911" s="24" t="s">
        <v>2187</v>
      </c>
      <c r="C911" s="24">
        <v>88.442899999999995</v>
      </c>
      <c r="D911" s="24">
        <v>87.590500000000006</v>
      </c>
      <c r="E911" s="24">
        <v>50.218400000000003</v>
      </c>
    </row>
    <row r="912" spans="1:5" ht="15.75" customHeight="1" x14ac:dyDescent="0.4">
      <c r="A912" s="24" t="s">
        <v>1663</v>
      </c>
      <c r="B912" s="24" t="s">
        <v>2187</v>
      </c>
      <c r="C912" s="24">
        <v>88.378699999999995</v>
      </c>
      <c r="D912" s="24">
        <v>88.378699999999995</v>
      </c>
    </row>
    <row r="913" spans="1:5" ht="15.75" customHeight="1" x14ac:dyDescent="0.4">
      <c r="A913" s="24" t="s">
        <v>1488</v>
      </c>
      <c r="B913" s="24" t="s">
        <v>2187</v>
      </c>
      <c r="C913" s="24">
        <v>88.351200000000006</v>
      </c>
      <c r="D913" s="24">
        <v>88.351200000000006</v>
      </c>
    </row>
    <row r="914" spans="1:5" ht="15.75" customHeight="1" x14ac:dyDescent="0.4">
      <c r="A914" s="24" t="s">
        <v>1534</v>
      </c>
      <c r="B914" s="24" t="s">
        <v>2187</v>
      </c>
      <c r="C914" s="24">
        <v>88.277900000000002</v>
      </c>
      <c r="D914" s="24">
        <v>87.526399999999995</v>
      </c>
      <c r="E914" s="24">
        <v>33.017800000000001</v>
      </c>
    </row>
    <row r="915" spans="1:5" ht="15.75" customHeight="1" x14ac:dyDescent="0.4">
      <c r="A915" s="24" t="s">
        <v>1665</v>
      </c>
      <c r="B915" s="24" t="s">
        <v>2187</v>
      </c>
      <c r="C915" s="24">
        <v>88.250399999999999</v>
      </c>
      <c r="D915" s="24">
        <v>88.250399999999999</v>
      </c>
    </row>
    <row r="916" spans="1:5" ht="15.75" customHeight="1" x14ac:dyDescent="0.4">
      <c r="A916" s="24" t="s">
        <v>238</v>
      </c>
      <c r="B916" s="24" t="s">
        <v>2187</v>
      </c>
      <c r="C916" s="24">
        <v>88.250399999999999</v>
      </c>
      <c r="D916" s="24">
        <v>88.250399999999999</v>
      </c>
    </row>
    <row r="917" spans="1:5" ht="15.75" customHeight="1" x14ac:dyDescent="0.4">
      <c r="A917" s="24" t="s">
        <v>937</v>
      </c>
      <c r="B917" s="24" t="s">
        <v>2187</v>
      </c>
      <c r="C917" s="24">
        <v>88.232100000000003</v>
      </c>
      <c r="D917" s="24">
        <v>88.232100000000003</v>
      </c>
    </row>
    <row r="918" spans="1:5" ht="15.75" customHeight="1" x14ac:dyDescent="0.4">
      <c r="A918" s="24" t="s">
        <v>1585</v>
      </c>
      <c r="B918" s="24" t="s">
        <v>2187</v>
      </c>
      <c r="C918" s="24">
        <v>88.232100000000003</v>
      </c>
      <c r="D918" s="24">
        <v>77.197299999999998</v>
      </c>
      <c r="E918" s="24">
        <v>79.068100000000001</v>
      </c>
    </row>
    <row r="919" spans="1:5" ht="15.75" customHeight="1" x14ac:dyDescent="0.4">
      <c r="A919" s="24" t="s">
        <v>1309</v>
      </c>
      <c r="B919" s="24" t="s">
        <v>2187</v>
      </c>
      <c r="C919" s="24">
        <v>88.222899999999996</v>
      </c>
      <c r="D919" s="24">
        <v>88.167900000000003</v>
      </c>
      <c r="E919" s="24">
        <v>0.52784900000000001</v>
      </c>
    </row>
    <row r="920" spans="1:5" ht="15.75" customHeight="1" x14ac:dyDescent="0.4">
      <c r="A920" s="24" t="s">
        <v>1302</v>
      </c>
      <c r="B920" s="24" t="s">
        <v>2187</v>
      </c>
      <c r="C920" s="24">
        <v>88.195400000000006</v>
      </c>
      <c r="D920" s="24">
        <v>75.171800000000005</v>
      </c>
      <c r="E920" s="24">
        <v>12.9323</v>
      </c>
    </row>
    <row r="921" spans="1:5" ht="15.75" customHeight="1" x14ac:dyDescent="0.4">
      <c r="A921" s="24" t="s">
        <v>1953</v>
      </c>
      <c r="B921" s="24" t="s">
        <v>2187</v>
      </c>
      <c r="C921" s="24">
        <v>88.167900000000003</v>
      </c>
      <c r="E921" s="24">
        <v>87.5501</v>
      </c>
    </row>
    <row r="922" spans="1:5" ht="15.75" customHeight="1" x14ac:dyDescent="0.4">
      <c r="A922" s="24" t="s">
        <v>1401</v>
      </c>
      <c r="B922" s="24" t="s">
        <v>2187</v>
      </c>
      <c r="C922" s="24">
        <v>88.158699999999996</v>
      </c>
      <c r="D922" s="24">
        <v>88.158699999999996</v>
      </c>
    </row>
    <row r="923" spans="1:5" ht="15.75" customHeight="1" x14ac:dyDescent="0.4">
      <c r="A923" s="24" t="s">
        <v>1504</v>
      </c>
      <c r="B923" s="24" t="s">
        <v>2187</v>
      </c>
      <c r="C923" s="24">
        <v>88.158699999999996</v>
      </c>
      <c r="D923" s="24">
        <v>88.158699999999996</v>
      </c>
    </row>
    <row r="924" spans="1:5" ht="15.75" customHeight="1" x14ac:dyDescent="0.4">
      <c r="A924" s="24" t="s">
        <v>2143</v>
      </c>
      <c r="B924" s="24" t="s">
        <v>2187</v>
      </c>
      <c r="C924" s="24">
        <v>88.085400000000007</v>
      </c>
      <c r="D924" s="24">
        <v>88.085400000000007</v>
      </c>
    </row>
    <row r="925" spans="1:5" ht="15.75" customHeight="1" x14ac:dyDescent="0.4">
      <c r="A925" s="24" t="s">
        <v>2147</v>
      </c>
      <c r="B925" s="24" t="s">
        <v>2187</v>
      </c>
      <c r="C925" s="24">
        <v>88.085400000000007</v>
      </c>
      <c r="D925" s="24">
        <v>88.085400000000007</v>
      </c>
    </row>
    <row r="926" spans="1:5" ht="15.75" customHeight="1" x14ac:dyDescent="0.4">
      <c r="A926" s="24" t="s">
        <v>1629</v>
      </c>
      <c r="B926" s="24" t="s">
        <v>2187</v>
      </c>
      <c r="C926" s="24">
        <v>88.085400000000007</v>
      </c>
      <c r="D926" s="24">
        <v>87.581299999999999</v>
      </c>
      <c r="E926" s="24">
        <v>0.50054600000000005</v>
      </c>
    </row>
    <row r="927" spans="1:5" ht="15.75" customHeight="1" x14ac:dyDescent="0.4">
      <c r="A927" s="24" t="s">
        <v>1195</v>
      </c>
      <c r="B927" s="24" t="s">
        <v>2187</v>
      </c>
      <c r="C927" s="24">
        <v>88.0304</v>
      </c>
      <c r="D927" s="24">
        <v>88.0304</v>
      </c>
    </row>
    <row r="928" spans="1:5" ht="15.75" customHeight="1" x14ac:dyDescent="0.4">
      <c r="A928" s="24" t="s">
        <v>1273</v>
      </c>
      <c r="B928" s="24" t="s">
        <v>2187</v>
      </c>
      <c r="C928" s="24">
        <v>88.012100000000004</v>
      </c>
      <c r="D928" s="24">
        <v>88.012100000000004</v>
      </c>
    </row>
    <row r="929" spans="1:5" ht="15.75" customHeight="1" x14ac:dyDescent="0.4">
      <c r="A929" s="24" t="s">
        <v>2073</v>
      </c>
      <c r="B929" s="24" t="s">
        <v>2187</v>
      </c>
      <c r="C929" s="24">
        <v>87.920400000000001</v>
      </c>
      <c r="E929" s="24">
        <v>87.304299999999998</v>
      </c>
    </row>
    <row r="930" spans="1:5" ht="15.75" customHeight="1" x14ac:dyDescent="0.4">
      <c r="A930" s="24" t="s">
        <v>2140</v>
      </c>
      <c r="B930" s="24" t="s">
        <v>2187</v>
      </c>
      <c r="C930" s="24">
        <v>87.902100000000004</v>
      </c>
      <c r="D930" s="24">
        <v>38.639899999999997</v>
      </c>
      <c r="E930" s="24">
        <v>87.286100000000005</v>
      </c>
    </row>
    <row r="931" spans="1:5" ht="15.75" customHeight="1" x14ac:dyDescent="0.4">
      <c r="A931" s="24" t="s">
        <v>1239</v>
      </c>
      <c r="B931" s="24" t="s">
        <v>2187</v>
      </c>
      <c r="C931" s="24">
        <v>87.874600000000001</v>
      </c>
      <c r="D931" s="24">
        <v>4.1700999999999997</v>
      </c>
      <c r="E931" s="24">
        <v>87.258799999999994</v>
      </c>
    </row>
    <row r="932" spans="1:5" ht="15.75" customHeight="1" x14ac:dyDescent="0.4">
      <c r="A932" s="24" t="s">
        <v>1548</v>
      </c>
      <c r="B932" s="24" t="s">
        <v>2187</v>
      </c>
      <c r="C932" s="24">
        <v>87.865499999999997</v>
      </c>
      <c r="D932" s="24">
        <v>31.2529</v>
      </c>
      <c r="E932" s="24">
        <v>57.963200000000001</v>
      </c>
    </row>
    <row r="933" spans="1:5" ht="15.75" customHeight="1" x14ac:dyDescent="0.4">
      <c r="A933" s="24" t="s">
        <v>1527</v>
      </c>
      <c r="B933" s="24" t="s">
        <v>2187</v>
      </c>
      <c r="C933" s="24">
        <v>87.837999999999994</v>
      </c>
      <c r="D933" s="24">
        <v>87.837999999999994</v>
      </c>
    </row>
    <row r="934" spans="1:5" ht="15.75" customHeight="1" x14ac:dyDescent="0.4">
      <c r="A934" s="24" t="s">
        <v>2012</v>
      </c>
      <c r="B934" s="24" t="s">
        <v>2187</v>
      </c>
      <c r="C934" s="24">
        <v>87.819599999999994</v>
      </c>
      <c r="D934" s="24">
        <v>87.819599999999994</v>
      </c>
    </row>
    <row r="935" spans="1:5" ht="15.75" customHeight="1" x14ac:dyDescent="0.4">
      <c r="A935" s="24" t="s">
        <v>2025</v>
      </c>
      <c r="B935" s="24" t="s">
        <v>2187</v>
      </c>
      <c r="C935" s="24">
        <v>87.792100000000005</v>
      </c>
      <c r="D935" s="24">
        <v>87.792100000000005</v>
      </c>
    </row>
    <row r="936" spans="1:5" ht="15.75" customHeight="1" x14ac:dyDescent="0.4">
      <c r="A936" s="24" t="s">
        <v>2144</v>
      </c>
      <c r="B936" s="24" t="s">
        <v>2187</v>
      </c>
      <c r="C936" s="24">
        <v>87.764600000000002</v>
      </c>
      <c r="D936" s="24">
        <v>64.668700000000001</v>
      </c>
      <c r="E936" s="24">
        <v>29.8416</v>
      </c>
    </row>
    <row r="937" spans="1:5" ht="15.75" customHeight="1" x14ac:dyDescent="0.4">
      <c r="A937" s="24" t="s">
        <v>228</v>
      </c>
      <c r="B937" s="24" t="s">
        <v>2187</v>
      </c>
      <c r="C937" s="24">
        <v>87.700500000000005</v>
      </c>
      <c r="D937" s="24">
        <v>87.700500000000005</v>
      </c>
    </row>
    <row r="938" spans="1:5" ht="15.75" customHeight="1" x14ac:dyDescent="0.4">
      <c r="A938" s="24" t="s">
        <v>1890</v>
      </c>
      <c r="B938" s="24" t="s">
        <v>2187</v>
      </c>
      <c r="C938" s="24">
        <v>87.700500000000005</v>
      </c>
      <c r="D938" s="24">
        <v>87.700500000000005</v>
      </c>
    </row>
    <row r="939" spans="1:5" ht="15.75" customHeight="1" x14ac:dyDescent="0.4">
      <c r="A939" s="24" t="s">
        <v>1515</v>
      </c>
      <c r="B939" s="24" t="s">
        <v>2187</v>
      </c>
      <c r="C939" s="24">
        <v>87.636300000000006</v>
      </c>
      <c r="D939" s="24">
        <v>80.863299999999995</v>
      </c>
      <c r="E939" s="24">
        <v>32.744799999999998</v>
      </c>
    </row>
    <row r="940" spans="1:5" ht="15.75" customHeight="1" x14ac:dyDescent="0.4">
      <c r="A940" s="24" t="s">
        <v>1520</v>
      </c>
      <c r="B940" s="24" t="s">
        <v>2187</v>
      </c>
      <c r="C940" s="24">
        <v>87.627200000000002</v>
      </c>
      <c r="D940" s="24">
        <v>84.080299999999994</v>
      </c>
      <c r="E940" s="24">
        <v>34.692399999999999</v>
      </c>
    </row>
    <row r="941" spans="1:5" ht="15.75" customHeight="1" x14ac:dyDescent="0.4">
      <c r="A941" s="24" t="s">
        <v>649</v>
      </c>
      <c r="B941" s="24" t="s">
        <v>2187</v>
      </c>
      <c r="C941" s="24">
        <v>87.535499999999999</v>
      </c>
      <c r="D941" s="24">
        <v>87.535499999999999</v>
      </c>
    </row>
    <row r="942" spans="1:5" ht="15.75" customHeight="1" x14ac:dyDescent="0.4">
      <c r="A942" s="24" t="s">
        <v>2139</v>
      </c>
      <c r="B942" s="24" t="s">
        <v>2187</v>
      </c>
      <c r="C942" s="24">
        <v>87.489699999999999</v>
      </c>
      <c r="D942" s="24">
        <v>87.489699999999999</v>
      </c>
    </row>
    <row r="943" spans="1:5" ht="15.75" customHeight="1" x14ac:dyDescent="0.4">
      <c r="A943" s="24" t="s">
        <v>1075</v>
      </c>
      <c r="B943" s="24" t="s">
        <v>2187</v>
      </c>
      <c r="C943" s="24">
        <v>87.434700000000007</v>
      </c>
      <c r="D943" s="24">
        <v>87.388900000000007</v>
      </c>
      <c r="E943" s="24">
        <v>4.5504000000000003E-2</v>
      </c>
    </row>
    <row r="944" spans="1:5" ht="15.75" customHeight="1" x14ac:dyDescent="0.4">
      <c r="A944" s="24" t="s">
        <v>906</v>
      </c>
      <c r="B944" s="24" t="s">
        <v>2187</v>
      </c>
      <c r="C944" s="24">
        <v>87.361400000000003</v>
      </c>
      <c r="E944" s="24">
        <v>86.749200000000002</v>
      </c>
    </row>
    <row r="945" spans="1:5" ht="15.75" customHeight="1" x14ac:dyDescent="0.4">
      <c r="A945" s="24" t="s">
        <v>1364</v>
      </c>
      <c r="B945" s="24" t="s">
        <v>2187</v>
      </c>
      <c r="C945" s="24">
        <v>87.3339</v>
      </c>
      <c r="D945" s="24">
        <v>87.3339</v>
      </c>
    </row>
    <row r="946" spans="1:5" ht="15.75" customHeight="1" x14ac:dyDescent="0.4">
      <c r="A946" s="24" t="s">
        <v>1295</v>
      </c>
      <c r="B946" s="24" t="s">
        <v>2187</v>
      </c>
      <c r="C946" s="24">
        <v>87.306399999999996</v>
      </c>
      <c r="D946" s="24">
        <v>87.306399999999996</v>
      </c>
    </row>
    <row r="947" spans="1:5" ht="15.75" customHeight="1" x14ac:dyDescent="0.4">
      <c r="A947" s="24" t="s">
        <v>1624</v>
      </c>
      <c r="B947" s="24" t="s">
        <v>2187</v>
      </c>
      <c r="C947" s="24">
        <v>87.2881</v>
      </c>
      <c r="D947" s="24">
        <v>87.2881</v>
      </c>
    </row>
    <row r="948" spans="1:5" ht="15.75" customHeight="1" x14ac:dyDescent="0.4">
      <c r="A948" s="24" t="s">
        <v>1911</v>
      </c>
      <c r="B948" s="24" t="s">
        <v>2187</v>
      </c>
      <c r="C948" s="24">
        <v>87.251400000000004</v>
      </c>
      <c r="D948" s="24">
        <v>87.251400000000004</v>
      </c>
    </row>
    <row r="949" spans="1:5" ht="15.75" customHeight="1" x14ac:dyDescent="0.4">
      <c r="A949" s="24" t="s">
        <v>1605</v>
      </c>
      <c r="B949" s="24" t="s">
        <v>2187</v>
      </c>
      <c r="C949" s="24">
        <v>87.242199999999997</v>
      </c>
      <c r="D949" s="24">
        <v>87.242199999999997</v>
      </c>
    </row>
    <row r="950" spans="1:5" ht="15.75" customHeight="1" x14ac:dyDescent="0.4">
      <c r="A950" s="24" t="s">
        <v>1815</v>
      </c>
      <c r="B950" s="24" t="s">
        <v>2187</v>
      </c>
      <c r="C950" s="24">
        <v>87.214699999999993</v>
      </c>
      <c r="D950" s="24">
        <v>87.214699999999993</v>
      </c>
    </row>
    <row r="951" spans="1:5" ht="15.75" customHeight="1" x14ac:dyDescent="0.4">
      <c r="A951" s="24" t="s">
        <v>1864</v>
      </c>
      <c r="B951" s="24" t="s">
        <v>2187</v>
      </c>
      <c r="C951" s="24">
        <v>87.196399999999997</v>
      </c>
      <c r="D951" s="24">
        <v>87.196399999999997</v>
      </c>
    </row>
    <row r="952" spans="1:5" ht="15.75" customHeight="1" x14ac:dyDescent="0.4">
      <c r="A952" s="24" t="s">
        <v>1413</v>
      </c>
      <c r="B952" s="24" t="s">
        <v>2187</v>
      </c>
      <c r="C952" s="24">
        <v>87.168899999999994</v>
      </c>
      <c r="D952" s="24">
        <v>87.168899999999994</v>
      </c>
    </row>
    <row r="953" spans="1:5" ht="15.75" customHeight="1" x14ac:dyDescent="0.4">
      <c r="A953" s="24" t="s">
        <v>1939</v>
      </c>
      <c r="B953" s="24" t="s">
        <v>2187</v>
      </c>
      <c r="C953" s="24">
        <v>87.141400000000004</v>
      </c>
      <c r="D953" s="24">
        <v>87.141400000000004</v>
      </c>
    </row>
    <row r="954" spans="1:5" ht="15.75" customHeight="1" x14ac:dyDescent="0.4">
      <c r="A954" s="24" t="s">
        <v>1650</v>
      </c>
      <c r="B954" s="24" t="s">
        <v>2187</v>
      </c>
      <c r="C954" s="24">
        <v>87.132300000000001</v>
      </c>
      <c r="D954" s="24">
        <v>87.132300000000001</v>
      </c>
    </row>
    <row r="955" spans="1:5" ht="15.75" customHeight="1" x14ac:dyDescent="0.4">
      <c r="A955" s="24" t="s">
        <v>1453</v>
      </c>
      <c r="B955" s="24" t="s">
        <v>2187</v>
      </c>
      <c r="C955" s="24">
        <v>87.132300000000001</v>
      </c>
      <c r="D955" s="24">
        <v>87.132300000000001</v>
      </c>
    </row>
    <row r="956" spans="1:5" ht="15.75" customHeight="1" x14ac:dyDescent="0.4">
      <c r="A956" s="24" t="s">
        <v>1502</v>
      </c>
      <c r="B956" s="24" t="s">
        <v>2187</v>
      </c>
      <c r="C956" s="24">
        <v>87.086399999999998</v>
      </c>
      <c r="D956" s="24">
        <v>87.086399999999998</v>
      </c>
    </row>
    <row r="957" spans="1:5" ht="15.75" customHeight="1" x14ac:dyDescent="0.4">
      <c r="A957" s="24" t="s">
        <v>1825</v>
      </c>
      <c r="B957" s="24" t="s">
        <v>2187</v>
      </c>
      <c r="C957" s="24">
        <v>87.040599999999998</v>
      </c>
      <c r="D957" s="24">
        <v>17.9085</v>
      </c>
      <c r="E957" s="24">
        <v>72.333500000000001</v>
      </c>
    </row>
    <row r="958" spans="1:5" ht="15.75" customHeight="1" x14ac:dyDescent="0.4">
      <c r="A958" s="24" t="s">
        <v>1354</v>
      </c>
      <c r="B958" s="24" t="s">
        <v>2187</v>
      </c>
      <c r="C958" s="24">
        <v>87.040599999999998</v>
      </c>
      <c r="D958" s="24">
        <v>87.040599999999998</v>
      </c>
    </row>
    <row r="959" spans="1:5" ht="15.75" customHeight="1" x14ac:dyDescent="0.4">
      <c r="A959" s="24" t="s">
        <v>1884</v>
      </c>
      <c r="B959" s="24" t="s">
        <v>2187</v>
      </c>
      <c r="C959" s="24">
        <v>87.040599999999998</v>
      </c>
      <c r="D959" s="24">
        <v>87.040599999999998</v>
      </c>
    </row>
    <row r="960" spans="1:5" ht="15.75" customHeight="1" x14ac:dyDescent="0.4">
      <c r="A960" s="24" t="s">
        <v>2058</v>
      </c>
      <c r="B960" s="24" t="s">
        <v>2187</v>
      </c>
      <c r="C960" s="24">
        <v>87.022300000000001</v>
      </c>
      <c r="D960" s="24">
        <v>86.710700000000003</v>
      </c>
      <c r="E960" s="24">
        <v>25.573399999999999</v>
      </c>
    </row>
    <row r="961" spans="1:5" ht="15.75" customHeight="1" x14ac:dyDescent="0.4">
      <c r="A961" s="24" t="s">
        <v>704</v>
      </c>
      <c r="B961" s="24" t="s">
        <v>2187</v>
      </c>
      <c r="C961" s="24">
        <v>86.967299999999994</v>
      </c>
      <c r="D961" s="24">
        <v>86.967299999999994</v>
      </c>
    </row>
    <row r="962" spans="1:5" ht="15.75" customHeight="1" x14ac:dyDescent="0.4">
      <c r="A962" s="24" t="s">
        <v>1291</v>
      </c>
      <c r="B962" s="24" t="s">
        <v>2187</v>
      </c>
      <c r="C962" s="24">
        <v>86.967299999999994</v>
      </c>
      <c r="D962" s="24">
        <v>86.967299999999994</v>
      </c>
    </row>
    <row r="963" spans="1:5" ht="15.75" customHeight="1" x14ac:dyDescent="0.4">
      <c r="A963" s="24" t="s">
        <v>2030</v>
      </c>
      <c r="B963" s="24" t="s">
        <v>2187</v>
      </c>
      <c r="C963" s="24">
        <v>86.948999999999998</v>
      </c>
      <c r="D963" s="24">
        <v>86.948999999999998</v>
      </c>
    </row>
    <row r="964" spans="1:5" ht="15.75" customHeight="1" x14ac:dyDescent="0.4">
      <c r="A964" s="24" t="s">
        <v>234</v>
      </c>
      <c r="B964" s="24" t="s">
        <v>2187</v>
      </c>
      <c r="C964" s="24">
        <v>86.939800000000005</v>
      </c>
      <c r="D964" s="24">
        <v>86.939800000000005</v>
      </c>
    </row>
    <row r="965" spans="1:5" ht="15.75" customHeight="1" x14ac:dyDescent="0.4">
      <c r="A965" s="24" t="s">
        <v>1327</v>
      </c>
      <c r="B965" s="24" t="s">
        <v>2187</v>
      </c>
      <c r="C965" s="24">
        <v>86.912300000000002</v>
      </c>
      <c r="D965" s="24">
        <v>86.912300000000002</v>
      </c>
    </row>
    <row r="966" spans="1:5" ht="15.75" customHeight="1" x14ac:dyDescent="0.4">
      <c r="A966" s="24" t="s">
        <v>2171</v>
      </c>
      <c r="B966" s="24" t="s">
        <v>2187</v>
      </c>
      <c r="C966" s="24">
        <v>86.894000000000005</v>
      </c>
      <c r="D966" s="24">
        <v>86.894000000000005</v>
      </c>
    </row>
    <row r="967" spans="1:5" ht="15.75" customHeight="1" x14ac:dyDescent="0.4">
      <c r="A967" s="24" t="s">
        <v>1074</v>
      </c>
      <c r="B967" s="24" t="s">
        <v>2187</v>
      </c>
      <c r="C967" s="24">
        <v>86.875600000000006</v>
      </c>
      <c r="D967" s="24">
        <v>86.875600000000006</v>
      </c>
    </row>
    <row r="968" spans="1:5" ht="15.75" customHeight="1" x14ac:dyDescent="0.4">
      <c r="A968" s="24" t="s">
        <v>1551</v>
      </c>
      <c r="B968" s="24" t="s">
        <v>2187</v>
      </c>
      <c r="C968" s="24">
        <v>86.875600000000006</v>
      </c>
      <c r="D968" s="24">
        <v>86.875600000000006</v>
      </c>
    </row>
    <row r="969" spans="1:5" ht="15.75" customHeight="1" x14ac:dyDescent="0.4">
      <c r="A969" s="24" t="s">
        <v>335</v>
      </c>
      <c r="B969" s="24" t="s">
        <v>2187</v>
      </c>
      <c r="C969" s="24">
        <v>86.829800000000006</v>
      </c>
      <c r="D969" s="24">
        <v>86.829800000000006</v>
      </c>
    </row>
    <row r="970" spans="1:5" ht="15.75" customHeight="1" x14ac:dyDescent="0.4">
      <c r="A970" s="24" t="s">
        <v>1991</v>
      </c>
      <c r="B970" s="24" t="s">
        <v>2187</v>
      </c>
      <c r="C970" s="24">
        <v>86.774799999999999</v>
      </c>
      <c r="D970" s="24">
        <v>86.774799999999999</v>
      </c>
    </row>
    <row r="971" spans="1:5" ht="15.75" customHeight="1" x14ac:dyDescent="0.4">
      <c r="A971" s="24" t="s">
        <v>1904</v>
      </c>
      <c r="B971" s="24" t="s">
        <v>2187</v>
      </c>
      <c r="C971" s="24">
        <v>86.756500000000003</v>
      </c>
      <c r="E971" s="24">
        <v>86.148499999999999</v>
      </c>
    </row>
    <row r="972" spans="1:5" ht="15.75" customHeight="1" x14ac:dyDescent="0.4">
      <c r="A972" s="24" t="s">
        <v>1544</v>
      </c>
      <c r="B972" s="24" t="s">
        <v>2187</v>
      </c>
      <c r="C972" s="24">
        <v>86.637299999999996</v>
      </c>
      <c r="D972" s="24">
        <v>86.637299999999996</v>
      </c>
    </row>
    <row r="973" spans="1:5" ht="15.75" customHeight="1" x14ac:dyDescent="0.4">
      <c r="A973" s="24" t="s">
        <v>1802</v>
      </c>
      <c r="B973" s="24" t="s">
        <v>2187</v>
      </c>
      <c r="C973" s="24">
        <v>86.563999999999993</v>
      </c>
      <c r="D973" s="24">
        <v>17.716100000000001</v>
      </c>
      <c r="E973" s="24">
        <v>73.097899999999996</v>
      </c>
    </row>
    <row r="974" spans="1:5" ht="15.75" customHeight="1" x14ac:dyDescent="0.4">
      <c r="A974" s="24" t="s">
        <v>740</v>
      </c>
      <c r="B974" s="24" t="s">
        <v>2187</v>
      </c>
      <c r="C974" s="24">
        <v>86.554900000000004</v>
      </c>
      <c r="D974" s="24">
        <v>86.554900000000004</v>
      </c>
    </row>
    <row r="975" spans="1:5" ht="15.75" customHeight="1" x14ac:dyDescent="0.4">
      <c r="A975" s="24" t="s">
        <v>1943</v>
      </c>
      <c r="B975" s="24" t="s">
        <v>2187</v>
      </c>
      <c r="C975" s="24">
        <v>86.472399999999993</v>
      </c>
      <c r="D975" s="24">
        <v>86.472399999999993</v>
      </c>
    </row>
    <row r="976" spans="1:5" ht="15.75" customHeight="1" x14ac:dyDescent="0.4">
      <c r="A976" s="24" t="s">
        <v>847</v>
      </c>
      <c r="B976" s="24" t="s">
        <v>2187</v>
      </c>
      <c r="C976" s="24">
        <v>86.426500000000004</v>
      </c>
      <c r="D976" s="24">
        <v>86.426500000000004</v>
      </c>
    </row>
    <row r="977" spans="1:5" ht="15.75" customHeight="1" x14ac:dyDescent="0.4">
      <c r="A977" s="24" t="s">
        <v>1959</v>
      </c>
      <c r="B977" s="24" t="s">
        <v>2187</v>
      </c>
      <c r="C977" s="24">
        <v>86.399000000000001</v>
      </c>
      <c r="D977" s="24">
        <v>86.399000000000001</v>
      </c>
    </row>
    <row r="978" spans="1:5" ht="15.75" customHeight="1" x14ac:dyDescent="0.4">
      <c r="A978" s="24" t="s">
        <v>861</v>
      </c>
      <c r="B978" s="24" t="s">
        <v>2187</v>
      </c>
      <c r="C978" s="24">
        <v>86.399000000000001</v>
      </c>
      <c r="D978" s="24">
        <v>86.399000000000001</v>
      </c>
    </row>
    <row r="979" spans="1:5" ht="15.75" customHeight="1" x14ac:dyDescent="0.4">
      <c r="A979" s="24" t="s">
        <v>1018</v>
      </c>
      <c r="B979" s="24" t="s">
        <v>2187</v>
      </c>
      <c r="C979" s="24">
        <v>86.371600000000001</v>
      </c>
      <c r="D979" s="24">
        <v>86.371600000000001</v>
      </c>
    </row>
    <row r="980" spans="1:5" ht="15.75" customHeight="1" x14ac:dyDescent="0.4">
      <c r="A980" s="24" t="s">
        <v>2161</v>
      </c>
      <c r="B980" s="24" t="s">
        <v>2187</v>
      </c>
      <c r="C980" s="24">
        <v>86.307400000000001</v>
      </c>
      <c r="D980" s="24">
        <v>86.307400000000001</v>
      </c>
    </row>
    <row r="981" spans="1:5" ht="15.75" customHeight="1" x14ac:dyDescent="0.4">
      <c r="A981" s="24" t="s">
        <v>1862</v>
      </c>
      <c r="B981" s="24" t="s">
        <v>2187</v>
      </c>
      <c r="C981" s="24">
        <v>86.289100000000005</v>
      </c>
      <c r="D981" s="24">
        <v>86.289100000000005</v>
      </c>
    </row>
    <row r="982" spans="1:5" ht="15.75" customHeight="1" x14ac:dyDescent="0.4">
      <c r="A982" s="24" t="s">
        <v>1875</v>
      </c>
      <c r="B982" s="24" t="s">
        <v>2187</v>
      </c>
      <c r="C982" s="24">
        <v>86.197400000000002</v>
      </c>
      <c r="D982" s="24">
        <v>86.197400000000002</v>
      </c>
    </row>
    <row r="983" spans="1:5" ht="15.75" customHeight="1" x14ac:dyDescent="0.4">
      <c r="A983" s="24" t="s">
        <v>1653</v>
      </c>
      <c r="B983" s="24" t="s">
        <v>2187</v>
      </c>
      <c r="C983" s="24">
        <v>86.041600000000003</v>
      </c>
      <c r="E983" s="24">
        <v>85.438699999999997</v>
      </c>
    </row>
    <row r="984" spans="1:5" ht="15.75" customHeight="1" x14ac:dyDescent="0.4">
      <c r="A984" s="24" t="s">
        <v>1777</v>
      </c>
      <c r="B984" s="24" t="s">
        <v>2187</v>
      </c>
      <c r="C984" s="24">
        <v>85.95</v>
      </c>
      <c r="D984" s="24">
        <v>85.95</v>
      </c>
    </row>
    <row r="985" spans="1:5" ht="15.75" customHeight="1" x14ac:dyDescent="0.4">
      <c r="A985" s="24" t="s">
        <v>2035</v>
      </c>
      <c r="B985" s="24" t="s">
        <v>2187</v>
      </c>
      <c r="C985" s="24">
        <v>85.922499999999999</v>
      </c>
      <c r="D985" s="24">
        <v>85.922499999999999</v>
      </c>
    </row>
    <row r="986" spans="1:5" ht="15.75" customHeight="1" x14ac:dyDescent="0.4">
      <c r="A986" s="24" t="s">
        <v>1344</v>
      </c>
      <c r="B986" s="24" t="s">
        <v>2187</v>
      </c>
      <c r="C986" s="24">
        <v>85.821600000000004</v>
      </c>
      <c r="D986" s="24">
        <v>85.821600000000004</v>
      </c>
    </row>
    <row r="987" spans="1:5" ht="15.75" customHeight="1" x14ac:dyDescent="0.4">
      <c r="A987" s="24" t="s">
        <v>780</v>
      </c>
      <c r="B987" s="24" t="s">
        <v>2187</v>
      </c>
      <c r="C987" s="24">
        <v>85.794200000000004</v>
      </c>
      <c r="E987" s="24">
        <v>85.192899999999995</v>
      </c>
    </row>
    <row r="988" spans="1:5" ht="15.75" customHeight="1" x14ac:dyDescent="0.4">
      <c r="A988" s="24" t="s">
        <v>1668</v>
      </c>
      <c r="B988" s="24" t="s">
        <v>2187</v>
      </c>
      <c r="C988" s="24">
        <v>85.794200000000004</v>
      </c>
      <c r="D988" s="24">
        <v>85.794200000000004</v>
      </c>
    </row>
    <row r="989" spans="1:5" ht="15.75" customHeight="1" x14ac:dyDescent="0.4">
      <c r="A989" s="24" t="s">
        <v>1626</v>
      </c>
      <c r="B989" s="24" t="s">
        <v>2187</v>
      </c>
      <c r="C989" s="24">
        <v>85.784999999999997</v>
      </c>
      <c r="D989" s="24">
        <v>85.784999999999997</v>
      </c>
    </row>
    <row r="990" spans="1:5" ht="15.75" customHeight="1" x14ac:dyDescent="0.4">
      <c r="A990" s="24" t="s">
        <v>1834</v>
      </c>
      <c r="B990" s="24" t="s">
        <v>2187</v>
      </c>
      <c r="C990" s="24">
        <v>85.739199999999997</v>
      </c>
      <c r="D990" s="24">
        <v>85.739199999999997</v>
      </c>
    </row>
    <row r="991" spans="1:5" ht="15.75" customHeight="1" x14ac:dyDescent="0.4">
      <c r="A991" s="24" t="s">
        <v>1970</v>
      </c>
      <c r="B991" s="24" t="s">
        <v>2187</v>
      </c>
      <c r="C991" s="24">
        <v>85.629199999999997</v>
      </c>
      <c r="D991" s="24">
        <v>85.629199999999997</v>
      </c>
    </row>
    <row r="992" spans="1:5" ht="15.75" customHeight="1" x14ac:dyDescent="0.4">
      <c r="A992" s="24" t="s">
        <v>1900</v>
      </c>
      <c r="B992" s="24" t="s">
        <v>2187</v>
      </c>
      <c r="C992" s="24">
        <v>85.51</v>
      </c>
      <c r="D992" s="24">
        <v>85.51</v>
      </c>
    </row>
    <row r="993" spans="1:5" ht="15.75" customHeight="1" x14ac:dyDescent="0.4">
      <c r="A993" s="24" t="s">
        <v>1740</v>
      </c>
      <c r="B993" s="24" t="s">
        <v>2187</v>
      </c>
      <c r="C993" s="24">
        <v>85.464200000000005</v>
      </c>
      <c r="D993" s="24">
        <v>82.833799999999997</v>
      </c>
      <c r="E993" s="24">
        <v>2.6119400000000002</v>
      </c>
    </row>
    <row r="994" spans="1:5" ht="15.75" customHeight="1" x14ac:dyDescent="0.4">
      <c r="A994" s="24" t="s">
        <v>2036</v>
      </c>
      <c r="B994" s="24" t="s">
        <v>2187</v>
      </c>
      <c r="C994" s="24">
        <v>85.436700000000002</v>
      </c>
      <c r="D994" s="24">
        <v>72.3673</v>
      </c>
      <c r="E994" s="24">
        <v>12.9778</v>
      </c>
    </row>
    <row r="995" spans="1:5" ht="15.75" customHeight="1" x14ac:dyDescent="0.4">
      <c r="A995" s="24" t="s">
        <v>1407</v>
      </c>
      <c r="B995" s="24" t="s">
        <v>2187</v>
      </c>
      <c r="C995" s="24">
        <v>85.409199999999998</v>
      </c>
      <c r="D995" s="24">
        <v>85.372600000000006</v>
      </c>
      <c r="E995" s="24">
        <v>25.3094</v>
      </c>
    </row>
    <row r="996" spans="1:5" ht="15.75" customHeight="1" x14ac:dyDescent="0.4">
      <c r="A996" s="24" t="s">
        <v>1269</v>
      </c>
      <c r="B996" s="24" t="s">
        <v>2187</v>
      </c>
      <c r="C996" s="24">
        <v>85.299199999999999</v>
      </c>
      <c r="D996" s="24">
        <v>85.299199999999999</v>
      </c>
    </row>
    <row r="997" spans="1:5" ht="15.75" customHeight="1" x14ac:dyDescent="0.4">
      <c r="A997" s="24" t="s">
        <v>778</v>
      </c>
      <c r="B997" s="24" t="s">
        <v>2187</v>
      </c>
      <c r="C997" s="24">
        <v>85.290099999999995</v>
      </c>
      <c r="D997" s="24">
        <v>85.290099999999995</v>
      </c>
    </row>
    <row r="998" spans="1:5" ht="15.75" customHeight="1" x14ac:dyDescent="0.4">
      <c r="A998" s="24" t="s">
        <v>1647</v>
      </c>
      <c r="B998" s="24" t="s">
        <v>2187</v>
      </c>
      <c r="C998" s="24">
        <v>85.170900000000003</v>
      </c>
      <c r="E998" s="24">
        <v>84.574100000000001</v>
      </c>
    </row>
    <row r="999" spans="1:5" ht="15.75" customHeight="1" x14ac:dyDescent="0.4">
      <c r="A999" s="24" t="s">
        <v>1255</v>
      </c>
      <c r="B999" s="24" t="s">
        <v>2187</v>
      </c>
      <c r="C999" s="24">
        <v>84.932599999999994</v>
      </c>
      <c r="D999" s="24">
        <v>84.932599999999994</v>
      </c>
    </row>
    <row r="1000" spans="1:5" ht="15.75" customHeight="1" x14ac:dyDescent="0.4">
      <c r="A1000" s="24" t="s">
        <v>2148</v>
      </c>
      <c r="B1000" s="24" t="s">
        <v>2187</v>
      </c>
      <c r="C1000" s="24">
        <v>84.730999999999995</v>
      </c>
      <c r="D1000" s="24">
        <v>84.730999999999995</v>
      </c>
    </row>
    <row r="1001" spans="1:5" ht="15.75" customHeight="1" x14ac:dyDescent="0.4">
      <c r="A1001" s="24" t="s">
        <v>1481</v>
      </c>
      <c r="B1001" s="24" t="s">
        <v>2187</v>
      </c>
      <c r="C1001" s="24">
        <v>84.556899999999999</v>
      </c>
      <c r="D1001" s="24">
        <v>84.556899999999999</v>
      </c>
    </row>
    <row r="1002" spans="1:5" ht="15.75" customHeight="1" x14ac:dyDescent="0.4">
      <c r="A1002" s="24" t="s">
        <v>1564</v>
      </c>
      <c r="B1002" s="24" t="s">
        <v>2187</v>
      </c>
      <c r="C1002" s="24">
        <v>84.529399999999995</v>
      </c>
      <c r="D1002" s="24">
        <v>84.373599999999996</v>
      </c>
      <c r="E1002" s="24">
        <v>4.5231199999999996</v>
      </c>
    </row>
    <row r="1003" spans="1:5" ht="15.75" customHeight="1" x14ac:dyDescent="0.4">
      <c r="A1003" s="24" t="s">
        <v>1910</v>
      </c>
      <c r="B1003" s="24" t="s">
        <v>2187</v>
      </c>
      <c r="C1003" s="24">
        <v>84.4011</v>
      </c>
      <c r="D1003" s="24">
        <v>84.4011</v>
      </c>
    </row>
    <row r="1004" spans="1:5" ht="15.75" customHeight="1" x14ac:dyDescent="0.4">
      <c r="A1004" s="24" t="s">
        <v>1338</v>
      </c>
      <c r="B1004" s="24" t="s">
        <v>2187</v>
      </c>
      <c r="C1004" s="24">
        <v>84.391900000000007</v>
      </c>
      <c r="D1004" s="24">
        <v>84.391900000000007</v>
      </c>
    </row>
    <row r="1005" spans="1:5" ht="15.75" customHeight="1" x14ac:dyDescent="0.4">
      <c r="A1005" s="24" t="s">
        <v>794</v>
      </c>
      <c r="B1005" s="24" t="s">
        <v>2187</v>
      </c>
      <c r="C1005" s="24">
        <v>84.318600000000004</v>
      </c>
      <c r="D1005" s="24">
        <v>84.318600000000004</v>
      </c>
    </row>
    <row r="1006" spans="1:5" ht="15.75" customHeight="1" x14ac:dyDescent="0.4">
      <c r="A1006" s="24" t="s">
        <v>2142</v>
      </c>
      <c r="B1006" s="24" t="s">
        <v>2187</v>
      </c>
      <c r="C1006" s="24">
        <v>84.300200000000004</v>
      </c>
      <c r="E1006" s="24">
        <v>83.709500000000006</v>
      </c>
    </row>
    <row r="1007" spans="1:5" ht="15.75" customHeight="1" x14ac:dyDescent="0.4">
      <c r="A1007" s="24" t="s">
        <v>1360</v>
      </c>
      <c r="B1007" s="24" t="s">
        <v>2187</v>
      </c>
      <c r="C1007" s="24">
        <v>84.281899999999993</v>
      </c>
      <c r="D1007" s="24">
        <v>84.281899999999993</v>
      </c>
    </row>
    <row r="1008" spans="1:5" ht="15.75" customHeight="1" x14ac:dyDescent="0.4">
      <c r="A1008" s="24" t="s">
        <v>1703</v>
      </c>
      <c r="B1008" s="24" t="s">
        <v>2187</v>
      </c>
      <c r="C1008" s="24">
        <v>84.208600000000004</v>
      </c>
      <c r="D1008" s="24">
        <v>84.208600000000004</v>
      </c>
    </row>
    <row r="1009" spans="1:5" ht="15.75" customHeight="1" x14ac:dyDescent="0.4">
      <c r="A1009" s="24" t="s">
        <v>931</v>
      </c>
      <c r="B1009" s="24" t="s">
        <v>2187</v>
      </c>
      <c r="C1009" s="24">
        <v>84.181100000000001</v>
      </c>
      <c r="D1009" s="24">
        <v>84.181100000000001</v>
      </c>
    </row>
    <row r="1010" spans="1:5" ht="15.75" customHeight="1" x14ac:dyDescent="0.4">
      <c r="A1010" s="24" t="s">
        <v>1491</v>
      </c>
      <c r="B1010" s="24" t="s">
        <v>2187</v>
      </c>
      <c r="C1010" s="24">
        <v>84.116900000000001</v>
      </c>
      <c r="D1010" s="24">
        <v>84.116900000000001</v>
      </c>
    </row>
    <row r="1011" spans="1:5" ht="15.75" customHeight="1" x14ac:dyDescent="0.4">
      <c r="A1011" s="24" t="s">
        <v>1410</v>
      </c>
      <c r="B1011" s="24" t="s">
        <v>2187</v>
      </c>
      <c r="C1011" s="24">
        <v>84.007000000000005</v>
      </c>
      <c r="D1011" s="24">
        <v>76.464100000000002</v>
      </c>
      <c r="E1011" s="24">
        <v>9.5649800000000003</v>
      </c>
    </row>
    <row r="1012" spans="1:5" ht="15.75" customHeight="1" x14ac:dyDescent="0.4">
      <c r="A1012" s="24" t="s">
        <v>2011</v>
      </c>
      <c r="B1012" s="24" t="s">
        <v>2187</v>
      </c>
      <c r="C1012" s="24">
        <v>83.915300000000002</v>
      </c>
      <c r="D1012" s="24">
        <v>83.915300000000002</v>
      </c>
    </row>
    <row r="1013" spans="1:5" ht="15.75" customHeight="1" x14ac:dyDescent="0.4">
      <c r="A1013" s="24" t="s">
        <v>1352</v>
      </c>
      <c r="B1013" s="24" t="s">
        <v>2187</v>
      </c>
      <c r="C1013" s="24">
        <v>83.741200000000006</v>
      </c>
      <c r="D1013" s="24">
        <v>83.741200000000006</v>
      </c>
    </row>
    <row r="1014" spans="1:5" ht="15.75" customHeight="1" x14ac:dyDescent="0.4">
      <c r="A1014" s="24" t="s">
        <v>1896</v>
      </c>
      <c r="B1014" s="24" t="s">
        <v>2187</v>
      </c>
      <c r="C1014" s="24">
        <v>83.731999999999999</v>
      </c>
      <c r="D1014" s="24">
        <v>83.731999999999999</v>
      </c>
    </row>
    <row r="1015" spans="1:5" ht="15.75" customHeight="1" x14ac:dyDescent="0.4">
      <c r="A1015" s="24" t="s">
        <v>2054</v>
      </c>
      <c r="B1015" s="24" t="s">
        <v>2187</v>
      </c>
      <c r="C1015" s="24">
        <v>83.5304</v>
      </c>
      <c r="D1015" s="24">
        <v>83.5304</v>
      </c>
    </row>
    <row r="1016" spans="1:5" ht="15.75" customHeight="1" x14ac:dyDescent="0.4">
      <c r="A1016" s="24" t="s">
        <v>527</v>
      </c>
      <c r="B1016" s="24" t="s">
        <v>2187</v>
      </c>
      <c r="C1016" s="24">
        <v>83.502899999999997</v>
      </c>
      <c r="D1016" s="24">
        <v>83.502899999999997</v>
      </c>
    </row>
    <row r="1017" spans="1:5" ht="15.75" customHeight="1" x14ac:dyDescent="0.4">
      <c r="A1017" s="24" t="s">
        <v>2118</v>
      </c>
      <c r="B1017" s="24" t="s">
        <v>2187</v>
      </c>
      <c r="C1017" s="24">
        <v>83.438699999999997</v>
      </c>
      <c r="D1017" s="24">
        <v>78.892899999999997</v>
      </c>
      <c r="E1017" s="24">
        <v>10.129200000000001</v>
      </c>
    </row>
    <row r="1018" spans="1:5" ht="15.75" customHeight="1" x14ac:dyDescent="0.4">
      <c r="A1018" s="24" t="s">
        <v>1858</v>
      </c>
      <c r="B1018" s="24" t="s">
        <v>2187</v>
      </c>
      <c r="C1018" s="24">
        <v>83.292100000000005</v>
      </c>
      <c r="D1018" s="24">
        <v>82.989599999999996</v>
      </c>
      <c r="E1018" s="24">
        <v>0.84637799999999996</v>
      </c>
    </row>
    <row r="1019" spans="1:5" ht="15.75" customHeight="1" x14ac:dyDescent="0.4">
      <c r="A1019" s="24" t="s">
        <v>1727</v>
      </c>
      <c r="B1019" s="24" t="s">
        <v>2187</v>
      </c>
      <c r="C1019" s="24">
        <v>83.282899999999998</v>
      </c>
      <c r="D1019" s="24">
        <v>83.282899999999998</v>
      </c>
    </row>
    <row r="1020" spans="1:5" ht="15.75" customHeight="1" x14ac:dyDescent="0.4">
      <c r="A1020" s="24" t="s">
        <v>223</v>
      </c>
      <c r="B1020" s="24" t="s">
        <v>2187</v>
      </c>
      <c r="C1020" s="24">
        <v>83.227900000000005</v>
      </c>
      <c r="D1020" s="24">
        <v>83.227900000000005</v>
      </c>
    </row>
    <row r="1021" spans="1:5" ht="15.75" customHeight="1" x14ac:dyDescent="0.4">
      <c r="A1021" s="24" t="s">
        <v>593</v>
      </c>
      <c r="B1021" s="24" t="s">
        <v>2187</v>
      </c>
      <c r="C1021" s="24">
        <v>83.154600000000002</v>
      </c>
      <c r="D1021" s="24">
        <v>34.048200000000001</v>
      </c>
      <c r="E1021" s="24">
        <v>74.635999999999996</v>
      </c>
    </row>
    <row r="1022" spans="1:5" ht="15.75" customHeight="1" x14ac:dyDescent="0.4">
      <c r="A1022" s="24" t="s">
        <v>1958</v>
      </c>
      <c r="B1022" s="24" t="s">
        <v>2187</v>
      </c>
      <c r="C1022" s="24">
        <v>83.154600000000002</v>
      </c>
      <c r="D1022" s="24">
        <v>83.154600000000002</v>
      </c>
    </row>
    <row r="1023" spans="1:5" ht="15.75" customHeight="1" x14ac:dyDescent="0.4">
      <c r="A1023" s="24" t="s">
        <v>2069</v>
      </c>
      <c r="B1023" s="24" t="s">
        <v>2187</v>
      </c>
      <c r="C1023" s="24">
        <v>83.145399999999995</v>
      </c>
      <c r="D1023" s="24">
        <v>79.149500000000003</v>
      </c>
      <c r="E1023" s="24">
        <v>6.2249699999999999</v>
      </c>
    </row>
    <row r="1024" spans="1:5" ht="15.75" customHeight="1" x14ac:dyDescent="0.4">
      <c r="A1024" s="24" t="s">
        <v>1560</v>
      </c>
      <c r="B1024" s="24" t="s">
        <v>2187</v>
      </c>
      <c r="C1024" s="24">
        <v>83.117999999999995</v>
      </c>
      <c r="D1024" s="24">
        <v>83.117999999999995</v>
      </c>
    </row>
    <row r="1025" spans="1:5" ht="15.75" customHeight="1" x14ac:dyDescent="0.4">
      <c r="A1025" s="24" t="s">
        <v>1949</v>
      </c>
      <c r="B1025" s="24" t="s">
        <v>2187</v>
      </c>
      <c r="C1025" s="24">
        <v>82.833799999999997</v>
      </c>
      <c r="D1025" s="24">
        <v>35.184699999999999</v>
      </c>
      <c r="E1025" s="24">
        <v>64.115399999999994</v>
      </c>
    </row>
    <row r="1026" spans="1:5" ht="15.75" customHeight="1" x14ac:dyDescent="0.4">
      <c r="A1026" s="24" t="s">
        <v>1539</v>
      </c>
      <c r="B1026" s="24" t="s">
        <v>2187</v>
      </c>
      <c r="C1026" s="24">
        <v>82.8155</v>
      </c>
      <c r="D1026" s="24">
        <v>65.163600000000002</v>
      </c>
      <c r="E1026" s="24">
        <v>18.9297</v>
      </c>
    </row>
    <row r="1027" spans="1:5" ht="15.75" customHeight="1" x14ac:dyDescent="0.4">
      <c r="A1027" s="24" t="s">
        <v>1334</v>
      </c>
      <c r="B1027" s="24" t="s">
        <v>2187</v>
      </c>
      <c r="C1027" s="24">
        <v>82.787999999999997</v>
      </c>
      <c r="D1027" s="24">
        <v>82.787999999999997</v>
      </c>
    </row>
    <row r="1028" spans="1:5" ht="15.75" customHeight="1" x14ac:dyDescent="0.4">
      <c r="A1028" s="24" t="s">
        <v>1835</v>
      </c>
      <c r="B1028" s="24" t="s">
        <v>2187</v>
      </c>
      <c r="C1028" s="24">
        <v>82.751400000000004</v>
      </c>
      <c r="D1028" s="24">
        <v>82.751400000000004</v>
      </c>
    </row>
    <row r="1029" spans="1:5" ht="15.75" customHeight="1" x14ac:dyDescent="0.4">
      <c r="A1029" s="24" t="s">
        <v>1559</v>
      </c>
      <c r="B1029" s="24" t="s">
        <v>2187</v>
      </c>
      <c r="C1029" s="24">
        <v>82.7239</v>
      </c>
      <c r="D1029" s="24">
        <v>82.7239</v>
      </c>
    </row>
    <row r="1030" spans="1:5" ht="15.75" customHeight="1" x14ac:dyDescent="0.4">
      <c r="A1030" s="24" t="s">
        <v>575</v>
      </c>
      <c r="B1030" s="24" t="s">
        <v>2187</v>
      </c>
      <c r="C1030" s="24">
        <v>82.632199999999997</v>
      </c>
      <c r="D1030" s="24">
        <v>82.586399999999998</v>
      </c>
      <c r="E1030" s="24">
        <v>4.5504000000000003E-2</v>
      </c>
    </row>
    <row r="1031" spans="1:5" ht="15.75" customHeight="1" x14ac:dyDescent="0.4">
      <c r="A1031" s="24" t="s">
        <v>1212</v>
      </c>
      <c r="B1031" s="24" t="s">
        <v>2187</v>
      </c>
      <c r="C1031" s="24">
        <v>82.613900000000001</v>
      </c>
      <c r="D1031" s="24">
        <v>82.613900000000001</v>
      </c>
    </row>
    <row r="1032" spans="1:5" ht="15.75" customHeight="1" x14ac:dyDescent="0.4">
      <c r="A1032" s="24" t="s">
        <v>1593</v>
      </c>
      <c r="B1032" s="24" t="s">
        <v>2187</v>
      </c>
      <c r="C1032" s="24">
        <v>82.531400000000005</v>
      </c>
      <c r="D1032" s="24">
        <v>82.531400000000005</v>
      </c>
    </row>
    <row r="1033" spans="1:5" ht="15.75" customHeight="1" x14ac:dyDescent="0.4">
      <c r="A1033" s="24" t="s">
        <v>675</v>
      </c>
      <c r="B1033" s="24" t="s">
        <v>2187</v>
      </c>
      <c r="C1033" s="24">
        <v>82.467200000000005</v>
      </c>
      <c r="D1033" s="24">
        <v>16.744599999999998</v>
      </c>
      <c r="E1033" s="24">
        <v>81.889300000000006</v>
      </c>
    </row>
    <row r="1034" spans="1:5" ht="15.75" customHeight="1" x14ac:dyDescent="0.4">
      <c r="A1034" s="24" t="s">
        <v>278</v>
      </c>
      <c r="B1034" s="24" t="s">
        <v>2187</v>
      </c>
      <c r="C1034" s="24">
        <v>82.412199999999999</v>
      </c>
      <c r="D1034" s="24">
        <v>76.390799999999999</v>
      </c>
      <c r="E1034" s="24">
        <v>5.9792500000000004</v>
      </c>
    </row>
    <row r="1035" spans="1:5" ht="15.75" customHeight="1" x14ac:dyDescent="0.4">
      <c r="A1035" s="24" t="s">
        <v>1428</v>
      </c>
      <c r="B1035" s="24" t="s">
        <v>2187</v>
      </c>
      <c r="C1035" s="24">
        <v>82.366399999999999</v>
      </c>
      <c r="D1035" s="24">
        <v>82.366399999999999</v>
      </c>
    </row>
    <row r="1036" spans="1:5" ht="15.75" customHeight="1" x14ac:dyDescent="0.4">
      <c r="A1036" s="24" t="s">
        <v>1290</v>
      </c>
      <c r="B1036" s="24" t="s">
        <v>2187</v>
      </c>
      <c r="C1036" s="24">
        <v>82.357299999999995</v>
      </c>
      <c r="D1036" s="24">
        <v>82.357299999999995</v>
      </c>
    </row>
    <row r="1037" spans="1:5" ht="15.75" customHeight="1" x14ac:dyDescent="0.4">
      <c r="A1037" s="24" t="s">
        <v>1506</v>
      </c>
      <c r="B1037" s="24" t="s">
        <v>2187</v>
      </c>
      <c r="C1037" s="24">
        <v>82.338899999999995</v>
      </c>
      <c r="D1037" s="24">
        <v>82.338899999999995</v>
      </c>
    </row>
    <row r="1038" spans="1:5" ht="15.75" customHeight="1" x14ac:dyDescent="0.4">
      <c r="A1038" s="24" t="s">
        <v>1445</v>
      </c>
      <c r="B1038" s="24" t="s">
        <v>2187</v>
      </c>
      <c r="C1038" s="24">
        <v>82.210599999999999</v>
      </c>
      <c r="D1038" s="24">
        <v>41.673499999999997</v>
      </c>
      <c r="E1038" s="24">
        <v>76.874799999999993</v>
      </c>
    </row>
    <row r="1039" spans="1:5" ht="15.75" customHeight="1" x14ac:dyDescent="0.4">
      <c r="A1039" s="24" t="s">
        <v>1781</v>
      </c>
      <c r="B1039" s="24" t="s">
        <v>2187</v>
      </c>
      <c r="C1039" s="24">
        <v>82.137299999999996</v>
      </c>
      <c r="E1039" s="24">
        <v>81.561700000000002</v>
      </c>
    </row>
    <row r="1040" spans="1:5" ht="15.75" customHeight="1" x14ac:dyDescent="0.4">
      <c r="A1040" s="24" t="s">
        <v>1254</v>
      </c>
      <c r="B1040" s="24" t="s">
        <v>2187</v>
      </c>
      <c r="C1040" s="24">
        <v>81.999799999999993</v>
      </c>
      <c r="D1040" s="24">
        <v>81.999799999999993</v>
      </c>
    </row>
    <row r="1041" spans="1:5" ht="15.75" customHeight="1" x14ac:dyDescent="0.4">
      <c r="A1041" s="24" t="s">
        <v>762</v>
      </c>
      <c r="B1041" s="24" t="s">
        <v>2187</v>
      </c>
      <c r="C1041" s="24">
        <v>81.743200000000002</v>
      </c>
      <c r="D1041" s="24">
        <v>81.743200000000002</v>
      </c>
    </row>
    <row r="1042" spans="1:5" ht="15.75" customHeight="1" x14ac:dyDescent="0.4">
      <c r="A1042" s="24" t="s">
        <v>1935</v>
      </c>
      <c r="B1042" s="24" t="s">
        <v>2187</v>
      </c>
      <c r="C1042" s="24">
        <v>81.733999999999995</v>
      </c>
      <c r="D1042" s="24">
        <v>81.733999999999995</v>
      </c>
    </row>
    <row r="1043" spans="1:5" ht="15.75" customHeight="1" x14ac:dyDescent="0.4">
      <c r="A1043" s="24" t="s">
        <v>1641</v>
      </c>
      <c r="B1043" s="24" t="s">
        <v>2187</v>
      </c>
      <c r="C1043" s="24">
        <v>81.266599999999997</v>
      </c>
      <c r="D1043" s="24">
        <v>81.266599999999997</v>
      </c>
    </row>
    <row r="1044" spans="1:5" ht="15.75" customHeight="1" x14ac:dyDescent="0.4">
      <c r="A1044" s="24" t="s">
        <v>2028</v>
      </c>
      <c r="B1044" s="24" t="s">
        <v>2187</v>
      </c>
      <c r="C1044" s="24">
        <v>81.046700000000001</v>
      </c>
      <c r="D1044" s="24">
        <v>81.046700000000001</v>
      </c>
    </row>
    <row r="1045" spans="1:5" ht="15.75" customHeight="1" x14ac:dyDescent="0.4">
      <c r="A1045" s="24" t="s">
        <v>1109</v>
      </c>
      <c r="B1045" s="24" t="s">
        <v>2187</v>
      </c>
      <c r="C1045" s="24">
        <v>80.964200000000005</v>
      </c>
      <c r="D1045" s="24">
        <v>80.964200000000005</v>
      </c>
    </row>
    <row r="1046" spans="1:5" ht="15.75" customHeight="1" x14ac:dyDescent="0.4">
      <c r="A1046" s="24" t="s">
        <v>1058</v>
      </c>
      <c r="B1046" s="24" t="s">
        <v>2187</v>
      </c>
      <c r="C1046" s="24">
        <v>80.551699999999997</v>
      </c>
      <c r="D1046" s="24">
        <v>80.551699999999997</v>
      </c>
    </row>
    <row r="1047" spans="1:5" ht="15.75" customHeight="1" x14ac:dyDescent="0.4">
      <c r="A1047" s="24" t="s">
        <v>1743</v>
      </c>
      <c r="B1047" s="24" t="s">
        <v>2187</v>
      </c>
      <c r="C1047" s="24">
        <v>80.203500000000005</v>
      </c>
      <c r="D1047" s="24">
        <v>78.397900000000007</v>
      </c>
      <c r="E1047" s="24">
        <v>1.7928599999999999</v>
      </c>
    </row>
    <row r="1048" spans="1:5" ht="15.75" customHeight="1" x14ac:dyDescent="0.4">
      <c r="A1048" s="24" t="s">
        <v>563</v>
      </c>
      <c r="B1048" s="24" t="s">
        <v>2187</v>
      </c>
      <c r="C1048" s="24">
        <v>80.148499999999999</v>
      </c>
      <c r="D1048" s="24">
        <v>80.148499999999999</v>
      </c>
    </row>
    <row r="1049" spans="1:5" ht="15.75" customHeight="1" x14ac:dyDescent="0.4">
      <c r="A1049" s="24" t="s">
        <v>1921</v>
      </c>
      <c r="B1049" s="24" t="s">
        <v>2187</v>
      </c>
      <c r="C1049" s="24">
        <v>79.827699999999993</v>
      </c>
      <c r="D1049" s="24">
        <v>66.529200000000003</v>
      </c>
      <c r="E1049" s="24">
        <v>13.205299999999999</v>
      </c>
    </row>
    <row r="1050" spans="1:5" ht="15.75" customHeight="1" x14ac:dyDescent="0.4">
      <c r="A1050" s="24" t="s">
        <v>1997</v>
      </c>
      <c r="B1050" s="24" t="s">
        <v>2187</v>
      </c>
      <c r="C1050" s="24">
        <v>79.231999999999999</v>
      </c>
      <c r="D1050" s="24">
        <v>79.231999999999999</v>
      </c>
    </row>
    <row r="1051" spans="1:5" ht="15.75" customHeight="1" x14ac:dyDescent="0.4">
      <c r="A1051" s="24" t="s">
        <v>1806</v>
      </c>
      <c r="B1051" s="24" t="s">
        <v>2187</v>
      </c>
      <c r="C1051" s="24">
        <v>78.911199999999994</v>
      </c>
      <c r="E1051" s="24">
        <v>78.358199999999997</v>
      </c>
    </row>
    <row r="1052" spans="1:5" ht="15.75" customHeight="1" x14ac:dyDescent="0.4">
      <c r="A1052" s="24" t="s">
        <v>1772</v>
      </c>
      <c r="B1052" s="24" t="s">
        <v>2187</v>
      </c>
      <c r="C1052" s="24">
        <v>78.902000000000001</v>
      </c>
      <c r="D1052" s="24">
        <v>78.902000000000001</v>
      </c>
    </row>
    <row r="1053" spans="1:5" ht="15.75" customHeight="1" x14ac:dyDescent="0.4">
      <c r="A1053" s="24" t="s">
        <v>1266</v>
      </c>
      <c r="B1053" s="24" t="s">
        <v>2187</v>
      </c>
      <c r="C1053" s="24">
        <v>78.535399999999996</v>
      </c>
      <c r="E1053" s="24">
        <v>77.985100000000003</v>
      </c>
    </row>
    <row r="1054" spans="1:5" ht="15.75" customHeight="1" x14ac:dyDescent="0.4">
      <c r="A1054" s="24" t="s">
        <v>993</v>
      </c>
      <c r="B1054" s="24" t="s">
        <v>2187</v>
      </c>
      <c r="C1054" s="24">
        <v>78.471299999999999</v>
      </c>
      <c r="D1054" s="24">
        <v>77.362300000000005</v>
      </c>
      <c r="E1054" s="24">
        <v>3.9497599999999999</v>
      </c>
    </row>
    <row r="1055" spans="1:5" ht="15.75" customHeight="1" x14ac:dyDescent="0.4">
      <c r="A1055" s="24" t="s">
        <v>1490</v>
      </c>
      <c r="B1055" s="24" t="s">
        <v>2187</v>
      </c>
      <c r="C1055" s="24">
        <v>78.4071</v>
      </c>
      <c r="D1055" s="24">
        <v>78.4071</v>
      </c>
    </row>
    <row r="1056" spans="1:5" ht="15.75" customHeight="1" x14ac:dyDescent="0.4">
      <c r="A1056" s="24" t="s">
        <v>1658</v>
      </c>
      <c r="B1056" s="24" t="s">
        <v>2187</v>
      </c>
      <c r="C1056" s="24">
        <v>78.3155</v>
      </c>
      <c r="D1056" s="24">
        <v>78.3155</v>
      </c>
    </row>
    <row r="1057" spans="1:5" ht="15.75" customHeight="1" x14ac:dyDescent="0.4">
      <c r="A1057" s="24" t="s">
        <v>714</v>
      </c>
      <c r="B1057" s="24" t="s">
        <v>2187</v>
      </c>
      <c r="C1057" s="24">
        <v>78.150499999999994</v>
      </c>
      <c r="D1057" s="24">
        <v>78.150499999999994</v>
      </c>
    </row>
    <row r="1058" spans="1:5" ht="15.75" customHeight="1" x14ac:dyDescent="0.4">
      <c r="A1058" s="24" t="s">
        <v>248</v>
      </c>
      <c r="B1058" s="24" t="s">
        <v>2187</v>
      </c>
      <c r="C1058" s="24">
        <v>78.104699999999994</v>
      </c>
      <c r="D1058" s="24">
        <v>78.104699999999994</v>
      </c>
    </row>
    <row r="1059" spans="1:5" ht="15.75" customHeight="1" x14ac:dyDescent="0.4">
      <c r="A1059" s="24" t="s">
        <v>1333</v>
      </c>
      <c r="B1059" s="24" t="s">
        <v>2187</v>
      </c>
      <c r="C1059" s="24">
        <v>77.719700000000003</v>
      </c>
      <c r="D1059" s="24">
        <v>77.719700000000003</v>
      </c>
    </row>
    <row r="1060" spans="1:5" ht="15.75" customHeight="1" x14ac:dyDescent="0.4">
      <c r="A1060" s="24" t="s">
        <v>1723</v>
      </c>
      <c r="B1060" s="24" t="s">
        <v>2187</v>
      </c>
      <c r="C1060" s="24">
        <v>77.628100000000003</v>
      </c>
      <c r="D1060" s="24">
        <v>20.9788</v>
      </c>
      <c r="E1060" s="24">
        <v>67.491799999999998</v>
      </c>
    </row>
    <row r="1061" spans="1:5" ht="15.75" customHeight="1" x14ac:dyDescent="0.4">
      <c r="A1061" s="24" t="s">
        <v>1830</v>
      </c>
      <c r="B1061" s="24" t="s">
        <v>2187</v>
      </c>
      <c r="C1061" s="24">
        <v>77.518100000000004</v>
      </c>
      <c r="D1061" s="24">
        <v>32.068600000000004</v>
      </c>
      <c r="E1061" s="24">
        <v>46.459800000000001</v>
      </c>
    </row>
    <row r="1062" spans="1:5" ht="15.75" customHeight="1" x14ac:dyDescent="0.4">
      <c r="A1062" s="24" t="s">
        <v>2103</v>
      </c>
      <c r="B1062" s="24" t="s">
        <v>2187</v>
      </c>
      <c r="C1062" s="24">
        <v>76.995699999999999</v>
      </c>
      <c r="D1062" s="24">
        <v>76.995699999999999</v>
      </c>
    </row>
    <row r="1063" spans="1:5" ht="15.75" customHeight="1" x14ac:dyDescent="0.4">
      <c r="A1063" s="24" t="s">
        <v>1261</v>
      </c>
      <c r="B1063" s="24" t="s">
        <v>2187</v>
      </c>
      <c r="C1063" s="24">
        <v>76.280799999999999</v>
      </c>
      <c r="D1063" s="24">
        <v>75.712599999999995</v>
      </c>
      <c r="E1063" s="24">
        <v>5.9064399999999999</v>
      </c>
    </row>
    <row r="1064" spans="1:5" ht="15.75" customHeight="1" x14ac:dyDescent="0.4">
      <c r="A1064" s="24" t="s">
        <v>1706</v>
      </c>
      <c r="B1064" s="24" t="s">
        <v>2187</v>
      </c>
      <c r="C1064" s="24">
        <v>76.143299999999996</v>
      </c>
      <c r="D1064" s="24">
        <v>73.256299999999996</v>
      </c>
      <c r="E1064" s="24">
        <v>20.959199999999999</v>
      </c>
    </row>
    <row r="1065" spans="1:5" ht="15.75" customHeight="1" x14ac:dyDescent="0.4">
      <c r="A1065" s="24" t="s">
        <v>1249</v>
      </c>
      <c r="B1065" s="24" t="s">
        <v>2187</v>
      </c>
      <c r="C1065" s="24">
        <v>75.721699999999998</v>
      </c>
      <c r="D1065" s="24">
        <v>65.667699999999996</v>
      </c>
      <c r="E1065" s="24">
        <v>9.9836200000000002</v>
      </c>
    </row>
    <row r="1066" spans="1:5" ht="15.75" customHeight="1" x14ac:dyDescent="0.4">
      <c r="A1066" s="24" t="s">
        <v>1984</v>
      </c>
      <c r="B1066" s="24" t="s">
        <v>2187</v>
      </c>
      <c r="C1066" s="24">
        <v>75.290999999999997</v>
      </c>
      <c r="D1066" s="24">
        <v>75.208500000000001</v>
      </c>
      <c r="E1066" s="24">
        <v>8.7914100000000008</v>
      </c>
    </row>
    <row r="1067" spans="1:5" ht="15.75" customHeight="1" x14ac:dyDescent="0.4">
      <c r="A1067" s="24" t="s">
        <v>1901</v>
      </c>
      <c r="B1067" s="24" t="s">
        <v>2187</v>
      </c>
      <c r="C1067" s="24">
        <v>75.2727</v>
      </c>
      <c r="D1067" s="24">
        <v>72.761399999999995</v>
      </c>
      <c r="E1067" s="24">
        <v>2.77576</v>
      </c>
    </row>
    <row r="1068" spans="1:5" ht="15.75" customHeight="1" x14ac:dyDescent="0.4">
      <c r="A1068" s="24" t="s">
        <v>274</v>
      </c>
      <c r="B1068" s="24" t="s">
        <v>2187</v>
      </c>
      <c r="C1068" s="24">
        <v>74.961100000000002</v>
      </c>
      <c r="D1068" s="24">
        <v>73.586299999999994</v>
      </c>
      <c r="E1068" s="24">
        <v>1.36513</v>
      </c>
    </row>
    <row r="1069" spans="1:5" ht="15.75" customHeight="1" x14ac:dyDescent="0.4">
      <c r="A1069" s="24" t="s">
        <v>1860</v>
      </c>
      <c r="B1069" s="24" t="s">
        <v>2187</v>
      </c>
      <c r="C1069" s="24">
        <v>74.676900000000003</v>
      </c>
      <c r="D1069" s="24">
        <v>74.585300000000004</v>
      </c>
      <c r="E1069" s="24">
        <v>9.1008000000000006E-2</v>
      </c>
    </row>
    <row r="1070" spans="1:5" ht="15.75" customHeight="1" x14ac:dyDescent="0.4">
      <c r="A1070" s="24" t="s">
        <v>1405</v>
      </c>
      <c r="B1070" s="24" t="s">
        <v>2187</v>
      </c>
      <c r="C1070" s="24">
        <v>74.640299999999996</v>
      </c>
      <c r="D1070" s="24">
        <v>74.640299999999996</v>
      </c>
    </row>
    <row r="1071" spans="1:5" ht="15.75" customHeight="1" x14ac:dyDescent="0.4">
      <c r="A1071" s="24" t="s">
        <v>2061</v>
      </c>
      <c r="B1071" s="24" t="s">
        <v>2187</v>
      </c>
      <c r="C1071" s="24">
        <v>74.576099999999997</v>
      </c>
      <c r="D1071" s="24">
        <v>74.576099999999997</v>
      </c>
    </row>
    <row r="1072" spans="1:5" ht="15.75" customHeight="1" x14ac:dyDescent="0.4">
      <c r="A1072" s="24" t="s">
        <v>831</v>
      </c>
      <c r="B1072" s="24" t="s">
        <v>2187</v>
      </c>
      <c r="C1072" s="24">
        <v>74.420299999999997</v>
      </c>
      <c r="D1072" s="24">
        <v>74.420299999999997</v>
      </c>
    </row>
    <row r="1073" spans="1:5" ht="15.75" customHeight="1" x14ac:dyDescent="0.4">
      <c r="A1073" s="24" t="s">
        <v>1764</v>
      </c>
      <c r="B1073" s="24" t="s">
        <v>2187</v>
      </c>
      <c r="C1073" s="24">
        <v>74.053700000000006</v>
      </c>
      <c r="D1073" s="24">
        <v>74.053700000000006</v>
      </c>
    </row>
    <row r="1074" spans="1:5" ht="15.75" customHeight="1" x14ac:dyDescent="0.4">
      <c r="A1074" s="24" t="s">
        <v>2131</v>
      </c>
      <c r="B1074" s="24" t="s">
        <v>2187</v>
      </c>
      <c r="C1074" s="24">
        <v>73.668800000000005</v>
      </c>
      <c r="D1074" s="24">
        <v>73.668800000000005</v>
      </c>
    </row>
    <row r="1075" spans="1:5" ht="15.75" customHeight="1" x14ac:dyDescent="0.4">
      <c r="A1075" s="24" t="s">
        <v>1646</v>
      </c>
      <c r="B1075" s="24" t="s">
        <v>2187</v>
      </c>
      <c r="C1075" s="24">
        <v>72.889700000000005</v>
      </c>
      <c r="D1075" s="24">
        <v>9.84328</v>
      </c>
      <c r="E1075" s="24">
        <v>66.718199999999996</v>
      </c>
    </row>
    <row r="1076" spans="1:5" ht="15.75" customHeight="1" x14ac:dyDescent="0.4">
      <c r="A1076" s="24" t="s">
        <v>671</v>
      </c>
      <c r="B1076" s="24" t="s">
        <v>2187</v>
      </c>
      <c r="C1076" s="24">
        <v>72.459000000000003</v>
      </c>
      <c r="D1076" s="24">
        <v>72.459000000000003</v>
      </c>
    </row>
    <row r="1077" spans="1:5" ht="15.75" customHeight="1" x14ac:dyDescent="0.4">
      <c r="A1077" s="24" t="s">
        <v>1319</v>
      </c>
      <c r="B1077" s="24" t="s">
        <v>2187</v>
      </c>
      <c r="C1077" s="24">
        <v>72.202399999999997</v>
      </c>
      <c r="D1077" s="24">
        <v>5.4623799999999996</v>
      </c>
      <c r="E1077" s="24">
        <v>71.696399999999997</v>
      </c>
    </row>
    <row r="1078" spans="1:5" ht="15.75" customHeight="1" x14ac:dyDescent="0.4">
      <c r="A1078" s="24" t="s">
        <v>1649</v>
      </c>
      <c r="B1078" s="24" t="s">
        <v>2187</v>
      </c>
      <c r="C1078" s="24">
        <v>71.661600000000007</v>
      </c>
      <c r="E1078" s="24">
        <v>71.159400000000005</v>
      </c>
    </row>
    <row r="1079" spans="1:5" ht="15.75" customHeight="1" x14ac:dyDescent="0.4">
      <c r="A1079" s="24" t="s">
        <v>1433</v>
      </c>
      <c r="B1079" s="24" t="s">
        <v>2187</v>
      </c>
      <c r="C1079" s="24">
        <v>71.615799999999993</v>
      </c>
      <c r="D1079" s="24">
        <v>71.597499999999997</v>
      </c>
      <c r="E1079" s="24">
        <v>0.31852900000000001</v>
      </c>
    </row>
    <row r="1080" spans="1:5" ht="15.75" customHeight="1" x14ac:dyDescent="0.4">
      <c r="A1080" s="24" t="s">
        <v>1643</v>
      </c>
      <c r="B1080" s="24" t="s">
        <v>2187</v>
      </c>
      <c r="C1080" s="24">
        <v>71.185000000000002</v>
      </c>
      <c r="D1080" s="24">
        <v>71.185000000000002</v>
      </c>
    </row>
    <row r="1081" spans="1:5" ht="15.75" customHeight="1" x14ac:dyDescent="0.4">
      <c r="A1081" s="24" t="s">
        <v>1986</v>
      </c>
      <c r="B1081" s="24" t="s">
        <v>2187</v>
      </c>
      <c r="C1081" s="24">
        <v>71.084199999999996</v>
      </c>
      <c r="D1081" s="24">
        <v>36.073700000000002</v>
      </c>
      <c r="E1081" s="24">
        <v>34.7652</v>
      </c>
    </row>
    <row r="1082" spans="1:5" ht="15.75" customHeight="1" x14ac:dyDescent="0.4">
      <c r="A1082" s="24" t="s">
        <v>1243</v>
      </c>
      <c r="B1082" s="24" t="s">
        <v>2187</v>
      </c>
      <c r="C1082" s="24">
        <v>69.911100000000005</v>
      </c>
      <c r="D1082" s="24">
        <v>68.352999999999994</v>
      </c>
      <c r="E1082" s="24">
        <v>1.54714</v>
      </c>
    </row>
    <row r="1083" spans="1:5" ht="15.75" customHeight="1" x14ac:dyDescent="0.4">
      <c r="A1083" s="24" t="s">
        <v>1390</v>
      </c>
      <c r="B1083" s="24" t="s">
        <v>2187</v>
      </c>
      <c r="C1083" s="24">
        <v>69.370400000000004</v>
      </c>
      <c r="D1083" s="24">
        <v>69.370400000000004</v>
      </c>
    </row>
    <row r="1084" spans="1:5" ht="15.75" customHeight="1" x14ac:dyDescent="0.4">
      <c r="A1084" s="24" t="s">
        <v>1928</v>
      </c>
      <c r="B1084" s="24" t="s">
        <v>2187</v>
      </c>
      <c r="C1084" s="24">
        <v>69.196200000000005</v>
      </c>
      <c r="D1084" s="24">
        <v>68.023099999999999</v>
      </c>
      <c r="E1084" s="24">
        <v>11.2577</v>
      </c>
    </row>
    <row r="1085" spans="1:5" ht="15.75" customHeight="1" x14ac:dyDescent="0.4">
      <c r="A1085" s="24" t="s">
        <v>1691</v>
      </c>
      <c r="B1085" s="24" t="s">
        <v>2187</v>
      </c>
      <c r="C1085" s="24">
        <v>69.177899999999994</v>
      </c>
      <c r="D1085" s="24">
        <v>68.536299999999997</v>
      </c>
      <c r="E1085" s="24">
        <v>0.63705900000000004</v>
      </c>
    </row>
    <row r="1086" spans="1:5" ht="15.75" customHeight="1" x14ac:dyDescent="0.4">
      <c r="A1086" s="24" t="s">
        <v>1573</v>
      </c>
      <c r="B1086" s="24" t="s">
        <v>2187</v>
      </c>
      <c r="C1086" s="24">
        <v>69.077100000000002</v>
      </c>
      <c r="D1086" s="24">
        <v>69.077100000000002</v>
      </c>
    </row>
    <row r="1087" spans="1:5" ht="15.75" customHeight="1" x14ac:dyDescent="0.4">
      <c r="A1087" s="24" t="s">
        <v>1613</v>
      </c>
      <c r="B1087" s="24" t="s">
        <v>2187</v>
      </c>
      <c r="C1087" s="24">
        <v>68.646299999999997</v>
      </c>
      <c r="D1087" s="24">
        <v>57.675699999999999</v>
      </c>
      <c r="E1087" s="24">
        <v>10.893700000000001</v>
      </c>
    </row>
    <row r="1088" spans="1:5" ht="15.75" customHeight="1" x14ac:dyDescent="0.4">
      <c r="A1088" s="24" t="s">
        <v>1994</v>
      </c>
      <c r="B1088" s="24" t="s">
        <v>2187</v>
      </c>
      <c r="C1088" s="24">
        <v>68.5822</v>
      </c>
      <c r="D1088" s="24">
        <v>56.356000000000002</v>
      </c>
      <c r="E1088" s="24">
        <v>12.140499999999999</v>
      </c>
    </row>
    <row r="1089" spans="1:5" ht="15.75" customHeight="1" x14ac:dyDescent="0.4">
      <c r="A1089" s="24" t="s">
        <v>1962</v>
      </c>
      <c r="B1089" s="24" t="s">
        <v>2187</v>
      </c>
      <c r="C1089" s="24">
        <v>68.114699999999999</v>
      </c>
      <c r="D1089" s="24">
        <v>68.114699999999999</v>
      </c>
      <c r="E1089" s="24">
        <v>0</v>
      </c>
    </row>
    <row r="1090" spans="1:5" ht="15.75" customHeight="1" x14ac:dyDescent="0.4">
      <c r="A1090" s="24" t="s">
        <v>801</v>
      </c>
      <c r="B1090" s="24" t="s">
        <v>2187</v>
      </c>
      <c r="C1090" s="24">
        <v>67.280699999999996</v>
      </c>
      <c r="D1090" s="24">
        <v>67.280699999999996</v>
      </c>
    </row>
    <row r="1091" spans="1:5" ht="15.75" customHeight="1" x14ac:dyDescent="0.4">
      <c r="A1091" s="24" t="s">
        <v>1632</v>
      </c>
      <c r="B1091" s="24" t="s">
        <v>2187</v>
      </c>
      <c r="C1091" s="24">
        <v>67.069900000000004</v>
      </c>
      <c r="D1091" s="24">
        <v>66.336699999999993</v>
      </c>
      <c r="E1091" s="24">
        <v>40.462299999999999</v>
      </c>
    </row>
    <row r="1092" spans="1:5" ht="15.75" customHeight="1" x14ac:dyDescent="0.4">
      <c r="A1092" s="24" t="s">
        <v>1023</v>
      </c>
      <c r="B1092" s="24" t="s">
        <v>2187</v>
      </c>
      <c r="C1092" s="24">
        <v>66.474199999999996</v>
      </c>
      <c r="D1092" s="24">
        <v>66.474199999999996</v>
      </c>
    </row>
    <row r="1093" spans="1:5" ht="15.75" customHeight="1" x14ac:dyDescent="0.4">
      <c r="A1093" s="24" t="s">
        <v>710</v>
      </c>
      <c r="B1093" s="24" t="s">
        <v>2187</v>
      </c>
      <c r="C1093" s="24">
        <v>65.768500000000003</v>
      </c>
      <c r="D1093" s="24">
        <v>65.768500000000003</v>
      </c>
    </row>
    <row r="1094" spans="1:5" ht="15.75" customHeight="1" x14ac:dyDescent="0.4">
      <c r="A1094" s="24" t="s">
        <v>1937</v>
      </c>
      <c r="B1094" s="24" t="s">
        <v>2187</v>
      </c>
      <c r="C1094" s="24">
        <v>65.071899999999999</v>
      </c>
      <c r="E1094" s="24">
        <v>64.615899999999996</v>
      </c>
    </row>
    <row r="1095" spans="1:5" ht="15.75" customHeight="1" x14ac:dyDescent="0.4">
      <c r="A1095" s="24" t="s">
        <v>1876</v>
      </c>
      <c r="B1095" s="24" t="s">
        <v>2187</v>
      </c>
      <c r="C1095" s="24">
        <v>64.192099999999996</v>
      </c>
      <c r="D1095" s="24">
        <v>63.321399999999997</v>
      </c>
      <c r="E1095" s="24">
        <v>1.0466</v>
      </c>
    </row>
    <row r="1096" spans="1:5" ht="15.75" customHeight="1" x14ac:dyDescent="0.4">
      <c r="A1096" s="24" t="s">
        <v>1768</v>
      </c>
      <c r="B1096" s="24" t="s">
        <v>2187</v>
      </c>
      <c r="C1096" s="24">
        <v>63.376399999999997</v>
      </c>
      <c r="D1096" s="24">
        <v>63.376399999999997</v>
      </c>
    </row>
    <row r="1097" spans="1:5" ht="15.75" customHeight="1" x14ac:dyDescent="0.4">
      <c r="A1097" s="24" t="s">
        <v>1416</v>
      </c>
      <c r="B1097" s="24" t="s">
        <v>2187</v>
      </c>
      <c r="C1097" s="24">
        <v>63.3581</v>
      </c>
      <c r="D1097" s="24">
        <v>61.2226</v>
      </c>
      <c r="E1097" s="24">
        <v>2.1204999999999998</v>
      </c>
    </row>
    <row r="1098" spans="1:5" ht="15.75" customHeight="1" x14ac:dyDescent="0.4">
      <c r="A1098" s="24" t="s">
        <v>877</v>
      </c>
      <c r="B1098" s="24" t="s">
        <v>2187</v>
      </c>
      <c r="C1098" s="24">
        <v>63.211399999999998</v>
      </c>
      <c r="D1098" s="24">
        <v>50.811100000000003</v>
      </c>
      <c r="E1098" s="24">
        <v>12.3134</v>
      </c>
    </row>
    <row r="1099" spans="1:5" ht="15.75" customHeight="1" x14ac:dyDescent="0.4">
      <c r="A1099" s="24" t="s">
        <v>2075</v>
      </c>
      <c r="B1099" s="24" t="s">
        <v>2187</v>
      </c>
      <c r="C1099" s="24">
        <v>63.119799999999998</v>
      </c>
      <c r="D1099" s="24">
        <v>48.5015</v>
      </c>
      <c r="E1099" s="24">
        <v>17.628299999999999</v>
      </c>
    </row>
    <row r="1100" spans="1:5" ht="15.75" customHeight="1" x14ac:dyDescent="0.4">
      <c r="A1100" s="24" t="s">
        <v>1373</v>
      </c>
      <c r="B1100" s="24" t="s">
        <v>2187</v>
      </c>
      <c r="C1100" s="24">
        <v>63.083100000000002</v>
      </c>
      <c r="E1100" s="24">
        <v>62.641100000000002</v>
      </c>
    </row>
    <row r="1101" spans="1:5" ht="15.75" customHeight="1" x14ac:dyDescent="0.4">
      <c r="A1101" s="24" t="s">
        <v>916</v>
      </c>
      <c r="B1101" s="24" t="s">
        <v>2187</v>
      </c>
      <c r="C1101" s="24">
        <v>61.011800000000001</v>
      </c>
      <c r="D1101" s="24">
        <v>61.011800000000001</v>
      </c>
    </row>
    <row r="1102" spans="1:5" ht="15.75" customHeight="1" x14ac:dyDescent="0.4">
      <c r="A1102" s="24" t="s">
        <v>972</v>
      </c>
      <c r="B1102" s="24" t="s">
        <v>2187</v>
      </c>
      <c r="C1102" s="24">
        <v>60.498600000000003</v>
      </c>
      <c r="D1102" s="24">
        <v>56.695099999999996</v>
      </c>
      <c r="E1102" s="24">
        <v>13.796900000000001</v>
      </c>
    </row>
    <row r="1103" spans="1:5" ht="15.75" customHeight="1" x14ac:dyDescent="0.4">
      <c r="A1103" s="24" t="s">
        <v>1342</v>
      </c>
      <c r="B1103" s="24" t="s">
        <v>2187</v>
      </c>
      <c r="C1103" s="24">
        <v>60.196100000000001</v>
      </c>
      <c r="D1103" s="24">
        <v>4.2709200000000003</v>
      </c>
      <c r="E1103" s="24">
        <v>59.774299999999997</v>
      </c>
    </row>
    <row r="1104" spans="1:5" ht="15.75" customHeight="1" x14ac:dyDescent="0.4">
      <c r="A1104" s="24" t="s">
        <v>1310</v>
      </c>
      <c r="B1104" s="24" t="s">
        <v>2187</v>
      </c>
      <c r="C1104" s="24">
        <v>60.131999999999998</v>
      </c>
      <c r="D1104" s="24">
        <v>60.031199999999998</v>
      </c>
      <c r="E1104" s="24">
        <v>0.100109</v>
      </c>
    </row>
    <row r="1105" spans="1:5" ht="15.75" customHeight="1" x14ac:dyDescent="0.4">
      <c r="A1105" s="24" t="s">
        <v>2009</v>
      </c>
      <c r="B1105" s="24" t="s">
        <v>2187</v>
      </c>
      <c r="C1105" s="24">
        <v>59.7654</v>
      </c>
      <c r="E1105" s="24">
        <v>59.346600000000002</v>
      </c>
    </row>
    <row r="1106" spans="1:5" ht="15.75" customHeight="1" x14ac:dyDescent="0.4">
      <c r="A1106" s="24" t="s">
        <v>1035</v>
      </c>
      <c r="B1106" s="24" t="s">
        <v>2187</v>
      </c>
      <c r="C1106" s="24">
        <v>58.390599999999999</v>
      </c>
      <c r="D1106" s="24">
        <v>58.390599999999999</v>
      </c>
    </row>
    <row r="1107" spans="1:5" ht="15.75" customHeight="1" x14ac:dyDescent="0.4">
      <c r="A1107" s="24" t="s">
        <v>1634</v>
      </c>
      <c r="B1107" s="24" t="s">
        <v>2187</v>
      </c>
      <c r="C1107" s="24">
        <v>57.272500000000001</v>
      </c>
      <c r="D1107" s="24">
        <v>57.272500000000001</v>
      </c>
    </row>
    <row r="1108" spans="1:5" ht="15.75" customHeight="1" x14ac:dyDescent="0.4">
      <c r="A1108" s="24" t="s">
        <v>513</v>
      </c>
      <c r="B1108" s="24" t="s">
        <v>2187</v>
      </c>
      <c r="C1108" s="24">
        <v>56.7592</v>
      </c>
      <c r="D1108" s="24">
        <v>55.017899999999997</v>
      </c>
      <c r="E1108" s="24">
        <v>1.7928599999999999</v>
      </c>
    </row>
    <row r="1109" spans="1:5" ht="15.75" customHeight="1" x14ac:dyDescent="0.4">
      <c r="A1109" s="24" t="s">
        <v>1558</v>
      </c>
      <c r="B1109" s="24" t="s">
        <v>2187</v>
      </c>
      <c r="C1109" s="24">
        <v>56.695099999999996</v>
      </c>
      <c r="D1109" s="24">
        <v>54.944499999999998</v>
      </c>
      <c r="E1109" s="24">
        <v>1.9839800000000001</v>
      </c>
    </row>
    <row r="1110" spans="1:5" ht="15.75" customHeight="1" x14ac:dyDescent="0.4">
      <c r="A1110" s="24" t="s">
        <v>2158</v>
      </c>
      <c r="B1110" s="24" t="s">
        <v>2187</v>
      </c>
      <c r="C1110" s="24">
        <v>56.319299999999998</v>
      </c>
      <c r="D1110" s="24">
        <v>56.319299999999998</v>
      </c>
    </row>
    <row r="1111" spans="1:5" ht="15.75" customHeight="1" x14ac:dyDescent="0.4">
      <c r="A1111" s="24" t="s">
        <v>1378</v>
      </c>
      <c r="B1111" s="24" t="s">
        <v>2187</v>
      </c>
      <c r="C1111" s="24">
        <v>56.117699999999999</v>
      </c>
      <c r="E1111" s="24">
        <v>55.724400000000003</v>
      </c>
    </row>
    <row r="1112" spans="1:5" ht="15.75" customHeight="1" x14ac:dyDescent="0.4">
      <c r="A1112" s="24" t="s">
        <v>1402</v>
      </c>
      <c r="B1112" s="24" t="s">
        <v>2187</v>
      </c>
      <c r="C1112" s="24">
        <v>55.970999999999997</v>
      </c>
      <c r="D1112" s="24">
        <v>55.9527</v>
      </c>
      <c r="E1112" s="24">
        <v>5.26938</v>
      </c>
    </row>
    <row r="1113" spans="1:5" ht="15.75" customHeight="1" x14ac:dyDescent="0.4">
      <c r="A1113" s="24" t="s">
        <v>1021</v>
      </c>
      <c r="B1113" s="24" t="s">
        <v>2187</v>
      </c>
      <c r="C1113" s="24">
        <v>55.494500000000002</v>
      </c>
      <c r="E1113" s="24">
        <v>55.105600000000003</v>
      </c>
    </row>
    <row r="1114" spans="1:5" ht="15.75" customHeight="1" x14ac:dyDescent="0.4">
      <c r="A1114" s="24" t="s">
        <v>2159</v>
      </c>
      <c r="B1114" s="24" t="s">
        <v>2187</v>
      </c>
      <c r="C1114" s="24">
        <v>54.4405</v>
      </c>
      <c r="D1114" s="24">
        <v>41.994300000000003</v>
      </c>
      <c r="E1114" s="24">
        <v>53.276299999999999</v>
      </c>
    </row>
    <row r="1115" spans="1:5" ht="15.75" customHeight="1" x14ac:dyDescent="0.4">
      <c r="A1115" s="24" t="s">
        <v>832</v>
      </c>
      <c r="B1115" s="24" t="s">
        <v>2187</v>
      </c>
      <c r="C1115" s="24">
        <v>54.284700000000001</v>
      </c>
      <c r="D1115" s="24">
        <v>54.284700000000001</v>
      </c>
    </row>
    <row r="1116" spans="1:5" ht="15.75" customHeight="1" x14ac:dyDescent="0.4">
      <c r="A1116" s="24" t="s">
        <v>1448</v>
      </c>
      <c r="B1116" s="24" t="s">
        <v>2187</v>
      </c>
      <c r="C1116" s="24">
        <v>54.027999999999999</v>
      </c>
      <c r="D1116" s="24">
        <v>54.027999999999999</v>
      </c>
    </row>
    <row r="1117" spans="1:5" ht="15.75" customHeight="1" x14ac:dyDescent="0.4">
      <c r="A1117" s="24" t="s">
        <v>891</v>
      </c>
      <c r="B1117" s="24" t="s">
        <v>2187</v>
      </c>
      <c r="C1117" s="24">
        <v>53.918100000000003</v>
      </c>
      <c r="D1117" s="24">
        <v>53.918100000000003</v>
      </c>
    </row>
    <row r="1118" spans="1:5" ht="15.75" customHeight="1" x14ac:dyDescent="0.4">
      <c r="A1118" s="24" t="s">
        <v>1577</v>
      </c>
      <c r="B1118" s="24" t="s">
        <v>2187</v>
      </c>
      <c r="C1118" s="24">
        <v>53.615600000000001</v>
      </c>
      <c r="E1118" s="24">
        <v>53.239899999999999</v>
      </c>
    </row>
    <row r="1119" spans="1:5" ht="15.75" customHeight="1" x14ac:dyDescent="0.4">
      <c r="A1119" s="24" t="s">
        <v>2098</v>
      </c>
      <c r="B1119" s="24" t="s">
        <v>2187</v>
      </c>
      <c r="C1119" s="24">
        <v>53.569800000000001</v>
      </c>
      <c r="E1119" s="24">
        <v>53.194400000000002</v>
      </c>
    </row>
    <row r="1120" spans="1:5" ht="15.75" customHeight="1" x14ac:dyDescent="0.4">
      <c r="A1120" s="24" t="s">
        <v>1859</v>
      </c>
      <c r="B1120" s="24" t="s">
        <v>2187</v>
      </c>
      <c r="C1120" s="24">
        <v>53.0749</v>
      </c>
      <c r="D1120" s="24">
        <v>53.0749</v>
      </c>
    </row>
    <row r="1121" spans="1:5" ht="15.75" customHeight="1" x14ac:dyDescent="0.4">
      <c r="A1121" s="24" t="s">
        <v>1441</v>
      </c>
      <c r="B1121" s="24" t="s">
        <v>2187</v>
      </c>
      <c r="C1121" s="24">
        <v>52.506599999999999</v>
      </c>
      <c r="D1121" s="24">
        <v>26.496200000000002</v>
      </c>
      <c r="E1121" s="24">
        <v>52.1387</v>
      </c>
    </row>
    <row r="1122" spans="1:5" ht="15.75" customHeight="1" x14ac:dyDescent="0.4">
      <c r="A1122" s="24" t="s">
        <v>1375</v>
      </c>
      <c r="B1122" s="24" t="s">
        <v>2187</v>
      </c>
      <c r="C1122" s="24">
        <v>51.636000000000003</v>
      </c>
      <c r="D1122" s="24">
        <v>51.370199999999997</v>
      </c>
      <c r="E1122" s="24">
        <v>0.26392399999999999</v>
      </c>
    </row>
    <row r="1123" spans="1:5" ht="15.75" customHeight="1" x14ac:dyDescent="0.4">
      <c r="A1123" s="24" t="s">
        <v>1916</v>
      </c>
      <c r="B1123" s="24" t="s">
        <v>2187</v>
      </c>
      <c r="C1123" s="24">
        <v>50.701099999999997</v>
      </c>
      <c r="D1123" s="24">
        <v>26.9453</v>
      </c>
      <c r="E1123" s="24">
        <v>23.589400000000001</v>
      </c>
    </row>
    <row r="1124" spans="1:5" ht="15.75" customHeight="1" x14ac:dyDescent="0.4">
      <c r="A1124" s="24" t="s">
        <v>1509</v>
      </c>
      <c r="B1124" s="24" t="s">
        <v>2187</v>
      </c>
      <c r="C1124" s="24">
        <v>50.325400000000002</v>
      </c>
      <c r="D1124" s="24">
        <v>50.325400000000002</v>
      </c>
    </row>
    <row r="1125" spans="1:5" ht="15.75" customHeight="1" x14ac:dyDescent="0.4">
      <c r="A1125" s="24" t="s">
        <v>1371</v>
      </c>
      <c r="B1125" s="24" t="s">
        <v>2187</v>
      </c>
      <c r="C1125" s="24">
        <v>50.151200000000003</v>
      </c>
      <c r="D1125" s="24">
        <v>46.439399999999999</v>
      </c>
      <c r="E1125" s="24">
        <v>3.6858399999999998</v>
      </c>
    </row>
    <row r="1126" spans="1:5" ht="15.75" customHeight="1" x14ac:dyDescent="0.4">
      <c r="A1126" s="24" t="s">
        <v>1277</v>
      </c>
      <c r="B1126" s="24" t="s">
        <v>2187</v>
      </c>
      <c r="C1126" s="24">
        <v>50.0871</v>
      </c>
      <c r="E1126" s="24">
        <v>49.7361</v>
      </c>
    </row>
    <row r="1127" spans="1:5" ht="15.75" customHeight="1" x14ac:dyDescent="0.4">
      <c r="A1127" s="24" t="s">
        <v>2001</v>
      </c>
      <c r="B1127" s="24" t="s">
        <v>2187</v>
      </c>
      <c r="C1127" s="24">
        <v>50.050400000000003</v>
      </c>
      <c r="D1127" s="24">
        <v>50.050400000000003</v>
      </c>
    </row>
    <row r="1128" spans="1:5" ht="15.75" customHeight="1" x14ac:dyDescent="0.4">
      <c r="A1128" s="24" t="s">
        <v>230</v>
      </c>
      <c r="B1128" s="24" t="s">
        <v>2187</v>
      </c>
      <c r="C1128" s="24">
        <v>49.995399999999997</v>
      </c>
      <c r="D1128" s="24">
        <v>49.995399999999997</v>
      </c>
    </row>
    <row r="1129" spans="1:5" ht="15.75" customHeight="1" x14ac:dyDescent="0.4">
      <c r="A1129" s="24" t="s">
        <v>1424</v>
      </c>
      <c r="B1129" s="24" t="s">
        <v>2187</v>
      </c>
      <c r="C1129" s="24">
        <v>49.674599999999998</v>
      </c>
      <c r="E1129" s="24">
        <v>49.326500000000003</v>
      </c>
    </row>
    <row r="1130" spans="1:5" ht="15.75" customHeight="1" x14ac:dyDescent="0.4">
      <c r="A1130" s="24" t="s">
        <v>1878</v>
      </c>
      <c r="B1130" s="24" t="s">
        <v>2187</v>
      </c>
      <c r="C1130" s="24">
        <v>49.298900000000003</v>
      </c>
      <c r="E1130" s="24">
        <v>48.953400000000002</v>
      </c>
    </row>
    <row r="1131" spans="1:5" ht="15.75" customHeight="1" x14ac:dyDescent="0.4">
      <c r="A1131" s="24" t="s">
        <v>1731</v>
      </c>
      <c r="B1131" s="24" t="s">
        <v>2187</v>
      </c>
      <c r="C1131" s="24">
        <v>49.243899999999996</v>
      </c>
      <c r="D1131" s="24">
        <v>49.152200000000001</v>
      </c>
      <c r="E1131" s="24">
        <v>9.1008000000000006E-2</v>
      </c>
    </row>
    <row r="1132" spans="1:5" ht="15.75" customHeight="1" x14ac:dyDescent="0.4">
      <c r="A1132" s="24" t="s">
        <v>2111</v>
      </c>
      <c r="B1132" s="24" t="s">
        <v>2187</v>
      </c>
      <c r="C1132" s="24">
        <v>49.014800000000001</v>
      </c>
      <c r="D1132" s="24">
        <v>49.014800000000001</v>
      </c>
    </row>
    <row r="1133" spans="1:5" ht="15.75" customHeight="1" x14ac:dyDescent="0.4">
      <c r="A1133" s="24" t="s">
        <v>1709</v>
      </c>
      <c r="B1133" s="24" t="s">
        <v>2187</v>
      </c>
      <c r="C1133" s="24">
        <v>48.418999999999997</v>
      </c>
      <c r="D1133" s="24">
        <v>48.418999999999997</v>
      </c>
    </row>
    <row r="1134" spans="1:5" ht="15.75" customHeight="1" x14ac:dyDescent="0.4">
      <c r="A1134" s="24" t="s">
        <v>1908</v>
      </c>
      <c r="B1134" s="24" t="s">
        <v>2187</v>
      </c>
      <c r="C1134" s="24">
        <v>47.878300000000003</v>
      </c>
      <c r="D1134" s="24">
        <v>18.898399999999999</v>
      </c>
      <c r="E1134" s="24">
        <v>47.5428</v>
      </c>
    </row>
    <row r="1135" spans="1:5" ht="15.75" customHeight="1" x14ac:dyDescent="0.4">
      <c r="A1135" s="24" t="s">
        <v>2154</v>
      </c>
      <c r="B1135" s="24" t="s">
        <v>2187</v>
      </c>
      <c r="C1135" s="24">
        <v>46.805999999999997</v>
      </c>
      <c r="D1135" s="24">
        <v>46.805999999999997</v>
      </c>
    </row>
    <row r="1136" spans="1:5" ht="15.75" customHeight="1" x14ac:dyDescent="0.4">
      <c r="A1136" s="24" t="s">
        <v>1457</v>
      </c>
      <c r="B1136" s="24" t="s">
        <v>2187</v>
      </c>
      <c r="C1136" s="24">
        <v>46.705199999999998</v>
      </c>
      <c r="E1136" s="24">
        <v>46.377899999999997</v>
      </c>
    </row>
    <row r="1137" spans="1:5" ht="15.75" customHeight="1" x14ac:dyDescent="0.4">
      <c r="A1137" s="24" t="s">
        <v>1248</v>
      </c>
      <c r="B1137" s="24" t="s">
        <v>2187</v>
      </c>
      <c r="C1137" s="24">
        <v>45.825299999999999</v>
      </c>
      <c r="E1137" s="24">
        <v>45.504199999999997</v>
      </c>
    </row>
    <row r="1138" spans="1:5" ht="15.75" customHeight="1" x14ac:dyDescent="0.4">
      <c r="A1138" s="24" t="s">
        <v>631</v>
      </c>
      <c r="B1138" s="24" t="s">
        <v>2187</v>
      </c>
      <c r="C1138" s="24">
        <v>45.733699999999999</v>
      </c>
      <c r="D1138" s="24">
        <v>40.711199999999998</v>
      </c>
      <c r="E1138" s="24">
        <v>4.98726</v>
      </c>
    </row>
    <row r="1139" spans="1:5" ht="15.75" customHeight="1" x14ac:dyDescent="0.4">
      <c r="A1139" s="24" t="s">
        <v>1122</v>
      </c>
      <c r="B1139" s="24" t="s">
        <v>2187</v>
      </c>
      <c r="C1139" s="24">
        <v>44.945500000000003</v>
      </c>
      <c r="D1139" s="24">
        <v>42.315100000000001</v>
      </c>
      <c r="E1139" s="24">
        <v>4.3956999999999997</v>
      </c>
    </row>
    <row r="1140" spans="1:5" ht="15.75" customHeight="1" x14ac:dyDescent="0.4">
      <c r="A1140" s="24" t="s">
        <v>2152</v>
      </c>
      <c r="B1140" s="24" t="s">
        <v>2187</v>
      </c>
      <c r="C1140" s="24">
        <v>44.908799999999999</v>
      </c>
      <c r="D1140" s="24">
        <v>44.908799999999999</v>
      </c>
    </row>
    <row r="1141" spans="1:5" ht="15.75" customHeight="1" x14ac:dyDescent="0.4">
      <c r="A1141" s="24" t="s">
        <v>1420</v>
      </c>
      <c r="B1141" s="24" t="s">
        <v>2187</v>
      </c>
      <c r="C1141" s="24">
        <v>44.6614</v>
      </c>
      <c r="D1141" s="24">
        <v>5.0132899999999996</v>
      </c>
      <c r="E1141" s="24">
        <v>44.348399999999998</v>
      </c>
    </row>
    <row r="1142" spans="1:5" ht="15.75" customHeight="1" x14ac:dyDescent="0.4">
      <c r="A1142" s="24" t="s">
        <v>1330</v>
      </c>
      <c r="B1142" s="24" t="s">
        <v>2187</v>
      </c>
      <c r="C1142" s="24">
        <v>44.569699999999997</v>
      </c>
      <c r="D1142" s="24">
        <v>44.569699999999997</v>
      </c>
      <c r="E1142" s="24">
        <v>0</v>
      </c>
    </row>
    <row r="1143" spans="1:5" ht="15.75" customHeight="1" x14ac:dyDescent="0.4">
      <c r="A1143" s="24" t="s">
        <v>619</v>
      </c>
      <c r="B1143" s="24" t="s">
        <v>2187</v>
      </c>
      <c r="C1143" s="24">
        <v>44.542200000000001</v>
      </c>
      <c r="E1143" s="24">
        <v>44.2301</v>
      </c>
    </row>
    <row r="1144" spans="1:5" ht="15.75" customHeight="1" x14ac:dyDescent="0.4">
      <c r="A1144" s="24" t="s">
        <v>1470</v>
      </c>
      <c r="B1144" s="24" t="s">
        <v>2187</v>
      </c>
      <c r="C1144" s="24">
        <v>44.413899999999998</v>
      </c>
      <c r="D1144" s="24">
        <v>44.413899999999998</v>
      </c>
    </row>
    <row r="1145" spans="1:5" ht="15.75" customHeight="1" x14ac:dyDescent="0.4">
      <c r="A1145" s="24" t="s">
        <v>2082</v>
      </c>
      <c r="B1145" s="24" t="s">
        <v>2187</v>
      </c>
      <c r="C1145" s="24">
        <v>44.175600000000003</v>
      </c>
      <c r="D1145" s="24">
        <v>44.175600000000003</v>
      </c>
    </row>
    <row r="1146" spans="1:5" ht="15.75" customHeight="1" x14ac:dyDescent="0.4">
      <c r="A1146" s="24" t="s">
        <v>1250</v>
      </c>
      <c r="B1146" s="24" t="s">
        <v>2187</v>
      </c>
      <c r="C1146" s="24">
        <v>44.084000000000003</v>
      </c>
      <c r="D1146" s="24">
        <v>4.0417899999999998</v>
      </c>
      <c r="E1146" s="24">
        <v>43.774999999999999</v>
      </c>
    </row>
    <row r="1147" spans="1:5" ht="15.75" customHeight="1" x14ac:dyDescent="0.4">
      <c r="A1147" s="24" t="s">
        <v>961</v>
      </c>
      <c r="B1147" s="24" t="s">
        <v>2187</v>
      </c>
      <c r="C1147" s="24">
        <v>44.0473</v>
      </c>
      <c r="D1147" s="24">
        <v>42.342599999999997</v>
      </c>
      <c r="E1147" s="24">
        <v>43.383699999999997</v>
      </c>
    </row>
    <row r="1148" spans="1:5" ht="15.75" customHeight="1" x14ac:dyDescent="0.4">
      <c r="A1148" s="24" t="s">
        <v>976</v>
      </c>
      <c r="B1148" s="24" t="s">
        <v>2187</v>
      </c>
      <c r="C1148" s="24">
        <v>44.029000000000003</v>
      </c>
      <c r="D1148" s="24">
        <v>44.029000000000003</v>
      </c>
    </row>
    <row r="1149" spans="1:5" ht="15.75" customHeight="1" x14ac:dyDescent="0.4">
      <c r="A1149" s="24" t="s">
        <v>1362</v>
      </c>
      <c r="B1149" s="24" t="s">
        <v>2187</v>
      </c>
      <c r="C1149" s="24">
        <v>43.634900000000002</v>
      </c>
      <c r="D1149" s="24">
        <v>0.43992300000000001</v>
      </c>
      <c r="E1149" s="24">
        <v>43.329099999999997</v>
      </c>
    </row>
    <row r="1150" spans="1:5" ht="15.75" customHeight="1" x14ac:dyDescent="0.4">
      <c r="A1150" s="24" t="s">
        <v>1869</v>
      </c>
      <c r="B1150" s="24" t="s">
        <v>2187</v>
      </c>
      <c r="C1150" s="24">
        <v>42.929200000000002</v>
      </c>
      <c r="D1150" s="24">
        <v>42.269300000000001</v>
      </c>
      <c r="E1150" s="24">
        <v>0.65525999999999995</v>
      </c>
    </row>
    <row r="1151" spans="1:5" ht="15.75" customHeight="1" x14ac:dyDescent="0.4">
      <c r="A1151" s="24" t="s">
        <v>2095</v>
      </c>
      <c r="B1151" s="24" t="s">
        <v>2187</v>
      </c>
      <c r="C1151" s="24">
        <v>42.5167</v>
      </c>
      <c r="D1151" s="24">
        <v>42.5167</v>
      </c>
    </row>
    <row r="1152" spans="1:5" ht="15.75" customHeight="1" x14ac:dyDescent="0.4">
      <c r="A1152" s="24" t="s">
        <v>862</v>
      </c>
      <c r="B1152" s="24" t="s">
        <v>2187</v>
      </c>
      <c r="C1152" s="24">
        <v>42.095100000000002</v>
      </c>
      <c r="D1152" s="24">
        <v>39.336399999999998</v>
      </c>
      <c r="E1152" s="24">
        <v>14.0608</v>
      </c>
    </row>
    <row r="1153" spans="1:5" ht="15.75" customHeight="1" x14ac:dyDescent="0.4">
      <c r="A1153" s="24" t="s">
        <v>561</v>
      </c>
      <c r="B1153" s="24" t="s">
        <v>2187</v>
      </c>
      <c r="C1153" s="24">
        <v>41.884300000000003</v>
      </c>
      <c r="D1153" s="24">
        <v>41.884300000000003</v>
      </c>
    </row>
    <row r="1154" spans="1:5" ht="15.75" customHeight="1" x14ac:dyDescent="0.4">
      <c r="A1154" s="24" t="s">
        <v>1259</v>
      </c>
      <c r="B1154" s="24" t="s">
        <v>2187</v>
      </c>
      <c r="C1154" s="24">
        <v>41.426099999999998</v>
      </c>
      <c r="E1154" s="24">
        <v>41.135800000000003</v>
      </c>
    </row>
    <row r="1155" spans="1:5" ht="15.75" customHeight="1" x14ac:dyDescent="0.4">
      <c r="A1155" s="24" t="s">
        <v>539</v>
      </c>
      <c r="B1155" s="24" t="s">
        <v>2187</v>
      </c>
      <c r="C1155" s="24">
        <v>41.316099999999999</v>
      </c>
      <c r="D1155" s="24">
        <v>41.316099999999999</v>
      </c>
    </row>
    <row r="1156" spans="1:5" ht="15.75" customHeight="1" x14ac:dyDescent="0.4">
      <c r="A1156" s="24" t="s">
        <v>1280</v>
      </c>
      <c r="B1156" s="24" t="s">
        <v>2187</v>
      </c>
      <c r="C1156" s="24">
        <v>40.811999999999998</v>
      </c>
      <c r="D1156" s="24">
        <v>21.272099999999998</v>
      </c>
      <c r="E1156" s="24">
        <v>33.636699999999998</v>
      </c>
    </row>
    <row r="1157" spans="1:5" ht="15.75" customHeight="1" x14ac:dyDescent="0.4">
      <c r="A1157" s="24" t="s">
        <v>1335</v>
      </c>
      <c r="B1157" s="24" t="s">
        <v>2187</v>
      </c>
      <c r="C1157" s="24">
        <v>40.198</v>
      </c>
      <c r="D1157" s="24">
        <v>40.198</v>
      </c>
    </row>
    <row r="1158" spans="1:5" ht="15.75" customHeight="1" x14ac:dyDescent="0.4">
      <c r="A1158" s="24" t="s">
        <v>2121</v>
      </c>
      <c r="B1158" s="24" t="s">
        <v>2187</v>
      </c>
      <c r="C1158" s="24">
        <v>39.748899999999999</v>
      </c>
      <c r="D1158" s="24">
        <v>24.818999999999999</v>
      </c>
      <c r="E1158" s="24">
        <v>23.880600000000001</v>
      </c>
    </row>
    <row r="1159" spans="1:5" ht="15.75" customHeight="1" x14ac:dyDescent="0.4">
      <c r="A1159" s="24" t="s">
        <v>665</v>
      </c>
      <c r="B1159" s="24" t="s">
        <v>2187</v>
      </c>
      <c r="C1159" s="24">
        <v>39.5931</v>
      </c>
      <c r="D1159" s="24">
        <v>39.5931</v>
      </c>
    </row>
    <row r="1160" spans="1:5" ht="15.75" customHeight="1" x14ac:dyDescent="0.4">
      <c r="A1160" s="24" t="s">
        <v>1412</v>
      </c>
      <c r="B1160" s="24" t="s">
        <v>2187</v>
      </c>
      <c r="C1160" s="24">
        <v>39.4831</v>
      </c>
      <c r="D1160" s="24">
        <v>39.4831</v>
      </c>
    </row>
    <row r="1161" spans="1:5" ht="15.75" customHeight="1" x14ac:dyDescent="0.4">
      <c r="A1161" s="24" t="s">
        <v>1554</v>
      </c>
      <c r="B1161" s="24" t="s">
        <v>2187</v>
      </c>
      <c r="C1161" s="24">
        <v>39.409799999999997</v>
      </c>
      <c r="D1161" s="24">
        <v>39.409799999999997</v>
      </c>
    </row>
    <row r="1162" spans="1:5" ht="15.75" customHeight="1" x14ac:dyDescent="0.4">
      <c r="A1162" s="24" t="s">
        <v>519</v>
      </c>
      <c r="B1162" s="24" t="s">
        <v>2187</v>
      </c>
      <c r="C1162" s="24">
        <v>39.308999999999997</v>
      </c>
      <c r="E1162" s="24">
        <v>39.033499999999997</v>
      </c>
    </row>
    <row r="1163" spans="1:5" ht="15.75" customHeight="1" x14ac:dyDescent="0.4">
      <c r="A1163" s="24" t="s">
        <v>1955</v>
      </c>
      <c r="B1163" s="24" t="s">
        <v>2187</v>
      </c>
      <c r="C1163" s="24">
        <v>39.226500000000001</v>
      </c>
      <c r="E1163" s="24">
        <v>38.951599999999999</v>
      </c>
    </row>
    <row r="1164" spans="1:5" ht="15.75" customHeight="1" x14ac:dyDescent="0.4">
      <c r="A1164" s="24" t="s">
        <v>1434</v>
      </c>
      <c r="B1164" s="24" t="s">
        <v>2187</v>
      </c>
      <c r="C1164" s="24">
        <v>38.804900000000004</v>
      </c>
      <c r="D1164" s="24">
        <v>38.804900000000004</v>
      </c>
    </row>
    <row r="1165" spans="1:5" ht="15.75" customHeight="1" x14ac:dyDescent="0.4">
      <c r="A1165" s="24" t="s">
        <v>1459</v>
      </c>
      <c r="B1165" s="24" t="s">
        <v>2187</v>
      </c>
      <c r="C1165" s="24">
        <v>38.548299999999998</v>
      </c>
      <c r="E1165" s="24">
        <v>38.278100000000002</v>
      </c>
    </row>
    <row r="1166" spans="1:5" ht="15.75" customHeight="1" x14ac:dyDescent="0.4">
      <c r="A1166" s="24" t="s">
        <v>1351</v>
      </c>
      <c r="B1166" s="24" t="s">
        <v>2187</v>
      </c>
      <c r="C1166" s="24">
        <v>37.897500000000001</v>
      </c>
      <c r="D1166" s="24">
        <v>37.613399999999999</v>
      </c>
      <c r="E1166" s="24">
        <v>0.364033</v>
      </c>
    </row>
    <row r="1167" spans="1:5" ht="15.75" customHeight="1" x14ac:dyDescent="0.4">
      <c r="A1167" s="24" t="s">
        <v>1284</v>
      </c>
      <c r="B1167" s="24" t="s">
        <v>2187</v>
      </c>
      <c r="C1167" s="24">
        <v>37.503399999999999</v>
      </c>
      <c r="D1167" s="24">
        <v>26.817</v>
      </c>
      <c r="E1167" s="24">
        <v>10.611599999999999</v>
      </c>
    </row>
    <row r="1168" spans="1:5" ht="15.75" customHeight="1" x14ac:dyDescent="0.4">
      <c r="A1168" s="24" t="s">
        <v>241</v>
      </c>
      <c r="B1168" s="24" t="s">
        <v>2187</v>
      </c>
      <c r="C1168" s="24">
        <v>37.191800000000001</v>
      </c>
      <c r="D1168" s="24">
        <v>36.412799999999997</v>
      </c>
      <c r="E1168" s="24">
        <v>0.77357100000000001</v>
      </c>
    </row>
    <row r="1169" spans="1:5" ht="15.75" customHeight="1" x14ac:dyDescent="0.4">
      <c r="A1169" s="24" t="s">
        <v>1370</v>
      </c>
      <c r="B1169" s="24" t="s">
        <v>2187</v>
      </c>
      <c r="C1169" s="24">
        <v>37.136800000000001</v>
      </c>
      <c r="D1169" s="24">
        <v>17.587800000000001</v>
      </c>
      <c r="E1169" s="24">
        <v>36.876600000000003</v>
      </c>
    </row>
    <row r="1170" spans="1:5" ht="15.75" customHeight="1" x14ac:dyDescent="0.4">
      <c r="A1170" s="24" t="s">
        <v>1446</v>
      </c>
      <c r="B1170" s="24" t="s">
        <v>2187</v>
      </c>
      <c r="C1170" s="24">
        <v>36.981000000000002</v>
      </c>
      <c r="D1170" s="24">
        <v>36.981000000000002</v>
      </c>
    </row>
    <row r="1171" spans="1:5" ht="15.75" customHeight="1" x14ac:dyDescent="0.4">
      <c r="A1171" s="24" t="s">
        <v>663</v>
      </c>
      <c r="B1171" s="24" t="s">
        <v>2187</v>
      </c>
      <c r="C1171" s="24">
        <v>36.623600000000003</v>
      </c>
      <c r="D1171" s="24">
        <v>17.8719</v>
      </c>
      <c r="E1171" s="24">
        <v>20.231200000000001</v>
      </c>
    </row>
    <row r="1172" spans="1:5" ht="15.75" customHeight="1" x14ac:dyDescent="0.4">
      <c r="A1172" s="24" t="s">
        <v>1303</v>
      </c>
      <c r="B1172" s="24" t="s">
        <v>2187</v>
      </c>
      <c r="C1172" s="24">
        <v>36.137799999999999</v>
      </c>
      <c r="D1172" s="24">
        <v>36.137799999999999</v>
      </c>
    </row>
    <row r="1173" spans="1:5" ht="15.75" customHeight="1" x14ac:dyDescent="0.4">
      <c r="A1173" s="24" t="s">
        <v>623</v>
      </c>
      <c r="B1173" s="24" t="s">
        <v>2187</v>
      </c>
      <c r="C1173" s="24">
        <v>35.679600000000001</v>
      </c>
      <c r="D1173" s="24">
        <v>35.679600000000001</v>
      </c>
    </row>
    <row r="1174" spans="1:5" ht="15.75" customHeight="1" x14ac:dyDescent="0.4">
      <c r="A1174" s="24" t="s">
        <v>1359</v>
      </c>
      <c r="B1174" s="24" t="s">
        <v>2187</v>
      </c>
      <c r="C1174" s="24">
        <v>34.992199999999997</v>
      </c>
      <c r="D1174" s="24">
        <v>34.992199999999997</v>
      </c>
    </row>
    <row r="1175" spans="1:5" ht="15.75" customHeight="1" x14ac:dyDescent="0.4">
      <c r="A1175" s="24" t="s">
        <v>1599</v>
      </c>
      <c r="B1175" s="24" t="s">
        <v>2187</v>
      </c>
      <c r="C1175" s="24">
        <v>34.900599999999997</v>
      </c>
      <c r="D1175" s="24">
        <v>9.1650999999999996E-2</v>
      </c>
      <c r="E1175" s="24">
        <v>34.655999999999999</v>
      </c>
    </row>
    <row r="1176" spans="1:5" ht="15.75" customHeight="1" x14ac:dyDescent="0.4">
      <c r="A1176" s="24" t="s">
        <v>924</v>
      </c>
      <c r="B1176" s="24" t="s">
        <v>2187</v>
      </c>
      <c r="C1176" s="24">
        <v>34.763100000000001</v>
      </c>
      <c r="D1176" s="24">
        <v>34.763100000000001</v>
      </c>
    </row>
    <row r="1177" spans="1:5" ht="15.75" customHeight="1" x14ac:dyDescent="0.4">
      <c r="A1177" s="24" t="s">
        <v>1799</v>
      </c>
      <c r="B1177" s="24" t="s">
        <v>2187</v>
      </c>
      <c r="C1177" s="24">
        <v>34.4148</v>
      </c>
      <c r="D1177" s="24">
        <v>32.875100000000003</v>
      </c>
      <c r="E1177" s="24">
        <v>7.3079700000000001</v>
      </c>
    </row>
    <row r="1178" spans="1:5" ht="15.75" customHeight="1" x14ac:dyDescent="0.4">
      <c r="A1178" s="24" t="s">
        <v>633</v>
      </c>
      <c r="B1178" s="24" t="s">
        <v>2187</v>
      </c>
      <c r="C1178" s="24">
        <v>34.4148</v>
      </c>
      <c r="E1178" s="24">
        <v>34.1736</v>
      </c>
    </row>
    <row r="1179" spans="1:5" ht="15.75" customHeight="1" x14ac:dyDescent="0.4">
      <c r="A1179" s="24" t="s">
        <v>883</v>
      </c>
      <c r="B1179" s="24" t="s">
        <v>2187</v>
      </c>
      <c r="C1179" s="24">
        <v>33.947400000000002</v>
      </c>
      <c r="D1179" s="24">
        <v>0.82485600000000003</v>
      </c>
      <c r="E1179" s="24">
        <v>32.8904</v>
      </c>
    </row>
    <row r="1180" spans="1:5" ht="15.75" customHeight="1" x14ac:dyDescent="0.4">
      <c r="A1180" s="24" t="s">
        <v>2065</v>
      </c>
      <c r="B1180" s="24" t="s">
        <v>2187</v>
      </c>
      <c r="C1180" s="24">
        <v>33.085900000000002</v>
      </c>
      <c r="D1180" s="24">
        <v>33.085900000000002</v>
      </c>
    </row>
    <row r="1181" spans="1:5" ht="15.75" customHeight="1" x14ac:dyDescent="0.4">
      <c r="A1181" s="24" t="s">
        <v>1501</v>
      </c>
      <c r="B1181" s="24" t="s">
        <v>2187</v>
      </c>
      <c r="C1181" s="24">
        <v>32.994199999999999</v>
      </c>
      <c r="D1181" s="24">
        <v>32.8384</v>
      </c>
      <c r="E1181" s="24">
        <v>0.15471399999999999</v>
      </c>
    </row>
    <row r="1182" spans="1:5" ht="15.75" customHeight="1" x14ac:dyDescent="0.4">
      <c r="A1182" s="24" t="s">
        <v>1870</v>
      </c>
      <c r="B1182" s="24" t="s">
        <v>2187</v>
      </c>
      <c r="C1182" s="24">
        <v>32.8384</v>
      </c>
      <c r="D1182" s="24">
        <v>32.371000000000002</v>
      </c>
      <c r="E1182" s="24">
        <v>0.46414299999999997</v>
      </c>
    </row>
    <row r="1183" spans="1:5" ht="15.75" customHeight="1" x14ac:dyDescent="0.4">
      <c r="A1183" s="24" t="s">
        <v>1389</v>
      </c>
      <c r="B1183" s="24" t="s">
        <v>2187</v>
      </c>
      <c r="C1183" s="24">
        <v>32.7926</v>
      </c>
      <c r="E1183" s="24">
        <v>32.562800000000003</v>
      </c>
    </row>
    <row r="1184" spans="1:5" ht="15.75" customHeight="1" x14ac:dyDescent="0.4">
      <c r="A1184" s="24" t="s">
        <v>882</v>
      </c>
      <c r="B1184" s="24" t="s">
        <v>2187</v>
      </c>
      <c r="C1184" s="24">
        <v>32.0961</v>
      </c>
      <c r="E1184" s="24">
        <v>31.871099999999998</v>
      </c>
    </row>
    <row r="1185" spans="1:5" ht="15.75" customHeight="1" x14ac:dyDescent="0.4">
      <c r="A1185" s="24" t="s">
        <v>869</v>
      </c>
      <c r="B1185" s="24" t="s">
        <v>2187</v>
      </c>
      <c r="C1185" s="24">
        <v>31.940200000000001</v>
      </c>
      <c r="D1185" s="24">
        <v>31.940200000000001</v>
      </c>
    </row>
    <row r="1186" spans="1:5" ht="15.75" customHeight="1" x14ac:dyDescent="0.4">
      <c r="A1186" s="24" t="s">
        <v>667</v>
      </c>
      <c r="B1186" s="24" t="s">
        <v>2187</v>
      </c>
      <c r="C1186" s="24">
        <v>31.894400000000001</v>
      </c>
      <c r="E1186" s="24">
        <v>31.6709</v>
      </c>
    </row>
    <row r="1187" spans="1:5" ht="15.75" customHeight="1" x14ac:dyDescent="0.4">
      <c r="A1187" s="24" t="s">
        <v>1257</v>
      </c>
      <c r="B1187" s="24" t="s">
        <v>2187</v>
      </c>
      <c r="C1187" s="24">
        <v>31.720300000000002</v>
      </c>
      <c r="E1187" s="24">
        <v>31.498000000000001</v>
      </c>
    </row>
    <row r="1188" spans="1:5" ht="15.75" customHeight="1" x14ac:dyDescent="0.4">
      <c r="A1188" s="24" t="s">
        <v>1820</v>
      </c>
      <c r="B1188" s="24" t="s">
        <v>2187</v>
      </c>
      <c r="C1188" s="24">
        <v>31.069600000000001</v>
      </c>
      <c r="D1188" s="24">
        <v>19.824000000000002</v>
      </c>
      <c r="E1188" s="24">
        <v>21.9785</v>
      </c>
    </row>
    <row r="1189" spans="1:5" ht="15.75" customHeight="1" x14ac:dyDescent="0.4">
      <c r="A1189" s="24" t="s">
        <v>1281</v>
      </c>
      <c r="B1189" s="24" t="s">
        <v>2187</v>
      </c>
      <c r="C1189" s="24">
        <v>30.107199999999999</v>
      </c>
      <c r="D1189" s="24">
        <v>2.97865</v>
      </c>
      <c r="E1189" s="24">
        <v>29.8962</v>
      </c>
    </row>
    <row r="1190" spans="1:5" ht="15.75" customHeight="1" x14ac:dyDescent="0.4">
      <c r="A1190" s="24" t="s">
        <v>1298</v>
      </c>
      <c r="B1190" s="24" t="s">
        <v>2187</v>
      </c>
      <c r="C1190" s="24">
        <v>30.006399999999999</v>
      </c>
      <c r="E1190" s="24">
        <v>29.796099999999999</v>
      </c>
    </row>
    <row r="1191" spans="1:5" ht="15.75" customHeight="1" x14ac:dyDescent="0.4">
      <c r="A1191" s="24" t="s">
        <v>2074</v>
      </c>
      <c r="B1191" s="24" t="s">
        <v>2187</v>
      </c>
      <c r="C1191" s="24">
        <v>29.511500000000002</v>
      </c>
      <c r="D1191" s="24">
        <v>1.3014399999999999</v>
      </c>
      <c r="E1191" s="24">
        <v>28.567499999999999</v>
      </c>
    </row>
    <row r="1192" spans="1:5" ht="15.75" customHeight="1" x14ac:dyDescent="0.4">
      <c r="A1192" s="24" t="s">
        <v>1365</v>
      </c>
      <c r="B1192" s="24" t="s">
        <v>2187</v>
      </c>
      <c r="C1192" s="24">
        <v>28.3017</v>
      </c>
      <c r="E1192" s="24">
        <v>28.103400000000001</v>
      </c>
    </row>
    <row r="1193" spans="1:5" ht="15.75" customHeight="1" x14ac:dyDescent="0.4">
      <c r="A1193" s="24" t="s">
        <v>1553</v>
      </c>
      <c r="B1193" s="24" t="s">
        <v>2187</v>
      </c>
      <c r="C1193" s="24">
        <v>28.164200000000001</v>
      </c>
      <c r="D1193" s="24">
        <v>28.164200000000001</v>
      </c>
    </row>
    <row r="1194" spans="1:5" ht="15.75" customHeight="1" x14ac:dyDescent="0.4">
      <c r="A1194" s="24" t="s">
        <v>1598</v>
      </c>
      <c r="B1194" s="24" t="s">
        <v>2187</v>
      </c>
      <c r="C1194" s="24">
        <v>27.156099999999999</v>
      </c>
      <c r="D1194" s="24">
        <v>27.156099999999999</v>
      </c>
    </row>
    <row r="1195" spans="1:5" ht="15.75" customHeight="1" x14ac:dyDescent="0.4">
      <c r="A1195" s="24" t="s">
        <v>1849</v>
      </c>
      <c r="B1195" s="24" t="s">
        <v>2187</v>
      </c>
      <c r="C1195" s="24">
        <v>26.450399999999998</v>
      </c>
      <c r="D1195" s="24">
        <v>26.267099999999999</v>
      </c>
      <c r="E1195" s="24">
        <v>0.18201700000000001</v>
      </c>
    </row>
    <row r="1196" spans="1:5" ht="15.75" customHeight="1" x14ac:dyDescent="0.4">
      <c r="A1196" s="24" t="s">
        <v>2059</v>
      </c>
      <c r="B1196" s="24" t="s">
        <v>2187</v>
      </c>
      <c r="C1196" s="24">
        <v>26.248699999999999</v>
      </c>
      <c r="D1196" s="24">
        <v>1.0448200000000001</v>
      </c>
      <c r="E1196" s="24">
        <v>25.0273</v>
      </c>
    </row>
    <row r="1197" spans="1:5" ht="15.75" customHeight="1" x14ac:dyDescent="0.4">
      <c r="A1197" s="24" t="s">
        <v>345</v>
      </c>
      <c r="B1197" s="24" t="s">
        <v>2187</v>
      </c>
      <c r="C1197" s="24">
        <v>25.726299999999998</v>
      </c>
      <c r="D1197" s="24">
        <v>25.726299999999998</v>
      </c>
    </row>
    <row r="1198" spans="1:5" ht="15.75" customHeight="1" x14ac:dyDescent="0.4">
      <c r="A1198" s="24" t="s">
        <v>2056</v>
      </c>
      <c r="B1198" s="24" t="s">
        <v>2187</v>
      </c>
      <c r="C1198" s="24">
        <v>25.570499999999999</v>
      </c>
      <c r="D1198" s="24">
        <v>25.570499999999999</v>
      </c>
    </row>
    <row r="1199" spans="1:5" ht="15.75" customHeight="1" x14ac:dyDescent="0.4">
      <c r="A1199" s="24" t="s">
        <v>702</v>
      </c>
      <c r="B1199" s="24" t="s">
        <v>2187</v>
      </c>
      <c r="C1199" s="24">
        <v>25.3506</v>
      </c>
      <c r="D1199" s="24">
        <v>7.1029200000000001</v>
      </c>
      <c r="E1199" s="24">
        <v>18.119800000000001</v>
      </c>
    </row>
    <row r="1200" spans="1:5" ht="15.75" customHeight="1" x14ac:dyDescent="0.4">
      <c r="A1200" s="24" t="s">
        <v>799</v>
      </c>
      <c r="B1200" s="24" t="s">
        <v>2187</v>
      </c>
      <c r="C1200" s="24">
        <v>25.2956</v>
      </c>
      <c r="D1200" s="24">
        <v>25.2956</v>
      </c>
    </row>
    <row r="1201" spans="1:5" ht="15.75" customHeight="1" x14ac:dyDescent="0.4">
      <c r="A1201" s="24" t="s">
        <v>581</v>
      </c>
      <c r="B1201" s="24" t="s">
        <v>2187</v>
      </c>
      <c r="C1201" s="24">
        <v>25.002300000000002</v>
      </c>
      <c r="E1201" s="24">
        <v>24.827100000000002</v>
      </c>
    </row>
    <row r="1202" spans="1:5" ht="15.75" customHeight="1" x14ac:dyDescent="0.4">
      <c r="A1202" s="24" t="s">
        <v>1868</v>
      </c>
      <c r="B1202" s="24" t="s">
        <v>2187</v>
      </c>
      <c r="C1202" s="24">
        <v>24.305700000000002</v>
      </c>
      <c r="D1202" s="24">
        <v>24.305700000000002</v>
      </c>
    </row>
    <row r="1203" spans="1:5" ht="15.75" customHeight="1" x14ac:dyDescent="0.4">
      <c r="A1203" s="24" t="s">
        <v>2063</v>
      </c>
      <c r="B1203" s="24" t="s">
        <v>2187</v>
      </c>
      <c r="C1203" s="24">
        <v>23.9208</v>
      </c>
      <c r="E1203" s="24">
        <v>23.7532</v>
      </c>
    </row>
    <row r="1204" spans="1:5" ht="15.75" customHeight="1" x14ac:dyDescent="0.4">
      <c r="A1204" s="24" t="s">
        <v>1636</v>
      </c>
      <c r="B1204" s="24" t="s">
        <v>2187</v>
      </c>
      <c r="C1204" s="24">
        <v>23.581700000000001</v>
      </c>
      <c r="E1204" s="24">
        <v>23.416499999999999</v>
      </c>
    </row>
    <row r="1205" spans="1:5" ht="15.75" customHeight="1" x14ac:dyDescent="0.4">
      <c r="A1205" s="24" t="s">
        <v>1839</v>
      </c>
      <c r="B1205" s="24" t="s">
        <v>2187</v>
      </c>
      <c r="C1205" s="24">
        <v>23.325099999999999</v>
      </c>
      <c r="D1205" s="24">
        <v>23.325099999999999</v>
      </c>
    </row>
    <row r="1206" spans="1:5" ht="15.75" customHeight="1" x14ac:dyDescent="0.4">
      <c r="A1206" s="24" t="s">
        <v>1612</v>
      </c>
      <c r="B1206" s="24" t="s">
        <v>2187</v>
      </c>
      <c r="C1206" s="24">
        <v>22.765999999999998</v>
      </c>
      <c r="E1206" s="24">
        <v>22.6065</v>
      </c>
    </row>
    <row r="1207" spans="1:5" ht="15.75" customHeight="1" x14ac:dyDescent="0.4">
      <c r="A1207" s="24" t="s">
        <v>2125</v>
      </c>
      <c r="B1207" s="24" t="s">
        <v>2187</v>
      </c>
      <c r="C1207" s="24">
        <v>22.234400000000001</v>
      </c>
      <c r="D1207" s="24">
        <v>22.234400000000001</v>
      </c>
    </row>
    <row r="1208" spans="1:5" ht="15.75" customHeight="1" x14ac:dyDescent="0.4">
      <c r="A1208" s="24" t="s">
        <v>242</v>
      </c>
      <c r="B1208" s="24" t="s">
        <v>2187</v>
      </c>
      <c r="C1208" s="24">
        <v>22.014500000000002</v>
      </c>
      <c r="E1208" s="24">
        <v>21.860199999999999</v>
      </c>
    </row>
    <row r="1209" spans="1:5" ht="15.75" customHeight="1" x14ac:dyDescent="0.4">
      <c r="A1209" s="24" t="s">
        <v>1430</v>
      </c>
      <c r="B1209" s="24" t="s">
        <v>2187</v>
      </c>
      <c r="C1209" s="24">
        <v>21.024699999999999</v>
      </c>
      <c r="D1209" s="24">
        <v>21.024699999999999</v>
      </c>
    </row>
    <row r="1210" spans="1:5" ht="15.75" customHeight="1" x14ac:dyDescent="0.4">
      <c r="A1210" s="24" t="s">
        <v>1465</v>
      </c>
      <c r="B1210" s="24" t="s">
        <v>2187</v>
      </c>
      <c r="C1210" s="24">
        <v>20.337299999999999</v>
      </c>
      <c r="D1210" s="24">
        <v>5.41655</v>
      </c>
      <c r="E1210" s="24">
        <v>14.8162</v>
      </c>
    </row>
    <row r="1211" spans="1:5" ht="15.75" customHeight="1" x14ac:dyDescent="0.4">
      <c r="A1211" s="24" t="s">
        <v>1500</v>
      </c>
      <c r="B1211" s="24" t="s">
        <v>2187</v>
      </c>
      <c r="C1211" s="24">
        <v>20.007300000000001</v>
      </c>
      <c r="D1211" s="24">
        <v>1.3014399999999999</v>
      </c>
      <c r="E1211" s="24">
        <v>19.867100000000001</v>
      </c>
    </row>
    <row r="1212" spans="1:5" ht="15.75" customHeight="1" x14ac:dyDescent="0.4">
      <c r="A1212" s="24" t="s">
        <v>1633</v>
      </c>
      <c r="B1212" s="24" t="s">
        <v>2187</v>
      </c>
      <c r="C1212" s="24">
        <v>19.640699999999999</v>
      </c>
      <c r="D1212" s="24">
        <v>19.640699999999999</v>
      </c>
    </row>
    <row r="1213" spans="1:5" ht="15.75" customHeight="1" x14ac:dyDescent="0.4">
      <c r="A1213" s="24" t="s">
        <v>1793</v>
      </c>
      <c r="B1213" s="24" t="s">
        <v>2187</v>
      </c>
      <c r="C1213" s="24">
        <v>19.5124</v>
      </c>
      <c r="E1213" s="24">
        <v>19.375699999999998</v>
      </c>
    </row>
    <row r="1214" spans="1:5" ht="15.75" customHeight="1" x14ac:dyDescent="0.4">
      <c r="A1214" s="24" t="s">
        <v>966</v>
      </c>
      <c r="B1214" s="24" t="s">
        <v>2187</v>
      </c>
      <c r="C1214" s="24">
        <v>18.934999999999999</v>
      </c>
      <c r="D1214" s="24">
        <v>18.797499999999999</v>
      </c>
      <c r="E1214" s="24">
        <v>0.136513</v>
      </c>
    </row>
    <row r="1215" spans="1:5" ht="15.75" customHeight="1" x14ac:dyDescent="0.4">
      <c r="A1215" s="24" t="s">
        <v>1602</v>
      </c>
      <c r="B1215" s="24" t="s">
        <v>2187</v>
      </c>
      <c r="C1215" s="24">
        <v>17.505299999999998</v>
      </c>
      <c r="D1215" s="24">
        <v>17.1845</v>
      </c>
      <c r="E1215" s="24">
        <v>0.31852900000000001</v>
      </c>
    </row>
    <row r="1216" spans="1:5" ht="15.75" customHeight="1" x14ac:dyDescent="0.4">
      <c r="A1216" s="24" t="s">
        <v>1882</v>
      </c>
      <c r="B1216" s="24" t="s">
        <v>2187</v>
      </c>
      <c r="C1216" s="24">
        <v>17.1662</v>
      </c>
      <c r="E1216" s="24">
        <v>17.0459</v>
      </c>
    </row>
    <row r="1217" spans="1:5" ht="15.75" customHeight="1" x14ac:dyDescent="0.4">
      <c r="A1217" s="24" t="s">
        <v>859</v>
      </c>
      <c r="B1217" s="24" t="s">
        <v>2187</v>
      </c>
      <c r="C1217" s="24">
        <v>16.918700000000001</v>
      </c>
      <c r="D1217" s="24">
        <v>16.918700000000001</v>
      </c>
    </row>
    <row r="1218" spans="1:5" ht="15.75" customHeight="1" x14ac:dyDescent="0.4">
      <c r="A1218" s="24" t="s">
        <v>595</v>
      </c>
      <c r="B1218" s="24" t="s">
        <v>2187</v>
      </c>
      <c r="C1218" s="24">
        <v>16.717099999999999</v>
      </c>
      <c r="E1218" s="24">
        <v>16.599900000000002</v>
      </c>
    </row>
    <row r="1219" spans="1:5" ht="15.75" customHeight="1" x14ac:dyDescent="0.4">
      <c r="A1219" s="24" t="s">
        <v>809</v>
      </c>
      <c r="B1219" s="24" t="s">
        <v>2187</v>
      </c>
      <c r="C1219" s="24">
        <v>16.277200000000001</v>
      </c>
      <c r="D1219" s="24">
        <v>16.277200000000001</v>
      </c>
    </row>
    <row r="1220" spans="1:5" ht="15.75" customHeight="1" x14ac:dyDescent="0.4">
      <c r="A1220" s="24" t="s">
        <v>479</v>
      </c>
      <c r="B1220" s="24" t="s">
        <v>2187</v>
      </c>
      <c r="C1220" s="24">
        <v>16.139700000000001</v>
      </c>
      <c r="E1220" s="24">
        <v>16.026599999999998</v>
      </c>
    </row>
    <row r="1221" spans="1:5" ht="15.75" customHeight="1" x14ac:dyDescent="0.4">
      <c r="A1221" s="24" t="s">
        <v>1349</v>
      </c>
      <c r="B1221" s="24" t="s">
        <v>2187</v>
      </c>
      <c r="C1221" s="24">
        <v>15.424799999999999</v>
      </c>
      <c r="E1221" s="24">
        <v>15.316700000000001</v>
      </c>
    </row>
    <row r="1222" spans="1:5" ht="15.75" customHeight="1" x14ac:dyDescent="0.4">
      <c r="A1222" s="24" t="s">
        <v>1495</v>
      </c>
      <c r="B1222" s="24" t="s">
        <v>2187</v>
      </c>
      <c r="C1222" s="24">
        <v>14.545</v>
      </c>
      <c r="E1222" s="24">
        <v>14.443</v>
      </c>
    </row>
    <row r="1223" spans="1:5" ht="15.75" customHeight="1" x14ac:dyDescent="0.4">
      <c r="A1223" s="24" t="s">
        <v>260</v>
      </c>
      <c r="B1223" s="24" t="s">
        <v>2187</v>
      </c>
      <c r="C1223" s="24">
        <v>14.4808</v>
      </c>
      <c r="D1223" s="24">
        <v>14.4808</v>
      </c>
    </row>
    <row r="1224" spans="1:5" ht="15.75" customHeight="1" x14ac:dyDescent="0.4">
      <c r="A1224" s="24" t="s">
        <v>1960</v>
      </c>
      <c r="B1224" s="24" t="s">
        <v>2187</v>
      </c>
      <c r="C1224" s="24">
        <v>14.2333</v>
      </c>
      <c r="D1224" s="24">
        <v>14.2333</v>
      </c>
    </row>
    <row r="1225" spans="1:5" ht="15.75" customHeight="1" x14ac:dyDescent="0.4">
      <c r="A1225" s="24" t="s">
        <v>1971</v>
      </c>
      <c r="B1225" s="24" t="s">
        <v>2187</v>
      </c>
      <c r="C1225" s="24">
        <v>14.1692</v>
      </c>
      <c r="E1225" s="24">
        <v>14.069900000000001</v>
      </c>
    </row>
    <row r="1226" spans="1:5" ht="15.75" customHeight="1" x14ac:dyDescent="0.4">
      <c r="A1226" s="24" t="s">
        <v>1366</v>
      </c>
      <c r="B1226" s="24" t="s">
        <v>2187</v>
      </c>
      <c r="C1226" s="24">
        <v>13.665100000000001</v>
      </c>
      <c r="D1226" s="24">
        <v>6.1955799999999996</v>
      </c>
      <c r="E1226" s="24">
        <v>13.3782</v>
      </c>
    </row>
    <row r="1227" spans="1:5" ht="15.75" customHeight="1" x14ac:dyDescent="0.4">
      <c r="A1227" s="24" t="s">
        <v>712</v>
      </c>
      <c r="B1227" s="24" t="s">
        <v>2187</v>
      </c>
      <c r="C1227" s="24">
        <v>13.610099999999999</v>
      </c>
      <c r="E1227" s="24">
        <v>13.514699999999999</v>
      </c>
    </row>
    <row r="1228" spans="1:5" ht="15.75" customHeight="1" x14ac:dyDescent="0.4">
      <c r="A1228" s="24" t="s">
        <v>1532</v>
      </c>
      <c r="B1228" s="24" t="s">
        <v>2187</v>
      </c>
      <c r="C1228" s="24">
        <v>13.5276</v>
      </c>
      <c r="D1228" s="24">
        <v>1.83301</v>
      </c>
      <c r="E1228" s="24">
        <v>11.6127</v>
      </c>
    </row>
    <row r="1229" spans="1:5" ht="15.75" customHeight="1" x14ac:dyDescent="0.4">
      <c r="A1229" s="24" t="s">
        <v>1848</v>
      </c>
      <c r="B1229" s="24" t="s">
        <v>2187</v>
      </c>
      <c r="C1229" s="24">
        <v>13.3718</v>
      </c>
      <c r="D1229" s="24">
        <v>13.3718</v>
      </c>
    </row>
    <row r="1230" spans="1:5" ht="15.75" customHeight="1" x14ac:dyDescent="0.4">
      <c r="A1230" s="24" t="s">
        <v>1307</v>
      </c>
      <c r="B1230" s="24" t="s">
        <v>2187</v>
      </c>
      <c r="C1230" s="24">
        <v>13.3627</v>
      </c>
      <c r="E1230" s="24">
        <v>13.269</v>
      </c>
    </row>
    <row r="1231" spans="1:5" ht="15.75" customHeight="1" x14ac:dyDescent="0.4">
      <c r="A1231" s="24" t="s">
        <v>982</v>
      </c>
      <c r="B1231" s="24" t="s">
        <v>2187</v>
      </c>
      <c r="C1231" s="24">
        <v>12.7761</v>
      </c>
      <c r="D1231" s="24">
        <v>12.602</v>
      </c>
      <c r="E1231" s="24">
        <v>0.17291599999999999</v>
      </c>
    </row>
    <row r="1232" spans="1:5" ht="15.75" customHeight="1" x14ac:dyDescent="0.4">
      <c r="A1232" s="24" t="s">
        <v>1852</v>
      </c>
      <c r="B1232" s="24" t="s">
        <v>2187</v>
      </c>
      <c r="C1232" s="24">
        <v>12.2995</v>
      </c>
      <c r="E1232" s="24">
        <v>12.2133</v>
      </c>
    </row>
    <row r="1233" spans="1:5" ht="15.75" customHeight="1" x14ac:dyDescent="0.4">
      <c r="A1233" s="24" t="s">
        <v>647</v>
      </c>
      <c r="B1233" s="24" t="s">
        <v>2187</v>
      </c>
      <c r="C1233" s="24">
        <v>12.0246</v>
      </c>
      <c r="E1233" s="24">
        <v>11.940300000000001</v>
      </c>
    </row>
    <row r="1234" spans="1:5" ht="15.75" customHeight="1" x14ac:dyDescent="0.4">
      <c r="A1234" s="24" t="s">
        <v>2157</v>
      </c>
      <c r="B1234" s="24" t="s">
        <v>2187</v>
      </c>
      <c r="C1234" s="24">
        <v>11.822900000000001</v>
      </c>
      <c r="D1234" s="24">
        <v>11.822900000000001</v>
      </c>
    </row>
    <row r="1235" spans="1:5" ht="15.75" customHeight="1" x14ac:dyDescent="0.4">
      <c r="A1235" s="24" t="s">
        <v>1032</v>
      </c>
      <c r="B1235" s="24" t="s">
        <v>2187</v>
      </c>
      <c r="C1235" s="24">
        <v>11.749599999999999</v>
      </c>
      <c r="E1235" s="24">
        <v>11.667299999999999</v>
      </c>
    </row>
    <row r="1236" spans="1:5" ht="15.75" customHeight="1" x14ac:dyDescent="0.4">
      <c r="A1236" s="24" t="s">
        <v>249</v>
      </c>
      <c r="B1236" s="24" t="s">
        <v>2187</v>
      </c>
      <c r="C1236" s="24">
        <v>10.979699999999999</v>
      </c>
      <c r="D1236" s="24">
        <v>9.1009100000000007</v>
      </c>
      <c r="E1236" s="24">
        <v>2.95777</v>
      </c>
    </row>
    <row r="1237" spans="1:5" ht="15.75" customHeight="1" x14ac:dyDescent="0.4">
      <c r="A1237" s="24" t="s">
        <v>1903</v>
      </c>
      <c r="B1237" s="24" t="s">
        <v>2187</v>
      </c>
      <c r="C1237" s="24">
        <v>10.970599999999999</v>
      </c>
      <c r="E1237" s="24">
        <v>10.893700000000001</v>
      </c>
    </row>
    <row r="1238" spans="1:5" ht="15.75" customHeight="1" x14ac:dyDescent="0.4">
      <c r="A1238" s="24" t="s">
        <v>1732</v>
      </c>
      <c r="B1238" s="24" t="s">
        <v>2187</v>
      </c>
      <c r="C1238" s="24">
        <v>9.9166000000000007</v>
      </c>
      <c r="E1238" s="24">
        <v>9.8471100000000007</v>
      </c>
    </row>
    <row r="1239" spans="1:5" ht="15.75" customHeight="1" x14ac:dyDescent="0.4">
      <c r="A1239" s="24" t="s">
        <v>1586</v>
      </c>
      <c r="B1239" s="24" t="s">
        <v>2187</v>
      </c>
      <c r="C1239" s="24">
        <v>8.6334900000000001</v>
      </c>
      <c r="E1239" s="24">
        <v>8.5729900000000008</v>
      </c>
    </row>
    <row r="1240" spans="1:5" ht="15.75" customHeight="1" x14ac:dyDescent="0.4">
      <c r="A1240" s="24" t="s">
        <v>1386</v>
      </c>
      <c r="B1240" s="24" t="s">
        <v>2187</v>
      </c>
      <c r="C1240" s="24">
        <v>8.4501899999999992</v>
      </c>
      <c r="E1240" s="24">
        <v>8.3909699999999994</v>
      </c>
    </row>
    <row r="1241" spans="1:5" ht="15.75" customHeight="1" x14ac:dyDescent="0.4">
      <c r="A1241" s="24" t="s">
        <v>2156</v>
      </c>
      <c r="B1241" s="24" t="s">
        <v>2187</v>
      </c>
      <c r="C1241" s="24">
        <v>8.2302300000000006</v>
      </c>
      <c r="D1241" s="24">
        <v>8.2302300000000006</v>
      </c>
    </row>
    <row r="1242" spans="1:5" ht="15.75" customHeight="1" x14ac:dyDescent="0.4">
      <c r="A1242" s="24" t="s">
        <v>655</v>
      </c>
      <c r="B1242" s="24" t="s">
        <v>2187</v>
      </c>
      <c r="C1242" s="24">
        <v>8.1844000000000001</v>
      </c>
      <c r="D1242" s="24">
        <v>8.1844000000000001</v>
      </c>
    </row>
    <row r="1243" spans="1:5" ht="15.75" customHeight="1" x14ac:dyDescent="0.4">
      <c r="A1243" s="24" t="s">
        <v>487</v>
      </c>
      <c r="B1243" s="24" t="s">
        <v>2187</v>
      </c>
      <c r="C1243" s="24">
        <v>7.9277800000000003</v>
      </c>
      <c r="E1243" s="24">
        <v>7.8722200000000004</v>
      </c>
    </row>
    <row r="1244" spans="1:5" ht="15.75" customHeight="1" x14ac:dyDescent="0.4">
      <c r="A1244" s="24" t="s">
        <v>1381</v>
      </c>
      <c r="B1244" s="24" t="s">
        <v>2187</v>
      </c>
      <c r="C1244" s="24">
        <v>7.7169800000000004</v>
      </c>
      <c r="E1244" s="24">
        <v>7.6629100000000001</v>
      </c>
    </row>
    <row r="1245" spans="1:5" ht="15.75" customHeight="1" x14ac:dyDescent="0.4">
      <c r="A1245" s="24" t="s">
        <v>1510</v>
      </c>
      <c r="B1245" s="24" t="s">
        <v>2187</v>
      </c>
      <c r="C1245" s="24">
        <v>7.3320499999999997</v>
      </c>
      <c r="D1245" s="24">
        <v>5.73733</v>
      </c>
      <c r="E1245" s="24">
        <v>1.7018599999999999</v>
      </c>
    </row>
    <row r="1246" spans="1:5" ht="15.75" customHeight="1" x14ac:dyDescent="0.4">
      <c r="A1246" s="24" t="s">
        <v>1270</v>
      </c>
      <c r="B1246" s="24" t="s">
        <v>2187</v>
      </c>
      <c r="C1246" s="24">
        <v>6.9654499999999997</v>
      </c>
      <c r="E1246" s="24">
        <v>6.9166400000000001</v>
      </c>
    </row>
    <row r="1247" spans="1:5" ht="15.75" customHeight="1" x14ac:dyDescent="0.4">
      <c r="A1247" s="24" t="s">
        <v>413</v>
      </c>
      <c r="B1247" s="24" t="s">
        <v>2187</v>
      </c>
      <c r="C1247" s="24">
        <v>6.7729799999999996</v>
      </c>
      <c r="E1247" s="24">
        <v>6.7255200000000004</v>
      </c>
    </row>
    <row r="1248" spans="1:5" ht="15.75" customHeight="1" x14ac:dyDescent="0.4">
      <c r="A1248" s="24" t="s">
        <v>1978</v>
      </c>
      <c r="B1248" s="24" t="s">
        <v>2187</v>
      </c>
      <c r="C1248" s="24">
        <v>6.31473</v>
      </c>
      <c r="E1248" s="24">
        <v>6.2704800000000001</v>
      </c>
    </row>
    <row r="1249" spans="1:5" ht="15.75" customHeight="1" x14ac:dyDescent="0.4">
      <c r="A1249" s="24" t="s">
        <v>1503</v>
      </c>
      <c r="B1249" s="24" t="s">
        <v>2187</v>
      </c>
      <c r="C1249" s="24">
        <v>6.00312</v>
      </c>
      <c r="E1249" s="24">
        <v>5.9610500000000002</v>
      </c>
    </row>
    <row r="1250" spans="1:5" ht="15.75" customHeight="1" x14ac:dyDescent="0.4">
      <c r="A1250" s="24" t="s">
        <v>1877</v>
      </c>
      <c r="B1250" s="24" t="s">
        <v>2187</v>
      </c>
      <c r="C1250" s="24">
        <v>5.59985</v>
      </c>
      <c r="E1250" s="24">
        <v>5.5606099999999996</v>
      </c>
    </row>
    <row r="1251" spans="1:5" ht="15.75" customHeight="1" x14ac:dyDescent="0.4">
      <c r="A1251" s="24" t="s">
        <v>1325</v>
      </c>
      <c r="B1251" s="24" t="s">
        <v>2187</v>
      </c>
      <c r="C1251" s="24">
        <v>4.78416</v>
      </c>
      <c r="D1251" s="24">
        <v>4.78416</v>
      </c>
    </row>
    <row r="1252" spans="1:5" ht="15.75" customHeight="1" x14ac:dyDescent="0.4">
      <c r="A1252" s="24" t="s">
        <v>1843</v>
      </c>
      <c r="B1252" s="24" t="s">
        <v>2187</v>
      </c>
      <c r="C1252" s="24">
        <v>4.3992300000000002</v>
      </c>
      <c r="D1252" s="24">
        <v>4.3992300000000002</v>
      </c>
    </row>
    <row r="1253" spans="1:5" ht="15.75" customHeight="1" x14ac:dyDescent="0.4">
      <c r="A1253" s="24" t="s">
        <v>1140</v>
      </c>
      <c r="B1253" s="24" t="s">
        <v>2187</v>
      </c>
      <c r="C1253" s="24">
        <v>4.3259100000000004</v>
      </c>
      <c r="E1253" s="24">
        <v>4.2956000000000003</v>
      </c>
    </row>
    <row r="1254" spans="1:5" ht="15.75" customHeight="1" x14ac:dyDescent="0.4">
      <c r="A1254" s="24" t="s">
        <v>313</v>
      </c>
      <c r="B1254" s="24" t="s">
        <v>2187</v>
      </c>
      <c r="C1254" s="24">
        <v>4.3167400000000002</v>
      </c>
      <c r="D1254" s="24">
        <v>4.3167400000000002</v>
      </c>
    </row>
    <row r="1255" spans="1:5" ht="15.75" customHeight="1" x14ac:dyDescent="0.4">
      <c r="A1255" s="24" t="s">
        <v>921</v>
      </c>
      <c r="B1255" s="24" t="s">
        <v>2187</v>
      </c>
      <c r="C1255" s="24">
        <v>4.1609400000000001</v>
      </c>
      <c r="E1255" s="24">
        <v>4.13178</v>
      </c>
    </row>
    <row r="1256" spans="1:5" ht="15.75" customHeight="1" x14ac:dyDescent="0.4">
      <c r="A1256" s="24" t="s">
        <v>1716</v>
      </c>
      <c r="B1256" s="24" t="s">
        <v>2187</v>
      </c>
      <c r="C1256" s="24">
        <v>4.0784500000000001</v>
      </c>
      <c r="E1256" s="24">
        <v>4.0498700000000003</v>
      </c>
    </row>
    <row r="1257" spans="1:5" ht="15.75" customHeight="1" x14ac:dyDescent="0.4">
      <c r="A1257" s="24" t="s">
        <v>1861</v>
      </c>
      <c r="B1257" s="24" t="s">
        <v>2187</v>
      </c>
      <c r="C1257" s="24">
        <v>3.39107</v>
      </c>
      <c r="E1257" s="24">
        <v>3.3673099999999998</v>
      </c>
    </row>
    <row r="1258" spans="1:5" ht="15.75" customHeight="1" x14ac:dyDescent="0.4">
      <c r="A1258" s="24" t="s">
        <v>1930</v>
      </c>
      <c r="B1258" s="24" t="s">
        <v>2187</v>
      </c>
      <c r="C1258" s="24">
        <v>3.1711100000000001</v>
      </c>
      <c r="D1258" s="24">
        <v>3.0886300000000002</v>
      </c>
      <c r="E1258" s="24">
        <v>8.1907999999999995E-2</v>
      </c>
    </row>
    <row r="1259" spans="1:5" ht="15.75" customHeight="1" x14ac:dyDescent="0.4">
      <c r="A1259" s="24" t="s">
        <v>1816</v>
      </c>
      <c r="B1259" s="24" t="s">
        <v>2187</v>
      </c>
      <c r="C1259" s="24">
        <v>3.0061399999999998</v>
      </c>
      <c r="E1259" s="24">
        <v>2.9850699999999999</v>
      </c>
    </row>
    <row r="1260" spans="1:5" ht="15.75" customHeight="1" x14ac:dyDescent="0.4">
      <c r="A1260" s="24" t="s">
        <v>287</v>
      </c>
      <c r="B1260" s="24" t="s">
        <v>2187</v>
      </c>
      <c r="C1260" s="24">
        <v>2.9053200000000001</v>
      </c>
      <c r="E1260" s="24">
        <v>2.88497</v>
      </c>
    </row>
    <row r="1261" spans="1:5" ht="15.75" customHeight="1" x14ac:dyDescent="0.4">
      <c r="A1261" s="24" t="s">
        <v>2092</v>
      </c>
      <c r="B1261" s="24" t="s">
        <v>2187</v>
      </c>
      <c r="C1261" s="24">
        <v>2.84117</v>
      </c>
      <c r="E1261" s="24">
        <v>2.8212600000000001</v>
      </c>
    </row>
    <row r="1262" spans="1:5" ht="15.75" customHeight="1" x14ac:dyDescent="0.4">
      <c r="A1262" s="24" t="s">
        <v>760</v>
      </c>
      <c r="B1262" s="24" t="s">
        <v>2187</v>
      </c>
      <c r="C1262" s="24">
        <v>2.7678500000000001</v>
      </c>
      <c r="D1262" s="24">
        <v>2.7678500000000001</v>
      </c>
    </row>
    <row r="1263" spans="1:5" ht="15.75" customHeight="1" x14ac:dyDescent="0.4">
      <c r="A1263" s="24" t="s">
        <v>2136</v>
      </c>
      <c r="B1263" s="24" t="s">
        <v>2187</v>
      </c>
      <c r="C1263" s="24">
        <v>2.3370899999999999</v>
      </c>
      <c r="E1263" s="24">
        <v>2.3207100000000001</v>
      </c>
    </row>
    <row r="1264" spans="1:5" ht="15.75" customHeight="1" x14ac:dyDescent="0.4">
      <c r="A1264" s="24" t="s">
        <v>585</v>
      </c>
      <c r="B1264" s="24" t="s">
        <v>2187</v>
      </c>
      <c r="C1264" s="24">
        <v>2.2820999999999998</v>
      </c>
      <c r="E1264" s="24">
        <v>2.2661099999999998</v>
      </c>
    </row>
    <row r="1265" spans="1:5" ht="15.75" customHeight="1" x14ac:dyDescent="0.4">
      <c r="A1265" s="24" t="s">
        <v>1614</v>
      </c>
      <c r="B1265" s="24" t="s">
        <v>2187</v>
      </c>
      <c r="C1265" s="24">
        <v>2.0988000000000002</v>
      </c>
      <c r="E1265" s="24">
        <v>2.0840900000000002</v>
      </c>
    </row>
    <row r="1266" spans="1:5" ht="15.75" customHeight="1" x14ac:dyDescent="0.4">
      <c r="A1266" s="24" t="s">
        <v>1550</v>
      </c>
      <c r="B1266" s="24" t="s">
        <v>2187</v>
      </c>
      <c r="C1266" s="24">
        <v>1.9796499999999999</v>
      </c>
      <c r="E1266" s="24">
        <v>1.9657800000000001</v>
      </c>
    </row>
    <row r="1267" spans="1:5" ht="15.75" customHeight="1" x14ac:dyDescent="0.4">
      <c r="A1267" s="24" t="s">
        <v>2004</v>
      </c>
      <c r="B1267" s="24" t="s">
        <v>2187</v>
      </c>
      <c r="C1267" s="24">
        <v>1.8421799999999999</v>
      </c>
      <c r="E1267" s="24">
        <v>1.82927</v>
      </c>
    </row>
    <row r="1268" spans="1:5" ht="15.75" customHeight="1" x14ac:dyDescent="0.4">
      <c r="A1268" s="24" t="s">
        <v>1957</v>
      </c>
      <c r="B1268" s="24" t="s">
        <v>2187</v>
      </c>
      <c r="C1268" s="24">
        <v>1.82385</v>
      </c>
      <c r="E1268" s="24">
        <v>1.81107</v>
      </c>
    </row>
    <row r="1269" spans="1:5" ht="15.75" customHeight="1" x14ac:dyDescent="0.4">
      <c r="A1269" s="24" t="s">
        <v>2151</v>
      </c>
      <c r="B1269" s="24" t="s">
        <v>2187</v>
      </c>
      <c r="C1269" s="24">
        <v>1.8146800000000001</v>
      </c>
      <c r="D1269" s="24">
        <v>1.8146800000000001</v>
      </c>
    </row>
    <row r="1270" spans="1:5" ht="15.75" customHeight="1" x14ac:dyDescent="0.4">
      <c r="A1270" s="24" t="s">
        <v>679</v>
      </c>
      <c r="B1270" s="24" t="s">
        <v>2187</v>
      </c>
      <c r="C1270" s="24">
        <v>1.7780199999999999</v>
      </c>
      <c r="E1270" s="24">
        <v>1.76556</v>
      </c>
    </row>
    <row r="1271" spans="1:5" ht="15.75" customHeight="1" x14ac:dyDescent="0.4">
      <c r="A1271" s="24" t="s">
        <v>2164</v>
      </c>
      <c r="B1271" s="24" t="s">
        <v>2187</v>
      </c>
      <c r="C1271" s="24">
        <v>1.6588799999999999</v>
      </c>
      <c r="D1271" s="24">
        <v>1.6588799999999999</v>
      </c>
    </row>
    <row r="1272" spans="1:5" ht="15.75" customHeight="1" x14ac:dyDescent="0.4">
      <c r="A1272" s="24" t="s">
        <v>1809</v>
      </c>
      <c r="B1272" s="24" t="s">
        <v>2187</v>
      </c>
      <c r="C1272" s="24">
        <v>1.46641</v>
      </c>
      <c r="E1272" s="24">
        <v>1.4561299999999999</v>
      </c>
    </row>
    <row r="1273" spans="1:5" ht="15.75" customHeight="1" x14ac:dyDescent="0.4">
      <c r="A1273" s="24" t="s">
        <v>1176</v>
      </c>
      <c r="B1273" s="24" t="s">
        <v>2187</v>
      </c>
      <c r="C1273" s="24">
        <v>1.3930899999999999</v>
      </c>
      <c r="E1273" s="24">
        <v>1.3833299999999999</v>
      </c>
    </row>
    <row r="1274" spans="1:5" ht="15.75" customHeight="1" x14ac:dyDescent="0.4">
      <c r="A1274" s="24" t="s">
        <v>1387</v>
      </c>
      <c r="B1274" s="24" t="s">
        <v>2187</v>
      </c>
      <c r="C1274" s="24">
        <v>1.37476</v>
      </c>
      <c r="E1274" s="24">
        <v>1.36513</v>
      </c>
    </row>
    <row r="1275" spans="1:5" ht="15.75" customHeight="1" x14ac:dyDescent="0.4">
      <c r="A1275" s="24" t="s">
        <v>1251</v>
      </c>
      <c r="B1275" s="24" t="s">
        <v>2187</v>
      </c>
      <c r="C1275" s="24">
        <v>1.3381000000000001</v>
      </c>
      <c r="D1275" s="24">
        <v>1.3381000000000001</v>
      </c>
    </row>
    <row r="1276" spans="1:5" ht="15.75" customHeight="1" x14ac:dyDescent="0.4">
      <c r="A1276" s="24" t="s">
        <v>1543</v>
      </c>
      <c r="B1276" s="24" t="s">
        <v>2187</v>
      </c>
      <c r="C1276" s="24">
        <v>1.3381000000000001</v>
      </c>
      <c r="E1276" s="24">
        <v>1.3287199999999999</v>
      </c>
    </row>
    <row r="1277" spans="1:5" ht="15.75" customHeight="1" x14ac:dyDescent="0.4">
      <c r="A1277" s="24" t="s">
        <v>1268</v>
      </c>
      <c r="B1277" s="24" t="s">
        <v>2187</v>
      </c>
      <c r="C1277" s="24">
        <v>1.3197700000000001</v>
      </c>
      <c r="E1277" s="24">
        <v>1.3105199999999999</v>
      </c>
    </row>
    <row r="1278" spans="1:5" ht="15.75" customHeight="1" x14ac:dyDescent="0.4">
      <c r="A1278" s="24" t="s">
        <v>1888</v>
      </c>
      <c r="B1278" s="24" t="s">
        <v>2187</v>
      </c>
      <c r="C1278" s="24">
        <v>1.26478</v>
      </c>
      <c r="E1278" s="24">
        <v>1.2559199999999999</v>
      </c>
    </row>
    <row r="1279" spans="1:5" ht="15.75" customHeight="1" x14ac:dyDescent="0.4">
      <c r="A1279" s="24" t="s">
        <v>1154</v>
      </c>
      <c r="B1279" s="24" t="s">
        <v>2187</v>
      </c>
      <c r="C1279" s="24">
        <v>1.0906400000000001</v>
      </c>
      <c r="E1279" s="24">
        <v>1.083</v>
      </c>
    </row>
    <row r="1280" spans="1:5" ht="15.75" customHeight="1" x14ac:dyDescent="0.4">
      <c r="A1280" s="24" t="s">
        <v>1770</v>
      </c>
      <c r="B1280" s="24" t="s">
        <v>2187</v>
      </c>
      <c r="C1280" s="24">
        <v>1.0264899999999999</v>
      </c>
      <c r="D1280" s="24">
        <v>1.0264899999999999</v>
      </c>
    </row>
    <row r="1281" spans="1:5" ht="15.75" customHeight="1" x14ac:dyDescent="0.4">
      <c r="A1281" s="24" t="s">
        <v>343</v>
      </c>
      <c r="B1281" s="24" t="s">
        <v>2187</v>
      </c>
      <c r="C1281" s="24">
        <v>1.01732</v>
      </c>
      <c r="D1281" s="24">
        <v>0.577399</v>
      </c>
      <c r="E1281" s="24">
        <v>0.43684000000000001</v>
      </c>
    </row>
    <row r="1282" spans="1:5" ht="15.75" customHeight="1" x14ac:dyDescent="0.4">
      <c r="A1282" s="24" t="s">
        <v>790</v>
      </c>
      <c r="B1282" s="24" t="s">
        <v>2187</v>
      </c>
      <c r="C1282" s="24">
        <v>0.81569100000000005</v>
      </c>
      <c r="D1282" s="24">
        <v>0.81569100000000005</v>
      </c>
    </row>
    <row r="1283" spans="1:5" ht="15.75" customHeight="1" x14ac:dyDescent="0.4">
      <c r="A1283" s="24" t="s">
        <v>2091</v>
      </c>
      <c r="B1283" s="24" t="s">
        <v>2187</v>
      </c>
      <c r="C1283" s="24">
        <v>0.74236999999999997</v>
      </c>
      <c r="E1283" s="24">
        <v>0.73716800000000005</v>
      </c>
    </row>
    <row r="1284" spans="1:5" ht="15.75" customHeight="1" x14ac:dyDescent="0.4">
      <c r="A1284" s="24" t="s">
        <v>1569</v>
      </c>
      <c r="B1284" s="24" t="s">
        <v>2187</v>
      </c>
      <c r="C1284" s="24">
        <v>0.513243</v>
      </c>
      <c r="E1284" s="24">
        <v>0.50964699999999996</v>
      </c>
    </row>
    <row r="1285" spans="1:5" ht="15.75" customHeight="1" x14ac:dyDescent="0.4">
      <c r="A1285" s="24" t="s">
        <v>491</v>
      </c>
      <c r="B1285" s="24" t="s">
        <v>2187</v>
      </c>
      <c r="C1285" s="24">
        <v>0.394098</v>
      </c>
      <c r="E1285" s="24">
        <v>0.39133600000000002</v>
      </c>
    </row>
    <row r="1286" spans="1:5" ht="15.75" customHeight="1" x14ac:dyDescent="0.4">
      <c r="A1286" s="24" t="s">
        <v>1008</v>
      </c>
      <c r="B1286" s="24" t="s">
        <v>2187</v>
      </c>
      <c r="C1286" s="24">
        <v>0.34827200000000003</v>
      </c>
      <c r="E1286" s="24">
        <v>0.34583199999999997</v>
      </c>
    </row>
    <row r="1287" spans="1:5" ht="15.75" customHeight="1" x14ac:dyDescent="0.4">
      <c r="A1287" s="24" t="s">
        <v>776</v>
      </c>
      <c r="B1287" s="24" t="s">
        <v>2187</v>
      </c>
      <c r="C1287" s="24">
        <v>0.311612</v>
      </c>
      <c r="E1287" s="24">
        <v>0.30942799999999998</v>
      </c>
    </row>
    <row r="1288" spans="1:5" ht="15.75" customHeight="1" x14ac:dyDescent="0.4">
      <c r="A1288" s="24" t="s">
        <v>1346</v>
      </c>
      <c r="B1288" s="24" t="s">
        <v>2187</v>
      </c>
      <c r="C1288" s="24">
        <v>0.25662200000000002</v>
      </c>
      <c r="E1288" s="24">
        <v>0.25482300000000002</v>
      </c>
    </row>
    <row r="1289" spans="1:5" ht="15.75" customHeight="1" x14ac:dyDescent="0.4">
      <c r="A1289" s="24" t="s">
        <v>1873</v>
      </c>
      <c r="B1289" s="24" t="s">
        <v>2187</v>
      </c>
      <c r="C1289" s="24">
        <v>0.17413600000000001</v>
      </c>
      <c r="E1289" s="24">
        <v>0.17291599999999999</v>
      </c>
    </row>
    <row r="1290" spans="1:5" ht="15.75" customHeight="1" x14ac:dyDescent="0.4">
      <c r="A1290" s="24" t="s">
        <v>1945</v>
      </c>
      <c r="B1290" s="24" t="s">
        <v>2187</v>
      </c>
      <c r="C1290" s="24">
        <v>0.17413600000000001</v>
      </c>
      <c r="E1290" s="24">
        <v>0.17291599999999999</v>
      </c>
    </row>
    <row r="1291" spans="1:5" ht="15.75" customHeight="1" x14ac:dyDescent="0.4">
      <c r="A1291" s="24" t="s">
        <v>629</v>
      </c>
      <c r="B1291" s="24" t="s">
        <v>2187</v>
      </c>
      <c r="C1291" s="24">
        <v>0.16497100000000001</v>
      </c>
      <c r="E1291" s="24">
        <v>0.16381499999999999</v>
      </c>
    </row>
    <row r="1292" spans="1:5" ht="15.75" customHeight="1" x14ac:dyDescent="0.4">
      <c r="A1292" s="24" t="s">
        <v>1783</v>
      </c>
      <c r="B1292" s="24" t="s">
        <v>2187</v>
      </c>
      <c r="C1292" s="24">
        <v>0.100816</v>
      </c>
      <c r="E1292" s="24">
        <v>0.100109</v>
      </c>
    </row>
    <row r="1293" spans="1:5" ht="15.75" customHeight="1" x14ac:dyDescent="0.4">
      <c r="A1293" s="24" t="s">
        <v>1011</v>
      </c>
      <c r="B1293" s="24" t="s">
        <v>2187</v>
      </c>
      <c r="C1293" s="24">
        <v>6.4155000000000004E-2</v>
      </c>
      <c r="E1293" s="24">
        <v>6.3705999999999999E-2</v>
      </c>
    </row>
    <row r="1294" spans="1:5" ht="15.75" customHeight="1" x14ac:dyDescent="0.4">
      <c r="A1294" s="24" t="s">
        <v>2139</v>
      </c>
      <c r="B1294" s="24" t="s">
        <v>2188</v>
      </c>
      <c r="C1294" s="24">
        <v>86.07</v>
      </c>
      <c r="D1294" s="24">
        <v>19.3</v>
      </c>
      <c r="E1294" s="24">
        <v>100</v>
      </c>
    </row>
    <row r="1295" spans="1:5" ht="15.75" customHeight="1" x14ac:dyDescent="0.4">
      <c r="A1295" s="24" t="s">
        <v>1385</v>
      </c>
      <c r="B1295" s="24" t="s">
        <v>2188</v>
      </c>
      <c r="C1295" s="24">
        <v>56.49</v>
      </c>
      <c r="D1295" s="24">
        <v>54.24</v>
      </c>
      <c r="E1295" s="24">
        <v>100</v>
      </c>
    </row>
    <row r="1296" spans="1:5" ht="15.75" customHeight="1" x14ac:dyDescent="0.4">
      <c r="A1296" s="24" t="s">
        <v>1141</v>
      </c>
      <c r="B1296" s="24" t="s">
        <v>2189</v>
      </c>
      <c r="C1296" s="24">
        <v>100</v>
      </c>
      <c r="D1296" s="24">
        <v>61.74</v>
      </c>
      <c r="E1296" s="24">
        <v>100</v>
      </c>
    </row>
    <row r="1297" spans="1:5" ht="15.75" customHeight="1" x14ac:dyDescent="0.4">
      <c r="A1297" s="24" t="s">
        <v>1206</v>
      </c>
      <c r="B1297" s="24" t="s">
        <v>2190</v>
      </c>
      <c r="C1297" s="24">
        <v>89.63</v>
      </c>
      <c r="D1297" s="24">
        <v>28.34</v>
      </c>
      <c r="E1297" s="24">
        <v>100</v>
      </c>
    </row>
    <row r="1298" spans="1:5" ht="15.75" customHeight="1" x14ac:dyDescent="0.4">
      <c r="A1298" s="24" t="s">
        <v>1226</v>
      </c>
      <c r="B1298" s="24" t="s">
        <v>2188</v>
      </c>
      <c r="C1298" s="24">
        <v>80.599999999999994</v>
      </c>
      <c r="D1298" s="24">
        <v>99.76</v>
      </c>
      <c r="E1298" s="24">
        <v>100</v>
      </c>
    </row>
    <row r="1299" spans="1:5" ht="15.75" customHeight="1" x14ac:dyDescent="0.4">
      <c r="A1299" s="24" t="s">
        <v>1797</v>
      </c>
      <c r="B1299" s="24" t="s">
        <v>2188</v>
      </c>
      <c r="C1299" s="24">
        <v>34.9</v>
      </c>
      <c r="D1299" s="24">
        <v>100.06</v>
      </c>
      <c r="E1299" s="24">
        <v>100</v>
      </c>
    </row>
    <row r="1300" spans="1:5" ht="15.75" customHeight="1" x14ac:dyDescent="0.4">
      <c r="A1300" s="24" t="s">
        <v>1436</v>
      </c>
      <c r="B1300" s="24" t="s">
        <v>2188</v>
      </c>
      <c r="C1300" s="24">
        <v>99.6</v>
      </c>
      <c r="D1300" s="24">
        <v>0.91</v>
      </c>
      <c r="E1300" s="24">
        <v>100</v>
      </c>
    </row>
    <row r="1301" spans="1:5" ht="15.75" customHeight="1" x14ac:dyDescent="0.4">
      <c r="A1301" s="24" t="s">
        <v>1097</v>
      </c>
      <c r="B1301" s="24" t="s">
        <v>2191</v>
      </c>
      <c r="C1301" s="24">
        <v>100</v>
      </c>
      <c r="E1301" s="24">
        <v>100</v>
      </c>
    </row>
    <row r="1302" spans="1:5" ht="15.75" customHeight="1" x14ac:dyDescent="0.4">
      <c r="A1302" s="24" t="s">
        <v>1218</v>
      </c>
      <c r="B1302" s="24" t="s">
        <v>2190</v>
      </c>
      <c r="C1302" s="24">
        <v>69.62</v>
      </c>
      <c r="D1302" s="24">
        <v>30.29</v>
      </c>
      <c r="E1302" s="24">
        <v>100</v>
      </c>
    </row>
    <row r="1303" spans="1:5" ht="15.75" customHeight="1" x14ac:dyDescent="0.4">
      <c r="A1303" s="24" t="s">
        <v>595</v>
      </c>
      <c r="B1303" s="24" t="s">
        <v>2188</v>
      </c>
      <c r="C1303" s="24">
        <v>86.43</v>
      </c>
      <c r="D1303" s="24">
        <v>13.58</v>
      </c>
      <c r="E1303" s="24">
        <v>100</v>
      </c>
    </row>
    <row r="1304" spans="1:5" ht="15.75" customHeight="1" x14ac:dyDescent="0.4">
      <c r="A1304" s="24" t="s">
        <v>1301</v>
      </c>
      <c r="B1304" s="24" t="s">
        <v>2191</v>
      </c>
      <c r="C1304" s="24">
        <v>100</v>
      </c>
      <c r="D1304" s="24">
        <v>30.91</v>
      </c>
      <c r="E1304" s="24">
        <v>100</v>
      </c>
    </row>
    <row r="1305" spans="1:5" ht="15.75" customHeight="1" x14ac:dyDescent="0.4">
      <c r="A1305" s="24" t="s">
        <v>2068</v>
      </c>
      <c r="B1305" s="24" t="s">
        <v>2188</v>
      </c>
      <c r="C1305" s="24">
        <v>99.96</v>
      </c>
      <c r="D1305" s="24">
        <v>1.04</v>
      </c>
      <c r="E1305" s="24">
        <v>100</v>
      </c>
    </row>
    <row r="1306" spans="1:5" ht="15.75" customHeight="1" x14ac:dyDescent="0.4">
      <c r="A1306" s="24" t="s">
        <v>744</v>
      </c>
      <c r="B1306" s="24" t="s">
        <v>2190</v>
      </c>
      <c r="C1306" s="24">
        <v>100</v>
      </c>
      <c r="E1306" s="24">
        <v>100</v>
      </c>
    </row>
    <row r="1307" spans="1:5" ht="15.75" customHeight="1" x14ac:dyDescent="0.4">
      <c r="A1307" s="24" t="s">
        <v>1846</v>
      </c>
      <c r="B1307" s="24" t="s">
        <v>2188</v>
      </c>
      <c r="C1307" s="24">
        <v>99.87</v>
      </c>
      <c r="D1307" s="24">
        <v>100.06</v>
      </c>
      <c r="E1307" s="24">
        <v>100</v>
      </c>
    </row>
    <row r="1308" spans="1:5" ht="15.75" customHeight="1" x14ac:dyDescent="0.4">
      <c r="A1308" s="24" t="s">
        <v>2088</v>
      </c>
      <c r="B1308" s="24" t="s">
        <v>2188</v>
      </c>
      <c r="C1308" s="24">
        <v>99.28</v>
      </c>
      <c r="D1308" s="24">
        <v>0.75</v>
      </c>
      <c r="E1308" s="24">
        <v>100</v>
      </c>
    </row>
    <row r="1309" spans="1:5" ht="15.75" customHeight="1" x14ac:dyDescent="0.4">
      <c r="A1309" s="24" t="s">
        <v>1286</v>
      </c>
      <c r="B1309" s="24" t="s">
        <v>2188</v>
      </c>
      <c r="C1309" s="24">
        <v>100</v>
      </c>
      <c r="E1309" s="24">
        <v>100</v>
      </c>
    </row>
    <row r="1310" spans="1:5" ht="15.75" customHeight="1" x14ac:dyDescent="0.4">
      <c r="A1310" s="24" t="s">
        <v>1168</v>
      </c>
      <c r="B1310" s="24" t="s">
        <v>2190</v>
      </c>
      <c r="C1310" s="24">
        <v>100</v>
      </c>
      <c r="E1310" s="24">
        <v>100</v>
      </c>
    </row>
    <row r="1311" spans="1:5" ht="15.75" customHeight="1" x14ac:dyDescent="0.4">
      <c r="A1311" s="24" t="s">
        <v>1832</v>
      </c>
      <c r="B1311" s="24" t="s">
        <v>2190</v>
      </c>
      <c r="C1311" s="24">
        <v>100</v>
      </c>
      <c r="D1311" s="24">
        <v>1.8</v>
      </c>
      <c r="E1311" s="24">
        <v>100</v>
      </c>
    </row>
    <row r="1312" spans="1:5" ht="15.75" customHeight="1" x14ac:dyDescent="0.4">
      <c r="A1312" s="24" t="s">
        <v>2044</v>
      </c>
      <c r="B1312" s="24" t="s">
        <v>2192</v>
      </c>
      <c r="C1312" s="24">
        <v>100</v>
      </c>
      <c r="E1312" s="24">
        <v>100</v>
      </c>
    </row>
    <row r="1313" spans="1:5" ht="15.75" customHeight="1" x14ac:dyDescent="0.4">
      <c r="A1313" s="24" t="s">
        <v>1586</v>
      </c>
      <c r="B1313" s="24" t="s">
        <v>2188</v>
      </c>
      <c r="C1313" s="24">
        <v>74.11</v>
      </c>
      <c r="D1313" s="24">
        <v>90.45</v>
      </c>
      <c r="E1313" s="24">
        <v>100</v>
      </c>
    </row>
    <row r="1314" spans="1:5" ht="15.75" customHeight="1" x14ac:dyDescent="0.4">
      <c r="A1314" s="24" t="s">
        <v>1998</v>
      </c>
      <c r="B1314" s="24" t="s">
        <v>2188</v>
      </c>
      <c r="C1314" s="24">
        <v>90.14</v>
      </c>
      <c r="D1314" s="24">
        <v>9.91</v>
      </c>
      <c r="E1314" s="24">
        <v>100</v>
      </c>
    </row>
    <row r="1315" spans="1:5" ht="15.75" customHeight="1" x14ac:dyDescent="0.4">
      <c r="A1315" s="24" t="s">
        <v>831</v>
      </c>
      <c r="B1315" s="24" t="s">
        <v>2188</v>
      </c>
      <c r="C1315" s="24">
        <v>99.93</v>
      </c>
      <c r="D1315" s="24">
        <v>0.79</v>
      </c>
      <c r="E1315" s="24">
        <v>100</v>
      </c>
    </row>
    <row r="1316" spans="1:5" ht="15.75" customHeight="1" x14ac:dyDescent="0.4">
      <c r="A1316" s="24" t="s">
        <v>2038</v>
      </c>
      <c r="B1316" s="24" t="s">
        <v>2188</v>
      </c>
      <c r="C1316" s="24">
        <v>99.87</v>
      </c>
      <c r="D1316" s="24">
        <v>0.18</v>
      </c>
      <c r="E1316" s="24">
        <v>100</v>
      </c>
    </row>
    <row r="1317" spans="1:5" ht="15.75" customHeight="1" x14ac:dyDescent="0.4">
      <c r="A1317" s="24" t="s">
        <v>1946</v>
      </c>
      <c r="B1317" s="24" t="s">
        <v>2191</v>
      </c>
      <c r="C1317" s="24">
        <v>100</v>
      </c>
      <c r="D1317" s="24">
        <v>0</v>
      </c>
      <c r="E1317" s="24">
        <v>100</v>
      </c>
    </row>
    <row r="1318" spans="1:5" ht="15.75" customHeight="1" x14ac:dyDescent="0.4">
      <c r="A1318" s="24" t="s">
        <v>1329</v>
      </c>
      <c r="B1318" s="24" t="s">
        <v>2188</v>
      </c>
      <c r="C1318" s="24">
        <v>99.6</v>
      </c>
      <c r="D1318" s="24">
        <v>100.06</v>
      </c>
      <c r="E1318" s="24">
        <v>100</v>
      </c>
    </row>
    <row r="1319" spans="1:5" ht="15.75" customHeight="1" x14ac:dyDescent="0.4">
      <c r="A1319" s="24" t="s">
        <v>1542</v>
      </c>
      <c r="B1319" s="24" t="s">
        <v>2193</v>
      </c>
      <c r="C1319" s="24">
        <v>100</v>
      </c>
      <c r="D1319" s="24">
        <v>100</v>
      </c>
      <c r="E1319" s="24">
        <v>100</v>
      </c>
    </row>
    <row r="1320" spans="1:5" ht="15.75" customHeight="1" x14ac:dyDescent="0.4">
      <c r="A1320" s="24" t="s">
        <v>2094</v>
      </c>
      <c r="B1320" s="24" t="s">
        <v>2188</v>
      </c>
      <c r="C1320" s="24">
        <v>100</v>
      </c>
      <c r="E1320" s="24">
        <v>100</v>
      </c>
    </row>
    <row r="1321" spans="1:5" ht="15.75" customHeight="1" x14ac:dyDescent="0.4">
      <c r="A1321" s="24" t="s">
        <v>1917</v>
      </c>
      <c r="B1321" s="24" t="s">
        <v>2188</v>
      </c>
      <c r="C1321" s="24">
        <v>100</v>
      </c>
      <c r="E1321" s="24">
        <v>100</v>
      </c>
    </row>
    <row r="1322" spans="1:5" ht="15.75" customHeight="1" x14ac:dyDescent="0.4">
      <c r="A1322" s="24" t="s">
        <v>1836</v>
      </c>
      <c r="B1322" s="24" t="s">
        <v>2191</v>
      </c>
      <c r="C1322" s="24">
        <v>100</v>
      </c>
      <c r="E1322" s="24">
        <v>100</v>
      </c>
    </row>
    <row r="1323" spans="1:5" ht="15.75" customHeight="1" x14ac:dyDescent="0.4">
      <c r="A1323" s="24" t="s">
        <v>2141</v>
      </c>
      <c r="B1323" s="24" t="s">
        <v>2194</v>
      </c>
      <c r="C1323" s="24">
        <v>38.200000000000003</v>
      </c>
      <c r="D1323" s="24">
        <v>63.69</v>
      </c>
      <c r="E1323" s="24">
        <v>100</v>
      </c>
    </row>
    <row r="1324" spans="1:5" ht="15.75" customHeight="1" x14ac:dyDescent="0.4">
      <c r="A1324" s="24" t="s">
        <v>1292</v>
      </c>
      <c r="B1324" s="24" t="s">
        <v>2191</v>
      </c>
      <c r="C1324" s="24">
        <v>100</v>
      </c>
      <c r="D1324" s="24">
        <v>0</v>
      </c>
      <c r="E1324" s="24">
        <v>100</v>
      </c>
    </row>
    <row r="1325" spans="1:5" ht="15.75" customHeight="1" x14ac:dyDescent="0.4">
      <c r="A1325" s="24" t="s">
        <v>1022</v>
      </c>
      <c r="B1325" s="24" t="s">
        <v>2195</v>
      </c>
      <c r="C1325" s="24">
        <v>100</v>
      </c>
      <c r="D1325" s="24">
        <v>0.45</v>
      </c>
      <c r="E1325" s="24">
        <v>100</v>
      </c>
    </row>
    <row r="1326" spans="1:5" ht="15.75" customHeight="1" x14ac:dyDescent="0.4">
      <c r="A1326" s="24" t="s">
        <v>1115</v>
      </c>
      <c r="B1326" s="24" t="s">
        <v>2188</v>
      </c>
      <c r="C1326" s="24">
        <v>100</v>
      </c>
      <c r="E1326" s="24">
        <v>100</v>
      </c>
    </row>
    <row r="1327" spans="1:5" ht="15.75" customHeight="1" x14ac:dyDescent="0.4">
      <c r="A1327" s="24" t="s">
        <v>1101</v>
      </c>
      <c r="B1327" s="24" t="s">
        <v>2190</v>
      </c>
      <c r="C1327" s="24">
        <v>94.84</v>
      </c>
      <c r="D1327" s="24">
        <v>100.06</v>
      </c>
      <c r="E1327" s="24">
        <v>100</v>
      </c>
    </row>
    <row r="1328" spans="1:5" ht="15.75" customHeight="1" x14ac:dyDescent="0.4">
      <c r="A1328" s="24" t="s">
        <v>843</v>
      </c>
      <c r="B1328" s="24" t="s">
        <v>2190</v>
      </c>
      <c r="C1328" s="24">
        <v>88.89</v>
      </c>
      <c r="D1328" s="24">
        <v>11.47</v>
      </c>
      <c r="E1328" s="24">
        <v>100</v>
      </c>
    </row>
    <row r="1329" spans="1:5" ht="15.75" customHeight="1" x14ac:dyDescent="0.4">
      <c r="A1329" s="24" t="s">
        <v>1369</v>
      </c>
      <c r="B1329" s="24" t="s">
        <v>2188</v>
      </c>
      <c r="C1329" s="24">
        <v>100</v>
      </c>
      <c r="E1329" s="24">
        <v>100</v>
      </c>
    </row>
    <row r="1330" spans="1:5" ht="15.75" customHeight="1" x14ac:dyDescent="0.4">
      <c r="A1330" s="24" t="s">
        <v>1437</v>
      </c>
      <c r="B1330" s="24" t="s">
        <v>2190</v>
      </c>
      <c r="C1330" s="24">
        <v>99.99</v>
      </c>
      <c r="D1330" s="24">
        <v>22.36</v>
      </c>
      <c r="E1330" s="24">
        <v>100</v>
      </c>
    </row>
    <row r="1331" spans="1:5" ht="15.75" customHeight="1" x14ac:dyDescent="0.4">
      <c r="A1331" s="24" t="s">
        <v>2141</v>
      </c>
      <c r="B1331" s="24" t="s">
        <v>2188</v>
      </c>
      <c r="C1331" s="24">
        <v>56.72</v>
      </c>
      <c r="D1331" s="24">
        <v>43.51</v>
      </c>
      <c r="E1331" s="24">
        <v>100</v>
      </c>
    </row>
    <row r="1332" spans="1:5" ht="15.75" customHeight="1" x14ac:dyDescent="0.4">
      <c r="A1332" s="24" t="s">
        <v>1475</v>
      </c>
      <c r="B1332" s="24" t="s">
        <v>2190</v>
      </c>
      <c r="C1332" s="24">
        <v>32.42</v>
      </c>
      <c r="D1332" s="24">
        <v>69.42</v>
      </c>
      <c r="E1332" s="24">
        <v>100</v>
      </c>
    </row>
    <row r="1333" spans="1:5" ht="15.75" customHeight="1" x14ac:dyDescent="0.4">
      <c r="A1333" s="24" t="s">
        <v>1424</v>
      </c>
      <c r="B1333" s="24" t="s">
        <v>2188</v>
      </c>
      <c r="C1333" s="24">
        <v>100</v>
      </c>
      <c r="E1333" s="24">
        <v>100</v>
      </c>
    </row>
    <row r="1334" spans="1:5" ht="15.75" customHeight="1" x14ac:dyDescent="0.4">
      <c r="A1334" s="24" t="s">
        <v>788</v>
      </c>
      <c r="B1334" s="24" t="s">
        <v>2188</v>
      </c>
      <c r="C1334" s="24">
        <v>100</v>
      </c>
      <c r="E1334" s="24">
        <v>100</v>
      </c>
    </row>
    <row r="1335" spans="1:5" ht="15.75" customHeight="1" x14ac:dyDescent="0.4">
      <c r="A1335" s="24" t="s">
        <v>1001</v>
      </c>
      <c r="B1335" s="24" t="s">
        <v>2190</v>
      </c>
      <c r="C1335" s="24">
        <v>100</v>
      </c>
      <c r="D1335" s="24">
        <v>2.8</v>
      </c>
      <c r="E1335" s="24">
        <v>100</v>
      </c>
    </row>
    <row r="1336" spans="1:5" ht="15.75" customHeight="1" x14ac:dyDescent="0.4">
      <c r="A1336" s="24" t="s">
        <v>1180</v>
      </c>
      <c r="B1336" s="24" t="s">
        <v>2188</v>
      </c>
      <c r="C1336" s="24">
        <v>99.77</v>
      </c>
      <c r="D1336" s="24">
        <v>0.81</v>
      </c>
      <c r="E1336" s="24">
        <v>100</v>
      </c>
    </row>
    <row r="1337" spans="1:5" ht="15.75" customHeight="1" x14ac:dyDescent="0.4">
      <c r="A1337" s="24" t="s">
        <v>1224</v>
      </c>
      <c r="B1337" s="24" t="s">
        <v>2190</v>
      </c>
      <c r="C1337" s="24">
        <v>88.83</v>
      </c>
      <c r="D1337" s="24">
        <v>100.06</v>
      </c>
      <c r="E1337" s="24">
        <v>100</v>
      </c>
    </row>
    <row r="1338" spans="1:5" ht="15.75" customHeight="1" x14ac:dyDescent="0.4">
      <c r="A1338" s="24" t="s">
        <v>2054</v>
      </c>
      <c r="B1338" s="24" t="s">
        <v>2188</v>
      </c>
      <c r="C1338" s="24">
        <v>74.400000000000006</v>
      </c>
      <c r="D1338" s="24">
        <v>25.65</v>
      </c>
      <c r="E1338" s="24">
        <v>100</v>
      </c>
    </row>
    <row r="1339" spans="1:5" ht="15.75" customHeight="1" x14ac:dyDescent="0.4">
      <c r="A1339" s="24" t="s">
        <v>1093</v>
      </c>
      <c r="B1339" s="24" t="s">
        <v>2190</v>
      </c>
      <c r="C1339" s="24">
        <v>100</v>
      </c>
      <c r="D1339" s="24">
        <v>79.86</v>
      </c>
      <c r="E1339" s="24">
        <v>100</v>
      </c>
    </row>
    <row r="1340" spans="1:5" ht="15.75" customHeight="1" x14ac:dyDescent="0.4">
      <c r="A1340" s="24" t="s">
        <v>1844</v>
      </c>
      <c r="B1340" s="24" t="s">
        <v>2190</v>
      </c>
      <c r="C1340" s="24">
        <v>100</v>
      </c>
      <c r="D1340" s="24">
        <v>14.04</v>
      </c>
      <c r="E1340" s="24">
        <v>100</v>
      </c>
    </row>
    <row r="1341" spans="1:5" ht="15.75" customHeight="1" x14ac:dyDescent="0.4">
      <c r="A1341" s="24" t="s">
        <v>1174</v>
      </c>
      <c r="B1341" s="24" t="s">
        <v>2190</v>
      </c>
      <c r="C1341" s="24">
        <v>87.16</v>
      </c>
      <c r="D1341" s="24">
        <v>13.2</v>
      </c>
      <c r="E1341" s="24">
        <v>100</v>
      </c>
    </row>
    <row r="1342" spans="1:5" ht="15.75" customHeight="1" x14ac:dyDescent="0.4">
      <c r="A1342" s="24" t="s">
        <v>1073</v>
      </c>
      <c r="B1342" s="24" t="s">
        <v>2190</v>
      </c>
      <c r="C1342" s="24">
        <v>100</v>
      </c>
      <c r="D1342" s="24">
        <v>99.57</v>
      </c>
      <c r="E1342" s="24">
        <v>100</v>
      </c>
    </row>
    <row r="1343" spans="1:5" ht="15.75" customHeight="1" x14ac:dyDescent="0.4">
      <c r="A1343" s="24" t="s">
        <v>1082</v>
      </c>
      <c r="B1343" s="24" t="s">
        <v>2190</v>
      </c>
      <c r="C1343" s="24">
        <v>100</v>
      </c>
      <c r="E1343" s="24">
        <v>100</v>
      </c>
    </row>
    <row r="1344" spans="1:5" ht="15.75" customHeight="1" x14ac:dyDescent="0.4">
      <c r="A1344" s="24" t="s">
        <v>2153</v>
      </c>
      <c r="B1344" s="24" t="s">
        <v>2188</v>
      </c>
      <c r="C1344" s="24">
        <v>100</v>
      </c>
      <c r="E1344" s="24">
        <v>100</v>
      </c>
    </row>
    <row r="1345" spans="1:5" ht="15.75" customHeight="1" x14ac:dyDescent="0.4">
      <c r="A1345" s="24" t="s">
        <v>1619</v>
      </c>
      <c r="B1345" s="24" t="s">
        <v>2188</v>
      </c>
      <c r="C1345" s="24">
        <v>97.17</v>
      </c>
      <c r="D1345" s="24">
        <v>47.35</v>
      </c>
      <c r="E1345" s="24">
        <v>100</v>
      </c>
    </row>
    <row r="1346" spans="1:5" ht="15.75" customHeight="1" x14ac:dyDescent="0.4">
      <c r="A1346" s="24" t="s">
        <v>1793</v>
      </c>
      <c r="B1346" s="24" t="s">
        <v>2188</v>
      </c>
      <c r="C1346" s="24">
        <v>100</v>
      </c>
      <c r="E1346" s="24">
        <v>100</v>
      </c>
    </row>
    <row r="1347" spans="1:5" ht="15.75" customHeight="1" x14ac:dyDescent="0.4">
      <c r="A1347" s="24" t="s">
        <v>1589</v>
      </c>
      <c r="B1347" s="24" t="s">
        <v>2190</v>
      </c>
      <c r="C1347" s="24">
        <v>100</v>
      </c>
      <c r="D1347" s="24">
        <v>2.5099999999999998</v>
      </c>
      <c r="E1347" s="24">
        <v>100</v>
      </c>
    </row>
    <row r="1348" spans="1:5" ht="15.75" customHeight="1" x14ac:dyDescent="0.4">
      <c r="A1348" s="24" t="s">
        <v>1405</v>
      </c>
      <c r="B1348" s="24" t="s">
        <v>2188</v>
      </c>
      <c r="C1348" s="24">
        <v>99.88</v>
      </c>
      <c r="D1348" s="24">
        <v>77.11</v>
      </c>
      <c r="E1348" s="24">
        <v>100</v>
      </c>
    </row>
    <row r="1349" spans="1:5" ht="15.75" customHeight="1" x14ac:dyDescent="0.4">
      <c r="A1349" s="24" t="s">
        <v>1685</v>
      </c>
      <c r="B1349" s="24" t="s">
        <v>2190</v>
      </c>
      <c r="C1349" s="24">
        <v>25.92</v>
      </c>
      <c r="D1349" s="24">
        <v>100.06</v>
      </c>
      <c r="E1349" s="24">
        <v>100</v>
      </c>
    </row>
    <row r="1350" spans="1:5" ht="15.75" customHeight="1" x14ac:dyDescent="0.4">
      <c r="A1350" s="24" t="s">
        <v>845</v>
      </c>
      <c r="B1350" s="24" t="s">
        <v>2188</v>
      </c>
      <c r="C1350" s="24">
        <v>100</v>
      </c>
      <c r="E1350" s="24">
        <v>100</v>
      </c>
    </row>
    <row r="1351" spans="1:5" ht="15.75" customHeight="1" x14ac:dyDescent="0.4">
      <c r="A1351" s="24" t="s">
        <v>1544</v>
      </c>
      <c r="B1351" s="24" t="s">
        <v>2188</v>
      </c>
      <c r="C1351" s="24">
        <v>75.010000000000005</v>
      </c>
      <c r="D1351" s="24">
        <v>80.33</v>
      </c>
      <c r="E1351" s="24">
        <v>100</v>
      </c>
    </row>
    <row r="1352" spans="1:5" ht="15.75" customHeight="1" x14ac:dyDescent="0.4">
      <c r="A1352" s="24" t="s">
        <v>1477</v>
      </c>
      <c r="B1352" s="24" t="s">
        <v>2188</v>
      </c>
      <c r="C1352" s="24">
        <v>99.87</v>
      </c>
      <c r="D1352" s="24">
        <v>0.13</v>
      </c>
      <c r="E1352" s="24">
        <v>100</v>
      </c>
    </row>
    <row r="1353" spans="1:5" ht="15.75" customHeight="1" x14ac:dyDescent="0.4">
      <c r="A1353" s="24" t="s">
        <v>1312</v>
      </c>
      <c r="B1353" s="24" t="s">
        <v>2188</v>
      </c>
      <c r="C1353" s="24">
        <v>100</v>
      </c>
      <c r="D1353" s="24">
        <v>3.81</v>
      </c>
      <c r="E1353" s="24">
        <v>100</v>
      </c>
    </row>
    <row r="1354" spans="1:5" ht="15.75" customHeight="1" x14ac:dyDescent="0.4">
      <c r="A1354" s="24" t="s">
        <v>861</v>
      </c>
      <c r="B1354" s="24" t="s">
        <v>2188</v>
      </c>
      <c r="C1354" s="24">
        <v>92.21</v>
      </c>
      <c r="D1354" s="24">
        <v>8.7200000000000006</v>
      </c>
      <c r="E1354" s="24">
        <v>100</v>
      </c>
    </row>
    <row r="1355" spans="1:5" ht="15.75" customHeight="1" x14ac:dyDescent="0.4">
      <c r="A1355" s="24" t="s">
        <v>1260</v>
      </c>
      <c r="B1355" s="24" t="s">
        <v>2188</v>
      </c>
      <c r="C1355" s="24">
        <v>97.02</v>
      </c>
      <c r="D1355" s="24">
        <v>100.06</v>
      </c>
      <c r="E1355" s="24">
        <v>100</v>
      </c>
    </row>
    <row r="1356" spans="1:5" ht="15.75" customHeight="1" x14ac:dyDescent="0.4">
      <c r="A1356" s="24" t="s">
        <v>1789</v>
      </c>
      <c r="B1356" s="24" t="s">
        <v>2190</v>
      </c>
      <c r="C1356" s="24">
        <v>100</v>
      </c>
      <c r="D1356" s="24">
        <v>0.02</v>
      </c>
      <c r="E1356" s="24">
        <v>100</v>
      </c>
    </row>
    <row r="1357" spans="1:5" ht="15.75" customHeight="1" x14ac:dyDescent="0.4">
      <c r="A1357" s="24" t="s">
        <v>1442</v>
      </c>
      <c r="B1357" s="24" t="s">
        <v>2188</v>
      </c>
      <c r="C1357" s="24">
        <v>99.6</v>
      </c>
      <c r="D1357" s="24">
        <v>88.9</v>
      </c>
      <c r="E1357" s="24">
        <v>100</v>
      </c>
    </row>
    <row r="1358" spans="1:5" ht="15.75" customHeight="1" x14ac:dyDescent="0.4">
      <c r="A1358" s="24" t="s">
        <v>890</v>
      </c>
      <c r="B1358" s="24" t="s">
        <v>2193</v>
      </c>
      <c r="C1358" s="24">
        <v>100</v>
      </c>
      <c r="D1358" s="24">
        <v>100</v>
      </c>
      <c r="E1358" s="24">
        <v>100</v>
      </c>
    </row>
    <row r="1359" spans="1:5" ht="15.75" customHeight="1" x14ac:dyDescent="0.4">
      <c r="A1359" s="24" t="s">
        <v>1213</v>
      </c>
      <c r="B1359" s="24" t="s">
        <v>2191</v>
      </c>
      <c r="C1359" s="24">
        <v>100</v>
      </c>
      <c r="E1359" s="24">
        <v>100</v>
      </c>
    </row>
    <row r="1360" spans="1:5" ht="15.75" customHeight="1" x14ac:dyDescent="0.4">
      <c r="A1360" s="24" t="s">
        <v>1377</v>
      </c>
      <c r="B1360" s="24" t="s">
        <v>2196</v>
      </c>
      <c r="C1360" s="24">
        <v>65.64</v>
      </c>
      <c r="D1360" s="24">
        <v>35.33</v>
      </c>
      <c r="E1360" s="24">
        <v>100</v>
      </c>
    </row>
    <row r="1361" spans="1:5" ht="15.75" customHeight="1" x14ac:dyDescent="0.4">
      <c r="A1361" s="24" t="s">
        <v>1246</v>
      </c>
      <c r="B1361" s="24" t="s">
        <v>2192</v>
      </c>
      <c r="C1361" s="24">
        <v>100</v>
      </c>
      <c r="E1361" s="24">
        <v>100</v>
      </c>
    </row>
    <row r="1362" spans="1:5" ht="15.75" customHeight="1" x14ac:dyDescent="0.4">
      <c r="A1362" s="24" t="s">
        <v>1186</v>
      </c>
      <c r="B1362" s="24" t="s">
        <v>2190</v>
      </c>
      <c r="C1362" s="24">
        <v>100</v>
      </c>
      <c r="E1362" s="24">
        <v>100</v>
      </c>
    </row>
    <row r="1363" spans="1:5" ht="15.75" customHeight="1" x14ac:dyDescent="0.4">
      <c r="A1363" s="24" t="s">
        <v>2104</v>
      </c>
      <c r="B1363" s="24" t="s">
        <v>2190</v>
      </c>
      <c r="C1363" s="24">
        <v>86.58</v>
      </c>
      <c r="D1363" s="24">
        <v>89.94</v>
      </c>
      <c r="E1363" s="24">
        <v>100</v>
      </c>
    </row>
    <row r="1364" spans="1:5" ht="15.75" customHeight="1" x14ac:dyDescent="0.4">
      <c r="A1364" s="24" t="s">
        <v>1853</v>
      </c>
      <c r="B1364" s="24" t="s">
        <v>2188</v>
      </c>
      <c r="C1364" s="24">
        <v>100</v>
      </c>
      <c r="D1364" s="24">
        <v>1.87</v>
      </c>
      <c r="E1364" s="24">
        <v>100</v>
      </c>
    </row>
    <row r="1365" spans="1:5" ht="15.75" customHeight="1" x14ac:dyDescent="0.4">
      <c r="A1365" s="24" t="s">
        <v>2025</v>
      </c>
      <c r="B1365" s="24" t="s">
        <v>2188</v>
      </c>
      <c r="C1365" s="24">
        <v>99.93</v>
      </c>
      <c r="D1365" s="24">
        <v>0.28000000000000003</v>
      </c>
      <c r="E1365" s="24">
        <v>100</v>
      </c>
    </row>
    <row r="1366" spans="1:5" ht="15.75" customHeight="1" x14ac:dyDescent="0.4">
      <c r="A1366" s="24" t="s">
        <v>1556</v>
      </c>
      <c r="B1366" s="24" t="s">
        <v>2192</v>
      </c>
      <c r="C1366" s="24">
        <v>100</v>
      </c>
      <c r="D1366" s="24">
        <v>0.27</v>
      </c>
      <c r="E1366" s="24">
        <v>100</v>
      </c>
    </row>
    <row r="1367" spans="1:5" ht="15.75" customHeight="1" x14ac:dyDescent="0.4">
      <c r="A1367" s="24" t="s">
        <v>1041</v>
      </c>
      <c r="B1367" s="24" t="s">
        <v>2190</v>
      </c>
      <c r="C1367" s="24">
        <v>70.23</v>
      </c>
      <c r="D1367" s="24">
        <v>100.06</v>
      </c>
      <c r="E1367" s="24">
        <v>100</v>
      </c>
    </row>
    <row r="1368" spans="1:5" ht="15.75" customHeight="1" x14ac:dyDescent="0.4">
      <c r="A1368" s="24" t="s">
        <v>909</v>
      </c>
      <c r="B1368" s="24" t="s">
        <v>2190</v>
      </c>
      <c r="C1368" s="24">
        <v>100</v>
      </c>
      <c r="E1368" s="24">
        <v>100</v>
      </c>
    </row>
    <row r="1369" spans="1:5" ht="15.75" customHeight="1" x14ac:dyDescent="0.4">
      <c r="A1369" s="24" t="s">
        <v>1184</v>
      </c>
      <c r="B1369" s="24" t="s">
        <v>2191</v>
      </c>
      <c r="C1369" s="24">
        <v>100</v>
      </c>
      <c r="D1369" s="24">
        <v>0.32</v>
      </c>
      <c r="E1369" s="24">
        <v>100</v>
      </c>
    </row>
    <row r="1370" spans="1:5" ht="15.75" customHeight="1" x14ac:dyDescent="0.4">
      <c r="A1370" s="24" t="s">
        <v>1684</v>
      </c>
      <c r="B1370" s="24" t="s">
        <v>2188</v>
      </c>
      <c r="C1370" s="24">
        <v>100</v>
      </c>
      <c r="E1370" s="24">
        <v>100</v>
      </c>
    </row>
    <row r="1371" spans="1:5" ht="15.75" customHeight="1" x14ac:dyDescent="0.4">
      <c r="A1371" s="24" t="s">
        <v>1518</v>
      </c>
      <c r="B1371" s="24" t="s">
        <v>2188</v>
      </c>
      <c r="C1371" s="24">
        <v>100</v>
      </c>
      <c r="E1371" s="24">
        <v>100</v>
      </c>
    </row>
    <row r="1372" spans="1:5" ht="15.75" customHeight="1" x14ac:dyDescent="0.4">
      <c r="A1372" s="24" t="s">
        <v>1344</v>
      </c>
      <c r="B1372" s="24" t="s">
        <v>2188</v>
      </c>
      <c r="C1372" s="24">
        <v>81.42</v>
      </c>
      <c r="D1372" s="24">
        <v>18.52</v>
      </c>
      <c r="E1372" s="24">
        <v>100</v>
      </c>
    </row>
    <row r="1373" spans="1:5" ht="15.75" customHeight="1" x14ac:dyDescent="0.4">
      <c r="A1373" s="24" t="s">
        <v>893</v>
      </c>
      <c r="B1373" s="24" t="s">
        <v>2188</v>
      </c>
      <c r="C1373" s="24">
        <v>100</v>
      </c>
      <c r="D1373" s="24">
        <v>7.45</v>
      </c>
      <c r="E1373" s="24">
        <v>100</v>
      </c>
    </row>
    <row r="1374" spans="1:5" ht="15.75" customHeight="1" x14ac:dyDescent="0.4">
      <c r="A1374" s="24" t="s">
        <v>1956</v>
      </c>
      <c r="B1374" s="24" t="s">
        <v>2188</v>
      </c>
      <c r="C1374" s="24">
        <v>99.75</v>
      </c>
      <c r="D1374" s="24">
        <v>1.73</v>
      </c>
      <c r="E1374" s="24">
        <v>100</v>
      </c>
    </row>
    <row r="1375" spans="1:5" ht="15.75" customHeight="1" x14ac:dyDescent="0.4">
      <c r="A1375" s="24" t="s">
        <v>1345</v>
      </c>
      <c r="B1375" s="24" t="s">
        <v>2195</v>
      </c>
      <c r="C1375" s="24">
        <v>100</v>
      </c>
      <c r="D1375" s="24">
        <v>0</v>
      </c>
      <c r="E1375" s="24">
        <v>100</v>
      </c>
    </row>
    <row r="1376" spans="1:5" ht="15.75" customHeight="1" x14ac:dyDescent="0.4">
      <c r="A1376" s="24" t="s">
        <v>1538</v>
      </c>
      <c r="B1376" s="24" t="s">
        <v>2188</v>
      </c>
      <c r="C1376" s="24">
        <v>99.51</v>
      </c>
      <c r="D1376" s="24">
        <v>1.1100000000000001</v>
      </c>
      <c r="E1376" s="24">
        <v>100</v>
      </c>
    </row>
    <row r="1377" spans="1:5" ht="15.75" customHeight="1" x14ac:dyDescent="0.4">
      <c r="A1377" s="24" t="s">
        <v>1230</v>
      </c>
      <c r="B1377" s="24" t="s">
        <v>2190</v>
      </c>
      <c r="C1377" s="24">
        <v>100</v>
      </c>
      <c r="D1377" s="24">
        <v>0.47</v>
      </c>
      <c r="E1377" s="24">
        <v>100</v>
      </c>
    </row>
    <row r="1378" spans="1:5" ht="15.75" customHeight="1" x14ac:dyDescent="0.4">
      <c r="A1378" s="24" t="s">
        <v>1225</v>
      </c>
      <c r="B1378" s="24" t="s">
        <v>2190</v>
      </c>
      <c r="C1378" s="24">
        <v>99.99</v>
      </c>
      <c r="E1378" s="24">
        <v>99.99</v>
      </c>
    </row>
    <row r="1379" spans="1:5" ht="15.75" customHeight="1" x14ac:dyDescent="0.4">
      <c r="A1379" s="24" t="s">
        <v>1748</v>
      </c>
      <c r="B1379" s="24" t="s">
        <v>2188</v>
      </c>
      <c r="C1379" s="24">
        <v>99.99</v>
      </c>
      <c r="E1379" s="24">
        <v>99.99</v>
      </c>
    </row>
    <row r="1380" spans="1:5" ht="15.75" customHeight="1" x14ac:dyDescent="0.4">
      <c r="A1380" s="24" t="s">
        <v>1920</v>
      </c>
      <c r="B1380" s="24" t="s">
        <v>2188</v>
      </c>
      <c r="C1380" s="24">
        <v>99.99</v>
      </c>
      <c r="E1380" s="24">
        <v>99.99</v>
      </c>
    </row>
    <row r="1381" spans="1:5" ht="15.75" customHeight="1" x14ac:dyDescent="0.4">
      <c r="A1381" s="24" t="s">
        <v>509</v>
      </c>
      <c r="B1381" s="24" t="s">
        <v>2190</v>
      </c>
      <c r="C1381" s="24">
        <v>99.94</v>
      </c>
      <c r="D1381" s="24">
        <v>0.34</v>
      </c>
      <c r="E1381" s="24">
        <v>99.98</v>
      </c>
    </row>
    <row r="1382" spans="1:5" ht="15.75" customHeight="1" x14ac:dyDescent="0.4">
      <c r="A1382" s="24" t="s">
        <v>1792</v>
      </c>
      <c r="B1382" s="24" t="s">
        <v>2191</v>
      </c>
      <c r="C1382" s="24">
        <v>99.98</v>
      </c>
      <c r="E1382" s="24">
        <v>99.98</v>
      </c>
    </row>
    <row r="1383" spans="1:5" ht="15.75" customHeight="1" x14ac:dyDescent="0.4">
      <c r="A1383" s="24" t="s">
        <v>722</v>
      </c>
      <c r="B1383" s="24" t="s">
        <v>2188</v>
      </c>
      <c r="C1383" s="24">
        <v>99.09</v>
      </c>
      <c r="D1383" s="24">
        <v>23.27</v>
      </c>
      <c r="E1383" s="24">
        <v>99.97</v>
      </c>
    </row>
    <row r="1384" spans="1:5" ht="15.75" customHeight="1" x14ac:dyDescent="0.4">
      <c r="A1384" s="24" t="s">
        <v>1583</v>
      </c>
      <c r="B1384" s="24" t="s">
        <v>2188</v>
      </c>
      <c r="C1384" s="24">
        <v>99.97</v>
      </c>
      <c r="E1384" s="24">
        <v>99.97</v>
      </c>
    </row>
    <row r="1385" spans="1:5" ht="15.75" customHeight="1" x14ac:dyDescent="0.4">
      <c r="A1385" s="24" t="s">
        <v>1666</v>
      </c>
      <c r="B1385" s="24" t="s">
        <v>2188</v>
      </c>
      <c r="C1385" s="24">
        <v>99.97</v>
      </c>
      <c r="E1385" s="24">
        <v>99.97</v>
      </c>
    </row>
    <row r="1386" spans="1:5" ht="15.75" customHeight="1" x14ac:dyDescent="0.4">
      <c r="A1386" s="24" t="s">
        <v>694</v>
      </c>
      <c r="B1386" s="24" t="s">
        <v>2188</v>
      </c>
      <c r="C1386" s="24">
        <v>99.97</v>
      </c>
      <c r="E1386" s="24">
        <v>99.97</v>
      </c>
    </row>
    <row r="1387" spans="1:5" ht="15.75" customHeight="1" x14ac:dyDescent="0.4">
      <c r="A1387" s="24" t="s">
        <v>1054</v>
      </c>
      <c r="B1387" s="24" t="s">
        <v>2190</v>
      </c>
      <c r="C1387" s="24">
        <v>86.76</v>
      </c>
      <c r="D1387" s="24">
        <v>13.15</v>
      </c>
      <c r="E1387" s="24">
        <v>99.97</v>
      </c>
    </row>
    <row r="1388" spans="1:5" ht="15.75" customHeight="1" x14ac:dyDescent="0.4">
      <c r="A1388" s="24" t="s">
        <v>1740</v>
      </c>
      <c r="B1388" s="24" t="s">
        <v>2188</v>
      </c>
      <c r="C1388" s="24">
        <v>99.96</v>
      </c>
      <c r="E1388" s="24">
        <v>99.96</v>
      </c>
    </row>
    <row r="1389" spans="1:5" ht="15.75" customHeight="1" x14ac:dyDescent="0.4">
      <c r="A1389" s="24" t="s">
        <v>940</v>
      </c>
      <c r="B1389" s="24" t="s">
        <v>2188</v>
      </c>
      <c r="C1389" s="24">
        <v>99.96</v>
      </c>
      <c r="E1389" s="24">
        <v>99.96</v>
      </c>
    </row>
    <row r="1390" spans="1:5" ht="15.75" customHeight="1" x14ac:dyDescent="0.4">
      <c r="A1390" s="24" t="s">
        <v>233</v>
      </c>
      <c r="B1390" s="24" t="s">
        <v>2188</v>
      </c>
      <c r="C1390" s="24">
        <v>99.96</v>
      </c>
      <c r="E1390" s="24">
        <v>99.96</v>
      </c>
    </row>
    <row r="1391" spans="1:5" ht="15.75" customHeight="1" x14ac:dyDescent="0.4">
      <c r="A1391" s="24" t="s">
        <v>738</v>
      </c>
      <c r="B1391" s="24" t="s">
        <v>2188</v>
      </c>
      <c r="C1391" s="24">
        <v>99.96</v>
      </c>
      <c r="E1391" s="24">
        <v>99.96</v>
      </c>
    </row>
    <row r="1392" spans="1:5" ht="15.75" customHeight="1" x14ac:dyDescent="0.4">
      <c r="A1392" s="24" t="s">
        <v>1714</v>
      </c>
      <c r="B1392" s="24" t="s">
        <v>2188</v>
      </c>
      <c r="C1392" s="24">
        <v>99.96</v>
      </c>
      <c r="E1392" s="24">
        <v>99.96</v>
      </c>
    </row>
    <row r="1393" spans="1:5" ht="15.75" customHeight="1" x14ac:dyDescent="0.4">
      <c r="A1393" s="24" t="s">
        <v>1582</v>
      </c>
      <c r="B1393" s="24" t="s">
        <v>2188</v>
      </c>
      <c r="C1393" s="24">
        <v>99.96</v>
      </c>
      <c r="E1393" s="24">
        <v>99.96</v>
      </c>
    </row>
    <row r="1394" spans="1:5" ht="15.75" customHeight="1" x14ac:dyDescent="0.4">
      <c r="A1394" s="24" t="s">
        <v>1047</v>
      </c>
      <c r="B1394" s="24" t="s">
        <v>2190</v>
      </c>
      <c r="C1394" s="24">
        <v>99.91</v>
      </c>
      <c r="D1394" s="24">
        <v>3.24</v>
      </c>
      <c r="E1394" s="24">
        <v>99.96</v>
      </c>
    </row>
    <row r="1395" spans="1:5" ht="15.75" customHeight="1" x14ac:dyDescent="0.4">
      <c r="A1395" s="24" t="s">
        <v>979</v>
      </c>
      <c r="B1395" s="24" t="s">
        <v>2188</v>
      </c>
      <c r="C1395" s="24">
        <v>99.51</v>
      </c>
      <c r="D1395" s="24">
        <v>10.84</v>
      </c>
      <c r="E1395" s="24">
        <v>99.96</v>
      </c>
    </row>
    <row r="1396" spans="1:5" ht="15.75" customHeight="1" x14ac:dyDescent="0.4">
      <c r="A1396" s="24" t="s">
        <v>1032</v>
      </c>
      <c r="B1396" s="24" t="s">
        <v>2188</v>
      </c>
      <c r="C1396" s="24">
        <v>99.96</v>
      </c>
      <c r="E1396" s="24">
        <v>99.96</v>
      </c>
    </row>
    <row r="1397" spans="1:5" ht="15.75" customHeight="1" x14ac:dyDescent="0.4">
      <c r="A1397" s="24" t="s">
        <v>2108</v>
      </c>
      <c r="B1397" s="24" t="s">
        <v>2188</v>
      </c>
      <c r="C1397" s="24">
        <v>99.96</v>
      </c>
      <c r="E1397" s="24">
        <v>99.96</v>
      </c>
    </row>
    <row r="1398" spans="1:5" ht="15.75" customHeight="1" x14ac:dyDescent="0.4">
      <c r="A1398" s="24" t="s">
        <v>1306</v>
      </c>
      <c r="B1398" s="24" t="s">
        <v>2188</v>
      </c>
      <c r="C1398" s="24">
        <v>99.96</v>
      </c>
      <c r="E1398" s="24">
        <v>99.96</v>
      </c>
    </row>
    <row r="1399" spans="1:5" ht="15.75" customHeight="1" x14ac:dyDescent="0.4">
      <c r="A1399" s="24" t="s">
        <v>1293</v>
      </c>
      <c r="B1399" s="24" t="s">
        <v>2188</v>
      </c>
      <c r="C1399" s="24">
        <v>99.96</v>
      </c>
      <c r="D1399" s="24">
        <v>0.17</v>
      </c>
      <c r="E1399" s="24">
        <v>99.96</v>
      </c>
    </row>
    <row r="1400" spans="1:5" ht="15.75" customHeight="1" x14ac:dyDescent="0.4">
      <c r="A1400" s="24" t="s">
        <v>241</v>
      </c>
      <c r="B1400" s="24" t="s">
        <v>2188</v>
      </c>
      <c r="C1400" s="24">
        <v>99.95</v>
      </c>
      <c r="E1400" s="24">
        <v>99.95</v>
      </c>
    </row>
    <row r="1401" spans="1:5" ht="15.75" customHeight="1" x14ac:dyDescent="0.4">
      <c r="A1401" s="24" t="s">
        <v>1903</v>
      </c>
      <c r="B1401" s="24" t="s">
        <v>2188</v>
      </c>
      <c r="C1401" s="24">
        <v>99.95</v>
      </c>
      <c r="E1401" s="24">
        <v>99.95</v>
      </c>
    </row>
    <row r="1402" spans="1:5" ht="15.75" customHeight="1" x14ac:dyDescent="0.4">
      <c r="A1402" s="24" t="s">
        <v>954</v>
      </c>
      <c r="B1402" s="24" t="s">
        <v>2188</v>
      </c>
      <c r="C1402" s="24">
        <v>99.94</v>
      </c>
      <c r="E1402" s="24">
        <v>99.94</v>
      </c>
    </row>
    <row r="1403" spans="1:5" ht="15.75" customHeight="1" x14ac:dyDescent="0.4">
      <c r="A1403" s="24" t="s">
        <v>1474</v>
      </c>
      <c r="B1403" s="24" t="s">
        <v>2188</v>
      </c>
      <c r="C1403" s="24">
        <v>99.94</v>
      </c>
      <c r="E1403" s="24">
        <v>99.94</v>
      </c>
    </row>
    <row r="1404" spans="1:5" ht="15.75" customHeight="1" x14ac:dyDescent="0.4">
      <c r="A1404" s="24" t="s">
        <v>1940</v>
      </c>
      <c r="B1404" s="24" t="s">
        <v>2188</v>
      </c>
      <c r="C1404" s="24">
        <v>99.94</v>
      </c>
      <c r="E1404" s="24">
        <v>99.94</v>
      </c>
    </row>
    <row r="1405" spans="1:5" ht="15.75" customHeight="1" x14ac:dyDescent="0.4">
      <c r="A1405" s="24" t="s">
        <v>2027</v>
      </c>
      <c r="B1405" s="24" t="s">
        <v>2188</v>
      </c>
      <c r="C1405" s="24">
        <v>99.94</v>
      </c>
      <c r="E1405" s="24">
        <v>99.94</v>
      </c>
    </row>
    <row r="1406" spans="1:5" ht="15.75" customHeight="1" x14ac:dyDescent="0.4">
      <c r="A1406" s="24" t="s">
        <v>951</v>
      </c>
      <c r="B1406" s="24" t="s">
        <v>2188</v>
      </c>
      <c r="C1406" s="24">
        <v>99.94</v>
      </c>
      <c r="E1406" s="24">
        <v>99.94</v>
      </c>
    </row>
    <row r="1407" spans="1:5" ht="15.75" customHeight="1" x14ac:dyDescent="0.4">
      <c r="A1407" s="24" t="s">
        <v>278</v>
      </c>
      <c r="B1407" s="24" t="s">
        <v>2188</v>
      </c>
      <c r="C1407" s="24">
        <v>99.93</v>
      </c>
      <c r="E1407" s="24">
        <v>99.93</v>
      </c>
    </row>
    <row r="1408" spans="1:5" ht="15.75" customHeight="1" x14ac:dyDescent="0.4">
      <c r="A1408" s="24" t="s">
        <v>1952</v>
      </c>
      <c r="B1408" s="24" t="s">
        <v>2188</v>
      </c>
      <c r="C1408" s="24">
        <v>99.87</v>
      </c>
      <c r="D1408" s="24">
        <v>0.08</v>
      </c>
      <c r="E1408" s="24">
        <v>99.93</v>
      </c>
    </row>
    <row r="1409" spans="1:5" ht="15.75" customHeight="1" x14ac:dyDescent="0.4">
      <c r="A1409" s="24" t="s">
        <v>1983</v>
      </c>
      <c r="B1409" s="24" t="s">
        <v>2188</v>
      </c>
      <c r="C1409" s="24">
        <v>99.93</v>
      </c>
      <c r="E1409" s="24">
        <v>99.93</v>
      </c>
    </row>
    <row r="1410" spans="1:5" ht="15.75" customHeight="1" x14ac:dyDescent="0.4">
      <c r="A1410" s="24" t="s">
        <v>1626</v>
      </c>
      <c r="B1410" s="24" t="s">
        <v>2188</v>
      </c>
      <c r="C1410" s="24">
        <v>99.93</v>
      </c>
      <c r="E1410" s="24">
        <v>99.93</v>
      </c>
    </row>
    <row r="1411" spans="1:5" ht="15.75" customHeight="1" x14ac:dyDescent="0.4">
      <c r="A1411" s="24" t="s">
        <v>1256</v>
      </c>
      <c r="B1411" s="24" t="s">
        <v>2188</v>
      </c>
      <c r="C1411" s="24">
        <v>99.89</v>
      </c>
      <c r="D1411" s="24">
        <v>3.09</v>
      </c>
      <c r="E1411" s="24">
        <v>99.93</v>
      </c>
    </row>
    <row r="1412" spans="1:5" ht="15.75" customHeight="1" x14ac:dyDescent="0.4">
      <c r="A1412" s="24" t="s">
        <v>2095</v>
      </c>
      <c r="B1412" s="24" t="s">
        <v>2188</v>
      </c>
      <c r="C1412" s="24">
        <v>99.93</v>
      </c>
      <c r="E1412" s="24">
        <v>99.93</v>
      </c>
    </row>
    <row r="1413" spans="1:5" ht="15.75" customHeight="1" x14ac:dyDescent="0.4">
      <c r="A1413" s="24" t="s">
        <v>1309</v>
      </c>
      <c r="B1413" s="24" t="s">
        <v>2188</v>
      </c>
      <c r="C1413" s="24">
        <v>99.67</v>
      </c>
      <c r="D1413" s="24">
        <v>10.84</v>
      </c>
      <c r="E1413" s="24">
        <v>99.93</v>
      </c>
    </row>
    <row r="1414" spans="1:5" ht="15.75" customHeight="1" x14ac:dyDescent="0.4">
      <c r="A1414" s="24" t="s">
        <v>716</v>
      </c>
      <c r="B1414" s="24" t="s">
        <v>2190</v>
      </c>
      <c r="C1414" s="24">
        <v>99.54</v>
      </c>
      <c r="D1414" s="24">
        <v>9.94</v>
      </c>
      <c r="E1414" s="24">
        <v>99.93</v>
      </c>
    </row>
    <row r="1415" spans="1:5" ht="15.75" customHeight="1" x14ac:dyDescent="0.4">
      <c r="A1415" s="24" t="s">
        <v>1077</v>
      </c>
      <c r="B1415" s="24" t="s">
        <v>2190</v>
      </c>
      <c r="C1415" s="24">
        <v>99.11</v>
      </c>
      <c r="D1415" s="24">
        <v>11.85</v>
      </c>
      <c r="E1415" s="24">
        <v>99.93</v>
      </c>
    </row>
    <row r="1416" spans="1:5" ht="15.75" customHeight="1" x14ac:dyDescent="0.4">
      <c r="A1416" s="24" t="s">
        <v>2077</v>
      </c>
      <c r="B1416" s="24" t="s">
        <v>2188</v>
      </c>
      <c r="C1416" s="24">
        <v>99.92</v>
      </c>
      <c r="E1416" s="24">
        <v>99.92</v>
      </c>
    </row>
    <row r="1417" spans="1:5" ht="15.75" customHeight="1" x14ac:dyDescent="0.4">
      <c r="A1417" s="24" t="s">
        <v>1635</v>
      </c>
      <c r="B1417" s="24" t="s">
        <v>2188</v>
      </c>
      <c r="C1417" s="24">
        <v>99.92</v>
      </c>
      <c r="E1417" s="24">
        <v>99.92</v>
      </c>
    </row>
    <row r="1418" spans="1:5" ht="15.75" customHeight="1" x14ac:dyDescent="0.4">
      <c r="A1418" s="24" t="s">
        <v>1279</v>
      </c>
      <c r="B1418" s="24" t="s">
        <v>2188</v>
      </c>
      <c r="C1418" s="24">
        <v>99.92</v>
      </c>
      <c r="D1418" s="24">
        <v>0.24</v>
      </c>
      <c r="E1418" s="24">
        <v>99.92</v>
      </c>
    </row>
    <row r="1419" spans="1:5" ht="15.75" customHeight="1" x14ac:dyDescent="0.4">
      <c r="A1419" s="24" t="s">
        <v>1517</v>
      </c>
      <c r="B1419" s="24" t="s">
        <v>2188</v>
      </c>
      <c r="C1419" s="24">
        <v>99.92</v>
      </c>
      <c r="E1419" s="24">
        <v>99.92</v>
      </c>
    </row>
    <row r="1420" spans="1:5" ht="15.75" customHeight="1" x14ac:dyDescent="0.4">
      <c r="A1420" s="24" t="s">
        <v>2124</v>
      </c>
      <c r="B1420" s="24" t="s">
        <v>2188</v>
      </c>
      <c r="C1420" s="24">
        <v>99.92</v>
      </c>
      <c r="E1420" s="24">
        <v>99.92</v>
      </c>
    </row>
    <row r="1421" spans="1:5" ht="15.75" customHeight="1" x14ac:dyDescent="0.4">
      <c r="A1421" s="24" t="s">
        <v>1896</v>
      </c>
      <c r="B1421" s="24" t="s">
        <v>2188</v>
      </c>
      <c r="C1421" s="24">
        <v>99.92</v>
      </c>
      <c r="E1421" s="24">
        <v>99.92</v>
      </c>
    </row>
    <row r="1422" spans="1:5" ht="15.75" customHeight="1" x14ac:dyDescent="0.4">
      <c r="A1422" s="24" t="s">
        <v>1283</v>
      </c>
      <c r="B1422" s="24" t="s">
        <v>2188</v>
      </c>
      <c r="C1422" s="24">
        <v>99.9</v>
      </c>
      <c r="D1422" s="24">
        <v>1.46</v>
      </c>
      <c r="E1422" s="24">
        <v>99.92</v>
      </c>
    </row>
    <row r="1423" spans="1:5" ht="15.75" customHeight="1" x14ac:dyDescent="0.4">
      <c r="A1423" s="24" t="s">
        <v>1357</v>
      </c>
      <c r="B1423" s="24" t="s">
        <v>2188</v>
      </c>
      <c r="C1423" s="24">
        <v>99.91</v>
      </c>
      <c r="E1423" s="24">
        <v>99.91</v>
      </c>
    </row>
    <row r="1424" spans="1:5" ht="15.75" customHeight="1" x14ac:dyDescent="0.4">
      <c r="A1424" s="24" t="s">
        <v>1775</v>
      </c>
      <c r="B1424" s="24" t="s">
        <v>2188</v>
      </c>
      <c r="C1424" s="24">
        <v>99.91</v>
      </c>
      <c r="D1424" s="24">
        <v>0.18</v>
      </c>
      <c r="E1424" s="24">
        <v>99.91</v>
      </c>
    </row>
    <row r="1425" spans="1:5" ht="15.75" customHeight="1" x14ac:dyDescent="0.4">
      <c r="A1425" s="24" t="s">
        <v>1459</v>
      </c>
      <c r="B1425" s="24" t="s">
        <v>2188</v>
      </c>
      <c r="C1425" s="24">
        <v>99.91</v>
      </c>
      <c r="E1425" s="24">
        <v>99.91</v>
      </c>
    </row>
    <row r="1426" spans="1:5" ht="15.75" customHeight="1" x14ac:dyDescent="0.4">
      <c r="A1426" s="24" t="s">
        <v>1464</v>
      </c>
      <c r="B1426" s="24" t="s">
        <v>2188</v>
      </c>
      <c r="C1426" s="24">
        <v>99.9</v>
      </c>
      <c r="E1426" s="24">
        <v>99.9</v>
      </c>
    </row>
    <row r="1427" spans="1:5" ht="15.75" customHeight="1" x14ac:dyDescent="0.4">
      <c r="A1427" s="24" t="s">
        <v>1496</v>
      </c>
      <c r="B1427" s="24" t="s">
        <v>2188</v>
      </c>
      <c r="C1427" s="24">
        <v>99.9</v>
      </c>
      <c r="E1427" s="24">
        <v>99.9</v>
      </c>
    </row>
    <row r="1428" spans="1:5" ht="15.75" customHeight="1" x14ac:dyDescent="0.4">
      <c r="A1428" s="24" t="s">
        <v>671</v>
      </c>
      <c r="B1428" s="24" t="s">
        <v>2188</v>
      </c>
      <c r="C1428" s="24">
        <v>99.9</v>
      </c>
      <c r="E1428" s="24">
        <v>99.9</v>
      </c>
    </row>
    <row r="1429" spans="1:5" ht="15.75" customHeight="1" x14ac:dyDescent="0.4">
      <c r="A1429" s="24" t="s">
        <v>2167</v>
      </c>
      <c r="B1429" s="24" t="s">
        <v>2188</v>
      </c>
      <c r="C1429" s="24">
        <v>99.9</v>
      </c>
      <c r="E1429" s="24">
        <v>99.9</v>
      </c>
    </row>
    <row r="1430" spans="1:5" ht="15.75" customHeight="1" x14ac:dyDescent="0.4">
      <c r="A1430" s="24" t="s">
        <v>1579</v>
      </c>
      <c r="B1430" s="24" t="s">
        <v>2188</v>
      </c>
      <c r="C1430" s="24">
        <v>99.89</v>
      </c>
      <c r="E1430" s="24">
        <v>99.89</v>
      </c>
    </row>
    <row r="1431" spans="1:5" ht="15.75" customHeight="1" x14ac:dyDescent="0.4">
      <c r="A1431" s="24" t="s">
        <v>1499</v>
      </c>
      <c r="B1431" s="24" t="s">
        <v>2188</v>
      </c>
      <c r="C1431" s="24">
        <v>99.89</v>
      </c>
      <c r="E1431" s="24">
        <v>99.89</v>
      </c>
    </row>
    <row r="1432" spans="1:5" ht="15.75" customHeight="1" x14ac:dyDescent="0.4">
      <c r="A1432" s="24" t="s">
        <v>1850</v>
      </c>
      <c r="B1432" s="24" t="s">
        <v>2188</v>
      </c>
      <c r="C1432" s="24">
        <v>99.89</v>
      </c>
      <c r="E1432" s="24">
        <v>99.89</v>
      </c>
    </row>
    <row r="1433" spans="1:5" ht="15.75" customHeight="1" x14ac:dyDescent="0.4">
      <c r="A1433" s="24" t="s">
        <v>1609</v>
      </c>
      <c r="B1433" s="24" t="s">
        <v>2188</v>
      </c>
      <c r="C1433" s="24">
        <v>99.89</v>
      </c>
      <c r="E1433" s="24">
        <v>99.89</v>
      </c>
    </row>
    <row r="1434" spans="1:5" ht="15.75" customHeight="1" x14ac:dyDescent="0.4">
      <c r="A1434" s="24" t="s">
        <v>1450</v>
      </c>
      <c r="B1434" s="24" t="s">
        <v>2188</v>
      </c>
      <c r="C1434" s="24">
        <v>99.89</v>
      </c>
      <c r="E1434" s="24">
        <v>99.89</v>
      </c>
    </row>
    <row r="1435" spans="1:5" ht="15.75" customHeight="1" x14ac:dyDescent="0.4">
      <c r="A1435" s="24" t="s">
        <v>1576</v>
      </c>
      <c r="B1435" s="24" t="s">
        <v>2188</v>
      </c>
      <c r="C1435" s="24">
        <v>99.89</v>
      </c>
      <c r="E1435" s="24">
        <v>99.89</v>
      </c>
    </row>
    <row r="1436" spans="1:5" ht="15.75" customHeight="1" x14ac:dyDescent="0.4">
      <c r="A1436" s="24" t="s">
        <v>1275</v>
      </c>
      <c r="B1436" s="24" t="s">
        <v>2188</v>
      </c>
      <c r="C1436" s="24">
        <v>99.87</v>
      </c>
      <c r="D1436" s="24">
        <v>0.01</v>
      </c>
      <c r="E1436" s="24">
        <v>99.88</v>
      </c>
    </row>
    <row r="1437" spans="1:5" ht="15.75" customHeight="1" x14ac:dyDescent="0.4">
      <c r="A1437" s="24" t="s">
        <v>1395</v>
      </c>
      <c r="B1437" s="24" t="s">
        <v>2188</v>
      </c>
      <c r="C1437" s="24">
        <v>95.32</v>
      </c>
      <c r="D1437" s="24">
        <v>7.34</v>
      </c>
      <c r="E1437" s="24">
        <v>99.88</v>
      </c>
    </row>
    <row r="1438" spans="1:5" ht="15.75" customHeight="1" x14ac:dyDescent="0.4">
      <c r="A1438" s="24" t="s">
        <v>1049</v>
      </c>
      <c r="B1438" s="24" t="s">
        <v>2188</v>
      </c>
      <c r="C1438" s="24">
        <v>99.88</v>
      </c>
      <c r="E1438" s="24">
        <v>99.88</v>
      </c>
    </row>
    <row r="1439" spans="1:5" ht="15.75" customHeight="1" x14ac:dyDescent="0.4">
      <c r="A1439" s="24" t="s">
        <v>1026</v>
      </c>
      <c r="B1439" s="24" t="s">
        <v>2188</v>
      </c>
      <c r="C1439" s="24">
        <v>99.88</v>
      </c>
      <c r="E1439" s="24">
        <v>99.88</v>
      </c>
    </row>
    <row r="1440" spans="1:5" ht="15.75" customHeight="1" x14ac:dyDescent="0.4">
      <c r="A1440" s="24" t="s">
        <v>1824</v>
      </c>
      <c r="B1440" s="24" t="s">
        <v>2188</v>
      </c>
      <c r="C1440" s="24">
        <v>99.53</v>
      </c>
      <c r="D1440" s="24">
        <v>0.53</v>
      </c>
      <c r="E1440" s="24">
        <v>99.88</v>
      </c>
    </row>
    <row r="1441" spans="1:5" ht="15.75" customHeight="1" x14ac:dyDescent="0.4">
      <c r="A1441" s="24" t="s">
        <v>2127</v>
      </c>
      <c r="B1441" s="24" t="s">
        <v>2188</v>
      </c>
      <c r="C1441" s="24">
        <v>99.87</v>
      </c>
      <c r="D1441" s="24">
        <v>0.64</v>
      </c>
      <c r="E1441" s="24">
        <v>99.87</v>
      </c>
    </row>
    <row r="1442" spans="1:5" ht="15.75" customHeight="1" x14ac:dyDescent="0.4">
      <c r="A1442" s="24" t="s">
        <v>1897</v>
      </c>
      <c r="B1442" s="24" t="s">
        <v>2188</v>
      </c>
      <c r="C1442" s="24">
        <v>75.319999999999993</v>
      </c>
      <c r="D1442" s="24">
        <v>24.48</v>
      </c>
      <c r="E1442" s="24">
        <v>99.87</v>
      </c>
    </row>
    <row r="1443" spans="1:5" ht="15.75" customHeight="1" x14ac:dyDescent="0.4">
      <c r="A1443" s="24" t="s">
        <v>1530</v>
      </c>
      <c r="B1443" s="24" t="s">
        <v>2188</v>
      </c>
      <c r="C1443" s="24">
        <v>99.87</v>
      </c>
      <c r="E1443" s="24">
        <v>99.87</v>
      </c>
    </row>
    <row r="1444" spans="1:5" ht="15.75" customHeight="1" x14ac:dyDescent="0.4">
      <c r="A1444" s="24" t="s">
        <v>1495</v>
      </c>
      <c r="B1444" s="24" t="s">
        <v>2188</v>
      </c>
      <c r="C1444" s="24">
        <v>99.87</v>
      </c>
      <c r="E1444" s="24">
        <v>99.87</v>
      </c>
    </row>
    <row r="1445" spans="1:5" ht="15.75" customHeight="1" x14ac:dyDescent="0.4">
      <c r="A1445" s="24" t="s">
        <v>1532</v>
      </c>
      <c r="B1445" s="24" t="s">
        <v>2188</v>
      </c>
      <c r="C1445" s="24">
        <v>99.62</v>
      </c>
      <c r="D1445" s="24">
        <v>0.38</v>
      </c>
      <c r="E1445" s="24">
        <v>99.87</v>
      </c>
    </row>
    <row r="1446" spans="1:5" ht="15.75" customHeight="1" x14ac:dyDescent="0.4">
      <c r="A1446" s="24" t="s">
        <v>1691</v>
      </c>
      <c r="B1446" s="24" t="s">
        <v>2188</v>
      </c>
      <c r="C1446" s="24">
        <v>99.87</v>
      </c>
      <c r="E1446" s="24">
        <v>99.87</v>
      </c>
    </row>
    <row r="1447" spans="1:5" ht="15.75" customHeight="1" x14ac:dyDescent="0.4">
      <c r="A1447" s="24" t="s">
        <v>2055</v>
      </c>
      <c r="B1447" s="24" t="s">
        <v>2188</v>
      </c>
      <c r="C1447" s="24">
        <v>99.87</v>
      </c>
      <c r="E1447" s="24">
        <v>99.87</v>
      </c>
    </row>
    <row r="1448" spans="1:5" ht="15.75" customHeight="1" x14ac:dyDescent="0.4">
      <c r="A1448" s="24" t="s">
        <v>756</v>
      </c>
      <c r="B1448" s="24" t="s">
        <v>2188</v>
      </c>
      <c r="C1448" s="24">
        <v>99.87</v>
      </c>
      <c r="E1448" s="24">
        <v>99.87</v>
      </c>
    </row>
    <row r="1449" spans="1:5" ht="15.75" customHeight="1" x14ac:dyDescent="0.4">
      <c r="A1449" s="24" t="s">
        <v>2079</v>
      </c>
      <c r="B1449" s="24" t="s">
        <v>2188</v>
      </c>
      <c r="C1449" s="24">
        <v>99.87</v>
      </c>
      <c r="E1449" s="24">
        <v>99.87</v>
      </c>
    </row>
    <row r="1450" spans="1:5" ht="15.75" customHeight="1" x14ac:dyDescent="0.4">
      <c r="A1450" s="24" t="s">
        <v>691</v>
      </c>
      <c r="B1450" s="24" t="s">
        <v>2188</v>
      </c>
      <c r="C1450" s="24">
        <v>97.99</v>
      </c>
      <c r="D1450" s="24">
        <v>41.91</v>
      </c>
      <c r="E1450" s="24">
        <v>99.86</v>
      </c>
    </row>
    <row r="1451" spans="1:5" ht="15.75" customHeight="1" x14ac:dyDescent="0.4">
      <c r="A1451" s="24" t="s">
        <v>1887</v>
      </c>
      <c r="B1451" s="24" t="s">
        <v>2188</v>
      </c>
      <c r="C1451" s="24">
        <v>99.86</v>
      </c>
      <c r="E1451" s="24">
        <v>99.86</v>
      </c>
    </row>
    <row r="1452" spans="1:5" ht="15.75" customHeight="1" x14ac:dyDescent="0.4">
      <c r="A1452" s="24" t="s">
        <v>1933</v>
      </c>
      <c r="B1452" s="24" t="s">
        <v>2188</v>
      </c>
      <c r="C1452" s="24">
        <v>99.86</v>
      </c>
      <c r="E1452" s="24">
        <v>99.86</v>
      </c>
    </row>
    <row r="1453" spans="1:5" ht="15.75" customHeight="1" x14ac:dyDescent="0.4">
      <c r="A1453" s="24" t="s">
        <v>1386</v>
      </c>
      <c r="B1453" s="24" t="s">
        <v>2188</v>
      </c>
      <c r="C1453" s="24">
        <v>99.61</v>
      </c>
      <c r="D1453" s="24">
        <v>2.02</v>
      </c>
      <c r="E1453" s="24">
        <v>99.86</v>
      </c>
    </row>
    <row r="1454" spans="1:5" ht="15.75" customHeight="1" x14ac:dyDescent="0.4">
      <c r="A1454" s="24" t="s">
        <v>2107</v>
      </c>
      <c r="B1454" s="24" t="s">
        <v>2190</v>
      </c>
      <c r="C1454" s="24">
        <v>99.84</v>
      </c>
      <c r="D1454" s="24">
        <v>4.3899999999999997</v>
      </c>
      <c r="E1454" s="24">
        <v>99.85</v>
      </c>
    </row>
    <row r="1455" spans="1:5" ht="15.75" customHeight="1" x14ac:dyDescent="0.4">
      <c r="A1455" s="24" t="s">
        <v>2112</v>
      </c>
      <c r="B1455" s="24" t="s">
        <v>2188</v>
      </c>
      <c r="C1455" s="24">
        <v>99.83</v>
      </c>
      <c r="E1455" s="24">
        <v>99.83</v>
      </c>
    </row>
    <row r="1456" spans="1:5" ht="15.75" customHeight="1" x14ac:dyDescent="0.4">
      <c r="A1456" s="24" t="s">
        <v>1316</v>
      </c>
      <c r="B1456" s="24" t="s">
        <v>2188</v>
      </c>
      <c r="C1456" s="24">
        <v>99.55</v>
      </c>
      <c r="D1456" s="24">
        <v>5.91</v>
      </c>
      <c r="E1456" s="24">
        <v>99.83</v>
      </c>
    </row>
    <row r="1457" spans="1:5" ht="15.75" customHeight="1" x14ac:dyDescent="0.4">
      <c r="A1457" s="24" t="s">
        <v>1810</v>
      </c>
      <c r="B1457" s="24" t="s">
        <v>2188</v>
      </c>
      <c r="C1457" s="24">
        <v>99.82</v>
      </c>
      <c r="E1457" s="24">
        <v>99.82</v>
      </c>
    </row>
    <row r="1458" spans="1:5" ht="15.75" customHeight="1" x14ac:dyDescent="0.4">
      <c r="A1458" s="24" t="s">
        <v>2031</v>
      </c>
      <c r="B1458" s="24" t="s">
        <v>2188</v>
      </c>
      <c r="C1458" s="24">
        <v>99.82</v>
      </c>
      <c r="E1458" s="24">
        <v>99.82</v>
      </c>
    </row>
    <row r="1459" spans="1:5" ht="15.75" customHeight="1" x14ac:dyDescent="0.4">
      <c r="A1459" s="24" t="s">
        <v>1706</v>
      </c>
      <c r="B1459" s="24" t="s">
        <v>2188</v>
      </c>
      <c r="C1459" s="24">
        <v>99.81</v>
      </c>
      <c r="E1459" s="24">
        <v>99.81</v>
      </c>
    </row>
    <row r="1460" spans="1:5" ht="15.75" customHeight="1" x14ac:dyDescent="0.4">
      <c r="A1460" s="24" t="s">
        <v>1251</v>
      </c>
      <c r="B1460" s="24" t="s">
        <v>2188</v>
      </c>
      <c r="C1460" s="24">
        <v>99.81</v>
      </c>
      <c r="E1460" s="24">
        <v>99.81</v>
      </c>
    </row>
    <row r="1461" spans="1:5" ht="15.75" customHeight="1" x14ac:dyDescent="0.4">
      <c r="A1461" s="24" t="s">
        <v>848</v>
      </c>
      <c r="B1461" s="24" t="s">
        <v>2188</v>
      </c>
      <c r="C1461" s="24">
        <v>89.62</v>
      </c>
      <c r="D1461" s="24">
        <v>10.16</v>
      </c>
      <c r="E1461" s="24">
        <v>99.81</v>
      </c>
    </row>
    <row r="1462" spans="1:5" ht="15.75" customHeight="1" x14ac:dyDescent="0.4">
      <c r="A1462" s="24" t="s">
        <v>1472</v>
      </c>
      <c r="B1462" s="24" t="s">
        <v>2188</v>
      </c>
      <c r="C1462" s="24">
        <v>99.81</v>
      </c>
      <c r="E1462" s="24">
        <v>99.81</v>
      </c>
    </row>
    <row r="1463" spans="1:5" ht="15.75" customHeight="1" x14ac:dyDescent="0.4">
      <c r="A1463" s="24" t="s">
        <v>1414</v>
      </c>
      <c r="B1463" s="24" t="s">
        <v>2188</v>
      </c>
      <c r="C1463" s="24">
        <v>99.8</v>
      </c>
      <c r="E1463" s="24">
        <v>99.8</v>
      </c>
    </row>
    <row r="1464" spans="1:5" ht="15.75" customHeight="1" x14ac:dyDescent="0.4">
      <c r="A1464" s="24" t="s">
        <v>1702</v>
      </c>
      <c r="B1464" s="24" t="s">
        <v>2188</v>
      </c>
      <c r="C1464" s="24">
        <v>99.71</v>
      </c>
      <c r="D1464" s="24">
        <v>1.84</v>
      </c>
      <c r="E1464" s="24">
        <v>99.8</v>
      </c>
    </row>
    <row r="1465" spans="1:5" ht="15.75" customHeight="1" x14ac:dyDescent="0.4">
      <c r="A1465" s="24" t="s">
        <v>2007</v>
      </c>
      <c r="B1465" s="24" t="s">
        <v>2188</v>
      </c>
      <c r="C1465" s="24">
        <v>99.79</v>
      </c>
      <c r="E1465" s="24">
        <v>99.79</v>
      </c>
    </row>
    <row r="1466" spans="1:5" ht="15.75" customHeight="1" x14ac:dyDescent="0.4">
      <c r="A1466" s="24" t="s">
        <v>945</v>
      </c>
      <c r="B1466" s="24" t="s">
        <v>2188</v>
      </c>
      <c r="C1466" s="24">
        <v>99.41</v>
      </c>
      <c r="D1466" s="24">
        <v>1.91</v>
      </c>
      <c r="E1466" s="24">
        <v>99.79</v>
      </c>
    </row>
    <row r="1467" spans="1:5" ht="15.75" customHeight="1" x14ac:dyDescent="0.4">
      <c r="A1467" s="24" t="s">
        <v>1533</v>
      </c>
      <c r="B1467" s="24" t="s">
        <v>2188</v>
      </c>
      <c r="C1467" s="24">
        <v>99.61</v>
      </c>
      <c r="D1467" s="24">
        <v>0.19</v>
      </c>
      <c r="E1467" s="24">
        <v>99.79</v>
      </c>
    </row>
    <row r="1468" spans="1:5" ht="15.75" customHeight="1" x14ac:dyDescent="0.4">
      <c r="A1468" s="24" t="s">
        <v>1902</v>
      </c>
      <c r="B1468" s="24" t="s">
        <v>2188</v>
      </c>
      <c r="C1468" s="24">
        <v>99.79</v>
      </c>
      <c r="E1468" s="24">
        <v>99.79</v>
      </c>
    </row>
    <row r="1469" spans="1:5" ht="15.75" customHeight="1" x14ac:dyDescent="0.4">
      <c r="A1469" s="24" t="s">
        <v>1382</v>
      </c>
      <c r="B1469" s="24" t="s">
        <v>2188</v>
      </c>
      <c r="C1469" s="24">
        <v>99.5</v>
      </c>
      <c r="D1469" s="24">
        <v>0.4</v>
      </c>
      <c r="E1469" s="24">
        <v>99.79</v>
      </c>
    </row>
    <row r="1470" spans="1:5" ht="15.75" customHeight="1" x14ac:dyDescent="0.4">
      <c r="A1470" s="24" t="s">
        <v>1911</v>
      </c>
      <c r="B1470" s="24" t="s">
        <v>2188</v>
      </c>
      <c r="C1470" s="24">
        <v>99.79</v>
      </c>
      <c r="E1470" s="24">
        <v>99.79</v>
      </c>
    </row>
    <row r="1471" spans="1:5" ht="15.75" customHeight="1" x14ac:dyDescent="0.4">
      <c r="A1471" s="24" t="s">
        <v>236</v>
      </c>
      <c r="B1471" s="24" t="s">
        <v>2188</v>
      </c>
      <c r="C1471" s="24">
        <v>99.78</v>
      </c>
      <c r="E1471" s="24">
        <v>99.78</v>
      </c>
    </row>
    <row r="1472" spans="1:5" ht="15.75" customHeight="1" x14ac:dyDescent="0.4">
      <c r="A1472" s="24" t="s">
        <v>888</v>
      </c>
      <c r="B1472" s="24" t="s">
        <v>2190</v>
      </c>
      <c r="C1472" s="24">
        <v>99.77</v>
      </c>
      <c r="E1472" s="24">
        <v>99.77</v>
      </c>
    </row>
    <row r="1473" spans="1:5" ht="15.75" customHeight="1" x14ac:dyDescent="0.4">
      <c r="A1473" s="24" t="s">
        <v>1124</v>
      </c>
      <c r="B1473" s="24" t="s">
        <v>2190</v>
      </c>
      <c r="C1473" s="24">
        <v>99.77</v>
      </c>
      <c r="E1473" s="24">
        <v>99.77</v>
      </c>
    </row>
    <row r="1474" spans="1:5" ht="15.75" customHeight="1" x14ac:dyDescent="0.4">
      <c r="A1474" s="24" t="s">
        <v>2081</v>
      </c>
      <c r="B1474" s="24" t="s">
        <v>2188</v>
      </c>
      <c r="C1474" s="24">
        <v>99.56</v>
      </c>
      <c r="D1474" s="24">
        <v>0.56999999999999995</v>
      </c>
      <c r="E1474" s="24">
        <v>99.77</v>
      </c>
    </row>
    <row r="1475" spans="1:5" ht="15.75" customHeight="1" x14ac:dyDescent="0.4">
      <c r="A1475" s="24" t="s">
        <v>1928</v>
      </c>
      <c r="B1475" s="24" t="s">
        <v>2188</v>
      </c>
      <c r="C1475" s="24">
        <v>98.85</v>
      </c>
      <c r="D1475" s="24">
        <v>1.57</v>
      </c>
      <c r="E1475" s="24">
        <v>99.77</v>
      </c>
    </row>
    <row r="1476" spans="1:5" ht="15.75" customHeight="1" x14ac:dyDescent="0.4">
      <c r="A1476" s="24" t="s">
        <v>2041</v>
      </c>
      <c r="B1476" s="24" t="s">
        <v>2188</v>
      </c>
      <c r="C1476" s="24">
        <v>99.76</v>
      </c>
      <c r="E1476" s="24">
        <v>99.76</v>
      </c>
    </row>
    <row r="1477" spans="1:5" ht="15.75" customHeight="1" x14ac:dyDescent="0.4">
      <c r="A1477" s="24" t="s">
        <v>1311</v>
      </c>
      <c r="B1477" s="24" t="s">
        <v>2188</v>
      </c>
      <c r="C1477" s="24">
        <v>99.75</v>
      </c>
      <c r="E1477" s="24">
        <v>99.75</v>
      </c>
    </row>
    <row r="1478" spans="1:5" ht="15.75" customHeight="1" x14ac:dyDescent="0.4">
      <c r="A1478" s="24" t="s">
        <v>234</v>
      </c>
      <c r="B1478" s="24" t="s">
        <v>2188</v>
      </c>
      <c r="C1478" s="24">
        <v>99.75</v>
      </c>
      <c r="E1478" s="24">
        <v>99.75</v>
      </c>
    </row>
    <row r="1479" spans="1:5" ht="15.75" customHeight="1" x14ac:dyDescent="0.4">
      <c r="A1479" s="24" t="s">
        <v>1419</v>
      </c>
      <c r="B1479" s="24" t="s">
        <v>2188</v>
      </c>
      <c r="C1479" s="24">
        <v>99.75</v>
      </c>
      <c r="E1479" s="24">
        <v>99.75</v>
      </c>
    </row>
    <row r="1480" spans="1:5" ht="15.75" customHeight="1" x14ac:dyDescent="0.4">
      <c r="A1480" s="24" t="s">
        <v>1159</v>
      </c>
      <c r="B1480" s="24" t="s">
        <v>2190</v>
      </c>
      <c r="C1480" s="24">
        <v>99.75</v>
      </c>
      <c r="E1480" s="24">
        <v>99.75</v>
      </c>
    </row>
    <row r="1481" spans="1:5" ht="15.75" customHeight="1" x14ac:dyDescent="0.4">
      <c r="A1481" s="24" t="s">
        <v>1766</v>
      </c>
      <c r="B1481" s="24" t="s">
        <v>2190</v>
      </c>
      <c r="C1481" s="24">
        <v>99.74</v>
      </c>
      <c r="E1481" s="24">
        <v>99.74</v>
      </c>
    </row>
    <row r="1482" spans="1:5" ht="15.75" customHeight="1" x14ac:dyDescent="0.4">
      <c r="A1482" s="24" t="s">
        <v>1351</v>
      </c>
      <c r="B1482" s="24" t="s">
        <v>2188</v>
      </c>
      <c r="C1482" s="24">
        <v>90.26</v>
      </c>
      <c r="D1482" s="24">
        <v>14.06</v>
      </c>
      <c r="E1482" s="24">
        <v>99.74</v>
      </c>
    </row>
    <row r="1483" spans="1:5" ht="15.75" customHeight="1" x14ac:dyDescent="0.4">
      <c r="A1483" s="24" t="s">
        <v>919</v>
      </c>
      <c r="B1483" s="24" t="s">
        <v>2188</v>
      </c>
      <c r="C1483" s="24">
        <v>99.73</v>
      </c>
      <c r="E1483" s="24">
        <v>99.73</v>
      </c>
    </row>
    <row r="1484" spans="1:5" ht="15.75" customHeight="1" x14ac:dyDescent="0.4">
      <c r="A1484" s="24" t="s">
        <v>683</v>
      </c>
      <c r="B1484" s="24" t="s">
        <v>2190</v>
      </c>
      <c r="C1484" s="24">
        <v>99.72</v>
      </c>
      <c r="E1484" s="24">
        <v>99.72</v>
      </c>
    </row>
    <row r="1485" spans="1:5" ht="15.75" customHeight="1" x14ac:dyDescent="0.4">
      <c r="A1485" s="24" t="s">
        <v>1500</v>
      </c>
      <c r="B1485" s="24" t="s">
        <v>2188</v>
      </c>
      <c r="C1485" s="24">
        <v>99.72</v>
      </c>
      <c r="E1485" s="24">
        <v>99.72</v>
      </c>
    </row>
    <row r="1486" spans="1:5" ht="15.75" customHeight="1" x14ac:dyDescent="0.4">
      <c r="A1486" s="24" t="s">
        <v>1895</v>
      </c>
      <c r="B1486" s="24" t="s">
        <v>2188</v>
      </c>
      <c r="C1486" s="24">
        <v>99.72</v>
      </c>
      <c r="E1486" s="24">
        <v>99.72</v>
      </c>
    </row>
    <row r="1487" spans="1:5" ht="15.75" customHeight="1" x14ac:dyDescent="0.4">
      <c r="A1487" s="24" t="s">
        <v>1843</v>
      </c>
      <c r="B1487" s="24" t="s">
        <v>2188</v>
      </c>
      <c r="C1487" s="24">
        <v>98.35</v>
      </c>
      <c r="D1487" s="24">
        <v>50.91</v>
      </c>
      <c r="E1487" s="24">
        <v>99.72</v>
      </c>
    </row>
    <row r="1488" spans="1:5" ht="15.75" customHeight="1" x14ac:dyDescent="0.4">
      <c r="A1488" s="24" t="s">
        <v>911</v>
      </c>
      <c r="B1488" s="24" t="s">
        <v>2190</v>
      </c>
      <c r="C1488" s="24">
        <v>36.700000000000003</v>
      </c>
      <c r="D1488" s="24">
        <v>63.31</v>
      </c>
      <c r="E1488" s="24">
        <v>99.72</v>
      </c>
    </row>
    <row r="1489" spans="1:5" ht="15.75" customHeight="1" x14ac:dyDescent="0.4">
      <c r="A1489" s="24" t="s">
        <v>1243</v>
      </c>
      <c r="B1489" s="24" t="s">
        <v>2188</v>
      </c>
      <c r="C1489" s="24">
        <v>99.51</v>
      </c>
      <c r="D1489" s="24">
        <v>0.82</v>
      </c>
      <c r="E1489" s="24">
        <v>99.71</v>
      </c>
    </row>
    <row r="1490" spans="1:5" ht="15.75" customHeight="1" x14ac:dyDescent="0.4">
      <c r="A1490" s="24" t="s">
        <v>844</v>
      </c>
      <c r="B1490" s="24" t="s">
        <v>2190</v>
      </c>
      <c r="C1490" s="24">
        <v>99.71</v>
      </c>
      <c r="E1490" s="24">
        <v>99.71</v>
      </c>
    </row>
    <row r="1491" spans="1:5" ht="15.75" customHeight="1" x14ac:dyDescent="0.4">
      <c r="A1491" s="24" t="s">
        <v>1361</v>
      </c>
      <c r="B1491" s="24" t="s">
        <v>2188</v>
      </c>
      <c r="C1491" s="24">
        <v>99.7</v>
      </c>
      <c r="E1491" s="24">
        <v>99.7</v>
      </c>
    </row>
    <row r="1492" spans="1:5" ht="15.75" customHeight="1" x14ac:dyDescent="0.4">
      <c r="A1492" s="24" t="s">
        <v>1244</v>
      </c>
      <c r="B1492" s="24" t="s">
        <v>2190</v>
      </c>
      <c r="C1492" s="24">
        <v>74.989999999999995</v>
      </c>
      <c r="D1492" s="24">
        <v>24.6</v>
      </c>
      <c r="E1492" s="24">
        <v>99.7</v>
      </c>
    </row>
    <row r="1493" spans="1:5" ht="15.75" customHeight="1" x14ac:dyDescent="0.4">
      <c r="A1493" s="24" t="s">
        <v>1568</v>
      </c>
      <c r="B1493" s="24" t="s">
        <v>2188</v>
      </c>
      <c r="C1493" s="24">
        <v>99.69</v>
      </c>
      <c r="E1493" s="24">
        <v>99.69</v>
      </c>
    </row>
    <row r="1494" spans="1:5" ht="15.75" customHeight="1" x14ac:dyDescent="0.4">
      <c r="A1494" s="24" t="s">
        <v>1869</v>
      </c>
      <c r="B1494" s="24" t="s">
        <v>2188</v>
      </c>
      <c r="C1494" s="24">
        <v>99.69</v>
      </c>
      <c r="E1494" s="24">
        <v>99.69</v>
      </c>
    </row>
    <row r="1495" spans="1:5" ht="15.75" customHeight="1" x14ac:dyDescent="0.4">
      <c r="A1495" s="24" t="s">
        <v>860</v>
      </c>
      <c r="B1495" s="24" t="s">
        <v>2190</v>
      </c>
      <c r="C1495" s="24">
        <v>99.69</v>
      </c>
      <c r="E1495" s="24">
        <v>99.69</v>
      </c>
    </row>
    <row r="1496" spans="1:5" ht="15.75" customHeight="1" x14ac:dyDescent="0.4">
      <c r="A1496" s="24" t="s">
        <v>1516</v>
      </c>
      <c r="B1496" s="24" t="s">
        <v>2188</v>
      </c>
      <c r="C1496" s="24">
        <v>99.69</v>
      </c>
      <c r="E1496" s="24">
        <v>99.69</v>
      </c>
    </row>
    <row r="1497" spans="1:5" ht="15.75" customHeight="1" x14ac:dyDescent="0.4">
      <c r="A1497" s="24" t="s">
        <v>1970</v>
      </c>
      <c r="B1497" s="24" t="s">
        <v>2188</v>
      </c>
      <c r="C1497" s="24">
        <v>99.68</v>
      </c>
      <c r="E1497" s="24">
        <v>99.68</v>
      </c>
    </row>
    <row r="1498" spans="1:5" ht="15.75" customHeight="1" x14ac:dyDescent="0.4">
      <c r="A1498" s="24" t="s">
        <v>1977</v>
      </c>
      <c r="B1498" s="24" t="s">
        <v>2188</v>
      </c>
      <c r="C1498" s="24">
        <v>99.68</v>
      </c>
      <c r="E1498" s="24">
        <v>99.68</v>
      </c>
    </row>
    <row r="1499" spans="1:5" ht="15.75" customHeight="1" x14ac:dyDescent="0.4">
      <c r="A1499" s="24" t="s">
        <v>1458</v>
      </c>
      <c r="B1499" s="24" t="s">
        <v>2188</v>
      </c>
      <c r="C1499" s="24">
        <v>99.68</v>
      </c>
      <c r="E1499" s="24">
        <v>99.68</v>
      </c>
    </row>
    <row r="1500" spans="1:5" ht="15.75" customHeight="1" x14ac:dyDescent="0.4">
      <c r="A1500" s="24" t="s">
        <v>975</v>
      </c>
      <c r="B1500" s="24" t="s">
        <v>2188</v>
      </c>
      <c r="C1500" s="24">
        <v>99.04</v>
      </c>
      <c r="D1500" s="24">
        <v>15.15</v>
      </c>
      <c r="E1500" s="24">
        <v>99.68</v>
      </c>
    </row>
    <row r="1501" spans="1:5" ht="15.75" customHeight="1" x14ac:dyDescent="0.4">
      <c r="A1501" s="24" t="s">
        <v>772</v>
      </c>
      <c r="B1501" s="24" t="s">
        <v>2188</v>
      </c>
      <c r="C1501" s="24">
        <v>0.22</v>
      </c>
      <c r="D1501" s="24">
        <v>99.38</v>
      </c>
      <c r="E1501" s="24">
        <v>99.68</v>
      </c>
    </row>
    <row r="1502" spans="1:5" ht="15.75" customHeight="1" x14ac:dyDescent="0.4">
      <c r="A1502" s="24" t="s">
        <v>1166</v>
      </c>
      <c r="B1502" s="24" t="s">
        <v>2188</v>
      </c>
      <c r="C1502" s="24">
        <v>99.67</v>
      </c>
      <c r="E1502" s="24">
        <v>99.67</v>
      </c>
    </row>
    <row r="1503" spans="1:5" ht="15.75" customHeight="1" x14ac:dyDescent="0.4">
      <c r="A1503" s="24" t="s">
        <v>1289</v>
      </c>
      <c r="B1503" s="24" t="s">
        <v>2188</v>
      </c>
      <c r="C1503" s="24">
        <v>99.67</v>
      </c>
      <c r="E1503" s="24">
        <v>99.67</v>
      </c>
    </row>
    <row r="1504" spans="1:5" ht="15.75" customHeight="1" x14ac:dyDescent="0.4">
      <c r="A1504" s="24" t="s">
        <v>2021</v>
      </c>
      <c r="B1504" s="24" t="s">
        <v>2188</v>
      </c>
      <c r="C1504" s="24">
        <v>99.67</v>
      </c>
      <c r="E1504" s="24">
        <v>99.67</v>
      </c>
    </row>
    <row r="1505" spans="1:5" ht="15.75" customHeight="1" x14ac:dyDescent="0.4">
      <c r="A1505" s="24" t="s">
        <v>964</v>
      </c>
      <c r="B1505" s="24" t="s">
        <v>2190</v>
      </c>
      <c r="C1505" s="24">
        <v>99.66</v>
      </c>
      <c r="E1505" s="24">
        <v>99.66</v>
      </c>
    </row>
    <row r="1506" spans="1:5" ht="15.75" customHeight="1" x14ac:dyDescent="0.4">
      <c r="A1506" s="24" t="s">
        <v>1430</v>
      </c>
      <c r="B1506" s="24" t="s">
        <v>2188</v>
      </c>
      <c r="C1506" s="24">
        <v>99.66</v>
      </c>
      <c r="E1506" s="24">
        <v>99.66</v>
      </c>
    </row>
    <row r="1507" spans="1:5" ht="15.75" customHeight="1" x14ac:dyDescent="0.4">
      <c r="A1507" s="24" t="s">
        <v>1507</v>
      </c>
      <c r="B1507" s="24" t="s">
        <v>2188</v>
      </c>
      <c r="C1507" s="24">
        <v>99.66</v>
      </c>
      <c r="E1507" s="24">
        <v>99.66</v>
      </c>
    </row>
    <row r="1508" spans="1:5" ht="15.75" customHeight="1" x14ac:dyDescent="0.4">
      <c r="A1508" s="24" t="s">
        <v>2135</v>
      </c>
      <c r="B1508" s="24" t="s">
        <v>2188</v>
      </c>
      <c r="C1508" s="24">
        <v>99.66</v>
      </c>
      <c r="E1508" s="24">
        <v>99.66</v>
      </c>
    </row>
    <row r="1509" spans="1:5" ht="15.75" customHeight="1" x14ac:dyDescent="0.4">
      <c r="A1509" s="24" t="s">
        <v>1314</v>
      </c>
      <c r="B1509" s="24" t="s">
        <v>2188</v>
      </c>
      <c r="C1509" s="24">
        <v>99.66</v>
      </c>
      <c r="E1509" s="24">
        <v>99.66</v>
      </c>
    </row>
    <row r="1510" spans="1:5" ht="15.75" customHeight="1" x14ac:dyDescent="0.4">
      <c r="A1510" s="24" t="s">
        <v>989</v>
      </c>
      <c r="B1510" s="24" t="s">
        <v>2190</v>
      </c>
      <c r="C1510" s="24">
        <v>86.51</v>
      </c>
      <c r="D1510" s="24">
        <v>13.08</v>
      </c>
      <c r="E1510" s="24">
        <v>99.65</v>
      </c>
    </row>
    <row r="1511" spans="1:5" ht="15.75" customHeight="1" x14ac:dyDescent="0.4">
      <c r="A1511" s="24" t="s">
        <v>1986</v>
      </c>
      <c r="B1511" s="24" t="s">
        <v>2188</v>
      </c>
      <c r="C1511" s="24">
        <v>99.65</v>
      </c>
      <c r="E1511" s="24">
        <v>99.65</v>
      </c>
    </row>
    <row r="1512" spans="1:5" ht="15.75" customHeight="1" x14ac:dyDescent="0.4">
      <c r="A1512" s="24" t="s">
        <v>1980</v>
      </c>
      <c r="B1512" s="24" t="s">
        <v>2188</v>
      </c>
      <c r="C1512" s="24">
        <v>99.59</v>
      </c>
      <c r="D1512" s="24">
        <v>0.96</v>
      </c>
      <c r="E1512" s="24">
        <v>99.65</v>
      </c>
    </row>
    <row r="1513" spans="1:5" ht="15.75" customHeight="1" x14ac:dyDescent="0.4">
      <c r="A1513" s="24" t="s">
        <v>1820</v>
      </c>
      <c r="B1513" s="24" t="s">
        <v>2188</v>
      </c>
      <c r="C1513" s="24">
        <v>99.57</v>
      </c>
      <c r="D1513" s="24">
        <v>19.420000000000002</v>
      </c>
      <c r="E1513" s="24">
        <v>99.65</v>
      </c>
    </row>
    <row r="1514" spans="1:5" ht="15.75" customHeight="1" x14ac:dyDescent="0.4">
      <c r="A1514" s="24" t="s">
        <v>963</v>
      </c>
      <c r="B1514" s="24" t="s">
        <v>2190</v>
      </c>
      <c r="C1514" s="24">
        <v>94.25</v>
      </c>
      <c r="D1514" s="24">
        <v>5.36</v>
      </c>
      <c r="E1514" s="24">
        <v>99.64</v>
      </c>
    </row>
    <row r="1515" spans="1:5" ht="15.75" customHeight="1" x14ac:dyDescent="0.4">
      <c r="A1515" s="24" t="s">
        <v>1559</v>
      </c>
      <c r="B1515" s="24" t="s">
        <v>2188</v>
      </c>
      <c r="C1515" s="24">
        <v>99.64</v>
      </c>
      <c r="E1515" s="24">
        <v>99.64</v>
      </c>
    </row>
    <row r="1516" spans="1:5" ht="15.75" customHeight="1" x14ac:dyDescent="0.4">
      <c r="A1516" s="24" t="s">
        <v>1376</v>
      </c>
      <c r="B1516" s="24" t="s">
        <v>2188</v>
      </c>
      <c r="C1516" s="24">
        <v>83.37</v>
      </c>
      <c r="D1516" s="24">
        <v>16.23</v>
      </c>
      <c r="E1516" s="24">
        <v>99.64</v>
      </c>
    </row>
    <row r="1517" spans="1:5" ht="15.75" customHeight="1" x14ac:dyDescent="0.4">
      <c r="A1517" s="24" t="s">
        <v>1117</v>
      </c>
      <c r="B1517" s="24" t="s">
        <v>2190</v>
      </c>
      <c r="C1517" s="24">
        <v>99.63</v>
      </c>
      <c r="E1517" s="24">
        <v>99.63</v>
      </c>
    </row>
    <row r="1518" spans="1:5" ht="15.75" customHeight="1" x14ac:dyDescent="0.4">
      <c r="A1518" s="24" t="s">
        <v>1603</v>
      </c>
      <c r="B1518" s="24" t="s">
        <v>2188</v>
      </c>
      <c r="C1518" s="24">
        <v>99.63</v>
      </c>
      <c r="E1518" s="24">
        <v>99.63</v>
      </c>
    </row>
    <row r="1519" spans="1:5" ht="15.75" customHeight="1" x14ac:dyDescent="0.4">
      <c r="A1519" s="24" t="s">
        <v>1389</v>
      </c>
      <c r="B1519" s="24" t="s">
        <v>2188</v>
      </c>
      <c r="C1519" s="24">
        <v>99.59</v>
      </c>
      <c r="D1519" s="24">
        <v>0.22</v>
      </c>
      <c r="E1519" s="24">
        <v>99.63</v>
      </c>
    </row>
    <row r="1520" spans="1:5" ht="15.75" customHeight="1" x14ac:dyDescent="0.4">
      <c r="A1520" s="24" t="s">
        <v>1508</v>
      </c>
      <c r="B1520" s="24" t="s">
        <v>2188</v>
      </c>
      <c r="C1520" s="24">
        <v>99.25</v>
      </c>
      <c r="D1520" s="24">
        <v>0.91</v>
      </c>
      <c r="E1520" s="24">
        <v>99.63</v>
      </c>
    </row>
    <row r="1521" spans="1:5" ht="15.75" customHeight="1" x14ac:dyDescent="0.4">
      <c r="A1521" s="24" t="s">
        <v>1654</v>
      </c>
      <c r="B1521" s="24" t="s">
        <v>2188</v>
      </c>
      <c r="C1521" s="24">
        <v>99.55</v>
      </c>
      <c r="D1521" s="24">
        <v>0.74</v>
      </c>
      <c r="E1521" s="24">
        <v>99.62</v>
      </c>
    </row>
    <row r="1522" spans="1:5" ht="15.75" customHeight="1" x14ac:dyDescent="0.4">
      <c r="A1522" s="24" t="s">
        <v>1947</v>
      </c>
      <c r="B1522" s="24" t="s">
        <v>2188</v>
      </c>
      <c r="C1522" s="24">
        <v>99.62</v>
      </c>
      <c r="E1522" s="24">
        <v>99.62</v>
      </c>
    </row>
    <row r="1523" spans="1:5" ht="15.75" customHeight="1" x14ac:dyDescent="0.4">
      <c r="A1523" s="24" t="s">
        <v>1931</v>
      </c>
      <c r="B1523" s="24" t="s">
        <v>2188</v>
      </c>
      <c r="C1523" s="24">
        <v>99.62</v>
      </c>
      <c r="E1523" s="24">
        <v>99.62</v>
      </c>
    </row>
    <row r="1524" spans="1:5" ht="15.75" customHeight="1" x14ac:dyDescent="0.4">
      <c r="A1524" s="24" t="s">
        <v>1915</v>
      </c>
      <c r="B1524" s="24" t="s">
        <v>2188</v>
      </c>
      <c r="C1524" s="24">
        <v>99.62</v>
      </c>
      <c r="E1524" s="24">
        <v>99.62</v>
      </c>
    </row>
    <row r="1525" spans="1:5" ht="15.75" customHeight="1" x14ac:dyDescent="0.4">
      <c r="A1525" s="24" t="s">
        <v>2155</v>
      </c>
      <c r="B1525" s="24" t="s">
        <v>2188</v>
      </c>
      <c r="C1525" s="24">
        <v>99.62</v>
      </c>
      <c r="E1525" s="24">
        <v>99.62</v>
      </c>
    </row>
    <row r="1526" spans="1:5" ht="15.75" customHeight="1" x14ac:dyDescent="0.4">
      <c r="A1526" s="24" t="s">
        <v>1164</v>
      </c>
      <c r="B1526" s="24" t="s">
        <v>2188</v>
      </c>
      <c r="C1526" s="24">
        <v>99.62</v>
      </c>
      <c r="E1526" s="24">
        <v>99.62</v>
      </c>
    </row>
    <row r="1527" spans="1:5" ht="15.75" customHeight="1" x14ac:dyDescent="0.4">
      <c r="A1527" s="24" t="s">
        <v>1642</v>
      </c>
      <c r="B1527" s="24" t="s">
        <v>2188</v>
      </c>
      <c r="C1527" s="24">
        <v>99.62</v>
      </c>
      <c r="E1527" s="24">
        <v>99.62</v>
      </c>
    </row>
    <row r="1528" spans="1:5" ht="15.75" customHeight="1" x14ac:dyDescent="0.4">
      <c r="A1528" s="24" t="s">
        <v>1772</v>
      </c>
      <c r="B1528" s="24" t="s">
        <v>2188</v>
      </c>
      <c r="C1528" s="24">
        <v>99.62</v>
      </c>
      <c r="E1528" s="24">
        <v>99.62</v>
      </c>
    </row>
    <row r="1529" spans="1:5" ht="15.75" customHeight="1" x14ac:dyDescent="0.4">
      <c r="A1529" s="24" t="s">
        <v>1017</v>
      </c>
      <c r="B1529" s="24" t="s">
        <v>2188</v>
      </c>
      <c r="C1529" s="24">
        <v>99.62</v>
      </c>
      <c r="E1529" s="24">
        <v>99.62</v>
      </c>
    </row>
    <row r="1530" spans="1:5" ht="15.75" customHeight="1" x14ac:dyDescent="0.4">
      <c r="A1530" s="24" t="s">
        <v>1720</v>
      </c>
      <c r="B1530" s="24" t="s">
        <v>2190</v>
      </c>
      <c r="C1530" s="24">
        <v>88.06</v>
      </c>
      <c r="D1530" s="24">
        <v>11.61</v>
      </c>
      <c r="E1530" s="24">
        <v>99.62</v>
      </c>
    </row>
    <row r="1531" spans="1:5" ht="15.75" customHeight="1" x14ac:dyDescent="0.4">
      <c r="A1531" s="24" t="s">
        <v>1835</v>
      </c>
      <c r="B1531" s="24" t="s">
        <v>2188</v>
      </c>
      <c r="C1531" s="24">
        <v>99.61</v>
      </c>
      <c r="E1531" s="24">
        <v>99.61</v>
      </c>
    </row>
    <row r="1532" spans="1:5" ht="15.75" customHeight="1" x14ac:dyDescent="0.4">
      <c r="A1532" s="24" t="s">
        <v>1991</v>
      </c>
      <c r="B1532" s="24" t="s">
        <v>2188</v>
      </c>
      <c r="C1532" s="24">
        <v>99.59</v>
      </c>
      <c r="D1532" s="24">
        <v>1.44</v>
      </c>
      <c r="E1532" s="24">
        <v>99.61</v>
      </c>
    </row>
    <row r="1533" spans="1:5" ht="15.75" customHeight="1" x14ac:dyDescent="0.4">
      <c r="A1533" s="24" t="s">
        <v>1173</v>
      </c>
      <c r="B1533" s="24" t="s">
        <v>2188</v>
      </c>
      <c r="C1533" s="24">
        <v>99.61</v>
      </c>
      <c r="E1533" s="24">
        <v>99.61</v>
      </c>
    </row>
    <row r="1534" spans="1:5" ht="15.75" customHeight="1" x14ac:dyDescent="0.4">
      <c r="A1534" s="24" t="s">
        <v>1591</v>
      </c>
      <c r="B1534" s="24" t="s">
        <v>2188</v>
      </c>
      <c r="C1534" s="24">
        <v>99.61</v>
      </c>
      <c r="E1534" s="24">
        <v>99.61</v>
      </c>
    </row>
    <row r="1535" spans="1:5" ht="15.75" customHeight="1" x14ac:dyDescent="0.4">
      <c r="A1535" s="24" t="s">
        <v>1914</v>
      </c>
      <c r="B1535" s="24" t="s">
        <v>2188</v>
      </c>
      <c r="C1535" s="24">
        <v>99.6</v>
      </c>
      <c r="E1535" s="24">
        <v>99.6</v>
      </c>
    </row>
    <row r="1536" spans="1:5" ht="15.75" customHeight="1" x14ac:dyDescent="0.4">
      <c r="A1536" s="24" t="s">
        <v>2073</v>
      </c>
      <c r="B1536" s="24" t="s">
        <v>2188</v>
      </c>
      <c r="C1536" s="24">
        <v>99.6</v>
      </c>
      <c r="E1536" s="24">
        <v>99.6</v>
      </c>
    </row>
    <row r="1537" spans="1:5" ht="15.75" customHeight="1" x14ac:dyDescent="0.4">
      <c r="A1537" s="24" t="s">
        <v>1731</v>
      </c>
      <c r="B1537" s="24" t="s">
        <v>2188</v>
      </c>
      <c r="C1537" s="24">
        <v>99.6</v>
      </c>
      <c r="E1537" s="24">
        <v>99.6</v>
      </c>
    </row>
    <row r="1538" spans="1:5" ht="15.75" customHeight="1" x14ac:dyDescent="0.4">
      <c r="A1538" s="24" t="s">
        <v>1374</v>
      </c>
      <c r="B1538" s="24" t="s">
        <v>2188</v>
      </c>
      <c r="C1538" s="24">
        <v>99.6</v>
      </c>
      <c r="E1538" s="24">
        <v>99.6</v>
      </c>
    </row>
    <row r="1539" spans="1:5" ht="15.75" customHeight="1" x14ac:dyDescent="0.4">
      <c r="A1539" s="24" t="s">
        <v>1135</v>
      </c>
      <c r="B1539" s="24" t="s">
        <v>2190</v>
      </c>
      <c r="C1539" s="24">
        <v>99.6</v>
      </c>
      <c r="E1539" s="24">
        <v>99.6</v>
      </c>
    </row>
    <row r="1540" spans="1:5" ht="15.75" customHeight="1" x14ac:dyDescent="0.4">
      <c r="A1540" s="24" t="s">
        <v>1967</v>
      </c>
      <c r="B1540" s="24" t="s">
        <v>2188</v>
      </c>
      <c r="C1540" s="24">
        <v>99.56</v>
      </c>
      <c r="D1540" s="24">
        <v>0.3</v>
      </c>
      <c r="E1540" s="24">
        <v>99.6</v>
      </c>
    </row>
    <row r="1541" spans="1:5" ht="15.75" customHeight="1" x14ac:dyDescent="0.4">
      <c r="A1541" s="24" t="s">
        <v>1537</v>
      </c>
      <c r="B1541" s="24" t="s">
        <v>2188</v>
      </c>
      <c r="C1541" s="24">
        <v>99.6</v>
      </c>
      <c r="E1541" s="24">
        <v>99.6</v>
      </c>
    </row>
    <row r="1542" spans="1:5" ht="15.75" customHeight="1" x14ac:dyDescent="0.4">
      <c r="A1542" s="24" t="s">
        <v>535</v>
      </c>
      <c r="B1542" s="24" t="s">
        <v>2188</v>
      </c>
      <c r="C1542" s="24">
        <v>99.57</v>
      </c>
      <c r="D1542" s="24">
        <v>1.26</v>
      </c>
      <c r="E1542" s="24">
        <v>99.59</v>
      </c>
    </row>
    <row r="1543" spans="1:5" ht="15.75" customHeight="1" x14ac:dyDescent="0.4">
      <c r="A1543" s="24" t="s">
        <v>1886</v>
      </c>
      <c r="B1543" s="24" t="s">
        <v>2188</v>
      </c>
      <c r="C1543" s="24">
        <v>99.59</v>
      </c>
      <c r="E1543" s="24">
        <v>99.59</v>
      </c>
    </row>
    <row r="1544" spans="1:5" ht="15.75" customHeight="1" x14ac:dyDescent="0.4">
      <c r="A1544" s="24" t="s">
        <v>2075</v>
      </c>
      <c r="B1544" s="24" t="s">
        <v>2188</v>
      </c>
      <c r="C1544" s="24">
        <v>99.3</v>
      </c>
      <c r="D1544" s="24">
        <v>0.28999999999999998</v>
      </c>
      <c r="E1544" s="24">
        <v>99.59</v>
      </c>
    </row>
    <row r="1545" spans="1:5" ht="15.75" customHeight="1" x14ac:dyDescent="0.4">
      <c r="A1545" s="24" t="s">
        <v>1790</v>
      </c>
      <c r="B1545" s="24" t="s">
        <v>2188</v>
      </c>
      <c r="C1545" s="24">
        <v>99.59</v>
      </c>
      <c r="E1545" s="24">
        <v>99.59</v>
      </c>
    </row>
    <row r="1546" spans="1:5" ht="15.75" customHeight="1" x14ac:dyDescent="0.4">
      <c r="A1546" s="24" t="s">
        <v>1999</v>
      </c>
      <c r="B1546" s="24" t="s">
        <v>2188</v>
      </c>
      <c r="C1546" s="24">
        <v>99.59</v>
      </c>
      <c r="E1546" s="24">
        <v>99.59</v>
      </c>
    </row>
    <row r="1547" spans="1:5" ht="15.75" customHeight="1" x14ac:dyDescent="0.4">
      <c r="A1547" s="24" t="s">
        <v>900</v>
      </c>
      <c r="B1547" s="24" t="s">
        <v>2188</v>
      </c>
      <c r="C1547" s="24">
        <v>99.59</v>
      </c>
      <c r="E1547" s="24">
        <v>99.59</v>
      </c>
    </row>
    <row r="1548" spans="1:5" ht="15.75" customHeight="1" x14ac:dyDescent="0.4">
      <c r="A1548" s="24" t="s">
        <v>1203</v>
      </c>
      <c r="B1548" s="24" t="s">
        <v>2190</v>
      </c>
      <c r="C1548" s="24">
        <v>99.51</v>
      </c>
      <c r="D1548" s="24">
        <v>0.45</v>
      </c>
      <c r="E1548" s="24">
        <v>99.58</v>
      </c>
    </row>
    <row r="1549" spans="1:5" ht="15.75" customHeight="1" x14ac:dyDescent="0.4">
      <c r="A1549" s="24" t="s">
        <v>1848</v>
      </c>
      <c r="B1549" s="24" t="s">
        <v>2188</v>
      </c>
      <c r="C1549" s="24">
        <v>99.52</v>
      </c>
      <c r="D1549" s="24">
        <v>4.17</v>
      </c>
      <c r="E1549" s="24">
        <v>99.58</v>
      </c>
    </row>
    <row r="1550" spans="1:5" ht="15.75" customHeight="1" x14ac:dyDescent="0.4">
      <c r="A1550" s="24" t="s">
        <v>1937</v>
      </c>
      <c r="B1550" s="24" t="s">
        <v>2188</v>
      </c>
      <c r="C1550" s="24">
        <v>99.58</v>
      </c>
      <c r="E1550" s="24">
        <v>99.58</v>
      </c>
    </row>
    <row r="1551" spans="1:5" ht="15.75" customHeight="1" x14ac:dyDescent="0.4">
      <c r="A1551" s="24" t="s">
        <v>1713</v>
      </c>
      <c r="B1551" s="24" t="s">
        <v>2188</v>
      </c>
      <c r="C1551" s="24">
        <v>99.58</v>
      </c>
      <c r="E1551" s="24">
        <v>99.58</v>
      </c>
    </row>
    <row r="1552" spans="1:5" ht="15.75" customHeight="1" x14ac:dyDescent="0.4">
      <c r="A1552" s="24" t="s">
        <v>748</v>
      </c>
      <c r="B1552" s="24" t="s">
        <v>2188</v>
      </c>
      <c r="C1552" s="24">
        <v>99.54</v>
      </c>
      <c r="D1552" s="24">
        <v>2.7</v>
      </c>
      <c r="E1552" s="24">
        <v>99.58</v>
      </c>
    </row>
    <row r="1553" spans="1:5" ht="15.75" customHeight="1" x14ac:dyDescent="0.4">
      <c r="A1553" s="24" t="s">
        <v>2130</v>
      </c>
      <c r="B1553" s="24" t="s">
        <v>2188</v>
      </c>
      <c r="C1553" s="24">
        <v>99.58</v>
      </c>
      <c r="E1553" s="24">
        <v>99.58</v>
      </c>
    </row>
    <row r="1554" spans="1:5" ht="15.75" customHeight="1" x14ac:dyDescent="0.4">
      <c r="A1554" s="24" t="s">
        <v>385</v>
      </c>
      <c r="B1554" s="24" t="s">
        <v>2188</v>
      </c>
      <c r="C1554" s="24">
        <v>99.36</v>
      </c>
      <c r="D1554" s="24">
        <v>0.22</v>
      </c>
      <c r="E1554" s="24">
        <v>99.58</v>
      </c>
    </row>
    <row r="1555" spans="1:5" ht="15.75" customHeight="1" x14ac:dyDescent="0.4">
      <c r="A1555" s="24" t="s">
        <v>335</v>
      </c>
      <c r="B1555" s="24" t="s">
        <v>2188</v>
      </c>
      <c r="C1555" s="24">
        <v>99.57</v>
      </c>
      <c r="E1555" s="24">
        <v>99.57</v>
      </c>
    </row>
    <row r="1556" spans="1:5" ht="15.75" customHeight="1" x14ac:dyDescent="0.4">
      <c r="A1556" s="24" t="s">
        <v>1636</v>
      </c>
      <c r="B1556" s="24" t="s">
        <v>2188</v>
      </c>
      <c r="C1556" s="24">
        <v>99.57</v>
      </c>
      <c r="E1556" s="24">
        <v>99.57</v>
      </c>
    </row>
    <row r="1557" spans="1:5" ht="15.75" customHeight="1" x14ac:dyDescent="0.4">
      <c r="A1557" s="24" t="s">
        <v>1761</v>
      </c>
      <c r="B1557" s="24" t="s">
        <v>2188</v>
      </c>
      <c r="C1557" s="24">
        <v>99.57</v>
      </c>
      <c r="E1557" s="24">
        <v>99.57</v>
      </c>
    </row>
    <row r="1558" spans="1:5" ht="15.75" customHeight="1" x14ac:dyDescent="0.4">
      <c r="A1558" s="24" t="s">
        <v>1652</v>
      </c>
      <c r="B1558" s="24" t="s">
        <v>2188</v>
      </c>
      <c r="C1558" s="24">
        <v>99.57</v>
      </c>
      <c r="E1558" s="24">
        <v>99.57</v>
      </c>
    </row>
    <row r="1559" spans="1:5" ht="15.75" customHeight="1" x14ac:dyDescent="0.4">
      <c r="A1559" s="24" t="s">
        <v>1156</v>
      </c>
      <c r="B1559" s="24" t="s">
        <v>2188</v>
      </c>
      <c r="C1559" s="24">
        <v>99.57</v>
      </c>
      <c r="E1559" s="24">
        <v>99.57</v>
      </c>
    </row>
    <row r="1560" spans="1:5" ht="15.75" customHeight="1" x14ac:dyDescent="0.4">
      <c r="A1560" s="24" t="s">
        <v>1274</v>
      </c>
      <c r="B1560" s="24" t="s">
        <v>2188</v>
      </c>
      <c r="C1560" s="24">
        <v>99.57</v>
      </c>
      <c r="E1560" s="24">
        <v>99.57</v>
      </c>
    </row>
    <row r="1561" spans="1:5" ht="15.75" customHeight="1" x14ac:dyDescent="0.4">
      <c r="A1561" s="24" t="s">
        <v>675</v>
      </c>
      <c r="B1561" s="24" t="s">
        <v>2188</v>
      </c>
      <c r="C1561" s="24">
        <v>99.57</v>
      </c>
      <c r="E1561" s="24">
        <v>99.57</v>
      </c>
    </row>
    <row r="1562" spans="1:5" ht="15.75" customHeight="1" x14ac:dyDescent="0.4">
      <c r="A1562" s="24" t="s">
        <v>657</v>
      </c>
      <c r="B1562" s="24" t="s">
        <v>2188</v>
      </c>
      <c r="C1562" s="24">
        <v>99.57</v>
      </c>
      <c r="E1562" s="24">
        <v>99.57</v>
      </c>
    </row>
    <row r="1563" spans="1:5" ht="15.75" customHeight="1" x14ac:dyDescent="0.4">
      <c r="A1563" s="24" t="s">
        <v>613</v>
      </c>
      <c r="B1563" s="24" t="s">
        <v>2190</v>
      </c>
      <c r="C1563" s="24">
        <v>99.56</v>
      </c>
      <c r="E1563" s="24">
        <v>99.56</v>
      </c>
    </row>
    <row r="1564" spans="1:5" ht="15.75" customHeight="1" x14ac:dyDescent="0.4">
      <c r="A1564" s="24" t="s">
        <v>1562</v>
      </c>
      <c r="B1564" s="24" t="s">
        <v>2188</v>
      </c>
      <c r="C1564" s="24">
        <v>99.56</v>
      </c>
      <c r="E1564" s="24">
        <v>99.56</v>
      </c>
    </row>
    <row r="1565" spans="1:5" ht="15.75" customHeight="1" x14ac:dyDescent="0.4">
      <c r="A1565" s="24" t="s">
        <v>677</v>
      </c>
      <c r="B1565" s="24" t="s">
        <v>2190</v>
      </c>
      <c r="C1565" s="24">
        <v>99.55</v>
      </c>
      <c r="E1565" s="24">
        <v>99.55</v>
      </c>
    </row>
    <row r="1566" spans="1:5" ht="15.75" customHeight="1" x14ac:dyDescent="0.4">
      <c r="A1566" s="24" t="s">
        <v>1918</v>
      </c>
      <c r="B1566" s="24" t="s">
        <v>2188</v>
      </c>
      <c r="C1566" s="24">
        <v>99.55</v>
      </c>
      <c r="E1566" s="24">
        <v>99.55</v>
      </c>
    </row>
    <row r="1567" spans="1:5" ht="15.75" customHeight="1" x14ac:dyDescent="0.4">
      <c r="A1567" s="24" t="s">
        <v>1791</v>
      </c>
      <c r="B1567" s="24" t="s">
        <v>2190</v>
      </c>
      <c r="C1567" s="24">
        <v>99.54</v>
      </c>
      <c r="E1567" s="24">
        <v>99.54</v>
      </c>
    </row>
    <row r="1568" spans="1:5" ht="15.75" customHeight="1" x14ac:dyDescent="0.4">
      <c r="A1568" s="24" t="s">
        <v>1875</v>
      </c>
      <c r="B1568" s="24" t="s">
        <v>2188</v>
      </c>
      <c r="C1568" s="24">
        <v>99.54</v>
      </c>
      <c r="E1568" s="24">
        <v>99.54</v>
      </c>
    </row>
    <row r="1569" spans="1:5" ht="15.75" customHeight="1" x14ac:dyDescent="0.4">
      <c r="A1569" s="24" t="s">
        <v>1239</v>
      </c>
      <c r="B1569" s="24" t="s">
        <v>2188</v>
      </c>
      <c r="C1569" s="24">
        <v>99.54</v>
      </c>
      <c r="E1569" s="24">
        <v>99.54</v>
      </c>
    </row>
    <row r="1570" spans="1:5" ht="15.75" customHeight="1" x14ac:dyDescent="0.4">
      <c r="A1570" s="24" t="s">
        <v>1965</v>
      </c>
      <c r="B1570" s="24" t="s">
        <v>2188</v>
      </c>
      <c r="C1570" s="24">
        <v>99.53</v>
      </c>
      <c r="E1570" s="24">
        <v>99.53</v>
      </c>
    </row>
    <row r="1571" spans="1:5" ht="15.75" customHeight="1" x14ac:dyDescent="0.4">
      <c r="A1571" s="24" t="s">
        <v>1964</v>
      </c>
      <c r="B1571" s="24" t="s">
        <v>2188</v>
      </c>
      <c r="C1571" s="24">
        <v>99.53</v>
      </c>
      <c r="E1571" s="24">
        <v>99.53</v>
      </c>
    </row>
    <row r="1572" spans="1:5" ht="15.75" customHeight="1" x14ac:dyDescent="0.4">
      <c r="A1572" s="24" t="s">
        <v>1910</v>
      </c>
      <c r="B1572" s="24" t="s">
        <v>2188</v>
      </c>
      <c r="C1572" s="24">
        <v>99.53</v>
      </c>
      <c r="E1572" s="24">
        <v>99.53</v>
      </c>
    </row>
    <row r="1573" spans="1:5" ht="15.75" customHeight="1" x14ac:dyDescent="0.4">
      <c r="A1573" s="24" t="s">
        <v>904</v>
      </c>
      <c r="B1573" s="24" t="s">
        <v>2188</v>
      </c>
      <c r="C1573" s="24">
        <v>99.53</v>
      </c>
      <c r="D1573" s="24">
        <v>0</v>
      </c>
      <c r="E1573" s="24">
        <v>99.53</v>
      </c>
    </row>
    <row r="1574" spans="1:5" ht="15.75" customHeight="1" x14ac:dyDescent="0.4">
      <c r="A1574" s="24" t="s">
        <v>1815</v>
      </c>
      <c r="B1574" s="24" t="s">
        <v>2188</v>
      </c>
      <c r="C1574" s="24">
        <v>99.52</v>
      </c>
      <c r="E1574" s="24">
        <v>99.52</v>
      </c>
    </row>
    <row r="1575" spans="1:5" ht="15.75" customHeight="1" x14ac:dyDescent="0.4">
      <c r="A1575" s="24" t="s">
        <v>2093</v>
      </c>
      <c r="B1575" s="24" t="s">
        <v>2188</v>
      </c>
      <c r="C1575" s="24">
        <v>99.52</v>
      </c>
      <c r="E1575" s="24">
        <v>99.52</v>
      </c>
    </row>
    <row r="1576" spans="1:5" ht="15.75" customHeight="1" x14ac:dyDescent="0.4">
      <c r="A1576" s="24" t="s">
        <v>1898</v>
      </c>
      <c r="B1576" s="24" t="s">
        <v>2188</v>
      </c>
      <c r="C1576" s="24">
        <v>99.52</v>
      </c>
      <c r="E1576" s="24">
        <v>99.52</v>
      </c>
    </row>
    <row r="1577" spans="1:5" ht="15.75" customHeight="1" x14ac:dyDescent="0.4">
      <c r="A1577" s="24" t="s">
        <v>1541</v>
      </c>
      <c r="B1577" s="24" t="s">
        <v>2188</v>
      </c>
      <c r="C1577" s="24">
        <v>99.32</v>
      </c>
      <c r="D1577" s="24">
        <v>11.68</v>
      </c>
      <c r="E1577" s="24">
        <v>99.51</v>
      </c>
    </row>
    <row r="1578" spans="1:5" ht="15.75" customHeight="1" x14ac:dyDescent="0.4">
      <c r="A1578" s="24" t="s">
        <v>1631</v>
      </c>
      <c r="B1578" s="24" t="s">
        <v>2190</v>
      </c>
      <c r="C1578" s="24">
        <v>86.16</v>
      </c>
      <c r="D1578" s="24">
        <v>13.29</v>
      </c>
      <c r="E1578" s="24">
        <v>99.51</v>
      </c>
    </row>
    <row r="1579" spans="1:5" ht="15.75" customHeight="1" x14ac:dyDescent="0.4">
      <c r="A1579" s="24" t="s">
        <v>1854</v>
      </c>
      <c r="B1579" s="24" t="s">
        <v>2188</v>
      </c>
      <c r="C1579" s="24">
        <v>99.51</v>
      </c>
      <c r="E1579" s="24">
        <v>99.51</v>
      </c>
    </row>
    <row r="1580" spans="1:5" ht="15.75" customHeight="1" x14ac:dyDescent="0.4">
      <c r="A1580" s="24" t="s">
        <v>1814</v>
      </c>
      <c r="B1580" s="24" t="s">
        <v>2188</v>
      </c>
      <c r="C1580" s="24">
        <v>99.47</v>
      </c>
      <c r="D1580" s="24">
        <v>1.1599999999999999</v>
      </c>
      <c r="E1580" s="24">
        <v>99.51</v>
      </c>
    </row>
    <row r="1581" spans="1:5" ht="15.75" customHeight="1" x14ac:dyDescent="0.4">
      <c r="A1581" s="24" t="s">
        <v>685</v>
      </c>
      <c r="B1581" s="24" t="s">
        <v>2188</v>
      </c>
      <c r="C1581" s="24">
        <v>99.5</v>
      </c>
      <c r="E1581" s="24">
        <v>99.5</v>
      </c>
    </row>
    <row r="1582" spans="1:5" ht="15.75" customHeight="1" x14ac:dyDescent="0.4">
      <c r="A1582" s="24" t="s">
        <v>1469</v>
      </c>
      <c r="B1582" s="24" t="s">
        <v>2188</v>
      </c>
      <c r="C1582" s="24">
        <v>83.61</v>
      </c>
      <c r="D1582" s="24">
        <v>15.84</v>
      </c>
      <c r="E1582" s="24">
        <v>99.5</v>
      </c>
    </row>
    <row r="1583" spans="1:5" ht="15.75" customHeight="1" x14ac:dyDescent="0.4">
      <c r="A1583" s="24" t="s">
        <v>511</v>
      </c>
      <c r="B1583" s="24" t="s">
        <v>2190</v>
      </c>
      <c r="C1583" s="24">
        <v>99.5</v>
      </c>
      <c r="E1583" s="24">
        <v>99.5</v>
      </c>
    </row>
    <row r="1584" spans="1:5" ht="15.75" customHeight="1" x14ac:dyDescent="0.4">
      <c r="A1584" s="24" t="s">
        <v>1069</v>
      </c>
      <c r="B1584" s="24" t="s">
        <v>2190</v>
      </c>
      <c r="C1584" s="24">
        <v>70.02</v>
      </c>
      <c r="D1584" s="24">
        <v>67.16</v>
      </c>
      <c r="E1584" s="24">
        <v>99.49</v>
      </c>
    </row>
    <row r="1585" spans="1:5" ht="15.75" customHeight="1" x14ac:dyDescent="0.4">
      <c r="A1585" s="24" t="s">
        <v>1245</v>
      </c>
      <c r="B1585" s="24" t="s">
        <v>2188</v>
      </c>
      <c r="C1585" s="24">
        <v>99.49</v>
      </c>
      <c r="E1585" s="24">
        <v>99.49</v>
      </c>
    </row>
    <row r="1586" spans="1:5" ht="15.75" customHeight="1" x14ac:dyDescent="0.4">
      <c r="A1586" s="24" t="s">
        <v>1078</v>
      </c>
      <c r="B1586" s="24" t="s">
        <v>2190</v>
      </c>
      <c r="C1586" s="24">
        <v>99.48</v>
      </c>
      <c r="E1586" s="24">
        <v>99.48</v>
      </c>
    </row>
    <row r="1587" spans="1:5" ht="15.75" customHeight="1" x14ac:dyDescent="0.4">
      <c r="A1587" s="24" t="s">
        <v>1656</v>
      </c>
      <c r="B1587" s="24" t="s">
        <v>2188</v>
      </c>
      <c r="C1587" s="24">
        <v>99.48</v>
      </c>
      <c r="E1587" s="24">
        <v>99.48</v>
      </c>
    </row>
    <row r="1588" spans="1:5" ht="15.75" customHeight="1" x14ac:dyDescent="0.4">
      <c r="A1588" s="24" t="s">
        <v>226</v>
      </c>
      <c r="B1588" s="24" t="s">
        <v>2188</v>
      </c>
      <c r="C1588" s="24">
        <v>99.47</v>
      </c>
      <c r="D1588" s="24">
        <v>10.220000000000001</v>
      </c>
      <c r="E1588" s="24">
        <v>99.48</v>
      </c>
    </row>
    <row r="1589" spans="1:5" ht="15.75" customHeight="1" x14ac:dyDescent="0.4">
      <c r="A1589" s="24" t="s">
        <v>1822</v>
      </c>
      <c r="B1589" s="24" t="s">
        <v>2188</v>
      </c>
      <c r="C1589" s="24">
        <v>88.43</v>
      </c>
      <c r="D1589" s="24">
        <v>69.41</v>
      </c>
      <c r="E1589" s="24">
        <v>99.48</v>
      </c>
    </row>
    <row r="1590" spans="1:5" ht="15.75" customHeight="1" x14ac:dyDescent="0.4">
      <c r="A1590" s="24" t="s">
        <v>1008</v>
      </c>
      <c r="B1590" s="24" t="s">
        <v>2188</v>
      </c>
      <c r="C1590" s="24">
        <v>99.48</v>
      </c>
      <c r="E1590" s="24">
        <v>99.48</v>
      </c>
    </row>
    <row r="1591" spans="1:5" ht="15.75" customHeight="1" x14ac:dyDescent="0.4">
      <c r="A1591" s="24" t="s">
        <v>696</v>
      </c>
      <c r="B1591" s="24" t="s">
        <v>2188</v>
      </c>
      <c r="C1591" s="24">
        <v>99.47</v>
      </c>
      <c r="E1591" s="24">
        <v>99.47</v>
      </c>
    </row>
    <row r="1592" spans="1:5" ht="15.75" customHeight="1" x14ac:dyDescent="0.4">
      <c r="A1592" s="24" t="s">
        <v>1411</v>
      </c>
      <c r="B1592" s="24" t="s">
        <v>2188</v>
      </c>
      <c r="C1592" s="24">
        <v>99.47</v>
      </c>
      <c r="E1592" s="24">
        <v>99.47</v>
      </c>
    </row>
    <row r="1593" spans="1:5" ht="15.75" customHeight="1" x14ac:dyDescent="0.4">
      <c r="A1593" s="24" t="s">
        <v>1778</v>
      </c>
      <c r="B1593" s="24" t="s">
        <v>2190</v>
      </c>
      <c r="C1593" s="24">
        <v>59.87</v>
      </c>
      <c r="D1593" s="24">
        <v>39.409999999999997</v>
      </c>
      <c r="E1593" s="24">
        <v>99.46</v>
      </c>
    </row>
    <row r="1594" spans="1:5" ht="15.75" customHeight="1" x14ac:dyDescent="0.4">
      <c r="A1594" s="24" t="s">
        <v>902</v>
      </c>
      <c r="B1594" s="24" t="s">
        <v>2190</v>
      </c>
      <c r="C1594" s="24">
        <v>65.209999999999994</v>
      </c>
      <c r="D1594" s="24">
        <v>45.08</v>
      </c>
      <c r="E1594" s="24">
        <v>99.46</v>
      </c>
    </row>
    <row r="1595" spans="1:5" ht="15.75" customHeight="1" x14ac:dyDescent="0.4">
      <c r="A1595" s="24" t="s">
        <v>1463</v>
      </c>
      <c r="B1595" s="24" t="s">
        <v>2188</v>
      </c>
      <c r="C1595" s="24">
        <v>78.08</v>
      </c>
      <c r="D1595" s="24">
        <v>33.54</v>
      </c>
      <c r="E1595" s="24">
        <v>99.45</v>
      </c>
    </row>
    <row r="1596" spans="1:5" ht="15.75" customHeight="1" x14ac:dyDescent="0.4">
      <c r="A1596" s="24" t="s">
        <v>2002</v>
      </c>
      <c r="B1596" s="24" t="s">
        <v>2188</v>
      </c>
      <c r="C1596" s="24">
        <v>99.45</v>
      </c>
      <c r="E1596" s="24">
        <v>99.45</v>
      </c>
    </row>
    <row r="1597" spans="1:5" ht="15.75" customHeight="1" x14ac:dyDescent="0.4">
      <c r="A1597" s="24" t="s">
        <v>1336</v>
      </c>
      <c r="B1597" s="24" t="s">
        <v>2190</v>
      </c>
      <c r="C1597" s="24">
        <v>99.37</v>
      </c>
      <c r="D1597" s="24">
        <v>7.0000000000000007E-2</v>
      </c>
      <c r="E1597" s="24">
        <v>99.45</v>
      </c>
    </row>
    <row r="1598" spans="1:5" ht="15.75" customHeight="1" x14ac:dyDescent="0.4">
      <c r="A1598" s="24" t="s">
        <v>1939</v>
      </c>
      <c r="B1598" s="24" t="s">
        <v>2188</v>
      </c>
      <c r="C1598" s="24">
        <v>99.44</v>
      </c>
      <c r="E1598" s="24">
        <v>99.44</v>
      </c>
    </row>
    <row r="1599" spans="1:5" ht="15.75" customHeight="1" x14ac:dyDescent="0.4">
      <c r="A1599" s="24" t="s">
        <v>1806</v>
      </c>
      <c r="B1599" s="24" t="s">
        <v>2188</v>
      </c>
      <c r="C1599" s="24">
        <v>85.61</v>
      </c>
      <c r="D1599" s="24">
        <v>14.06</v>
      </c>
      <c r="E1599" s="24">
        <v>99.44</v>
      </c>
    </row>
    <row r="1600" spans="1:5" ht="15.75" customHeight="1" x14ac:dyDescent="0.4">
      <c r="A1600" s="24" t="s">
        <v>1297</v>
      </c>
      <c r="B1600" s="24" t="s">
        <v>2188</v>
      </c>
      <c r="C1600" s="24">
        <v>99.44</v>
      </c>
      <c r="E1600" s="24">
        <v>99.44</v>
      </c>
    </row>
    <row r="1601" spans="1:5" ht="15.75" customHeight="1" x14ac:dyDescent="0.4">
      <c r="A1601" s="24" t="s">
        <v>2058</v>
      </c>
      <c r="B1601" s="24" t="s">
        <v>2188</v>
      </c>
      <c r="C1601" s="24">
        <v>99.44</v>
      </c>
      <c r="E1601" s="24">
        <v>99.44</v>
      </c>
    </row>
    <row r="1602" spans="1:5" ht="15.75" customHeight="1" x14ac:dyDescent="0.4">
      <c r="A1602" s="24" t="s">
        <v>1540</v>
      </c>
      <c r="B1602" s="24" t="s">
        <v>2188</v>
      </c>
      <c r="C1602" s="24">
        <v>99.43</v>
      </c>
      <c r="E1602" s="24">
        <v>99.43</v>
      </c>
    </row>
    <row r="1603" spans="1:5" ht="15.75" customHeight="1" x14ac:dyDescent="0.4">
      <c r="A1603" s="24" t="s">
        <v>862</v>
      </c>
      <c r="B1603" s="24" t="s">
        <v>2188</v>
      </c>
      <c r="C1603" s="24">
        <v>99.41</v>
      </c>
      <c r="D1603" s="24">
        <v>3.83</v>
      </c>
      <c r="E1603" s="24">
        <v>99.42</v>
      </c>
    </row>
    <row r="1604" spans="1:5" ht="15.75" customHeight="1" x14ac:dyDescent="0.4">
      <c r="A1604" s="24" t="s">
        <v>1826</v>
      </c>
      <c r="B1604" s="24" t="s">
        <v>2188</v>
      </c>
      <c r="C1604" s="24">
        <v>99.42</v>
      </c>
      <c r="E1604" s="24">
        <v>99.42</v>
      </c>
    </row>
    <row r="1605" spans="1:5" ht="15.75" customHeight="1" x14ac:dyDescent="0.4">
      <c r="A1605" s="24" t="s">
        <v>1102</v>
      </c>
      <c r="B1605" s="24" t="s">
        <v>2188</v>
      </c>
      <c r="C1605" s="24">
        <v>99.42</v>
      </c>
      <c r="E1605" s="24">
        <v>99.42</v>
      </c>
    </row>
    <row r="1606" spans="1:5" ht="15.75" customHeight="1" x14ac:dyDescent="0.4">
      <c r="A1606" s="24" t="s">
        <v>1855</v>
      </c>
      <c r="B1606" s="24" t="s">
        <v>2188</v>
      </c>
      <c r="C1606" s="24">
        <v>88.41</v>
      </c>
      <c r="D1606" s="24">
        <v>11.44</v>
      </c>
      <c r="E1606" s="24">
        <v>99.42</v>
      </c>
    </row>
    <row r="1607" spans="1:5" ht="15.75" customHeight="1" x14ac:dyDescent="0.4">
      <c r="A1607" s="24" t="s">
        <v>541</v>
      </c>
      <c r="B1607" s="24" t="s">
        <v>2190</v>
      </c>
      <c r="C1607" s="24">
        <v>99.41</v>
      </c>
      <c r="E1607" s="24">
        <v>99.41</v>
      </c>
    </row>
    <row r="1608" spans="1:5" ht="15.75" customHeight="1" x14ac:dyDescent="0.4">
      <c r="A1608" s="24" t="s">
        <v>2000</v>
      </c>
      <c r="B1608" s="24" t="s">
        <v>2188</v>
      </c>
      <c r="C1608" s="24">
        <v>99.41</v>
      </c>
      <c r="E1608" s="24">
        <v>99.41</v>
      </c>
    </row>
    <row r="1609" spans="1:5" ht="15.75" customHeight="1" x14ac:dyDescent="0.4">
      <c r="A1609" s="24" t="s">
        <v>1913</v>
      </c>
      <c r="B1609" s="24" t="s">
        <v>2188</v>
      </c>
      <c r="C1609" s="24">
        <v>99.41</v>
      </c>
      <c r="E1609" s="24">
        <v>99.41</v>
      </c>
    </row>
    <row r="1610" spans="1:5" ht="15.75" customHeight="1" x14ac:dyDescent="0.4">
      <c r="A1610" s="24" t="s">
        <v>575</v>
      </c>
      <c r="B1610" s="24" t="s">
        <v>2188</v>
      </c>
      <c r="C1610" s="24">
        <v>99.4</v>
      </c>
      <c r="E1610" s="24">
        <v>99.4</v>
      </c>
    </row>
    <row r="1611" spans="1:5" ht="15.75" customHeight="1" x14ac:dyDescent="0.4">
      <c r="A1611" s="24" t="s">
        <v>991</v>
      </c>
      <c r="B1611" s="24" t="s">
        <v>2188</v>
      </c>
      <c r="C1611" s="24">
        <v>99.39</v>
      </c>
      <c r="E1611" s="24">
        <v>99.39</v>
      </c>
    </row>
    <row r="1612" spans="1:5" ht="15.75" customHeight="1" x14ac:dyDescent="0.4">
      <c r="A1612" s="24" t="s">
        <v>1058</v>
      </c>
      <c r="B1612" s="24" t="s">
        <v>2188</v>
      </c>
      <c r="C1612" s="24">
        <v>97.22</v>
      </c>
      <c r="D1612" s="24">
        <v>3.3</v>
      </c>
      <c r="E1612" s="24">
        <v>99.37</v>
      </c>
    </row>
    <row r="1613" spans="1:5" ht="15.75" customHeight="1" x14ac:dyDescent="0.4">
      <c r="A1613" s="24" t="s">
        <v>1075</v>
      </c>
      <c r="B1613" s="24" t="s">
        <v>2188</v>
      </c>
      <c r="C1613" s="24">
        <v>99.36</v>
      </c>
      <c r="E1613" s="24">
        <v>99.36</v>
      </c>
    </row>
    <row r="1614" spans="1:5" ht="15.75" customHeight="1" x14ac:dyDescent="0.4">
      <c r="A1614" s="24" t="s">
        <v>1095</v>
      </c>
      <c r="B1614" s="24" t="s">
        <v>2190</v>
      </c>
      <c r="C1614" s="24">
        <v>85.88</v>
      </c>
      <c r="D1614" s="24">
        <v>13.42</v>
      </c>
      <c r="E1614" s="24">
        <v>99.36</v>
      </c>
    </row>
    <row r="1615" spans="1:5" ht="15.75" customHeight="1" x14ac:dyDescent="0.4">
      <c r="A1615" s="24" t="s">
        <v>2006</v>
      </c>
      <c r="B1615" s="24" t="s">
        <v>2188</v>
      </c>
      <c r="C1615" s="24">
        <v>97.84</v>
      </c>
      <c r="D1615" s="24">
        <v>16.670000000000002</v>
      </c>
      <c r="E1615" s="24">
        <v>99.35</v>
      </c>
    </row>
    <row r="1616" spans="1:5" ht="15.75" customHeight="1" x14ac:dyDescent="0.4">
      <c r="A1616" s="24" t="s">
        <v>1296</v>
      </c>
      <c r="B1616" s="24" t="s">
        <v>2188</v>
      </c>
      <c r="C1616" s="24">
        <v>99.35</v>
      </c>
      <c r="E1616" s="24">
        <v>99.35</v>
      </c>
    </row>
    <row r="1617" spans="1:5" ht="15.75" customHeight="1" x14ac:dyDescent="0.4">
      <c r="A1617" s="24" t="s">
        <v>1258</v>
      </c>
      <c r="B1617" s="24" t="s">
        <v>2188</v>
      </c>
      <c r="C1617" s="24">
        <v>99.35</v>
      </c>
      <c r="E1617" s="24">
        <v>99.35</v>
      </c>
    </row>
    <row r="1618" spans="1:5" ht="15.75" customHeight="1" x14ac:dyDescent="0.4">
      <c r="A1618" s="24" t="s">
        <v>1653</v>
      </c>
      <c r="B1618" s="24" t="s">
        <v>2188</v>
      </c>
      <c r="C1618" s="24">
        <v>72.900000000000006</v>
      </c>
      <c r="D1618" s="24">
        <v>26.36</v>
      </c>
      <c r="E1618" s="24">
        <v>99.34</v>
      </c>
    </row>
    <row r="1619" spans="1:5" ht="15.75" customHeight="1" x14ac:dyDescent="0.4">
      <c r="A1619" s="24" t="s">
        <v>1900</v>
      </c>
      <c r="B1619" s="24" t="s">
        <v>2188</v>
      </c>
      <c r="C1619" s="24">
        <v>99.33</v>
      </c>
      <c r="E1619" s="24">
        <v>99.33</v>
      </c>
    </row>
    <row r="1620" spans="1:5" ht="15.75" customHeight="1" x14ac:dyDescent="0.4">
      <c r="A1620" s="24" t="s">
        <v>982</v>
      </c>
      <c r="B1620" s="24" t="s">
        <v>2188</v>
      </c>
      <c r="C1620" s="24">
        <v>97.17</v>
      </c>
      <c r="D1620" s="24">
        <v>24.35</v>
      </c>
      <c r="E1620" s="24">
        <v>99.33</v>
      </c>
    </row>
    <row r="1621" spans="1:5" ht="15.75" customHeight="1" x14ac:dyDescent="0.4">
      <c r="A1621" s="24" t="s">
        <v>1752</v>
      </c>
      <c r="B1621" s="24" t="s">
        <v>2190</v>
      </c>
      <c r="C1621" s="24">
        <v>99.28</v>
      </c>
      <c r="D1621" s="24">
        <v>2.5499999999999998</v>
      </c>
      <c r="E1621" s="24">
        <v>99.33</v>
      </c>
    </row>
    <row r="1622" spans="1:5" ht="15.75" customHeight="1" x14ac:dyDescent="0.4">
      <c r="A1622" s="24" t="s">
        <v>1423</v>
      </c>
      <c r="B1622" s="24" t="s">
        <v>2188</v>
      </c>
      <c r="C1622" s="24">
        <v>95.43</v>
      </c>
      <c r="D1622" s="24">
        <v>3.87</v>
      </c>
      <c r="E1622" s="24">
        <v>99.32</v>
      </c>
    </row>
    <row r="1623" spans="1:5" ht="15.75" customHeight="1" x14ac:dyDescent="0.4">
      <c r="A1623" s="24" t="s">
        <v>1580</v>
      </c>
      <c r="B1623" s="24" t="s">
        <v>2188</v>
      </c>
      <c r="C1623" s="24">
        <v>99.31</v>
      </c>
      <c r="E1623" s="24">
        <v>99.31</v>
      </c>
    </row>
    <row r="1624" spans="1:5" ht="15.75" customHeight="1" x14ac:dyDescent="0.4">
      <c r="A1624" s="24" t="s">
        <v>867</v>
      </c>
      <c r="B1624" s="24" t="s">
        <v>2188</v>
      </c>
      <c r="C1624" s="24">
        <v>99.31</v>
      </c>
      <c r="E1624" s="24">
        <v>99.31</v>
      </c>
    </row>
    <row r="1625" spans="1:5" ht="15.75" customHeight="1" x14ac:dyDescent="0.4">
      <c r="A1625" s="24" t="s">
        <v>373</v>
      </c>
      <c r="B1625" s="24" t="s">
        <v>2188</v>
      </c>
      <c r="C1625" s="24">
        <v>99.31</v>
      </c>
      <c r="E1625" s="24">
        <v>99.31</v>
      </c>
    </row>
    <row r="1626" spans="1:5" ht="15.75" customHeight="1" x14ac:dyDescent="0.4">
      <c r="A1626" s="24" t="s">
        <v>1381</v>
      </c>
      <c r="B1626" s="24" t="s">
        <v>2188</v>
      </c>
      <c r="C1626" s="24">
        <v>99.3</v>
      </c>
      <c r="E1626" s="24">
        <v>99.3</v>
      </c>
    </row>
    <row r="1627" spans="1:5" ht="15.75" customHeight="1" x14ac:dyDescent="0.4">
      <c r="A1627" s="24" t="s">
        <v>2017</v>
      </c>
      <c r="B1627" s="24" t="s">
        <v>2188</v>
      </c>
      <c r="C1627" s="24">
        <v>99.3</v>
      </c>
      <c r="E1627" s="24">
        <v>99.3</v>
      </c>
    </row>
    <row r="1628" spans="1:5" ht="15.75" customHeight="1" x14ac:dyDescent="0.4">
      <c r="A1628" s="24" t="s">
        <v>1779</v>
      </c>
      <c r="B1628" s="24" t="s">
        <v>2188</v>
      </c>
      <c r="C1628" s="24">
        <v>99.29</v>
      </c>
      <c r="E1628" s="24">
        <v>99.29</v>
      </c>
    </row>
    <row r="1629" spans="1:5" ht="15.75" customHeight="1" x14ac:dyDescent="0.4">
      <c r="A1629" s="24" t="s">
        <v>1558</v>
      </c>
      <c r="B1629" s="24" t="s">
        <v>2188</v>
      </c>
      <c r="C1629" s="24">
        <v>99.28</v>
      </c>
      <c r="E1629" s="24">
        <v>99.28</v>
      </c>
    </row>
    <row r="1630" spans="1:5" ht="15.75" customHeight="1" x14ac:dyDescent="0.4">
      <c r="A1630" s="24" t="s">
        <v>1849</v>
      </c>
      <c r="B1630" s="24" t="s">
        <v>2188</v>
      </c>
      <c r="C1630" s="24">
        <v>97.25</v>
      </c>
      <c r="D1630" s="24">
        <v>2.0099999999999998</v>
      </c>
      <c r="E1630" s="24">
        <v>99.26</v>
      </c>
    </row>
    <row r="1631" spans="1:5" ht="15.75" customHeight="1" x14ac:dyDescent="0.4">
      <c r="A1631" s="24" t="s">
        <v>2033</v>
      </c>
      <c r="B1631" s="24" t="s">
        <v>2188</v>
      </c>
      <c r="C1631" s="24">
        <v>99.26</v>
      </c>
      <c r="E1631" s="24">
        <v>99.26</v>
      </c>
    </row>
    <row r="1632" spans="1:5" ht="15.75" customHeight="1" x14ac:dyDescent="0.4">
      <c r="A1632" s="24" t="s">
        <v>2029</v>
      </c>
      <c r="B1632" s="24" t="s">
        <v>2188</v>
      </c>
      <c r="C1632" s="24">
        <v>99.26</v>
      </c>
      <c r="E1632" s="24">
        <v>99.26</v>
      </c>
    </row>
    <row r="1633" spans="1:5" ht="15.75" customHeight="1" x14ac:dyDescent="0.4">
      <c r="A1633" s="24" t="s">
        <v>1698</v>
      </c>
      <c r="B1633" s="24" t="s">
        <v>2188</v>
      </c>
      <c r="C1633" s="24">
        <v>99.26</v>
      </c>
      <c r="D1633" s="24">
        <v>0.45</v>
      </c>
      <c r="E1633" s="24">
        <v>99.26</v>
      </c>
    </row>
    <row r="1634" spans="1:5" ht="15.75" customHeight="1" x14ac:dyDescent="0.4">
      <c r="A1634" s="24" t="s">
        <v>1883</v>
      </c>
      <c r="B1634" s="24" t="s">
        <v>2188</v>
      </c>
      <c r="C1634" s="24">
        <v>99.25</v>
      </c>
      <c r="E1634" s="24">
        <v>99.25</v>
      </c>
    </row>
    <row r="1635" spans="1:5" ht="15.75" customHeight="1" x14ac:dyDescent="0.4">
      <c r="A1635" s="24" t="s">
        <v>1847</v>
      </c>
      <c r="B1635" s="24" t="s">
        <v>2188</v>
      </c>
      <c r="C1635" s="24">
        <v>99.25</v>
      </c>
      <c r="E1635" s="24">
        <v>99.25</v>
      </c>
    </row>
    <row r="1636" spans="1:5" ht="15.75" customHeight="1" x14ac:dyDescent="0.4">
      <c r="A1636" s="24" t="s">
        <v>1271</v>
      </c>
      <c r="B1636" s="24" t="s">
        <v>2188</v>
      </c>
      <c r="C1636" s="24">
        <v>99.25</v>
      </c>
      <c r="E1636" s="24">
        <v>99.25</v>
      </c>
    </row>
    <row r="1637" spans="1:5" ht="15.75" customHeight="1" x14ac:dyDescent="0.4">
      <c r="A1637" s="24" t="s">
        <v>1992</v>
      </c>
      <c r="B1637" s="24" t="s">
        <v>2188</v>
      </c>
      <c r="C1637" s="24">
        <v>99.24</v>
      </c>
      <c r="E1637" s="24">
        <v>99.24</v>
      </c>
    </row>
    <row r="1638" spans="1:5" ht="15.75" customHeight="1" x14ac:dyDescent="0.4">
      <c r="A1638" s="24" t="s">
        <v>1749</v>
      </c>
      <c r="B1638" s="24" t="s">
        <v>2190</v>
      </c>
      <c r="C1638" s="24">
        <v>99.24</v>
      </c>
      <c r="E1638" s="24">
        <v>99.24</v>
      </c>
    </row>
    <row r="1639" spans="1:5" ht="15.75" customHeight="1" x14ac:dyDescent="0.4">
      <c r="A1639" s="24" t="s">
        <v>1161</v>
      </c>
      <c r="B1639" s="24" t="s">
        <v>2190</v>
      </c>
      <c r="C1639" s="24">
        <v>99.24</v>
      </c>
      <c r="E1639" s="24">
        <v>99.24</v>
      </c>
    </row>
    <row r="1640" spans="1:5" ht="15.75" customHeight="1" x14ac:dyDescent="0.4">
      <c r="A1640" s="24" t="s">
        <v>2154</v>
      </c>
      <c r="B1640" s="24" t="s">
        <v>2188</v>
      </c>
      <c r="C1640" s="24">
        <v>99.22</v>
      </c>
      <c r="E1640" s="24">
        <v>99.22</v>
      </c>
    </row>
    <row r="1641" spans="1:5" ht="15.75" customHeight="1" x14ac:dyDescent="0.4">
      <c r="A1641" s="24" t="s">
        <v>1865</v>
      </c>
      <c r="B1641" s="24" t="s">
        <v>2188</v>
      </c>
      <c r="C1641" s="24">
        <v>99.22</v>
      </c>
      <c r="E1641" s="24">
        <v>99.22</v>
      </c>
    </row>
    <row r="1642" spans="1:5" ht="15.75" customHeight="1" x14ac:dyDescent="0.4">
      <c r="A1642" s="24" t="s">
        <v>1949</v>
      </c>
      <c r="B1642" s="24" t="s">
        <v>2188</v>
      </c>
      <c r="C1642" s="24">
        <v>80.150000000000006</v>
      </c>
      <c r="D1642" s="24">
        <v>19.010000000000002</v>
      </c>
      <c r="E1642" s="24">
        <v>99.22</v>
      </c>
    </row>
    <row r="1643" spans="1:5" ht="15.75" customHeight="1" x14ac:dyDescent="0.4">
      <c r="A1643" s="24" t="s">
        <v>2020</v>
      </c>
      <c r="B1643" s="24" t="s">
        <v>2188</v>
      </c>
      <c r="C1643" s="24">
        <v>99.22</v>
      </c>
      <c r="E1643" s="24">
        <v>99.22</v>
      </c>
    </row>
    <row r="1644" spans="1:5" ht="15.75" customHeight="1" x14ac:dyDescent="0.4">
      <c r="A1644" s="24" t="s">
        <v>1056</v>
      </c>
      <c r="B1644" s="24" t="s">
        <v>2190</v>
      </c>
      <c r="C1644" s="24">
        <v>99.21</v>
      </c>
      <c r="D1644" s="24">
        <v>7.75</v>
      </c>
      <c r="E1644" s="24">
        <v>99.21</v>
      </c>
    </row>
    <row r="1645" spans="1:5" ht="15.75" customHeight="1" x14ac:dyDescent="0.4">
      <c r="A1645" s="24" t="s">
        <v>1505</v>
      </c>
      <c r="B1645" s="24" t="s">
        <v>2188</v>
      </c>
      <c r="C1645" s="24">
        <v>99.21</v>
      </c>
      <c r="E1645" s="24">
        <v>99.21</v>
      </c>
    </row>
    <row r="1646" spans="1:5" ht="15.75" customHeight="1" x14ac:dyDescent="0.4">
      <c r="A1646" s="24" t="s">
        <v>1479</v>
      </c>
      <c r="B1646" s="24" t="s">
        <v>2188</v>
      </c>
      <c r="C1646" s="24">
        <v>99.2</v>
      </c>
      <c r="D1646" s="24">
        <v>4.63</v>
      </c>
      <c r="E1646" s="24">
        <v>99.21</v>
      </c>
    </row>
    <row r="1647" spans="1:5" ht="15.75" customHeight="1" x14ac:dyDescent="0.4">
      <c r="A1647" s="24" t="s">
        <v>1901</v>
      </c>
      <c r="B1647" s="24" t="s">
        <v>2188</v>
      </c>
      <c r="C1647" s="24">
        <v>99.2</v>
      </c>
      <c r="E1647" s="24">
        <v>99.2</v>
      </c>
    </row>
    <row r="1648" spans="1:5" ht="15.75" customHeight="1" x14ac:dyDescent="0.4">
      <c r="A1648" s="24" t="s">
        <v>1098</v>
      </c>
      <c r="B1648" s="24" t="s">
        <v>2190</v>
      </c>
      <c r="C1648" s="24">
        <v>99.18</v>
      </c>
      <c r="E1648" s="24">
        <v>99.18</v>
      </c>
    </row>
    <row r="1649" spans="1:5" ht="15.75" customHeight="1" x14ac:dyDescent="0.4">
      <c r="A1649" s="24" t="s">
        <v>1384</v>
      </c>
      <c r="B1649" s="24" t="s">
        <v>2188</v>
      </c>
      <c r="C1649" s="24">
        <v>99.17</v>
      </c>
      <c r="E1649" s="24">
        <v>99.17</v>
      </c>
    </row>
    <row r="1650" spans="1:5" ht="15.75" customHeight="1" x14ac:dyDescent="0.4">
      <c r="A1650" s="24" t="s">
        <v>238</v>
      </c>
      <c r="B1650" s="24" t="s">
        <v>2188</v>
      </c>
      <c r="C1650" s="24">
        <v>94.49</v>
      </c>
      <c r="D1650" s="24">
        <v>4.67</v>
      </c>
      <c r="E1650" s="24">
        <v>99.17</v>
      </c>
    </row>
    <row r="1651" spans="1:5" ht="15.75" customHeight="1" x14ac:dyDescent="0.4">
      <c r="A1651" s="24" t="s">
        <v>1987</v>
      </c>
      <c r="B1651" s="24" t="s">
        <v>2188</v>
      </c>
      <c r="C1651" s="24">
        <v>84.86</v>
      </c>
      <c r="D1651" s="24">
        <v>14.27</v>
      </c>
      <c r="E1651" s="24">
        <v>99.17</v>
      </c>
    </row>
    <row r="1652" spans="1:5" ht="15.75" customHeight="1" x14ac:dyDescent="0.4">
      <c r="A1652" s="24" t="s">
        <v>1637</v>
      </c>
      <c r="B1652" s="24" t="s">
        <v>2188</v>
      </c>
      <c r="C1652" s="24">
        <v>99.17</v>
      </c>
      <c r="E1652" s="24">
        <v>99.17</v>
      </c>
    </row>
    <row r="1653" spans="1:5" ht="15.75" customHeight="1" x14ac:dyDescent="0.4">
      <c r="A1653" s="24" t="s">
        <v>1061</v>
      </c>
      <c r="B1653" s="24" t="s">
        <v>2188</v>
      </c>
      <c r="C1653" s="24">
        <v>99.15</v>
      </c>
      <c r="E1653" s="24">
        <v>99.15</v>
      </c>
    </row>
    <row r="1654" spans="1:5" ht="15.75" customHeight="1" x14ac:dyDescent="0.4">
      <c r="A1654" s="24" t="s">
        <v>710</v>
      </c>
      <c r="B1654" s="24" t="s">
        <v>2188</v>
      </c>
      <c r="C1654" s="24">
        <v>98.79</v>
      </c>
      <c r="D1654" s="24">
        <v>0.36</v>
      </c>
      <c r="E1654" s="24">
        <v>99.15</v>
      </c>
    </row>
    <row r="1655" spans="1:5" ht="15.75" customHeight="1" x14ac:dyDescent="0.4">
      <c r="A1655" s="24" t="s">
        <v>1515</v>
      </c>
      <c r="B1655" s="24" t="s">
        <v>2188</v>
      </c>
      <c r="C1655" s="24">
        <v>99.14</v>
      </c>
      <c r="E1655" s="24">
        <v>99.14</v>
      </c>
    </row>
    <row r="1656" spans="1:5" ht="15.75" customHeight="1" x14ac:dyDescent="0.4">
      <c r="A1656" s="24" t="s">
        <v>549</v>
      </c>
      <c r="B1656" s="24" t="s">
        <v>2188</v>
      </c>
      <c r="C1656" s="24">
        <v>99.13</v>
      </c>
      <c r="E1656" s="24">
        <v>99.13</v>
      </c>
    </row>
    <row r="1657" spans="1:5" ht="15.75" customHeight="1" x14ac:dyDescent="0.4">
      <c r="A1657" s="24" t="s">
        <v>2074</v>
      </c>
      <c r="B1657" s="24" t="s">
        <v>2188</v>
      </c>
      <c r="C1657" s="24">
        <v>99.12</v>
      </c>
      <c r="E1657" s="24">
        <v>99.12</v>
      </c>
    </row>
    <row r="1658" spans="1:5" ht="15.75" customHeight="1" x14ac:dyDescent="0.4">
      <c r="A1658" s="24" t="s">
        <v>1345</v>
      </c>
      <c r="B1658" s="24" t="s">
        <v>2188</v>
      </c>
      <c r="C1658" s="24">
        <v>99.11</v>
      </c>
      <c r="E1658" s="24">
        <v>99.11</v>
      </c>
    </row>
    <row r="1659" spans="1:5" ht="15.75" customHeight="1" x14ac:dyDescent="0.4">
      <c r="A1659" s="24" t="s">
        <v>2121</v>
      </c>
      <c r="B1659" s="24" t="s">
        <v>2188</v>
      </c>
      <c r="C1659" s="24">
        <v>99.04</v>
      </c>
      <c r="D1659" s="24">
        <v>0.18</v>
      </c>
      <c r="E1659" s="24">
        <v>99.11</v>
      </c>
    </row>
    <row r="1660" spans="1:5" ht="15.75" customHeight="1" x14ac:dyDescent="0.4">
      <c r="A1660" s="24" t="s">
        <v>2122</v>
      </c>
      <c r="B1660" s="24" t="s">
        <v>2190</v>
      </c>
      <c r="C1660" s="24">
        <v>99.11</v>
      </c>
      <c r="E1660" s="24">
        <v>99.11</v>
      </c>
    </row>
    <row r="1661" spans="1:5" ht="15.75" customHeight="1" x14ac:dyDescent="0.4">
      <c r="A1661" s="24" t="s">
        <v>2149</v>
      </c>
      <c r="B1661" s="24" t="s">
        <v>2188</v>
      </c>
      <c r="C1661" s="24">
        <v>98.98</v>
      </c>
      <c r="D1661" s="24">
        <v>7.46</v>
      </c>
      <c r="E1661" s="24">
        <v>99.09</v>
      </c>
    </row>
    <row r="1662" spans="1:5" ht="15.75" customHeight="1" x14ac:dyDescent="0.4">
      <c r="A1662" s="24" t="s">
        <v>1016</v>
      </c>
      <c r="B1662" s="24" t="s">
        <v>2190</v>
      </c>
      <c r="C1662" s="24">
        <v>7.28</v>
      </c>
      <c r="D1662" s="24">
        <v>97.26</v>
      </c>
      <c r="E1662" s="24">
        <v>99.09</v>
      </c>
    </row>
    <row r="1663" spans="1:5" ht="15.75" customHeight="1" x14ac:dyDescent="0.4">
      <c r="A1663" s="24" t="s">
        <v>778</v>
      </c>
      <c r="B1663" s="24" t="s">
        <v>2188</v>
      </c>
      <c r="C1663" s="24">
        <v>99.08</v>
      </c>
      <c r="E1663" s="24">
        <v>99.08</v>
      </c>
    </row>
    <row r="1664" spans="1:5" ht="15.75" customHeight="1" x14ac:dyDescent="0.4">
      <c r="A1664" s="24" t="s">
        <v>1368</v>
      </c>
      <c r="B1664" s="24" t="s">
        <v>2188</v>
      </c>
      <c r="C1664" s="24">
        <v>98.87</v>
      </c>
      <c r="D1664" s="24">
        <v>5.97</v>
      </c>
      <c r="E1664" s="24">
        <v>99.08</v>
      </c>
    </row>
    <row r="1665" spans="1:5" ht="15.75" customHeight="1" x14ac:dyDescent="0.4">
      <c r="A1665" s="24" t="s">
        <v>2097</v>
      </c>
      <c r="B1665" s="24" t="s">
        <v>2188</v>
      </c>
      <c r="C1665" s="24">
        <v>99.08</v>
      </c>
      <c r="E1665" s="24">
        <v>99.08</v>
      </c>
    </row>
    <row r="1666" spans="1:5" ht="15.75" customHeight="1" x14ac:dyDescent="0.4">
      <c r="A1666" s="24" t="s">
        <v>1739</v>
      </c>
      <c r="B1666" s="24" t="s">
        <v>2190</v>
      </c>
      <c r="C1666" s="24">
        <v>99.06</v>
      </c>
      <c r="E1666" s="24">
        <v>99.06</v>
      </c>
    </row>
    <row r="1667" spans="1:5" ht="15.75" customHeight="1" x14ac:dyDescent="0.4">
      <c r="A1667" s="24" t="s">
        <v>1317</v>
      </c>
      <c r="B1667" s="24" t="s">
        <v>2188</v>
      </c>
      <c r="C1667" s="24">
        <v>81.19</v>
      </c>
      <c r="D1667" s="24">
        <v>34.619999999999997</v>
      </c>
      <c r="E1667" s="24">
        <v>99.06</v>
      </c>
    </row>
    <row r="1668" spans="1:5" ht="15.75" customHeight="1" x14ac:dyDescent="0.4">
      <c r="A1668" s="24" t="s">
        <v>1764</v>
      </c>
      <c r="B1668" s="24" t="s">
        <v>2188</v>
      </c>
      <c r="C1668" s="24">
        <v>99.04</v>
      </c>
      <c r="E1668" s="24">
        <v>99.04</v>
      </c>
    </row>
    <row r="1669" spans="1:5" ht="15.75" customHeight="1" x14ac:dyDescent="0.4">
      <c r="A1669" s="24" t="s">
        <v>2010</v>
      </c>
      <c r="B1669" s="24" t="s">
        <v>2188</v>
      </c>
      <c r="C1669" s="24">
        <v>99.04</v>
      </c>
      <c r="E1669" s="24">
        <v>99.04</v>
      </c>
    </row>
    <row r="1670" spans="1:5" ht="15.75" customHeight="1" x14ac:dyDescent="0.4">
      <c r="A1670" s="24" t="s">
        <v>1925</v>
      </c>
      <c r="B1670" s="24" t="s">
        <v>2188</v>
      </c>
      <c r="C1670" s="24">
        <v>99.04</v>
      </c>
      <c r="E1670" s="24">
        <v>99.04</v>
      </c>
    </row>
    <row r="1671" spans="1:5" ht="15.75" customHeight="1" x14ac:dyDescent="0.4">
      <c r="A1671" s="24" t="s">
        <v>1974</v>
      </c>
      <c r="B1671" s="24" t="s">
        <v>2188</v>
      </c>
      <c r="C1671" s="24">
        <v>99.01</v>
      </c>
      <c r="E1671" s="24">
        <v>99.01</v>
      </c>
    </row>
    <row r="1672" spans="1:5" ht="15.75" customHeight="1" x14ac:dyDescent="0.4">
      <c r="A1672" s="24" t="s">
        <v>1961</v>
      </c>
      <c r="B1672" s="24" t="s">
        <v>2188</v>
      </c>
      <c r="C1672" s="24">
        <v>99.01</v>
      </c>
      <c r="E1672" s="24">
        <v>99.01</v>
      </c>
    </row>
    <row r="1673" spans="1:5" ht="15.75" customHeight="1" x14ac:dyDescent="0.4">
      <c r="A1673" s="24" t="s">
        <v>1892</v>
      </c>
      <c r="B1673" s="24" t="s">
        <v>2188</v>
      </c>
      <c r="C1673" s="24">
        <v>99</v>
      </c>
      <c r="E1673" s="24">
        <v>99</v>
      </c>
    </row>
    <row r="1674" spans="1:5" ht="15.75" customHeight="1" x14ac:dyDescent="0.4">
      <c r="A1674" s="24" t="s">
        <v>1269</v>
      </c>
      <c r="B1674" s="24" t="s">
        <v>2188</v>
      </c>
      <c r="C1674" s="24">
        <v>99</v>
      </c>
      <c r="E1674" s="24">
        <v>99</v>
      </c>
    </row>
    <row r="1675" spans="1:5" ht="15.75" customHeight="1" x14ac:dyDescent="0.4">
      <c r="A1675" s="24" t="s">
        <v>1388</v>
      </c>
      <c r="B1675" s="24" t="s">
        <v>2188</v>
      </c>
      <c r="C1675" s="24">
        <v>97.91</v>
      </c>
      <c r="D1675" s="24">
        <v>1.35</v>
      </c>
      <c r="E1675" s="24">
        <v>98.98</v>
      </c>
    </row>
    <row r="1676" spans="1:5" ht="15.75" customHeight="1" x14ac:dyDescent="0.4">
      <c r="A1676" s="24" t="s">
        <v>1951</v>
      </c>
      <c r="B1676" s="24" t="s">
        <v>2188</v>
      </c>
      <c r="C1676" s="24">
        <v>98.97</v>
      </c>
      <c r="E1676" s="24">
        <v>98.97</v>
      </c>
    </row>
    <row r="1677" spans="1:5" ht="15.75" customHeight="1" x14ac:dyDescent="0.4">
      <c r="A1677" s="24" t="s">
        <v>1734</v>
      </c>
      <c r="B1677" s="24" t="s">
        <v>2188</v>
      </c>
      <c r="C1677" s="24">
        <v>98.97</v>
      </c>
      <c r="E1677" s="24">
        <v>98.97</v>
      </c>
    </row>
    <row r="1678" spans="1:5" ht="15.75" customHeight="1" x14ac:dyDescent="0.4">
      <c r="A1678" s="24" t="s">
        <v>1412</v>
      </c>
      <c r="B1678" s="24" t="s">
        <v>2188</v>
      </c>
      <c r="C1678" s="24">
        <v>98.95</v>
      </c>
      <c r="E1678" s="24">
        <v>98.95</v>
      </c>
    </row>
    <row r="1679" spans="1:5" ht="15.75" customHeight="1" x14ac:dyDescent="0.4">
      <c r="A1679" s="24" t="s">
        <v>631</v>
      </c>
      <c r="B1679" s="24" t="s">
        <v>2188</v>
      </c>
      <c r="C1679" s="24">
        <v>98.83</v>
      </c>
      <c r="D1679" s="24">
        <v>0.12</v>
      </c>
      <c r="E1679" s="24">
        <v>98.95</v>
      </c>
    </row>
    <row r="1680" spans="1:5" ht="15.75" customHeight="1" x14ac:dyDescent="0.4">
      <c r="A1680" s="24" t="s">
        <v>2062</v>
      </c>
      <c r="B1680" s="24" t="s">
        <v>2188</v>
      </c>
      <c r="C1680" s="24">
        <v>98.95</v>
      </c>
      <c r="E1680" s="24">
        <v>98.95</v>
      </c>
    </row>
    <row r="1681" spans="1:5" ht="15.75" customHeight="1" x14ac:dyDescent="0.4">
      <c r="A1681" s="24" t="s">
        <v>1813</v>
      </c>
      <c r="B1681" s="24" t="s">
        <v>2189</v>
      </c>
      <c r="C1681" s="24">
        <v>69.75</v>
      </c>
      <c r="D1681" s="24">
        <v>98.9</v>
      </c>
      <c r="E1681" s="24">
        <v>98.94</v>
      </c>
    </row>
    <row r="1682" spans="1:5" ht="15.75" customHeight="1" x14ac:dyDescent="0.4">
      <c r="A1682" s="24" t="s">
        <v>229</v>
      </c>
      <c r="B1682" s="24" t="s">
        <v>2188</v>
      </c>
      <c r="C1682" s="24">
        <v>98.94</v>
      </c>
      <c r="E1682" s="24">
        <v>98.94</v>
      </c>
    </row>
    <row r="1683" spans="1:5" ht="15.75" customHeight="1" x14ac:dyDescent="0.4">
      <c r="A1683" s="24" t="s">
        <v>1703</v>
      </c>
      <c r="B1683" s="24" t="s">
        <v>2188</v>
      </c>
      <c r="C1683" s="24">
        <v>98.94</v>
      </c>
      <c r="E1683" s="24">
        <v>98.94</v>
      </c>
    </row>
    <row r="1684" spans="1:5" ht="15.75" customHeight="1" x14ac:dyDescent="0.4">
      <c r="A1684" s="24" t="s">
        <v>2165</v>
      </c>
      <c r="B1684" s="24" t="s">
        <v>2188</v>
      </c>
      <c r="C1684" s="24">
        <v>98.93</v>
      </c>
      <c r="E1684" s="24">
        <v>98.93</v>
      </c>
    </row>
    <row r="1685" spans="1:5" ht="15.75" customHeight="1" x14ac:dyDescent="0.4">
      <c r="A1685" s="24" t="s">
        <v>1332</v>
      </c>
      <c r="B1685" s="24" t="s">
        <v>2188</v>
      </c>
      <c r="C1685" s="24">
        <v>98.93</v>
      </c>
      <c r="E1685" s="24">
        <v>98.93</v>
      </c>
    </row>
    <row r="1686" spans="1:5" ht="15.75" customHeight="1" x14ac:dyDescent="0.4">
      <c r="A1686" s="24" t="s">
        <v>1842</v>
      </c>
      <c r="B1686" s="24" t="s">
        <v>2188</v>
      </c>
      <c r="C1686" s="24">
        <v>98.89</v>
      </c>
      <c r="D1686" s="24">
        <v>0.22</v>
      </c>
      <c r="E1686" s="24">
        <v>98.92</v>
      </c>
    </row>
    <row r="1687" spans="1:5" ht="15.75" customHeight="1" x14ac:dyDescent="0.4">
      <c r="A1687" s="24" t="s">
        <v>1392</v>
      </c>
      <c r="B1687" s="24" t="s">
        <v>2188</v>
      </c>
      <c r="C1687" s="24">
        <v>98.91</v>
      </c>
      <c r="E1687" s="24">
        <v>98.91</v>
      </c>
    </row>
    <row r="1688" spans="1:5" ht="15.75" customHeight="1" x14ac:dyDescent="0.4">
      <c r="A1688" s="24" t="s">
        <v>1680</v>
      </c>
      <c r="B1688" s="24" t="s">
        <v>2188</v>
      </c>
      <c r="C1688" s="24">
        <v>98.91</v>
      </c>
      <c r="E1688" s="24">
        <v>98.91</v>
      </c>
    </row>
    <row r="1689" spans="1:5" ht="15.75" customHeight="1" x14ac:dyDescent="0.4">
      <c r="A1689" s="24" t="s">
        <v>1120</v>
      </c>
      <c r="B1689" s="24" t="s">
        <v>2190</v>
      </c>
      <c r="C1689" s="24">
        <v>98.9</v>
      </c>
      <c r="E1689" s="24">
        <v>98.9</v>
      </c>
    </row>
    <row r="1690" spans="1:5" ht="15.75" customHeight="1" x14ac:dyDescent="0.4">
      <c r="A1690" s="24" t="s">
        <v>1547</v>
      </c>
      <c r="B1690" s="24" t="s">
        <v>2188</v>
      </c>
      <c r="C1690" s="24">
        <v>98.9</v>
      </c>
      <c r="E1690" s="24">
        <v>98.9</v>
      </c>
    </row>
    <row r="1691" spans="1:5" ht="15.75" customHeight="1" x14ac:dyDescent="0.4">
      <c r="A1691" s="24" t="s">
        <v>1592</v>
      </c>
      <c r="B1691" s="24" t="s">
        <v>2188</v>
      </c>
      <c r="C1691" s="24">
        <v>98.8</v>
      </c>
      <c r="D1691" s="24">
        <v>5.01</v>
      </c>
      <c r="E1691" s="24">
        <v>98.9</v>
      </c>
    </row>
    <row r="1692" spans="1:5" ht="15.75" customHeight="1" x14ac:dyDescent="0.4">
      <c r="A1692" s="24" t="s">
        <v>1341</v>
      </c>
      <c r="B1692" s="24" t="s">
        <v>2188</v>
      </c>
      <c r="C1692" s="24">
        <v>93.81</v>
      </c>
      <c r="D1692" s="24">
        <v>12.07</v>
      </c>
      <c r="E1692" s="24">
        <v>98.88</v>
      </c>
    </row>
    <row r="1693" spans="1:5" ht="15.75" customHeight="1" x14ac:dyDescent="0.4">
      <c r="A1693" s="24" t="s">
        <v>2172</v>
      </c>
      <c r="B1693" s="24" t="s">
        <v>2188</v>
      </c>
      <c r="C1693" s="24">
        <v>98.87</v>
      </c>
      <c r="E1693" s="24">
        <v>98.87</v>
      </c>
    </row>
    <row r="1694" spans="1:5" ht="15.75" customHeight="1" x14ac:dyDescent="0.4">
      <c r="A1694" s="24" t="s">
        <v>1051</v>
      </c>
      <c r="B1694" s="24" t="s">
        <v>2190</v>
      </c>
      <c r="C1694" s="24">
        <v>98.86</v>
      </c>
      <c r="E1694" s="24">
        <v>98.86</v>
      </c>
    </row>
    <row r="1695" spans="1:5" ht="15.75" customHeight="1" x14ac:dyDescent="0.4">
      <c r="A1695" s="24" t="s">
        <v>1103</v>
      </c>
      <c r="B1695" s="24" t="s">
        <v>2188</v>
      </c>
      <c r="C1695" s="24">
        <v>98.57</v>
      </c>
      <c r="D1695" s="24">
        <v>28.01</v>
      </c>
      <c r="E1695" s="24">
        <v>98.86</v>
      </c>
    </row>
    <row r="1696" spans="1:5" ht="15.75" customHeight="1" x14ac:dyDescent="0.4">
      <c r="A1696" s="24" t="s">
        <v>2160</v>
      </c>
      <c r="B1696" s="24" t="s">
        <v>2188</v>
      </c>
      <c r="C1696" s="24">
        <v>98.86</v>
      </c>
      <c r="E1696" s="24">
        <v>98.86</v>
      </c>
    </row>
    <row r="1697" spans="1:5" ht="15.75" customHeight="1" x14ac:dyDescent="0.4">
      <c r="A1697" s="24" t="s">
        <v>2014</v>
      </c>
      <c r="B1697" s="24" t="s">
        <v>2188</v>
      </c>
      <c r="C1697" s="24">
        <v>98.34</v>
      </c>
      <c r="D1697" s="24">
        <v>0.5</v>
      </c>
      <c r="E1697" s="24">
        <v>98.85</v>
      </c>
    </row>
    <row r="1698" spans="1:5" ht="15.75" customHeight="1" x14ac:dyDescent="0.4">
      <c r="A1698" s="24" t="s">
        <v>2084</v>
      </c>
      <c r="B1698" s="24" t="s">
        <v>2188</v>
      </c>
      <c r="C1698" s="24">
        <v>98.84</v>
      </c>
      <c r="E1698" s="24">
        <v>98.84</v>
      </c>
    </row>
    <row r="1699" spans="1:5" ht="15.75" customHeight="1" x14ac:dyDescent="0.4">
      <c r="A1699" s="24" t="s">
        <v>2019</v>
      </c>
      <c r="B1699" s="24" t="s">
        <v>2190</v>
      </c>
      <c r="C1699" s="24">
        <v>98.82</v>
      </c>
      <c r="E1699" s="24">
        <v>98.82</v>
      </c>
    </row>
    <row r="1700" spans="1:5" ht="15.75" customHeight="1" x14ac:dyDescent="0.4">
      <c r="A1700" s="24" t="s">
        <v>1456</v>
      </c>
      <c r="B1700" s="24" t="s">
        <v>2188</v>
      </c>
      <c r="C1700" s="24">
        <v>33.56</v>
      </c>
      <c r="D1700" s="24">
        <v>65.06</v>
      </c>
      <c r="E1700" s="24">
        <v>98.8</v>
      </c>
    </row>
    <row r="1701" spans="1:5" ht="15.75" customHeight="1" x14ac:dyDescent="0.4">
      <c r="A1701" s="24" t="s">
        <v>2150</v>
      </c>
      <c r="B1701" s="24" t="s">
        <v>2188</v>
      </c>
      <c r="C1701" s="24">
        <v>98.8</v>
      </c>
      <c r="E1701" s="24">
        <v>98.8</v>
      </c>
    </row>
    <row r="1702" spans="1:5" ht="15.75" customHeight="1" x14ac:dyDescent="0.4">
      <c r="A1702" s="24" t="s">
        <v>907</v>
      </c>
      <c r="B1702" s="24" t="s">
        <v>2190</v>
      </c>
      <c r="C1702" s="24">
        <v>85.6</v>
      </c>
      <c r="D1702" s="24">
        <v>13.12</v>
      </c>
      <c r="E1702" s="24">
        <v>98.79</v>
      </c>
    </row>
    <row r="1703" spans="1:5" ht="15.75" customHeight="1" x14ac:dyDescent="0.4">
      <c r="A1703" s="24" t="s">
        <v>471</v>
      </c>
      <c r="B1703" s="24" t="s">
        <v>2188</v>
      </c>
      <c r="C1703" s="24">
        <v>98.79</v>
      </c>
      <c r="E1703" s="24">
        <v>98.79</v>
      </c>
    </row>
    <row r="1704" spans="1:5" ht="15.75" customHeight="1" x14ac:dyDescent="0.4">
      <c r="A1704" s="24" t="s">
        <v>2067</v>
      </c>
      <c r="B1704" s="24" t="s">
        <v>2188</v>
      </c>
      <c r="C1704" s="24">
        <v>98.77</v>
      </c>
      <c r="E1704" s="24">
        <v>98.77</v>
      </c>
    </row>
    <row r="1705" spans="1:5" ht="15.75" customHeight="1" x14ac:dyDescent="0.4">
      <c r="A1705" s="24" t="s">
        <v>1733</v>
      </c>
      <c r="B1705" s="24" t="s">
        <v>2188</v>
      </c>
      <c r="C1705" s="24">
        <v>98.76</v>
      </c>
      <c r="E1705" s="24">
        <v>98.76</v>
      </c>
    </row>
    <row r="1706" spans="1:5" ht="15.75" customHeight="1" x14ac:dyDescent="0.4">
      <c r="A1706" s="24" t="s">
        <v>1342</v>
      </c>
      <c r="B1706" s="24" t="s">
        <v>2188</v>
      </c>
      <c r="C1706" s="24">
        <v>98.76</v>
      </c>
      <c r="E1706" s="24">
        <v>98.76</v>
      </c>
    </row>
    <row r="1707" spans="1:5" ht="15.75" customHeight="1" x14ac:dyDescent="0.4">
      <c r="A1707" s="24" t="s">
        <v>1420</v>
      </c>
      <c r="B1707" s="24" t="s">
        <v>2188</v>
      </c>
      <c r="C1707" s="24">
        <v>73.56</v>
      </c>
      <c r="D1707" s="24">
        <v>25.11</v>
      </c>
      <c r="E1707" s="24">
        <v>98.74</v>
      </c>
    </row>
    <row r="1708" spans="1:5" ht="15.75" customHeight="1" x14ac:dyDescent="0.4">
      <c r="A1708" s="24" t="s">
        <v>933</v>
      </c>
      <c r="B1708" s="24" t="s">
        <v>2190</v>
      </c>
      <c r="C1708" s="24">
        <v>33.1</v>
      </c>
      <c r="D1708" s="24">
        <v>65.3</v>
      </c>
      <c r="E1708" s="24">
        <v>98.72</v>
      </c>
    </row>
    <row r="1709" spans="1:5" ht="15.75" customHeight="1" x14ac:dyDescent="0.4">
      <c r="A1709" s="24" t="s">
        <v>1885</v>
      </c>
      <c r="B1709" s="24" t="s">
        <v>2188</v>
      </c>
      <c r="C1709" s="24">
        <v>98.7</v>
      </c>
      <c r="E1709" s="24">
        <v>98.7</v>
      </c>
    </row>
    <row r="1710" spans="1:5" ht="15.75" customHeight="1" x14ac:dyDescent="0.4">
      <c r="A1710" s="24" t="s">
        <v>1094</v>
      </c>
      <c r="B1710" s="24" t="s">
        <v>2190</v>
      </c>
      <c r="C1710" s="24">
        <v>34.18</v>
      </c>
      <c r="D1710" s="24">
        <v>67.33</v>
      </c>
      <c r="E1710" s="24">
        <v>98.69</v>
      </c>
    </row>
    <row r="1711" spans="1:5" ht="15.75" customHeight="1" x14ac:dyDescent="0.4">
      <c r="A1711" s="24" t="s">
        <v>2070</v>
      </c>
      <c r="B1711" s="24" t="s">
        <v>2190</v>
      </c>
      <c r="C1711" s="24">
        <v>73.89</v>
      </c>
      <c r="D1711" s="24">
        <v>24.67</v>
      </c>
      <c r="E1711" s="24">
        <v>98.67</v>
      </c>
    </row>
    <row r="1712" spans="1:5" ht="15.75" customHeight="1" x14ac:dyDescent="0.4">
      <c r="A1712" s="24" t="s">
        <v>1071</v>
      </c>
      <c r="B1712" s="24" t="s">
        <v>2190</v>
      </c>
      <c r="C1712" s="24">
        <v>98.67</v>
      </c>
      <c r="E1712" s="24">
        <v>98.67</v>
      </c>
    </row>
    <row r="1713" spans="1:5" ht="15.75" customHeight="1" x14ac:dyDescent="0.4">
      <c r="A1713" s="24" t="s">
        <v>1665</v>
      </c>
      <c r="B1713" s="24" t="s">
        <v>2188</v>
      </c>
      <c r="C1713" s="24">
        <v>98.66</v>
      </c>
      <c r="E1713" s="24">
        <v>98.66</v>
      </c>
    </row>
    <row r="1714" spans="1:5" ht="15.75" customHeight="1" x14ac:dyDescent="0.4">
      <c r="A1714" s="24" t="s">
        <v>2120</v>
      </c>
      <c r="B1714" s="24" t="s">
        <v>2188</v>
      </c>
      <c r="C1714" s="24">
        <v>98.2</v>
      </c>
      <c r="D1714" s="24">
        <v>0.57999999999999996</v>
      </c>
      <c r="E1714" s="24">
        <v>98.66</v>
      </c>
    </row>
    <row r="1715" spans="1:5" ht="15.75" customHeight="1" x14ac:dyDescent="0.4">
      <c r="A1715" s="24" t="s">
        <v>220</v>
      </c>
      <c r="B1715" s="24" t="s">
        <v>2188</v>
      </c>
      <c r="C1715" s="24">
        <v>98.64</v>
      </c>
      <c r="E1715" s="24">
        <v>98.64</v>
      </c>
    </row>
    <row r="1716" spans="1:5" ht="15.75" customHeight="1" x14ac:dyDescent="0.4">
      <c r="A1716" s="24" t="s">
        <v>1555</v>
      </c>
      <c r="B1716" s="24" t="s">
        <v>2188</v>
      </c>
      <c r="C1716" s="24">
        <v>98.63</v>
      </c>
      <c r="E1716" s="24">
        <v>98.63</v>
      </c>
    </row>
    <row r="1717" spans="1:5" ht="15.75" customHeight="1" x14ac:dyDescent="0.4">
      <c r="A1717" s="24" t="s">
        <v>1303</v>
      </c>
      <c r="B1717" s="24" t="s">
        <v>2188</v>
      </c>
      <c r="C1717" s="24">
        <v>98.63</v>
      </c>
      <c r="E1717" s="24">
        <v>98.63</v>
      </c>
    </row>
    <row r="1718" spans="1:5" ht="15.75" customHeight="1" x14ac:dyDescent="0.4">
      <c r="A1718" s="24" t="s">
        <v>1478</v>
      </c>
      <c r="B1718" s="24" t="s">
        <v>2188</v>
      </c>
      <c r="C1718" s="24">
        <v>98.62</v>
      </c>
      <c r="E1718" s="24">
        <v>98.62</v>
      </c>
    </row>
    <row r="1719" spans="1:5" ht="15.75" customHeight="1" x14ac:dyDescent="0.4">
      <c r="A1719" s="24" t="s">
        <v>1774</v>
      </c>
      <c r="B1719" s="24" t="s">
        <v>2188</v>
      </c>
      <c r="C1719" s="24">
        <v>98.62</v>
      </c>
      <c r="E1719" s="24">
        <v>98.62</v>
      </c>
    </row>
    <row r="1720" spans="1:5" ht="15.75" customHeight="1" x14ac:dyDescent="0.4">
      <c r="A1720" s="24" t="s">
        <v>519</v>
      </c>
      <c r="B1720" s="24" t="s">
        <v>2188</v>
      </c>
      <c r="C1720" s="24">
        <v>98.61</v>
      </c>
      <c r="E1720" s="24">
        <v>98.61</v>
      </c>
    </row>
    <row r="1721" spans="1:5" ht="15.75" customHeight="1" x14ac:dyDescent="0.4">
      <c r="A1721" s="24" t="s">
        <v>1417</v>
      </c>
      <c r="B1721" s="24" t="s">
        <v>2188</v>
      </c>
      <c r="C1721" s="24">
        <v>94.29</v>
      </c>
      <c r="D1721" s="24">
        <v>7.31</v>
      </c>
      <c r="E1721" s="24">
        <v>98.6</v>
      </c>
    </row>
    <row r="1722" spans="1:5" ht="15.75" customHeight="1" x14ac:dyDescent="0.4">
      <c r="A1722" s="24" t="s">
        <v>1347</v>
      </c>
      <c r="B1722" s="24" t="s">
        <v>2196</v>
      </c>
      <c r="C1722" s="24">
        <v>71.489999999999995</v>
      </c>
      <c r="D1722" s="24">
        <v>26.35</v>
      </c>
      <c r="E1722" s="24">
        <v>98.59</v>
      </c>
    </row>
    <row r="1723" spans="1:5" ht="15.75" customHeight="1" x14ac:dyDescent="0.4">
      <c r="A1723" s="24" t="s">
        <v>1567</v>
      </c>
      <c r="B1723" s="24" t="s">
        <v>2193</v>
      </c>
      <c r="C1723" s="24">
        <v>98.59</v>
      </c>
      <c r="E1723" s="24">
        <v>98.59</v>
      </c>
    </row>
    <row r="1724" spans="1:5" ht="15.75" customHeight="1" x14ac:dyDescent="0.4">
      <c r="A1724" s="24" t="s">
        <v>2169</v>
      </c>
      <c r="B1724" s="24" t="s">
        <v>2188</v>
      </c>
      <c r="C1724" s="24">
        <v>98.59</v>
      </c>
      <c r="E1724" s="24">
        <v>98.59</v>
      </c>
    </row>
    <row r="1725" spans="1:5" ht="15.75" customHeight="1" x14ac:dyDescent="0.4">
      <c r="A1725" s="24" t="s">
        <v>1081</v>
      </c>
      <c r="B1725" s="24" t="s">
        <v>2190</v>
      </c>
      <c r="C1725" s="24">
        <v>98.54</v>
      </c>
      <c r="E1725" s="24">
        <v>98.54</v>
      </c>
    </row>
    <row r="1726" spans="1:5" ht="15.75" customHeight="1" x14ac:dyDescent="0.4">
      <c r="A1726" s="24" t="s">
        <v>1257</v>
      </c>
      <c r="B1726" s="24" t="s">
        <v>2188</v>
      </c>
      <c r="C1726" s="24">
        <v>98.28</v>
      </c>
      <c r="D1726" s="24">
        <v>33.81</v>
      </c>
      <c r="E1726" s="24">
        <v>98.54</v>
      </c>
    </row>
    <row r="1727" spans="1:5" ht="15.75" customHeight="1" x14ac:dyDescent="0.4">
      <c r="A1727" s="24" t="s">
        <v>1480</v>
      </c>
      <c r="B1727" s="24" t="s">
        <v>2188</v>
      </c>
      <c r="C1727" s="24">
        <v>98.52</v>
      </c>
      <c r="E1727" s="24">
        <v>98.52</v>
      </c>
    </row>
    <row r="1728" spans="1:5" ht="15.75" customHeight="1" x14ac:dyDescent="0.4">
      <c r="A1728" s="24" t="s">
        <v>1250</v>
      </c>
      <c r="B1728" s="24" t="s">
        <v>2188</v>
      </c>
      <c r="C1728" s="24">
        <v>53.15</v>
      </c>
      <c r="D1728" s="24">
        <v>45.22</v>
      </c>
      <c r="E1728" s="24">
        <v>98.51</v>
      </c>
    </row>
    <row r="1729" spans="1:5" ht="15.75" customHeight="1" x14ac:dyDescent="0.4">
      <c r="A1729" s="24" t="s">
        <v>972</v>
      </c>
      <c r="B1729" s="24" t="s">
        <v>2188</v>
      </c>
      <c r="C1729" s="24">
        <v>98.49</v>
      </c>
      <c r="E1729" s="24">
        <v>98.49</v>
      </c>
    </row>
    <row r="1730" spans="1:5" ht="15.75" customHeight="1" x14ac:dyDescent="0.4">
      <c r="A1730" s="24" t="s">
        <v>1040</v>
      </c>
      <c r="B1730" s="24" t="s">
        <v>2188</v>
      </c>
      <c r="C1730" s="24">
        <v>98.49</v>
      </c>
      <c r="E1730" s="24">
        <v>98.49</v>
      </c>
    </row>
    <row r="1731" spans="1:5" ht="15.75" customHeight="1" x14ac:dyDescent="0.4">
      <c r="A1731" s="24" t="s">
        <v>1825</v>
      </c>
      <c r="B1731" s="24" t="s">
        <v>2188</v>
      </c>
      <c r="C1731" s="24">
        <v>95.46</v>
      </c>
      <c r="D1731" s="24">
        <v>4.3600000000000003</v>
      </c>
      <c r="E1731" s="24">
        <v>98.49</v>
      </c>
    </row>
    <row r="1732" spans="1:5" ht="15.75" customHeight="1" x14ac:dyDescent="0.4">
      <c r="A1732" s="24" t="s">
        <v>1602</v>
      </c>
      <c r="B1732" s="24" t="s">
        <v>2188</v>
      </c>
      <c r="C1732" s="24">
        <v>98.47</v>
      </c>
      <c r="E1732" s="24">
        <v>98.47</v>
      </c>
    </row>
    <row r="1733" spans="1:5" ht="15.75" customHeight="1" x14ac:dyDescent="0.4">
      <c r="A1733" s="24" t="s">
        <v>1891</v>
      </c>
      <c r="B1733" s="24" t="s">
        <v>2188</v>
      </c>
      <c r="C1733" s="24">
        <v>98.46</v>
      </c>
      <c r="E1733" s="24">
        <v>98.46</v>
      </c>
    </row>
    <row r="1734" spans="1:5" ht="15.75" customHeight="1" x14ac:dyDescent="0.4">
      <c r="A1734" s="24" t="s">
        <v>2069</v>
      </c>
      <c r="B1734" s="24" t="s">
        <v>2188</v>
      </c>
      <c r="C1734" s="24">
        <v>98.36</v>
      </c>
      <c r="D1734" s="24">
        <v>0.13</v>
      </c>
      <c r="E1734" s="24">
        <v>98.45</v>
      </c>
    </row>
    <row r="1735" spans="1:5" ht="15.75" customHeight="1" x14ac:dyDescent="0.4">
      <c r="A1735" s="24" t="s">
        <v>1492</v>
      </c>
      <c r="B1735" s="24" t="s">
        <v>2188</v>
      </c>
      <c r="C1735" s="24">
        <v>98.45</v>
      </c>
      <c r="E1735" s="24">
        <v>98.45</v>
      </c>
    </row>
    <row r="1736" spans="1:5" ht="15.75" customHeight="1" x14ac:dyDescent="0.4">
      <c r="A1736" s="24" t="s">
        <v>1263</v>
      </c>
      <c r="B1736" s="24" t="s">
        <v>2188</v>
      </c>
      <c r="C1736" s="24">
        <v>98.43</v>
      </c>
      <c r="E1736" s="24">
        <v>98.43</v>
      </c>
    </row>
    <row r="1737" spans="1:5" ht="15.75" customHeight="1" x14ac:dyDescent="0.4">
      <c r="A1737" s="24" t="s">
        <v>993</v>
      </c>
      <c r="B1737" s="24" t="s">
        <v>2188</v>
      </c>
      <c r="C1737" s="24">
        <v>98.43</v>
      </c>
      <c r="E1737" s="24">
        <v>98.43</v>
      </c>
    </row>
    <row r="1738" spans="1:5" ht="15.75" customHeight="1" x14ac:dyDescent="0.4">
      <c r="A1738" s="24" t="s">
        <v>1526</v>
      </c>
      <c r="B1738" s="24" t="s">
        <v>2188</v>
      </c>
      <c r="C1738" s="24">
        <v>98.41</v>
      </c>
      <c r="E1738" s="24">
        <v>98.41</v>
      </c>
    </row>
    <row r="1739" spans="1:5" ht="15.75" customHeight="1" x14ac:dyDescent="0.4">
      <c r="A1739" s="24" t="s">
        <v>1408</v>
      </c>
      <c r="B1739" s="24" t="s">
        <v>2188</v>
      </c>
      <c r="C1739" s="24">
        <v>98.41</v>
      </c>
      <c r="E1739" s="24">
        <v>98.41</v>
      </c>
    </row>
    <row r="1740" spans="1:5" ht="15.75" customHeight="1" x14ac:dyDescent="0.4">
      <c r="A1740" s="24" t="s">
        <v>938</v>
      </c>
      <c r="B1740" s="24" t="s">
        <v>2190</v>
      </c>
      <c r="C1740" s="24">
        <v>60.91</v>
      </c>
      <c r="D1740" s="24">
        <v>37.32</v>
      </c>
      <c r="E1740" s="24">
        <v>98.4</v>
      </c>
    </row>
    <row r="1741" spans="1:5" ht="15.75" customHeight="1" x14ac:dyDescent="0.4">
      <c r="A1741" s="24" t="s">
        <v>1313</v>
      </c>
      <c r="B1741" s="24" t="s">
        <v>2188</v>
      </c>
      <c r="C1741" s="24">
        <v>98.36</v>
      </c>
      <c r="E1741" s="24">
        <v>98.36</v>
      </c>
    </row>
    <row r="1742" spans="1:5" ht="15.75" customHeight="1" x14ac:dyDescent="0.4">
      <c r="A1742" s="24" t="s">
        <v>1413</v>
      </c>
      <c r="B1742" s="24" t="s">
        <v>2188</v>
      </c>
      <c r="C1742" s="24">
        <v>98.34</v>
      </c>
      <c r="E1742" s="24">
        <v>98.34</v>
      </c>
    </row>
    <row r="1743" spans="1:5" ht="15.75" customHeight="1" x14ac:dyDescent="0.4">
      <c r="A1743" s="24" t="s">
        <v>1627</v>
      </c>
      <c r="B1743" s="24" t="s">
        <v>2188</v>
      </c>
      <c r="C1743" s="24">
        <v>98.33</v>
      </c>
      <c r="E1743" s="24">
        <v>98.33</v>
      </c>
    </row>
    <row r="1744" spans="1:5" ht="15.75" customHeight="1" x14ac:dyDescent="0.4">
      <c r="A1744" s="24" t="s">
        <v>639</v>
      </c>
      <c r="B1744" s="24" t="s">
        <v>2188</v>
      </c>
      <c r="C1744" s="24">
        <v>98.33</v>
      </c>
      <c r="E1744" s="24">
        <v>98.33</v>
      </c>
    </row>
    <row r="1745" spans="1:5" ht="15.75" customHeight="1" x14ac:dyDescent="0.4">
      <c r="A1745" s="24" t="s">
        <v>513</v>
      </c>
      <c r="B1745" s="24" t="s">
        <v>2188</v>
      </c>
      <c r="C1745" s="24">
        <v>94.43</v>
      </c>
      <c r="D1745" s="24">
        <v>12.46</v>
      </c>
      <c r="E1745" s="24">
        <v>98.32</v>
      </c>
    </row>
    <row r="1746" spans="1:5" ht="15.75" customHeight="1" x14ac:dyDescent="0.4">
      <c r="A1746" s="24" t="s">
        <v>1664</v>
      </c>
      <c r="B1746" s="24" t="s">
        <v>2188</v>
      </c>
      <c r="C1746" s="24">
        <v>98.31</v>
      </c>
      <c r="E1746" s="24">
        <v>98.31</v>
      </c>
    </row>
    <row r="1747" spans="1:5" ht="15.75" customHeight="1" x14ac:dyDescent="0.4">
      <c r="A1747" s="24" t="s">
        <v>1528</v>
      </c>
      <c r="B1747" s="24" t="s">
        <v>2188</v>
      </c>
      <c r="C1747" s="24">
        <v>98.3</v>
      </c>
      <c r="E1747" s="24">
        <v>98.3</v>
      </c>
    </row>
    <row r="1748" spans="1:5" ht="15.75" customHeight="1" x14ac:dyDescent="0.4">
      <c r="A1748" s="24" t="s">
        <v>1113</v>
      </c>
      <c r="B1748" s="24" t="s">
        <v>2190</v>
      </c>
      <c r="C1748" s="24">
        <v>98.28</v>
      </c>
      <c r="E1748" s="24">
        <v>98.28</v>
      </c>
    </row>
    <row r="1749" spans="1:5" ht="15.75" customHeight="1" x14ac:dyDescent="0.4">
      <c r="A1749" s="24" t="s">
        <v>1610</v>
      </c>
      <c r="B1749" s="24" t="s">
        <v>2188</v>
      </c>
      <c r="C1749" s="24">
        <v>98.26</v>
      </c>
      <c r="E1749" s="24">
        <v>98.26</v>
      </c>
    </row>
    <row r="1750" spans="1:5" ht="15.75" customHeight="1" x14ac:dyDescent="0.4">
      <c r="A1750" s="24" t="s">
        <v>750</v>
      </c>
      <c r="B1750" s="24" t="s">
        <v>2190</v>
      </c>
      <c r="C1750" s="24">
        <v>98.26</v>
      </c>
      <c r="E1750" s="24">
        <v>98.26</v>
      </c>
    </row>
    <row r="1751" spans="1:5" ht="15.75" customHeight="1" x14ac:dyDescent="0.4">
      <c r="A1751" s="24" t="s">
        <v>1570</v>
      </c>
      <c r="B1751" s="24" t="s">
        <v>2188</v>
      </c>
      <c r="C1751" s="24">
        <v>98.25</v>
      </c>
      <c r="E1751" s="24">
        <v>98.25</v>
      </c>
    </row>
    <row r="1752" spans="1:5" ht="15.75" customHeight="1" x14ac:dyDescent="0.4">
      <c r="A1752" s="24" t="s">
        <v>1252</v>
      </c>
      <c r="B1752" s="24" t="s">
        <v>2188</v>
      </c>
      <c r="C1752" s="24">
        <v>98.25</v>
      </c>
      <c r="E1752" s="24">
        <v>98.25</v>
      </c>
    </row>
    <row r="1753" spans="1:5" ht="15.75" customHeight="1" x14ac:dyDescent="0.4">
      <c r="A1753" s="24" t="s">
        <v>433</v>
      </c>
      <c r="B1753" s="24" t="s">
        <v>2190</v>
      </c>
      <c r="C1753" s="24">
        <v>97.93</v>
      </c>
      <c r="D1753" s="24">
        <v>16.059999999999999</v>
      </c>
      <c r="E1753" s="24">
        <v>98.24</v>
      </c>
    </row>
    <row r="1754" spans="1:5" ht="15.75" customHeight="1" x14ac:dyDescent="0.4">
      <c r="A1754" s="24" t="s">
        <v>1963</v>
      </c>
      <c r="B1754" s="24" t="s">
        <v>2188</v>
      </c>
      <c r="C1754" s="24">
        <v>98.24</v>
      </c>
      <c r="E1754" s="24">
        <v>98.24</v>
      </c>
    </row>
    <row r="1755" spans="1:5" ht="15.75" customHeight="1" x14ac:dyDescent="0.4">
      <c r="A1755" s="24" t="s">
        <v>1723</v>
      </c>
      <c r="B1755" s="24" t="s">
        <v>2188</v>
      </c>
      <c r="C1755" s="24">
        <v>83.85</v>
      </c>
      <c r="D1755" s="24">
        <v>14.34</v>
      </c>
      <c r="E1755" s="24">
        <v>98.24</v>
      </c>
    </row>
    <row r="1756" spans="1:5" ht="15.75" customHeight="1" x14ac:dyDescent="0.4">
      <c r="A1756" s="24" t="s">
        <v>1349</v>
      </c>
      <c r="B1756" s="24" t="s">
        <v>2188</v>
      </c>
      <c r="C1756" s="24">
        <v>50.13</v>
      </c>
      <c r="D1756" s="24">
        <v>58.42</v>
      </c>
      <c r="E1756" s="24">
        <v>98.22</v>
      </c>
    </row>
    <row r="1757" spans="1:5" ht="15.75" customHeight="1" x14ac:dyDescent="0.4">
      <c r="A1757" s="24" t="s">
        <v>1010</v>
      </c>
      <c r="B1757" s="24" t="s">
        <v>2188</v>
      </c>
      <c r="C1757" s="24">
        <v>98.22</v>
      </c>
      <c r="E1757" s="24">
        <v>98.22</v>
      </c>
    </row>
    <row r="1758" spans="1:5" ht="15.75" customHeight="1" x14ac:dyDescent="0.4">
      <c r="A1758" s="24" t="s">
        <v>577</v>
      </c>
      <c r="B1758" s="24" t="s">
        <v>2188</v>
      </c>
      <c r="C1758" s="24">
        <v>98.2</v>
      </c>
      <c r="E1758" s="24">
        <v>98.2</v>
      </c>
    </row>
    <row r="1759" spans="1:5" ht="15.75" customHeight="1" x14ac:dyDescent="0.4">
      <c r="A1759" s="24" t="s">
        <v>1514</v>
      </c>
      <c r="B1759" s="24" t="s">
        <v>2188</v>
      </c>
      <c r="C1759" s="24">
        <v>98.2</v>
      </c>
      <c r="E1759" s="24">
        <v>98.2</v>
      </c>
    </row>
    <row r="1760" spans="1:5" ht="15.75" customHeight="1" x14ac:dyDescent="0.4">
      <c r="A1760" s="24" t="s">
        <v>2100</v>
      </c>
      <c r="B1760" s="24" t="s">
        <v>2188</v>
      </c>
      <c r="C1760" s="24">
        <v>98.19</v>
      </c>
      <c r="E1760" s="24">
        <v>98.19</v>
      </c>
    </row>
    <row r="1761" spans="1:5" ht="15.75" customHeight="1" x14ac:dyDescent="0.4">
      <c r="A1761" s="24" t="s">
        <v>1416</v>
      </c>
      <c r="B1761" s="24" t="s">
        <v>2188</v>
      </c>
      <c r="C1761" s="24">
        <v>98.19</v>
      </c>
      <c r="E1761" s="24">
        <v>98.19</v>
      </c>
    </row>
    <row r="1762" spans="1:5" ht="15.75" customHeight="1" x14ac:dyDescent="0.4">
      <c r="A1762" s="24" t="s">
        <v>1907</v>
      </c>
      <c r="B1762" s="24" t="s">
        <v>2188</v>
      </c>
      <c r="C1762" s="24">
        <v>98.18</v>
      </c>
      <c r="E1762" s="24">
        <v>98.18</v>
      </c>
    </row>
    <row r="1763" spans="1:5" ht="15.75" customHeight="1" x14ac:dyDescent="0.4">
      <c r="A1763" s="24" t="s">
        <v>483</v>
      </c>
      <c r="B1763" s="24" t="s">
        <v>2188</v>
      </c>
      <c r="C1763" s="24">
        <v>98.18</v>
      </c>
      <c r="E1763" s="24">
        <v>98.18</v>
      </c>
    </row>
    <row r="1764" spans="1:5" ht="15.75" customHeight="1" x14ac:dyDescent="0.4">
      <c r="A1764" s="24" t="s">
        <v>1427</v>
      </c>
      <c r="B1764" s="24" t="s">
        <v>2188</v>
      </c>
      <c r="C1764" s="24">
        <v>98.18</v>
      </c>
      <c r="E1764" s="24">
        <v>98.18</v>
      </c>
    </row>
    <row r="1765" spans="1:5" ht="15.75" customHeight="1" x14ac:dyDescent="0.4">
      <c r="A1765" s="24" t="s">
        <v>1471</v>
      </c>
      <c r="B1765" s="24" t="s">
        <v>2188</v>
      </c>
      <c r="C1765" s="24">
        <v>98.18</v>
      </c>
      <c r="E1765" s="24">
        <v>98.18</v>
      </c>
    </row>
    <row r="1766" spans="1:5" ht="15.75" customHeight="1" x14ac:dyDescent="0.4">
      <c r="A1766" s="24" t="s">
        <v>1086</v>
      </c>
      <c r="B1766" s="24" t="s">
        <v>2190</v>
      </c>
      <c r="C1766" s="24">
        <v>98.18</v>
      </c>
      <c r="E1766" s="24">
        <v>98.18</v>
      </c>
    </row>
    <row r="1767" spans="1:5" ht="15.75" customHeight="1" x14ac:dyDescent="0.4">
      <c r="A1767" s="24" t="s">
        <v>1187</v>
      </c>
      <c r="B1767" s="24" t="s">
        <v>2190</v>
      </c>
      <c r="C1767" s="24">
        <v>93.55</v>
      </c>
      <c r="D1767" s="24">
        <v>4.6100000000000003</v>
      </c>
      <c r="E1767" s="24">
        <v>98.18</v>
      </c>
    </row>
    <row r="1768" spans="1:5" ht="15.75" customHeight="1" x14ac:dyDescent="0.4">
      <c r="A1768" s="24" t="s">
        <v>1548</v>
      </c>
      <c r="B1768" s="24" t="s">
        <v>2188</v>
      </c>
      <c r="C1768" s="24">
        <v>98.16</v>
      </c>
      <c r="E1768" s="24">
        <v>98.16</v>
      </c>
    </row>
    <row r="1769" spans="1:5" ht="15.75" customHeight="1" x14ac:dyDescent="0.4">
      <c r="A1769" s="24" t="s">
        <v>2013</v>
      </c>
      <c r="B1769" s="24" t="s">
        <v>2190</v>
      </c>
      <c r="C1769" s="24">
        <v>98.15</v>
      </c>
      <c r="E1769" s="24">
        <v>98.15</v>
      </c>
    </row>
    <row r="1770" spans="1:5" ht="15.75" customHeight="1" x14ac:dyDescent="0.4">
      <c r="A1770" s="24" t="s">
        <v>1363</v>
      </c>
      <c r="B1770" s="24" t="s">
        <v>2188</v>
      </c>
      <c r="C1770" s="24">
        <v>98.14</v>
      </c>
      <c r="E1770" s="24">
        <v>98.14</v>
      </c>
    </row>
    <row r="1771" spans="1:5" ht="15.75" customHeight="1" x14ac:dyDescent="0.4">
      <c r="A1771" s="24" t="s">
        <v>1655</v>
      </c>
      <c r="B1771" s="24" t="s">
        <v>2188</v>
      </c>
      <c r="C1771" s="24">
        <v>97.82</v>
      </c>
      <c r="D1771" s="24">
        <v>0.28999999999999998</v>
      </c>
      <c r="E1771" s="24">
        <v>98.11</v>
      </c>
    </row>
    <row r="1772" spans="1:5" ht="15.75" customHeight="1" x14ac:dyDescent="0.4">
      <c r="A1772" s="24" t="s">
        <v>1823</v>
      </c>
      <c r="B1772" s="24" t="s">
        <v>2190</v>
      </c>
      <c r="C1772" s="24">
        <v>98.09</v>
      </c>
      <c r="E1772" s="24">
        <v>98.09</v>
      </c>
    </row>
    <row r="1773" spans="1:5" ht="15.75" customHeight="1" x14ac:dyDescent="0.4">
      <c r="A1773" s="24" t="s">
        <v>491</v>
      </c>
      <c r="B1773" s="24" t="s">
        <v>2188</v>
      </c>
      <c r="C1773" s="24">
        <v>97.63</v>
      </c>
      <c r="D1773" s="24">
        <v>0.45</v>
      </c>
      <c r="E1773" s="24">
        <v>98.08</v>
      </c>
    </row>
    <row r="1774" spans="1:5" ht="15.75" customHeight="1" x14ac:dyDescent="0.4">
      <c r="A1774" s="24" t="s">
        <v>1146</v>
      </c>
      <c r="B1774" s="24" t="s">
        <v>2190</v>
      </c>
      <c r="C1774" s="24">
        <v>98.08</v>
      </c>
      <c r="E1774" s="24">
        <v>98.08</v>
      </c>
    </row>
    <row r="1775" spans="1:5" ht="15.75" customHeight="1" x14ac:dyDescent="0.4">
      <c r="A1775" s="24" t="s">
        <v>1894</v>
      </c>
      <c r="B1775" s="24" t="s">
        <v>2188</v>
      </c>
      <c r="C1775" s="24">
        <v>98.07</v>
      </c>
      <c r="E1775" s="24">
        <v>98.07</v>
      </c>
    </row>
    <row r="1776" spans="1:5" ht="15.75" customHeight="1" x14ac:dyDescent="0.4">
      <c r="A1776" s="24" t="s">
        <v>1190</v>
      </c>
      <c r="B1776" s="24" t="s">
        <v>2188</v>
      </c>
      <c r="C1776" s="24">
        <v>98.07</v>
      </c>
      <c r="E1776" s="24">
        <v>98.07</v>
      </c>
    </row>
    <row r="1777" spans="1:5" ht="15.75" customHeight="1" x14ac:dyDescent="0.4">
      <c r="A1777" s="24" t="s">
        <v>1725</v>
      </c>
      <c r="B1777" s="24" t="s">
        <v>2190</v>
      </c>
      <c r="C1777" s="24">
        <v>96.76</v>
      </c>
      <c r="D1777" s="24">
        <v>1.29</v>
      </c>
      <c r="E1777" s="24">
        <v>98.07</v>
      </c>
    </row>
    <row r="1778" spans="1:5" ht="15.75" customHeight="1" x14ac:dyDescent="0.4">
      <c r="A1778" s="24" t="s">
        <v>1916</v>
      </c>
      <c r="B1778" s="24" t="s">
        <v>2188</v>
      </c>
      <c r="C1778" s="24">
        <v>83.1</v>
      </c>
      <c r="D1778" s="24">
        <v>14.91</v>
      </c>
      <c r="E1778" s="24">
        <v>98.05</v>
      </c>
    </row>
    <row r="1779" spans="1:5" ht="15.75" customHeight="1" x14ac:dyDescent="0.4">
      <c r="A1779" s="24" t="s">
        <v>1220</v>
      </c>
      <c r="B1779" s="24" t="s">
        <v>2190</v>
      </c>
      <c r="C1779" s="24">
        <v>89.79</v>
      </c>
      <c r="D1779" s="24">
        <v>29.49</v>
      </c>
      <c r="E1779" s="24">
        <v>98.04</v>
      </c>
    </row>
    <row r="1780" spans="1:5" ht="15.75" customHeight="1" x14ac:dyDescent="0.4">
      <c r="A1780" s="24" t="s">
        <v>1539</v>
      </c>
      <c r="B1780" s="24" t="s">
        <v>2188</v>
      </c>
      <c r="C1780" s="24">
        <v>98.03</v>
      </c>
      <c r="E1780" s="24">
        <v>98.03</v>
      </c>
    </row>
    <row r="1781" spans="1:5" ht="15.75" customHeight="1" x14ac:dyDescent="0.4">
      <c r="A1781" s="24" t="s">
        <v>1782</v>
      </c>
      <c r="B1781" s="24" t="s">
        <v>2188</v>
      </c>
      <c r="C1781" s="24">
        <v>98.02</v>
      </c>
      <c r="E1781" s="24">
        <v>98.02</v>
      </c>
    </row>
    <row r="1782" spans="1:5" ht="15.75" customHeight="1" x14ac:dyDescent="0.4">
      <c r="A1782" s="24" t="s">
        <v>837</v>
      </c>
      <c r="B1782" s="24" t="s">
        <v>2190</v>
      </c>
      <c r="C1782" s="24">
        <v>98.02</v>
      </c>
      <c r="E1782" s="24">
        <v>98.02</v>
      </c>
    </row>
    <row r="1783" spans="1:5" ht="15.75" customHeight="1" x14ac:dyDescent="0.4">
      <c r="A1783" s="24" t="s">
        <v>1285</v>
      </c>
      <c r="B1783" s="24" t="s">
        <v>2188</v>
      </c>
      <c r="C1783" s="24">
        <v>95.08</v>
      </c>
      <c r="D1783" s="24">
        <v>2.92</v>
      </c>
      <c r="E1783" s="24">
        <v>98.01</v>
      </c>
    </row>
    <row r="1784" spans="1:5" ht="15.75" customHeight="1" x14ac:dyDescent="0.4">
      <c r="A1784" s="24" t="s">
        <v>228</v>
      </c>
      <c r="B1784" s="24" t="s">
        <v>2188</v>
      </c>
      <c r="C1784" s="24">
        <v>97.98</v>
      </c>
      <c r="E1784" s="24">
        <v>97.98</v>
      </c>
    </row>
    <row r="1785" spans="1:5" ht="15.75" customHeight="1" x14ac:dyDescent="0.4">
      <c r="A1785" s="24" t="s">
        <v>2136</v>
      </c>
      <c r="B1785" s="24" t="s">
        <v>2188</v>
      </c>
      <c r="C1785" s="24">
        <v>97.95</v>
      </c>
      <c r="E1785" s="24">
        <v>97.95</v>
      </c>
    </row>
    <row r="1786" spans="1:5" ht="15.75" customHeight="1" x14ac:dyDescent="0.4">
      <c r="A1786" s="24" t="s">
        <v>1716</v>
      </c>
      <c r="B1786" s="24" t="s">
        <v>2188</v>
      </c>
      <c r="C1786" s="24">
        <v>97.94</v>
      </c>
      <c r="E1786" s="24">
        <v>97.94</v>
      </c>
    </row>
    <row r="1787" spans="1:5" ht="15.75" customHeight="1" x14ac:dyDescent="0.4">
      <c r="A1787" s="24" t="s">
        <v>1498</v>
      </c>
      <c r="B1787" s="24" t="s">
        <v>2188</v>
      </c>
      <c r="C1787" s="24">
        <v>97.92</v>
      </c>
      <c r="E1787" s="24">
        <v>97.92</v>
      </c>
    </row>
    <row r="1788" spans="1:5" ht="15.75" customHeight="1" x14ac:dyDescent="0.4">
      <c r="A1788" s="24" t="s">
        <v>1185</v>
      </c>
      <c r="B1788" s="24" t="s">
        <v>2195</v>
      </c>
      <c r="C1788" s="24">
        <v>97.89</v>
      </c>
      <c r="E1788" s="24">
        <v>97.89</v>
      </c>
    </row>
    <row r="1789" spans="1:5" ht="15.75" customHeight="1" x14ac:dyDescent="0.4">
      <c r="A1789" s="24" t="s">
        <v>1287</v>
      </c>
      <c r="B1789" s="24" t="s">
        <v>2188</v>
      </c>
      <c r="C1789" s="24">
        <v>97.89</v>
      </c>
      <c r="E1789" s="24">
        <v>97.89</v>
      </c>
    </row>
    <row r="1790" spans="1:5" ht="15.75" customHeight="1" x14ac:dyDescent="0.4">
      <c r="A1790" s="24" t="s">
        <v>935</v>
      </c>
      <c r="B1790" s="24" t="s">
        <v>2190</v>
      </c>
      <c r="C1790" s="24">
        <v>97.88</v>
      </c>
      <c r="E1790" s="24">
        <v>97.88</v>
      </c>
    </row>
    <row r="1791" spans="1:5" ht="15.75" customHeight="1" x14ac:dyDescent="0.4">
      <c r="A1791" s="24" t="s">
        <v>1009</v>
      </c>
      <c r="B1791" s="24" t="s">
        <v>2188</v>
      </c>
      <c r="C1791" s="24">
        <v>97.87</v>
      </c>
      <c r="D1791" s="24">
        <v>0</v>
      </c>
      <c r="E1791" s="24">
        <v>97.87</v>
      </c>
    </row>
    <row r="1792" spans="1:5" ht="15.75" customHeight="1" x14ac:dyDescent="0.4">
      <c r="A1792" s="24" t="s">
        <v>1319</v>
      </c>
      <c r="B1792" s="24" t="s">
        <v>2188</v>
      </c>
      <c r="C1792" s="24">
        <v>82.96</v>
      </c>
      <c r="D1792" s="24">
        <v>14.84</v>
      </c>
      <c r="E1792" s="24">
        <v>97.85</v>
      </c>
    </row>
    <row r="1793" spans="1:5" ht="15.75" customHeight="1" x14ac:dyDescent="0.4">
      <c r="A1793" s="24" t="s">
        <v>1074</v>
      </c>
      <c r="B1793" s="24" t="s">
        <v>2188</v>
      </c>
      <c r="C1793" s="24">
        <v>94.49</v>
      </c>
      <c r="D1793" s="24">
        <v>7.41</v>
      </c>
      <c r="E1793" s="24">
        <v>97.84</v>
      </c>
    </row>
    <row r="1794" spans="1:5" ht="15.75" customHeight="1" x14ac:dyDescent="0.4">
      <c r="A1794" s="24" t="s">
        <v>1719</v>
      </c>
      <c r="B1794" s="24" t="s">
        <v>2191</v>
      </c>
      <c r="C1794" s="24">
        <v>97.84</v>
      </c>
      <c r="E1794" s="24">
        <v>97.84</v>
      </c>
    </row>
    <row r="1795" spans="1:5" ht="15.75" customHeight="1" x14ac:dyDescent="0.4">
      <c r="A1795" s="24" t="s">
        <v>1188</v>
      </c>
      <c r="B1795" s="24" t="s">
        <v>2190</v>
      </c>
      <c r="C1795" s="24">
        <v>62.4</v>
      </c>
      <c r="D1795" s="24">
        <v>35.799999999999997</v>
      </c>
      <c r="E1795" s="24">
        <v>97.84</v>
      </c>
    </row>
    <row r="1796" spans="1:5" ht="15.75" customHeight="1" x14ac:dyDescent="0.4">
      <c r="A1796" s="24" t="s">
        <v>1195</v>
      </c>
      <c r="B1796" s="24" t="s">
        <v>2188</v>
      </c>
      <c r="C1796" s="24">
        <v>97.83</v>
      </c>
      <c r="E1796" s="24">
        <v>97.83</v>
      </c>
    </row>
    <row r="1797" spans="1:5" ht="15.75" customHeight="1" x14ac:dyDescent="0.4">
      <c r="A1797" s="24" t="s">
        <v>1795</v>
      </c>
      <c r="B1797" s="24" t="s">
        <v>2188</v>
      </c>
      <c r="C1797" s="24">
        <v>97.81</v>
      </c>
      <c r="E1797" s="24">
        <v>97.81</v>
      </c>
    </row>
    <row r="1798" spans="1:5" ht="15.75" customHeight="1" x14ac:dyDescent="0.4">
      <c r="A1798" s="24" t="s">
        <v>980</v>
      </c>
      <c r="B1798" s="24" t="s">
        <v>2188</v>
      </c>
      <c r="C1798" s="24">
        <v>97.76</v>
      </c>
      <c r="E1798" s="24">
        <v>97.76</v>
      </c>
    </row>
    <row r="1799" spans="1:5" ht="15.75" customHeight="1" x14ac:dyDescent="0.4">
      <c r="A1799" s="24" t="s">
        <v>1348</v>
      </c>
      <c r="B1799" s="24" t="s">
        <v>2188</v>
      </c>
      <c r="C1799" s="24">
        <v>97.76</v>
      </c>
      <c r="E1799" s="24">
        <v>97.76</v>
      </c>
    </row>
    <row r="1800" spans="1:5" ht="15.75" customHeight="1" x14ac:dyDescent="0.4">
      <c r="A1800" s="24" t="s">
        <v>1397</v>
      </c>
      <c r="B1800" s="24" t="s">
        <v>2188</v>
      </c>
      <c r="C1800" s="24">
        <v>97.75</v>
      </c>
      <c r="E1800" s="24">
        <v>97.75</v>
      </c>
    </row>
    <row r="1801" spans="1:5" ht="15.75" customHeight="1" x14ac:dyDescent="0.4">
      <c r="A1801" s="24" t="s">
        <v>1660</v>
      </c>
      <c r="B1801" s="24" t="s">
        <v>2188</v>
      </c>
      <c r="C1801" s="24">
        <v>97.71</v>
      </c>
      <c r="E1801" s="24">
        <v>97.71</v>
      </c>
    </row>
    <row r="1802" spans="1:5" ht="15.75" customHeight="1" x14ac:dyDescent="0.4">
      <c r="A1802" s="24" t="s">
        <v>2039</v>
      </c>
      <c r="B1802" s="24" t="s">
        <v>2188</v>
      </c>
      <c r="C1802" s="24">
        <v>97.7</v>
      </c>
      <c r="E1802" s="24">
        <v>97.7</v>
      </c>
    </row>
    <row r="1803" spans="1:5" ht="15.75" customHeight="1" x14ac:dyDescent="0.4">
      <c r="A1803" s="24" t="s">
        <v>523</v>
      </c>
      <c r="B1803" s="24" t="s">
        <v>2190</v>
      </c>
      <c r="C1803" s="24">
        <v>97.67</v>
      </c>
      <c r="E1803" s="24">
        <v>97.67</v>
      </c>
    </row>
    <row r="1804" spans="1:5" ht="15.75" customHeight="1" x14ac:dyDescent="0.4">
      <c r="A1804" s="24" t="s">
        <v>1669</v>
      </c>
      <c r="B1804" s="24" t="s">
        <v>2188</v>
      </c>
      <c r="C1804" s="24">
        <v>97.63</v>
      </c>
      <c r="E1804" s="24">
        <v>97.63</v>
      </c>
    </row>
    <row r="1805" spans="1:5" ht="15.75" customHeight="1" x14ac:dyDescent="0.4">
      <c r="A1805" s="24" t="s">
        <v>1302</v>
      </c>
      <c r="B1805" s="24" t="s">
        <v>2188</v>
      </c>
      <c r="C1805" s="24">
        <v>97.63</v>
      </c>
      <c r="E1805" s="24">
        <v>97.63</v>
      </c>
    </row>
    <row r="1806" spans="1:5" ht="15.75" customHeight="1" x14ac:dyDescent="0.4">
      <c r="A1806" s="24" t="s">
        <v>992</v>
      </c>
      <c r="B1806" s="24" t="s">
        <v>2190</v>
      </c>
      <c r="C1806" s="24">
        <v>97.61</v>
      </c>
      <c r="E1806" s="24">
        <v>97.61</v>
      </c>
    </row>
    <row r="1807" spans="1:5" ht="15.75" customHeight="1" x14ac:dyDescent="0.4">
      <c r="A1807" s="24" t="s">
        <v>1971</v>
      </c>
      <c r="B1807" s="24" t="s">
        <v>2188</v>
      </c>
      <c r="C1807" s="24">
        <v>97.6</v>
      </c>
      <c r="E1807" s="24">
        <v>97.6</v>
      </c>
    </row>
    <row r="1808" spans="1:5" ht="15.75" customHeight="1" x14ac:dyDescent="0.4">
      <c r="A1808" s="24" t="s">
        <v>1012</v>
      </c>
      <c r="B1808" s="24" t="s">
        <v>2190</v>
      </c>
      <c r="C1808" s="24">
        <v>96.59</v>
      </c>
      <c r="D1808" s="24">
        <v>47.05</v>
      </c>
      <c r="E1808" s="24">
        <v>97.59</v>
      </c>
    </row>
    <row r="1809" spans="1:5" ht="15.75" customHeight="1" x14ac:dyDescent="0.4">
      <c r="A1809" s="24" t="s">
        <v>1617</v>
      </c>
      <c r="B1809" s="24" t="s">
        <v>2190</v>
      </c>
      <c r="C1809" s="24">
        <v>95.83</v>
      </c>
      <c r="D1809" s="24">
        <v>1.75</v>
      </c>
      <c r="E1809" s="24">
        <v>97.59</v>
      </c>
    </row>
    <row r="1810" spans="1:5" ht="15.75" customHeight="1" x14ac:dyDescent="0.4">
      <c r="A1810" s="24" t="s">
        <v>1759</v>
      </c>
      <c r="B1810" s="24" t="s">
        <v>2190</v>
      </c>
      <c r="C1810" s="24">
        <v>97.58</v>
      </c>
      <c r="E1810" s="24">
        <v>97.58</v>
      </c>
    </row>
    <row r="1811" spans="1:5" ht="15.75" customHeight="1" x14ac:dyDescent="0.4">
      <c r="A1811" s="24" t="s">
        <v>1489</v>
      </c>
      <c r="B1811" s="24" t="s">
        <v>2189</v>
      </c>
      <c r="C1811" s="24">
        <v>42.79</v>
      </c>
      <c r="D1811" s="24">
        <v>97.53</v>
      </c>
      <c r="E1811" s="24">
        <v>97.57</v>
      </c>
    </row>
    <row r="1812" spans="1:5" ht="15.75" customHeight="1" x14ac:dyDescent="0.4">
      <c r="A1812" s="24" t="s">
        <v>1874</v>
      </c>
      <c r="B1812" s="24" t="s">
        <v>2188</v>
      </c>
      <c r="C1812" s="24">
        <v>97.56</v>
      </c>
      <c r="E1812" s="24">
        <v>97.56</v>
      </c>
    </row>
    <row r="1813" spans="1:5" ht="15.75" customHeight="1" x14ac:dyDescent="0.4">
      <c r="A1813" s="24" t="s">
        <v>1130</v>
      </c>
      <c r="B1813" s="24" t="s">
        <v>2190</v>
      </c>
      <c r="C1813" s="24">
        <v>92.4</v>
      </c>
      <c r="D1813" s="24">
        <v>78.760000000000005</v>
      </c>
      <c r="E1813" s="24">
        <v>97.55</v>
      </c>
    </row>
    <row r="1814" spans="1:5" ht="15.75" customHeight="1" x14ac:dyDescent="0.4">
      <c r="A1814" s="24" t="s">
        <v>1240</v>
      </c>
      <c r="B1814" s="24" t="s">
        <v>2190</v>
      </c>
      <c r="C1814" s="24">
        <v>97.54</v>
      </c>
      <c r="E1814" s="24">
        <v>97.54</v>
      </c>
    </row>
    <row r="1815" spans="1:5" ht="15.75" customHeight="1" x14ac:dyDescent="0.4">
      <c r="A1815" s="24" t="s">
        <v>1968</v>
      </c>
      <c r="B1815" s="24" t="s">
        <v>2188</v>
      </c>
      <c r="C1815" s="24">
        <v>97.54</v>
      </c>
      <c r="E1815" s="24">
        <v>97.54</v>
      </c>
    </row>
    <row r="1816" spans="1:5" ht="15.75" customHeight="1" x14ac:dyDescent="0.4">
      <c r="A1816" s="24" t="s">
        <v>1493</v>
      </c>
      <c r="B1816" s="24" t="s">
        <v>2188</v>
      </c>
      <c r="C1816" s="24">
        <v>97.51</v>
      </c>
      <c r="D1816" s="24">
        <v>1.27</v>
      </c>
      <c r="E1816" s="24">
        <v>97.54</v>
      </c>
    </row>
    <row r="1817" spans="1:5" ht="15.75" customHeight="1" x14ac:dyDescent="0.4">
      <c r="A1817" s="24" t="s">
        <v>1410</v>
      </c>
      <c r="B1817" s="24" t="s">
        <v>2188</v>
      </c>
      <c r="C1817" s="24">
        <v>97.54</v>
      </c>
      <c r="E1817" s="24">
        <v>97.54</v>
      </c>
    </row>
    <row r="1818" spans="1:5" ht="15.75" customHeight="1" x14ac:dyDescent="0.4">
      <c r="A1818" s="24" t="s">
        <v>1828</v>
      </c>
      <c r="B1818" s="24" t="s">
        <v>2190</v>
      </c>
      <c r="C1818" s="24">
        <v>97.5</v>
      </c>
      <c r="E1818" s="24">
        <v>97.5</v>
      </c>
    </row>
    <row r="1819" spans="1:5" ht="15.75" customHeight="1" x14ac:dyDescent="0.4">
      <c r="A1819" s="24" t="s">
        <v>1170</v>
      </c>
      <c r="B1819" s="24" t="s">
        <v>2190</v>
      </c>
      <c r="C1819" s="24">
        <v>82.19</v>
      </c>
      <c r="D1819" s="24">
        <v>16.440000000000001</v>
      </c>
      <c r="E1819" s="24">
        <v>97.49</v>
      </c>
    </row>
    <row r="1820" spans="1:5" ht="15.75" customHeight="1" x14ac:dyDescent="0.4">
      <c r="A1820" s="24" t="s">
        <v>1383</v>
      </c>
      <c r="B1820" s="24" t="s">
        <v>2188</v>
      </c>
      <c r="C1820" s="24">
        <v>97.48</v>
      </c>
      <c r="D1820" s="24">
        <v>0.14000000000000001</v>
      </c>
      <c r="E1820" s="24">
        <v>97.48</v>
      </c>
    </row>
    <row r="1821" spans="1:5" ht="15.75" customHeight="1" x14ac:dyDescent="0.4">
      <c r="A1821" s="24" t="s">
        <v>1310</v>
      </c>
      <c r="B1821" s="24" t="s">
        <v>2188</v>
      </c>
      <c r="C1821" s="24">
        <v>97.42</v>
      </c>
      <c r="D1821" s="24">
        <v>12.18</v>
      </c>
      <c r="E1821" s="24">
        <v>97.47</v>
      </c>
    </row>
    <row r="1822" spans="1:5" ht="15.75" customHeight="1" x14ac:dyDescent="0.4">
      <c r="A1822" s="24" t="s">
        <v>1340</v>
      </c>
      <c r="B1822" s="24" t="s">
        <v>2188</v>
      </c>
      <c r="C1822" s="24">
        <v>97.46</v>
      </c>
      <c r="E1822" s="24">
        <v>97.46</v>
      </c>
    </row>
    <row r="1823" spans="1:5" ht="15.75" customHeight="1" x14ac:dyDescent="0.4">
      <c r="A1823" s="24" t="s">
        <v>1447</v>
      </c>
      <c r="B1823" s="24" t="s">
        <v>2188</v>
      </c>
      <c r="C1823" s="24">
        <v>97.45</v>
      </c>
      <c r="E1823" s="24">
        <v>97.45</v>
      </c>
    </row>
    <row r="1824" spans="1:5" ht="15.75" customHeight="1" x14ac:dyDescent="0.4">
      <c r="A1824" s="24" t="s">
        <v>1126</v>
      </c>
      <c r="B1824" s="24" t="s">
        <v>2190</v>
      </c>
      <c r="C1824" s="24">
        <v>97.45</v>
      </c>
      <c r="E1824" s="24">
        <v>97.45</v>
      </c>
    </row>
    <row r="1825" spans="1:5" ht="15.75" customHeight="1" x14ac:dyDescent="0.4">
      <c r="A1825" s="24" t="s">
        <v>2111</v>
      </c>
      <c r="B1825" s="24" t="s">
        <v>2188</v>
      </c>
      <c r="C1825" s="24">
        <v>97.28</v>
      </c>
      <c r="D1825" s="24">
        <v>1.77</v>
      </c>
      <c r="E1825" s="24">
        <v>97.43</v>
      </c>
    </row>
    <row r="1826" spans="1:5" ht="15.75" customHeight="1" x14ac:dyDescent="0.4">
      <c r="A1826" s="24" t="s">
        <v>369</v>
      </c>
      <c r="B1826" s="24" t="s">
        <v>2188</v>
      </c>
      <c r="C1826" s="24">
        <v>97.42</v>
      </c>
      <c r="E1826" s="24">
        <v>97.42</v>
      </c>
    </row>
    <row r="1827" spans="1:5" ht="15.75" customHeight="1" x14ac:dyDescent="0.4">
      <c r="A1827" s="24" t="s">
        <v>1651</v>
      </c>
      <c r="B1827" s="24" t="s">
        <v>2188</v>
      </c>
      <c r="C1827" s="24">
        <v>97.4</v>
      </c>
      <c r="E1827" s="24">
        <v>97.4</v>
      </c>
    </row>
    <row r="1828" spans="1:5" ht="15.75" customHeight="1" x14ac:dyDescent="0.4">
      <c r="A1828" s="24" t="s">
        <v>1683</v>
      </c>
      <c r="B1828" s="24" t="s">
        <v>2188</v>
      </c>
      <c r="C1828" s="24">
        <v>97.4</v>
      </c>
      <c r="E1828" s="24">
        <v>97.4</v>
      </c>
    </row>
    <row r="1829" spans="1:5" ht="15.75" customHeight="1" x14ac:dyDescent="0.4">
      <c r="A1829" s="24" t="s">
        <v>1473</v>
      </c>
      <c r="B1829" s="24" t="s">
        <v>2188</v>
      </c>
      <c r="C1829" s="24">
        <v>97.4</v>
      </c>
      <c r="E1829" s="24">
        <v>97.4</v>
      </c>
    </row>
    <row r="1830" spans="1:5" ht="15.75" customHeight="1" x14ac:dyDescent="0.4">
      <c r="A1830" s="24" t="s">
        <v>2072</v>
      </c>
      <c r="B1830" s="24" t="s">
        <v>2188</v>
      </c>
      <c r="C1830" s="24">
        <v>97.4</v>
      </c>
      <c r="E1830" s="24">
        <v>97.4</v>
      </c>
    </row>
    <row r="1831" spans="1:5" ht="15.75" customHeight="1" x14ac:dyDescent="0.4">
      <c r="A1831" s="24" t="s">
        <v>2092</v>
      </c>
      <c r="B1831" s="24" t="s">
        <v>2188</v>
      </c>
      <c r="C1831" s="24">
        <v>97.38</v>
      </c>
      <c r="E1831" s="24">
        <v>97.38</v>
      </c>
    </row>
    <row r="1832" spans="1:5" ht="15.75" customHeight="1" x14ac:dyDescent="0.4">
      <c r="A1832" s="24" t="s">
        <v>1935</v>
      </c>
      <c r="B1832" s="24" t="s">
        <v>2188</v>
      </c>
      <c r="C1832" s="24">
        <v>97.37</v>
      </c>
      <c r="E1832" s="24">
        <v>97.37</v>
      </c>
    </row>
    <row r="1833" spans="1:5" ht="15.75" customHeight="1" x14ac:dyDescent="0.4">
      <c r="A1833" s="24" t="s">
        <v>1434</v>
      </c>
      <c r="B1833" s="24" t="s">
        <v>2188</v>
      </c>
      <c r="C1833" s="24">
        <v>97.27</v>
      </c>
      <c r="D1833" s="24">
        <v>12.92</v>
      </c>
      <c r="E1833" s="24">
        <v>97.36</v>
      </c>
    </row>
    <row r="1834" spans="1:5" ht="15.75" customHeight="1" x14ac:dyDescent="0.4">
      <c r="A1834" s="24" t="s">
        <v>758</v>
      </c>
      <c r="B1834" s="24" t="s">
        <v>2188</v>
      </c>
      <c r="C1834" s="24">
        <v>97.35</v>
      </c>
      <c r="E1834" s="24">
        <v>97.35</v>
      </c>
    </row>
    <row r="1835" spans="1:5" ht="15.75" customHeight="1" x14ac:dyDescent="0.4">
      <c r="A1835" s="24" t="s">
        <v>957</v>
      </c>
      <c r="B1835" s="24" t="s">
        <v>2188</v>
      </c>
      <c r="C1835" s="24">
        <v>97.34</v>
      </c>
      <c r="E1835" s="24">
        <v>97.34</v>
      </c>
    </row>
    <row r="1836" spans="1:5" ht="15.75" customHeight="1" x14ac:dyDescent="0.4">
      <c r="A1836" s="24" t="s">
        <v>428</v>
      </c>
      <c r="B1836" s="24" t="s">
        <v>2190</v>
      </c>
      <c r="C1836" s="24">
        <v>97.32</v>
      </c>
      <c r="E1836" s="24">
        <v>97.32</v>
      </c>
    </row>
    <row r="1837" spans="1:5" ht="15.75" customHeight="1" x14ac:dyDescent="0.4">
      <c r="A1837" s="24" t="s">
        <v>2115</v>
      </c>
      <c r="B1837" s="24" t="s">
        <v>2188</v>
      </c>
      <c r="C1837" s="24">
        <v>97.31</v>
      </c>
      <c r="E1837" s="24">
        <v>97.31</v>
      </c>
    </row>
    <row r="1838" spans="1:5" ht="15.75" customHeight="1" x14ac:dyDescent="0.4">
      <c r="A1838" s="24" t="s">
        <v>872</v>
      </c>
      <c r="B1838" s="24" t="s">
        <v>2188</v>
      </c>
      <c r="C1838" s="24">
        <v>97.22</v>
      </c>
      <c r="E1838" s="24">
        <v>97.22</v>
      </c>
    </row>
    <row r="1839" spans="1:5" ht="15.75" customHeight="1" x14ac:dyDescent="0.4">
      <c r="A1839" s="24" t="s">
        <v>1092</v>
      </c>
      <c r="B1839" s="24" t="s">
        <v>2190</v>
      </c>
      <c r="C1839" s="24">
        <v>97.22</v>
      </c>
      <c r="E1839" s="24">
        <v>97.22</v>
      </c>
    </row>
    <row r="1840" spans="1:5" ht="15.75" customHeight="1" x14ac:dyDescent="0.4">
      <c r="A1840" s="24" t="s">
        <v>1735</v>
      </c>
      <c r="B1840" s="24" t="s">
        <v>2190</v>
      </c>
      <c r="C1840" s="24">
        <v>97.21</v>
      </c>
      <c r="E1840" s="24">
        <v>97.21</v>
      </c>
    </row>
    <row r="1841" spans="1:5" ht="15.75" customHeight="1" x14ac:dyDescent="0.4">
      <c r="A1841" s="24" t="s">
        <v>830</v>
      </c>
      <c r="B1841" s="24" t="s">
        <v>2188</v>
      </c>
      <c r="C1841" s="24">
        <v>97.15</v>
      </c>
      <c r="D1841" s="24">
        <v>0.36</v>
      </c>
      <c r="E1841" s="24">
        <v>97.2</v>
      </c>
    </row>
    <row r="1842" spans="1:5" ht="15.75" customHeight="1" x14ac:dyDescent="0.4">
      <c r="A1842" s="24" t="s">
        <v>1326</v>
      </c>
      <c r="B1842" s="24" t="s">
        <v>2188</v>
      </c>
      <c r="C1842" s="24">
        <v>97.13</v>
      </c>
      <c r="D1842" s="24">
        <v>0.05</v>
      </c>
      <c r="E1842" s="24">
        <v>97.18</v>
      </c>
    </row>
    <row r="1843" spans="1:5" ht="15.75" customHeight="1" x14ac:dyDescent="0.4">
      <c r="A1843" s="24" t="s">
        <v>916</v>
      </c>
      <c r="B1843" s="24" t="s">
        <v>2188</v>
      </c>
      <c r="C1843" s="24">
        <v>97.18</v>
      </c>
      <c r="E1843" s="24">
        <v>97.18</v>
      </c>
    </row>
    <row r="1844" spans="1:5" ht="15.75" customHeight="1" x14ac:dyDescent="0.4">
      <c r="A1844" s="24" t="s">
        <v>1799</v>
      </c>
      <c r="B1844" s="24" t="s">
        <v>2188</v>
      </c>
      <c r="C1844" s="24">
        <v>97.18</v>
      </c>
      <c r="E1844" s="24">
        <v>97.18</v>
      </c>
    </row>
    <row r="1845" spans="1:5" ht="15.75" customHeight="1" x14ac:dyDescent="0.4">
      <c r="A1845" s="24" t="s">
        <v>1059</v>
      </c>
      <c r="B1845" s="24" t="s">
        <v>2190</v>
      </c>
      <c r="C1845" s="24">
        <v>96.67</v>
      </c>
      <c r="D1845" s="24">
        <v>17.600000000000001</v>
      </c>
      <c r="E1845" s="24">
        <v>97.17</v>
      </c>
    </row>
    <row r="1846" spans="1:5" ht="15.75" customHeight="1" x14ac:dyDescent="0.4">
      <c r="A1846" s="24" t="s">
        <v>2045</v>
      </c>
      <c r="B1846" s="24" t="s">
        <v>2190</v>
      </c>
      <c r="C1846" s="24">
        <v>2.12</v>
      </c>
      <c r="D1846" s="24">
        <v>96.71</v>
      </c>
      <c r="E1846" s="24">
        <v>97.17</v>
      </c>
    </row>
    <row r="1847" spans="1:5" ht="15.75" customHeight="1" x14ac:dyDescent="0.4">
      <c r="A1847" s="24" t="s">
        <v>874</v>
      </c>
      <c r="B1847" s="24" t="s">
        <v>2190</v>
      </c>
      <c r="C1847" s="24">
        <v>76.52</v>
      </c>
      <c r="D1847" s="24">
        <v>20.55</v>
      </c>
      <c r="E1847" s="24">
        <v>97.17</v>
      </c>
    </row>
    <row r="1848" spans="1:5" ht="15.75" customHeight="1" x14ac:dyDescent="0.4">
      <c r="A1848" s="24" t="s">
        <v>865</v>
      </c>
      <c r="B1848" s="24" t="s">
        <v>2190</v>
      </c>
      <c r="C1848" s="24">
        <v>97.11</v>
      </c>
      <c r="E1848" s="24">
        <v>97.11</v>
      </c>
    </row>
    <row r="1849" spans="1:5" ht="15.75" customHeight="1" x14ac:dyDescent="0.4">
      <c r="A1849" s="24" t="s">
        <v>1802</v>
      </c>
      <c r="B1849" s="24" t="s">
        <v>2188</v>
      </c>
      <c r="C1849" s="24">
        <v>96.43</v>
      </c>
      <c r="D1849" s="24">
        <v>19.96</v>
      </c>
      <c r="E1849" s="24">
        <v>97.11</v>
      </c>
    </row>
    <row r="1850" spans="1:5" ht="15.75" customHeight="1" x14ac:dyDescent="0.4">
      <c r="A1850" s="24" t="s">
        <v>1577</v>
      </c>
      <c r="B1850" s="24" t="s">
        <v>2188</v>
      </c>
      <c r="C1850" s="24">
        <v>4.63</v>
      </c>
      <c r="D1850" s="24">
        <v>94.22</v>
      </c>
      <c r="E1850" s="24">
        <v>97.09</v>
      </c>
    </row>
    <row r="1851" spans="1:5" ht="15.75" customHeight="1" x14ac:dyDescent="0.4">
      <c r="A1851" s="24" t="s">
        <v>1776</v>
      </c>
      <c r="B1851" s="24" t="s">
        <v>2188</v>
      </c>
      <c r="C1851" s="24">
        <v>97.01</v>
      </c>
      <c r="E1851" s="24">
        <v>97.01</v>
      </c>
    </row>
    <row r="1852" spans="1:5" ht="15.75" customHeight="1" x14ac:dyDescent="0.4">
      <c r="A1852" s="24" t="s">
        <v>1476</v>
      </c>
      <c r="B1852" s="24" t="s">
        <v>2188</v>
      </c>
      <c r="C1852" s="24">
        <v>97</v>
      </c>
      <c r="E1852" s="24">
        <v>97</v>
      </c>
    </row>
    <row r="1853" spans="1:5" ht="15.75" customHeight="1" x14ac:dyDescent="0.4">
      <c r="A1853" s="24" t="s">
        <v>1033</v>
      </c>
      <c r="B1853" s="24" t="s">
        <v>2190</v>
      </c>
      <c r="C1853" s="24">
        <v>39.33</v>
      </c>
      <c r="D1853" s="24">
        <v>96.54</v>
      </c>
      <c r="E1853" s="24">
        <v>97</v>
      </c>
    </row>
    <row r="1854" spans="1:5" ht="15.75" customHeight="1" x14ac:dyDescent="0.4">
      <c r="A1854" s="24" t="s">
        <v>1076</v>
      </c>
      <c r="B1854" s="24" t="s">
        <v>2190</v>
      </c>
      <c r="C1854" s="24">
        <v>96.99</v>
      </c>
      <c r="E1854" s="24">
        <v>96.99</v>
      </c>
    </row>
    <row r="1855" spans="1:5" ht="15.75" customHeight="1" x14ac:dyDescent="0.4">
      <c r="A1855" s="24" t="s">
        <v>936</v>
      </c>
      <c r="B1855" s="24" t="s">
        <v>2190</v>
      </c>
      <c r="C1855" s="24">
        <v>96.98</v>
      </c>
      <c r="E1855" s="24">
        <v>96.98</v>
      </c>
    </row>
    <row r="1856" spans="1:5" ht="15.75" customHeight="1" x14ac:dyDescent="0.4">
      <c r="A1856" s="24" t="s">
        <v>1780</v>
      </c>
      <c r="B1856" s="24" t="s">
        <v>2188</v>
      </c>
      <c r="C1856" s="24">
        <v>96.98</v>
      </c>
      <c r="E1856" s="24">
        <v>96.98</v>
      </c>
    </row>
    <row r="1857" spans="1:5" ht="15.75" customHeight="1" x14ac:dyDescent="0.4">
      <c r="A1857" s="24" t="s">
        <v>443</v>
      </c>
      <c r="B1857" s="24" t="s">
        <v>2190</v>
      </c>
      <c r="C1857" s="24">
        <v>96.98</v>
      </c>
      <c r="E1857" s="24">
        <v>96.98</v>
      </c>
    </row>
    <row r="1858" spans="1:5" ht="15.75" customHeight="1" x14ac:dyDescent="0.4">
      <c r="A1858" s="24" t="s">
        <v>857</v>
      </c>
      <c r="B1858" s="24" t="s">
        <v>2188</v>
      </c>
      <c r="C1858" s="24">
        <v>96.75</v>
      </c>
      <c r="D1858" s="24">
        <v>0.19</v>
      </c>
      <c r="E1858" s="24">
        <v>96.94</v>
      </c>
    </row>
    <row r="1859" spans="1:5" ht="15.75" customHeight="1" x14ac:dyDescent="0.4">
      <c r="A1859" s="24" t="s">
        <v>1422</v>
      </c>
      <c r="B1859" s="24" t="s">
        <v>2188</v>
      </c>
      <c r="C1859" s="24">
        <v>96.82</v>
      </c>
      <c r="E1859" s="24">
        <v>96.82</v>
      </c>
    </row>
    <row r="1860" spans="1:5" ht="15.75" customHeight="1" x14ac:dyDescent="0.4">
      <c r="A1860" s="24" t="s">
        <v>2012</v>
      </c>
      <c r="B1860" s="24" t="s">
        <v>2188</v>
      </c>
      <c r="C1860" s="24">
        <v>96.79</v>
      </c>
      <c r="E1860" s="24">
        <v>96.79</v>
      </c>
    </row>
    <row r="1861" spans="1:5" ht="15.75" customHeight="1" x14ac:dyDescent="0.4">
      <c r="A1861" s="24" t="s">
        <v>1661</v>
      </c>
      <c r="B1861" s="24" t="s">
        <v>2188</v>
      </c>
      <c r="C1861" s="24">
        <v>96.78</v>
      </c>
      <c r="E1861" s="24">
        <v>96.78</v>
      </c>
    </row>
    <row r="1862" spans="1:5" ht="15.75" customHeight="1" x14ac:dyDescent="0.4">
      <c r="A1862" s="24" t="s">
        <v>1179</v>
      </c>
      <c r="B1862" s="24" t="s">
        <v>2190</v>
      </c>
      <c r="C1862" s="24">
        <v>96.76</v>
      </c>
      <c r="E1862" s="24">
        <v>96.76</v>
      </c>
    </row>
    <row r="1863" spans="1:5" ht="15.75" customHeight="1" x14ac:dyDescent="0.4">
      <c r="A1863" s="24" t="s">
        <v>1958</v>
      </c>
      <c r="B1863" s="24" t="s">
        <v>2188</v>
      </c>
      <c r="C1863" s="24">
        <v>96.73</v>
      </c>
      <c r="E1863" s="24">
        <v>96.73</v>
      </c>
    </row>
    <row r="1864" spans="1:5" ht="15.75" customHeight="1" x14ac:dyDescent="0.4">
      <c r="A1864" s="24" t="s">
        <v>2022</v>
      </c>
      <c r="B1864" s="24" t="s">
        <v>2188</v>
      </c>
      <c r="C1864" s="24">
        <v>96.73</v>
      </c>
      <c r="E1864" s="24">
        <v>96.73</v>
      </c>
    </row>
    <row r="1865" spans="1:5" ht="15.75" customHeight="1" x14ac:dyDescent="0.4">
      <c r="A1865" s="24" t="s">
        <v>1145</v>
      </c>
      <c r="B1865" s="24" t="s">
        <v>2190</v>
      </c>
      <c r="C1865" s="24">
        <v>95.85</v>
      </c>
      <c r="D1865" s="24">
        <v>3.94</v>
      </c>
      <c r="E1865" s="24">
        <v>96.72</v>
      </c>
    </row>
    <row r="1866" spans="1:5" ht="15.75" customHeight="1" x14ac:dyDescent="0.4">
      <c r="A1866" s="24" t="s">
        <v>1805</v>
      </c>
      <c r="B1866" s="24" t="s">
        <v>2188</v>
      </c>
      <c r="C1866" s="24">
        <v>96.69</v>
      </c>
      <c r="E1866" s="24">
        <v>96.69</v>
      </c>
    </row>
    <row r="1867" spans="1:5" ht="15.75" customHeight="1" x14ac:dyDescent="0.4">
      <c r="A1867" s="24" t="s">
        <v>2076</v>
      </c>
      <c r="B1867" s="24" t="s">
        <v>2188</v>
      </c>
      <c r="C1867" s="24">
        <v>93.7</v>
      </c>
      <c r="D1867" s="24">
        <v>2.98</v>
      </c>
      <c r="E1867" s="24">
        <v>96.69</v>
      </c>
    </row>
    <row r="1868" spans="1:5" ht="15.75" customHeight="1" x14ac:dyDescent="0.4">
      <c r="A1868" s="24" t="s">
        <v>856</v>
      </c>
      <c r="B1868" s="24" t="s">
        <v>2188</v>
      </c>
      <c r="C1868" s="24">
        <v>96.65</v>
      </c>
      <c r="D1868" s="24">
        <v>0.26</v>
      </c>
      <c r="E1868" s="24">
        <v>96.65</v>
      </c>
    </row>
    <row r="1869" spans="1:5" ht="15.75" customHeight="1" x14ac:dyDescent="0.4">
      <c r="A1869" s="24" t="s">
        <v>551</v>
      </c>
      <c r="B1869" s="24" t="s">
        <v>2188</v>
      </c>
      <c r="C1869" s="24">
        <v>96.63</v>
      </c>
      <c r="E1869" s="24">
        <v>96.63</v>
      </c>
    </row>
    <row r="1870" spans="1:5" ht="15.75" customHeight="1" x14ac:dyDescent="0.4">
      <c r="A1870" s="24" t="s">
        <v>2137</v>
      </c>
      <c r="B1870" s="24" t="s">
        <v>2188</v>
      </c>
      <c r="C1870" s="24">
        <v>96.6</v>
      </c>
      <c r="E1870" s="24">
        <v>96.6</v>
      </c>
    </row>
    <row r="1871" spans="1:5" ht="15.75" customHeight="1" x14ac:dyDescent="0.4">
      <c r="A1871" s="24" t="s">
        <v>623</v>
      </c>
      <c r="B1871" s="24" t="s">
        <v>2188</v>
      </c>
      <c r="C1871" s="24">
        <v>83.56</v>
      </c>
      <c r="D1871" s="24">
        <v>81.25</v>
      </c>
      <c r="E1871" s="24">
        <v>96.57</v>
      </c>
    </row>
    <row r="1872" spans="1:5" ht="15.75" customHeight="1" x14ac:dyDescent="0.4">
      <c r="A1872" s="24" t="s">
        <v>1182</v>
      </c>
      <c r="B1872" s="24" t="s">
        <v>2190</v>
      </c>
      <c r="C1872" s="24">
        <v>96.53</v>
      </c>
      <c r="E1872" s="24">
        <v>96.53</v>
      </c>
    </row>
    <row r="1873" spans="1:5" ht="15.75" customHeight="1" x14ac:dyDescent="0.4">
      <c r="A1873" s="24" t="s">
        <v>1138</v>
      </c>
      <c r="B1873" s="24" t="s">
        <v>2190</v>
      </c>
      <c r="C1873" s="24">
        <v>96.5</v>
      </c>
      <c r="E1873" s="24">
        <v>96.5</v>
      </c>
    </row>
    <row r="1874" spans="1:5" ht="15.75" customHeight="1" x14ac:dyDescent="0.4">
      <c r="A1874" s="24" t="s">
        <v>974</v>
      </c>
      <c r="B1874" s="24" t="s">
        <v>2190</v>
      </c>
      <c r="C1874" s="24">
        <v>96.45</v>
      </c>
      <c r="E1874" s="24">
        <v>96.45</v>
      </c>
    </row>
    <row r="1875" spans="1:5" ht="15.75" customHeight="1" x14ac:dyDescent="0.4">
      <c r="A1875" s="24" t="s">
        <v>274</v>
      </c>
      <c r="B1875" s="24" t="s">
        <v>2188</v>
      </c>
      <c r="C1875" s="24">
        <v>96.43</v>
      </c>
      <c r="E1875" s="24">
        <v>96.43</v>
      </c>
    </row>
    <row r="1876" spans="1:5" ht="15.75" customHeight="1" x14ac:dyDescent="0.4">
      <c r="A1876" s="24" t="s">
        <v>1270</v>
      </c>
      <c r="B1876" s="24" t="s">
        <v>2188</v>
      </c>
      <c r="C1876" s="24">
        <v>96.38</v>
      </c>
      <c r="E1876" s="24">
        <v>96.38</v>
      </c>
    </row>
    <row r="1877" spans="1:5" ht="15.75" customHeight="1" x14ac:dyDescent="0.4">
      <c r="A1877" s="24" t="s">
        <v>1959</v>
      </c>
      <c r="B1877" s="24" t="s">
        <v>2188</v>
      </c>
      <c r="C1877" s="24">
        <v>96.31</v>
      </c>
      <c r="E1877" s="24">
        <v>96.31</v>
      </c>
    </row>
    <row r="1878" spans="1:5" ht="15.75" customHeight="1" x14ac:dyDescent="0.4">
      <c r="A1878" s="24" t="s">
        <v>1204</v>
      </c>
      <c r="B1878" s="24" t="s">
        <v>2188</v>
      </c>
      <c r="C1878" s="24">
        <v>84.15</v>
      </c>
      <c r="D1878" s="24">
        <v>36.22</v>
      </c>
      <c r="E1878" s="24">
        <v>96.3</v>
      </c>
    </row>
    <row r="1879" spans="1:5" ht="15.75" customHeight="1" x14ac:dyDescent="0.4">
      <c r="A1879" s="24" t="s">
        <v>1995</v>
      </c>
      <c r="B1879" s="24" t="s">
        <v>2191</v>
      </c>
      <c r="C1879" s="24">
        <v>96.28</v>
      </c>
      <c r="E1879" s="24">
        <v>96.28</v>
      </c>
    </row>
    <row r="1880" spans="1:5" ht="15.75" customHeight="1" x14ac:dyDescent="0.4">
      <c r="A1880" s="24" t="s">
        <v>833</v>
      </c>
      <c r="B1880" s="24" t="s">
        <v>2190</v>
      </c>
      <c r="C1880" s="24">
        <v>96.24</v>
      </c>
      <c r="D1880" s="24">
        <v>0.02</v>
      </c>
      <c r="E1880" s="24">
        <v>96.27</v>
      </c>
    </row>
    <row r="1881" spans="1:5" ht="15.75" customHeight="1" x14ac:dyDescent="0.4">
      <c r="A1881" s="24" t="s">
        <v>734</v>
      </c>
      <c r="B1881" s="24" t="s">
        <v>2188</v>
      </c>
      <c r="C1881" s="24">
        <v>96.15</v>
      </c>
      <c r="D1881" s="24">
        <v>0.56999999999999995</v>
      </c>
      <c r="E1881" s="24">
        <v>96.27</v>
      </c>
    </row>
    <row r="1882" spans="1:5" ht="15.75" customHeight="1" x14ac:dyDescent="0.4">
      <c r="A1882" s="24" t="s">
        <v>1231</v>
      </c>
      <c r="B1882" s="24" t="s">
        <v>2190</v>
      </c>
      <c r="C1882" s="24">
        <v>95.6</v>
      </c>
      <c r="D1882" s="24">
        <v>0.71</v>
      </c>
      <c r="E1882" s="24">
        <v>96.26</v>
      </c>
    </row>
    <row r="1883" spans="1:5" ht="15.75" customHeight="1" x14ac:dyDescent="0.4">
      <c r="A1883" s="24" t="s">
        <v>1155</v>
      </c>
      <c r="B1883" s="24" t="s">
        <v>2190</v>
      </c>
      <c r="C1883" s="24">
        <v>96.24</v>
      </c>
      <c r="E1883" s="24">
        <v>96.24</v>
      </c>
    </row>
    <row r="1884" spans="1:5" ht="15.75" customHeight="1" x14ac:dyDescent="0.4">
      <c r="A1884" s="24" t="s">
        <v>913</v>
      </c>
      <c r="B1884" s="24" t="s">
        <v>2190</v>
      </c>
      <c r="C1884" s="24">
        <v>96.24</v>
      </c>
      <c r="E1884" s="24">
        <v>96.24</v>
      </c>
    </row>
    <row r="1885" spans="1:5" ht="15.75" customHeight="1" x14ac:dyDescent="0.4">
      <c r="A1885" s="24" t="s">
        <v>958</v>
      </c>
      <c r="B1885" s="24" t="s">
        <v>2190</v>
      </c>
      <c r="C1885" s="24">
        <v>96.23</v>
      </c>
      <c r="E1885" s="24">
        <v>96.23</v>
      </c>
    </row>
    <row r="1886" spans="1:5" ht="15.75" customHeight="1" x14ac:dyDescent="0.4">
      <c r="A1886" s="24" t="s">
        <v>635</v>
      </c>
      <c r="B1886" s="24" t="s">
        <v>2188</v>
      </c>
      <c r="C1886" s="24">
        <v>96.22</v>
      </c>
      <c r="E1886" s="24">
        <v>96.22</v>
      </c>
    </row>
    <row r="1887" spans="1:5" ht="15.75" customHeight="1" x14ac:dyDescent="0.4">
      <c r="A1887" s="24" t="s">
        <v>1982</v>
      </c>
      <c r="B1887" s="24" t="s">
        <v>2188</v>
      </c>
      <c r="C1887" s="24">
        <v>96.21</v>
      </c>
      <c r="E1887" s="24">
        <v>96.21</v>
      </c>
    </row>
    <row r="1888" spans="1:5" ht="15.75" customHeight="1" x14ac:dyDescent="0.4">
      <c r="A1888" s="24" t="s">
        <v>1909</v>
      </c>
      <c r="B1888" s="24" t="s">
        <v>2188</v>
      </c>
      <c r="C1888" s="24">
        <v>95.04</v>
      </c>
      <c r="D1888" s="24">
        <v>2.39</v>
      </c>
      <c r="E1888" s="24">
        <v>96.18</v>
      </c>
    </row>
    <row r="1889" spans="1:5" ht="15.75" customHeight="1" x14ac:dyDescent="0.4">
      <c r="A1889" s="24" t="s">
        <v>1594</v>
      </c>
      <c r="B1889" s="24" t="s">
        <v>2188</v>
      </c>
      <c r="C1889" s="24">
        <v>64.63</v>
      </c>
      <c r="D1889" s="24">
        <v>75.78</v>
      </c>
      <c r="E1889" s="24">
        <v>96.15</v>
      </c>
    </row>
    <row r="1890" spans="1:5" ht="15.75" customHeight="1" x14ac:dyDescent="0.4">
      <c r="A1890" s="24" t="s">
        <v>1881</v>
      </c>
      <c r="B1890" s="24" t="s">
        <v>2188</v>
      </c>
      <c r="C1890" s="24">
        <v>96.15</v>
      </c>
      <c r="E1890" s="24">
        <v>96.15</v>
      </c>
    </row>
    <row r="1891" spans="1:5" ht="15.75" customHeight="1" x14ac:dyDescent="0.4">
      <c r="A1891" s="24" t="s">
        <v>1658</v>
      </c>
      <c r="B1891" s="24" t="s">
        <v>2188</v>
      </c>
      <c r="C1891" s="24">
        <v>95.91</v>
      </c>
      <c r="D1891" s="24">
        <v>0.22</v>
      </c>
      <c r="E1891" s="24">
        <v>96.12</v>
      </c>
    </row>
    <row r="1892" spans="1:5" ht="15.75" customHeight="1" x14ac:dyDescent="0.4">
      <c r="A1892" s="24" t="s">
        <v>1938</v>
      </c>
      <c r="B1892" s="24" t="s">
        <v>2188</v>
      </c>
      <c r="C1892" s="24">
        <v>96.12</v>
      </c>
      <c r="E1892" s="24">
        <v>96.12</v>
      </c>
    </row>
    <row r="1893" spans="1:5" ht="15.75" customHeight="1" x14ac:dyDescent="0.4">
      <c r="A1893" s="24" t="s">
        <v>1870</v>
      </c>
      <c r="B1893" s="24" t="s">
        <v>2188</v>
      </c>
      <c r="C1893" s="24">
        <v>96.1</v>
      </c>
      <c r="E1893" s="24">
        <v>96.1</v>
      </c>
    </row>
    <row r="1894" spans="1:5" ht="15.75" customHeight="1" x14ac:dyDescent="0.4">
      <c r="A1894" s="24" t="s">
        <v>1747</v>
      </c>
      <c r="B1894" s="24" t="s">
        <v>2188</v>
      </c>
      <c r="C1894" s="24">
        <v>81.209999999999994</v>
      </c>
      <c r="D1894" s="24">
        <v>18.43</v>
      </c>
      <c r="E1894" s="24">
        <v>96.09</v>
      </c>
    </row>
    <row r="1895" spans="1:5" ht="15.75" customHeight="1" x14ac:dyDescent="0.4">
      <c r="A1895" s="24" t="s">
        <v>1373</v>
      </c>
      <c r="B1895" s="24" t="s">
        <v>2188</v>
      </c>
      <c r="C1895" s="24">
        <v>52.84</v>
      </c>
      <c r="D1895" s="24">
        <v>43.11</v>
      </c>
      <c r="E1895" s="24">
        <v>96.08</v>
      </c>
    </row>
    <row r="1896" spans="1:5" ht="15.75" customHeight="1" x14ac:dyDescent="0.4">
      <c r="A1896" s="24" t="s">
        <v>1064</v>
      </c>
      <c r="B1896" s="24" t="s">
        <v>2190</v>
      </c>
      <c r="C1896" s="24">
        <v>96.04</v>
      </c>
      <c r="E1896" s="24">
        <v>96.04</v>
      </c>
    </row>
    <row r="1897" spans="1:5" ht="15.75" customHeight="1" x14ac:dyDescent="0.4">
      <c r="A1897" s="24" t="s">
        <v>1829</v>
      </c>
      <c r="B1897" s="24" t="s">
        <v>2188</v>
      </c>
      <c r="C1897" s="24">
        <v>95.99</v>
      </c>
      <c r="D1897" s="24">
        <v>7.43</v>
      </c>
      <c r="E1897" s="24">
        <v>96.01</v>
      </c>
    </row>
    <row r="1898" spans="1:5" ht="15.75" customHeight="1" x14ac:dyDescent="0.4">
      <c r="A1898" s="24" t="s">
        <v>645</v>
      </c>
      <c r="B1898" s="24" t="s">
        <v>2188</v>
      </c>
      <c r="C1898" s="24">
        <v>94.86</v>
      </c>
      <c r="D1898" s="24">
        <v>5.44</v>
      </c>
      <c r="E1898" s="24">
        <v>95.99</v>
      </c>
    </row>
    <row r="1899" spans="1:5" ht="15.75" customHeight="1" x14ac:dyDescent="0.4">
      <c r="A1899" s="24" t="s">
        <v>1812</v>
      </c>
      <c r="B1899" s="24" t="s">
        <v>2190</v>
      </c>
      <c r="C1899" s="24">
        <v>95.97</v>
      </c>
      <c r="E1899" s="24">
        <v>95.97</v>
      </c>
    </row>
    <row r="1900" spans="1:5" ht="15.75" customHeight="1" x14ac:dyDescent="0.4">
      <c r="A1900" s="24" t="s">
        <v>1455</v>
      </c>
      <c r="B1900" s="24" t="s">
        <v>2188</v>
      </c>
      <c r="C1900" s="24">
        <v>95.96</v>
      </c>
      <c r="E1900" s="24">
        <v>95.96</v>
      </c>
    </row>
    <row r="1901" spans="1:5" ht="15.75" customHeight="1" x14ac:dyDescent="0.4">
      <c r="A1901" s="24" t="s">
        <v>1798</v>
      </c>
      <c r="B1901" s="24" t="s">
        <v>2188</v>
      </c>
      <c r="C1901" s="24">
        <v>95.92</v>
      </c>
      <c r="E1901" s="24">
        <v>95.92</v>
      </c>
    </row>
    <row r="1902" spans="1:5" ht="15.75" customHeight="1" x14ac:dyDescent="0.4">
      <c r="A1902" s="24" t="s">
        <v>2158</v>
      </c>
      <c r="B1902" s="24" t="s">
        <v>2188</v>
      </c>
      <c r="C1902" s="24">
        <v>95.9</v>
      </c>
      <c r="E1902" s="24">
        <v>95.9</v>
      </c>
    </row>
    <row r="1903" spans="1:5" ht="15.75" customHeight="1" x14ac:dyDescent="0.4">
      <c r="A1903" s="24" t="s">
        <v>2159</v>
      </c>
      <c r="B1903" s="24" t="s">
        <v>2188</v>
      </c>
      <c r="C1903" s="24">
        <v>95.9</v>
      </c>
      <c r="E1903" s="24">
        <v>95.9</v>
      </c>
    </row>
    <row r="1904" spans="1:5" ht="15.75" customHeight="1" x14ac:dyDescent="0.4">
      <c r="A1904" s="24" t="s">
        <v>1402</v>
      </c>
      <c r="B1904" s="24" t="s">
        <v>2188</v>
      </c>
      <c r="C1904" s="24">
        <v>95.9</v>
      </c>
      <c r="E1904" s="24">
        <v>95.9</v>
      </c>
    </row>
    <row r="1905" spans="1:5" ht="15.75" customHeight="1" x14ac:dyDescent="0.4">
      <c r="A1905" s="24" t="s">
        <v>994</v>
      </c>
      <c r="B1905" s="24" t="s">
        <v>2190</v>
      </c>
      <c r="C1905" s="24">
        <v>95.85</v>
      </c>
      <c r="E1905" s="24">
        <v>95.85</v>
      </c>
    </row>
    <row r="1906" spans="1:5" ht="15.75" customHeight="1" x14ac:dyDescent="0.4">
      <c r="A1906" s="24" t="s">
        <v>1415</v>
      </c>
      <c r="B1906" s="24" t="s">
        <v>2188</v>
      </c>
      <c r="C1906" s="24">
        <v>95.85</v>
      </c>
      <c r="E1906" s="24">
        <v>95.85</v>
      </c>
    </row>
    <row r="1907" spans="1:5" ht="15.75" customHeight="1" x14ac:dyDescent="0.4">
      <c r="A1907" s="24" t="s">
        <v>1921</v>
      </c>
      <c r="B1907" s="24" t="s">
        <v>2188</v>
      </c>
      <c r="C1907" s="24">
        <v>95.74</v>
      </c>
      <c r="E1907" s="24">
        <v>95.74</v>
      </c>
    </row>
    <row r="1908" spans="1:5" ht="15.75" customHeight="1" x14ac:dyDescent="0.4">
      <c r="A1908" s="24" t="s">
        <v>1681</v>
      </c>
      <c r="B1908" s="24" t="s">
        <v>2190</v>
      </c>
      <c r="C1908" s="24">
        <v>88.64</v>
      </c>
      <c r="D1908" s="24">
        <v>8.56</v>
      </c>
      <c r="E1908" s="24">
        <v>95.7</v>
      </c>
    </row>
    <row r="1909" spans="1:5" ht="15.75" customHeight="1" x14ac:dyDescent="0.4">
      <c r="A1909" s="24" t="s">
        <v>1838</v>
      </c>
      <c r="B1909" s="24" t="s">
        <v>2190</v>
      </c>
      <c r="C1909" s="24">
        <v>95.67</v>
      </c>
      <c r="D1909" s="24">
        <v>4.07</v>
      </c>
      <c r="E1909" s="24">
        <v>95.67</v>
      </c>
    </row>
    <row r="1910" spans="1:5" ht="15.75" customHeight="1" x14ac:dyDescent="0.4">
      <c r="A1910" s="24" t="s">
        <v>1676</v>
      </c>
      <c r="B1910" s="24" t="s">
        <v>2190</v>
      </c>
      <c r="C1910" s="24">
        <v>95.62</v>
      </c>
      <c r="E1910" s="24">
        <v>95.62</v>
      </c>
    </row>
    <row r="1911" spans="1:5" ht="15.75" customHeight="1" x14ac:dyDescent="0.4">
      <c r="A1911" s="24" t="s">
        <v>1065</v>
      </c>
      <c r="B1911" s="24" t="s">
        <v>2188</v>
      </c>
      <c r="C1911" s="24">
        <v>95.61</v>
      </c>
      <c r="E1911" s="24">
        <v>95.61</v>
      </c>
    </row>
    <row r="1912" spans="1:5" ht="15.75" customHeight="1" x14ac:dyDescent="0.4">
      <c r="A1912" s="24" t="s">
        <v>2065</v>
      </c>
      <c r="B1912" s="24" t="s">
        <v>2188</v>
      </c>
      <c r="C1912" s="24">
        <v>95.59</v>
      </c>
      <c r="E1912" s="24">
        <v>95.59</v>
      </c>
    </row>
    <row r="1913" spans="1:5" ht="15.75" customHeight="1" x14ac:dyDescent="0.4">
      <c r="A1913" s="24" t="s">
        <v>1360</v>
      </c>
      <c r="B1913" s="24" t="s">
        <v>2188</v>
      </c>
      <c r="C1913" s="24">
        <v>95.57</v>
      </c>
      <c r="E1913" s="24">
        <v>95.57</v>
      </c>
    </row>
    <row r="1914" spans="1:5" ht="15.75" customHeight="1" x14ac:dyDescent="0.4">
      <c r="A1914" s="24" t="s">
        <v>1487</v>
      </c>
      <c r="B1914" s="24" t="s">
        <v>2190</v>
      </c>
      <c r="C1914" s="24">
        <v>95.56</v>
      </c>
      <c r="E1914" s="24">
        <v>95.56</v>
      </c>
    </row>
    <row r="1915" spans="1:5" ht="15.75" customHeight="1" x14ac:dyDescent="0.4">
      <c r="A1915" s="24" t="s">
        <v>1724</v>
      </c>
      <c r="B1915" s="24" t="s">
        <v>2188</v>
      </c>
      <c r="C1915" s="24">
        <v>93.32</v>
      </c>
      <c r="D1915" s="24">
        <v>5.35</v>
      </c>
      <c r="E1915" s="24">
        <v>95.55</v>
      </c>
    </row>
    <row r="1916" spans="1:5" ht="15.75" customHeight="1" x14ac:dyDescent="0.4">
      <c r="A1916" s="24" t="s">
        <v>1618</v>
      </c>
      <c r="B1916" s="24" t="s">
        <v>2188</v>
      </c>
      <c r="C1916" s="24">
        <v>95.5</v>
      </c>
      <c r="D1916" s="24">
        <v>0.11</v>
      </c>
      <c r="E1916" s="24">
        <v>95.55</v>
      </c>
    </row>
    <row r="1917" spans="1:5" ht="15.75" customHeight="1" x14ac:dyDescent="0.4">
      <c r="A1917" s="24" t="s">
        <v>280</v>
      </c>
      <c r="B1917" s="24" t="s">
        <v>2188</v>
      </c>
      <c r="C1917" s="24">
        <v>95.48</v>
      </c>
      <c r="E1917" s="24">
        <v>95.48</v>
      </c>
    </row>
    <row r="1918" spans="1:5" ht="15.75" customHeight="1" x14ac:dyDescent="0.4">
      <c r="A1918" s="24" t="s">
        <v>1375</v>
      </c>
      <c r="B1918" s="24" t="s">
        <v>2192</v>
      </c>
      <c r="C1918" s="24">
        <v>95.47</v>
      </c>
      <c r="E1918" s="24">
        <v>95.47</v>
      </c>
    </row>
    <row r="1919" spans="1:5" ht="15.75" customHeight="1" x14ac:dyDescent="0.4">
      <c r="A1919" s="24" t="s">
        <v>1398</v>
      </c>
      <c r="B1919" s="24" t="s">
        <v>2188</v>
      </c>
      <c r="C1919" s="24">
        <v>95.46</v>
      </c>
      <c r="E1919" s="24">
        <v>95.46</v>
      </c>
    </row>
    <row r="1920" spans="1:5" ht="15.75" customHeight="1" x14ac:dyDescent="0.4">
      <c r="A1920" s="24" t="s">
        <v>1121</v>
      </c>
      <c r="B1920" s="24" t="s">
        <v>2190</v>
      </c>
      <c r="C1920" s="24">
        <v>95.42</v>
      </c>
      <c r="E1920" s="24">
        <v>95.42</v>
      </c>
    </row>
    <row r="1921" spans="1:5" ht="15.75" customHeight="1" x14ac:dyDescent="0.4">
      <c r="A1921" s="24" t="s">
        <v>1328</v>
      </c>
      <c r="B1921" s="24" t="s">
        <v>2188</v>
      </c>
      <c r="C1921" s="24">
        <v>95.38</v>
      </c>
      <c r="E1921" s="24">
        <v>95.38</v>
      </c>
    </row>
    <row r="1922" spans="1:5" ht="15.75" customHeight="1" x14ac:dyDescent="0.4">
      <c r="A1922" s="24" t="s">
        <v>1624</v>
      </c>
      <c r="B1922" s="24" t="s">
        <v>2188</v>
      </c>
      <c r="C1922" s="24">
        <v>53.07</v>
      </c>
      <c r="D1922" s="24">
        <v>57.71</v>
      </c>
      <c r="E1922" s="24">
        <v>95.37</v>
      </c>
    </row>
    <row r="1923" spans="1:5" ht="15.75" customHeight="1" x14ac:dyDescent="0.4">
      <c r="A1923" s="24" t="s">
        <v>1969</v>
      </c>
      <c r="B1923" s="24" t="s">
        <v>2188</v>
      </c>
      <c r="C1923" s="24">
        <v>95.36</v>
      </c>
      <c r="E1923" s="24">
        <v>95.36</v>
      </c>
    </row>
    <row r="1924" spans="1:5" ht="15.75" customHeight="1" x14ac:dyDescent="0.4">
      <c r="A1924" s="24" t="s">
        <v>1936</v>
      </c>
      <c r="B1924" s="24" t="s">
        <v>2190</v>
      </c>
      <c r="C1924" s="24">
        <v>95.33</v>
      </c>
      <c r="E1924" s="24">
        <v>95.33</v>
      </c>
    </row>
    <row r="1925" spans="1:5" ht="15.75" customHeight="1" x14ac:dyDescent="0.4">
      <c r="A1925" s="24" t="s">
        <v>563</v>
      </c>
      <c r="B1925" s="24" t="s">
        <v>2188</v>
      </c>
      <c r="C1925" s="24">
        <v>95.31</v>
      </c>
      <c r="E1925" s="24">
        <v>95.31</v>
      </c>
    </row>
    <row r="1926" spans="1:5" ht="15.75" customHeight="1" x14ac:dyDescent="0.4">
      <c r="A1926" s="24" t="s">
        <v>879</v>
      </c>
      <c r="B1926" s="24" t="s">
        <v>2190</v>
      </c>
      <c r="C1926" s="24">
        <v>87.78</v>
      </c>
      <c r="D1926" s="24">
        <v>7.49</v>
      </c>
      <c r="E1926" s="24">
        <v>95.31</v>
      </c>
    </row>
    <row r="1927" spans="1:5" ht="15.75" customHeight="1" x14ac:dyDescent="0.4">
      <c r="A1927" s="24" t="s">
        <v>782</v>
      </c>
      <c r="B1927" s="24" t="s">
        <v>2190</v>
      </c>
      <c r="C1927" s="24">
        <v>94.97</v>
      </c>
      <c r="D1927" s="24">
        <v>2.62</v>
      </c>
      <c r="E1927" s="24">
        <v>95.28</v>
      </c>
    </row>
    <row r="1928" spans="1:5" ht="15.75" customHeight="1" x14ac:dyDescent="0.4">
      <c r="A1928" s="24" t="s">
        <v>1355</v>
      </c>
      <c r="B1928" s="24" t="s">
        <v>2188</v>
      </c>
      <c r="C1928" s="24">
        <v>95.27</v>
      </c>
      <c r="E1928" s="24">
        <v>95.27</v>
      </c>
    </row>
    <row r="1929" spans="1:5" ht="15.75" customHeight="1" x14ac:dyDescent="0.4">
      <c r="A1929" s="24" t="s">
        <v>1335</v>
      </c>
      <c r="B1929" s="24" t="s">
        <v>2188</v>
      </c>
      <c r="C1929" s="24">
        <v>95.27</v>
      </c>
      <c r="E1929" s="24">
        <v>95.27</v>
      </c>
    </row>
    <row r="1930" spans="1:5" ht="15.75" customHeight="1" x14ac:dyDescent="0.4">
      <c r="A1930" s="24" t="s">
        <v>880</v>
      </c>
      <c r="B1930" s="24" t="s">
        <v>2188</v>
      </c>
      <c r="C1930" s="24">
        <v>95.19</v>
      </c>
      <c r="E1930" s="24">
        <v>95.19</v>
      </c>
    </row>
    <row r="1931" spans="1:5" ht="15.75" customHeight="1" x14ac:dyDescent="0.4">
      <c r="A1931" s="24" t="s">
        <v>1927</v>
      </c>
      <c r="B1931" s="24" t="s">
        <v>2188</v>
      </c>
      <c r="C1931" s="24">
        <v>95.19</v>
      </c>
      <c r="E1931" s="24">
        <v>95.19</v>
      </c>
    </row>
    <row r="1932" spans="1:5" ht="15.75" customHeight="1" x14ac:dyDescent="0.4">
      <c r="A1932" s="24" t="s">
        <v>1948</v>
      </c>
      <c r="B1932" s="24" t="s">
        <v>2188</v>
      </c>
      <c r="C1932" s="24">
        <v>88.9</v>
      </c>
      <c r="D1932" s="24">
        <v>7.37</v>
      </c>
      <c r="E1932" s="24">
        <v>95.13</v>
      </c>
    </row>
    <row r="1933" spans="1:5" ht="15.75" customHeight="1" x14ac:dyDescent="0.4">
      <c r="A1933" s="24" t="s">
        <v>1277</v>
      </c>
      <c r="B1933" s="24" t="s">
        <v>2188</v>
      </c>
      <c r="C1933" s="24">
        <v>91.53</v>
      </c>
      <c r="D1933" s="24">
        <v>72.05</v>
      </c>
      <c r="E1933" s="24">
        <v>95.07</v>
      </c>
    </row>
    <row r="1934" spans="1:5" ht="15.75" customHeight="1" x14ac:dyDescent="0.4">
      <c r="A1934" s="24" t="s">
        <v>1545</v>
      </c>
      <c r="B1934" s="24" t="s">
        <v>2190</v>
      </c>
      <c r="C1934" s="24">
        <v>95.06</v>
      </c>
      <c r="E1934" s="24">
        <v>95.06</v>
      </c>
    </row>
    <row r="1935" spans="1:5" ht="15.75" customHeight="1" x14ac:dyDescent="0.4">
      <c r="A1935" s="24" t="s">
        <v>1446</v>
      </c>
      <c r="B1935" s="24" t="s">
        <v>2188</v>
      </c>
      <c r="C1935" s="24">
        <v>95.01</v>
      </c>
      <c r="E1935" s="24">
        <v>95.01</v>
      </c>
    </row>
    <row r="1936" spans="1:5" ht="15.75" customHeight="1" x14ac:dyDescent="0.4">
      <c r="A1936" s="24" t="s">
        <v>343</v>
      </c>
      <c r="B1936" s="24" t="s">
        <v>2188</v>
      </c>
      <c r="C1936" s="24">
        <v>94.98</v>
      </c>
      <c r="E1936" s="24">
        <v>94.98</v>
      </c>
    </row>
    <row r="1937" spans="1:5" ht="15.75" customHeight="1" x14ac:dyDescent="0.4">
      <c r="A1937" s="24" t="s">
        <v>1207</v>
      </c>
      <c r="B1937" s="24" t="s">
        <v>2190</v>
      </c>
      <c r="C1937" s="24">
        <v>94.91</v>
      </c>
      <c r="D1937" s="24">
        <v>6.52</v>
      </c>
      <c r="E1937" s="24">
        <v>94.98</v>
      </c>
    </row>
    <row r="1938" spans="1:5" ht="15.75" customHeight="1" x14ac:dyDescent="0.4">
      <c r="A1938" s="24" t="s">
        <v>1830</v>
      </c>
      <c r="B1938" s="24" t="s">
        <v>2188</v>
      </c>
      <c r="C1938" s="24">
        <v>64.58</v>
      </c>
      <c r="D1938" s="24">
        <v>32.369999999999997</v>
      </c>
      <c r="E1938" s="24">
        <v>94.94</v>
      </c>
    </row>
    <row r="1939" spans="1:5" ht="15.75" customHeight="1" x14ac:dyDescent="0.4">
      <c r="A1939" s="24" t="s">
        <v>679</v>
      </c>
      <c r="B1939" s="24" t="s">
        <v>2188</v>
      </c>
      <c r="C1939" s="24">
        <v>94.89</v>
      </c>
      <c r="E1939" s="24">
        <v>94.89</v>
      </c>
    </row>
    <row r="1940" spans="1:5" ht="15.75" customHeight="1" x14ac:dyDescent="0.4">
      <c r="A1940" s="24" t="s">
        <v>1785</v>
      </c>
      <c r="B1940" s="24" t="s">
        <v>2188</v>
      </c>
      <c r="C1940" s="24">
        <v>86.75</v>
      </c>
      <c r="D1940" s="24">
        <v>8.1</v>
      </c>
      <c r="E1940" s="24">
        <v>94.87</v>
      </c>
    </row>
    <row r="1941" spans="1:5" ht="15.75" customHeight="1" x14ac:dyDescent="0.4">
      <c r="A1941" s="24" t="s">
        <v>906</v>
      </c>
      <c r="B1941" s="24" t="s">
        <v>2188</v>
      </c>
      <c r="C1941" s="24">
        <v>94.87</v>
      </c>
      <c r="E1941" s="24">
        <v>94.87</v>
      </c>
    </row>
    <row r="1942" spans="1:5" ht="15.75" customHeight="1" x14ac:dyDescent="0.4">
      <c r="A1942" s="24" t="s">
        <v>1707</v>
      </c>
      <c r="B1942" s="24" t="s">
        <v>2190</v>
      </c>
      <c r="C1942" s="24">
        <v>94.78</v>
      </c>
      <c r="E1942" s="24">
        <v>94.78</v>
      </c>
    </row>
    <row r="1943" spans="1:5" ht="15.75" customHeight="1" x14ac:dyDescent="0.4">
      <c r="A1943" s="24" t="s">
        <v>2144</v>
      </c>
      <c r="B1943" s="24" t="s">
        <v>2188</v>
      </c>
      <c r="C1943" s="24">
        <v>94.77</v>
      </c>
      <c r="E1943" s="24">
        <v>94.77</v>
      </c>
    </row>
    <row r="1944" spans="1:5" ht="15.75" customHeight="1" x14ac:dyDescent="0.4">
      <c r="A1944" s="24" t="s">
        <v>1557</v>
      </c>
      <c r="B1944" s="24" t="s">
        <v>2188</v>
      </c>
      <c r="C1944" s="24">
        <v>94.76</v>
      </c>
      <c r="E1944" s="24">
        <v>94.76</v>
      </c>
    </row>
    <row r="1945" spans="1:5" ht="15.75" customHeight="1" x14ac:dyDescent="0.4">
      <c r="A1945" s="24" t="s">
        <v>1169</v>
      </c>
      <c r="B1945" s="24" t="s">
        <v>2190</v>
      </c>
      <c r="C1945" s="24">
        <v>94.76</v>
      </c>
      <c r="E1945" s="24">
        <v>94.76</v>
      </c>
    </row>
    <row r="1946" spans="1:5" ht="15.75" customHeight="1" x14ac:dyDescent="0.4">
      <c r="A1946" s="24" t="s">
        <v>1488</v>
      </c>
      <c r="B1946" s="24" t="s">
        <v>2188</v>
      </c>
      <c r="C1946" s="24">
        <v>94.71</v>
      </c>
      <c r="E1946" s="24">
        <v>94.71</v>
      </c>
    </row>
    <row r="1947" spans="1:5" ht="15.75" customHeight="1" x14ac:dyDescent="0.4">
      <c r="A1947" s="24" t="s">
        <v>1863</v>
      </c>
      <c r="B1947" s="24" t="s">
        <v>2190</v>
      </c>
      <c r="C1947" s="24">
        <v>94.71</v>
      </c>
      <c r="E1947" s="24">
        <v>94.71</v>
      </c>
    </row>
    <row r="1948" spans="1:5" ht="15.75" customHeight="1" x14ac:dyDescent="0.4">
      <c r="A1948" s="24" t="s">
        <v>1176</v>
      </c>
      <c r="B1948" s="24" t="s">
        <v>2188</v>
      </c>
      <c r="C1948" s="24">
        <v>94.68</v>
      </c>
      <c r="E1948" s="24">
        <v>94.68</v>
      </c>
    </row>
    <row r="1949" spans="1:5" ht="15.75" customHeight="1" x14ac:dyDescent="0.4">
      <c r="A1949" s="24" t="s">
        <v>1941</v>
      </c>
      <c r="B1949" s="24" t="s">
        <v>2188</v>
      </c>
      <c r="C1949" s="24">
        <v>94.67</v>
      </c>
      <c r="E1949" s="24">
        <v>94.67</v>
      </c>
    </row>
    <row r="1950" spans="1:5" ht="15.75" customHeight="1" x14ac:dyDescent="0.4">
      <c r="A1950" s="24" t="s">
        <v>2099</v>
      </c>
      <c r="B1950" s="24" t="s">
        <v>2188</v>
      </c>
      <c r="C1950" s="24">
        <v>94.58</v>
      </c>
      <c r="E1950" s="24">
        <v>94.58</v>
      </c>
    </row>
    <row r="1951" spans="1:5" ht="15.75" customHeight="1" x14ac:dyDescent="0.4">
      <c r="A1951" s="24" t="s">
        <v>1876</v>
      </c>
      <c r="B1951" s="24" t="s">
        <v>2188</v>
      </c>
      <c r="C1951" s="24">
        <v>94.52</v>
      </c>
      <c r="D1951" s="24">
        <v>0.02</v>
      </c>
      <c r="E1951" s="24">
        <v>94.54</v>
      </c>
    </row>
    <row r="1952" spans="1:5" ht="15.75" customHeight="1" x14ac:dyDescent="0.4">
      <c r="A1952" s="24" t="s">
        <v>1359</v>
      </c>
      <c r="B1952" s="24" t="s">
        <v>2188</v>
      </c>
      <c r="C1952" s="24">
        <v>48.28</v>
      </c>
      <c r="D1952" s="24">
        <v>48.62</v>
      </c>
      <c r="E1952" s="24">
        <v>94.51</v>
      </c>
    </row>
    <row r="1953" spans="1:5" ht="15.75" customHeight="1" x14ac:dyDescent="0.4">
      <c r="A1953" s="24" t="s">
        <v>1960</v>
      </c>
      <c r="B1953" s="24" t="s">
        <v>2188</v>
      </c>
      <c r="C1953" s="24">
        <v>94.49</v>
      </c>
      <c r="E1953" s="24">
        <v>94.49</v>
      </c>
    </row>
    <row r="1954" spans="1:5" ht="15.75" customHeight="1" x14ac:dyDescent="0.4">
      <c r="A1954" s="24" t="s">
        <v>2118</v>
      </c>
      <c r="B1954" s="24" t="s">
        <v>2188</v>
      </c>
      <c r="C1954" s="24">
        <v>94.43</v>
      </c>
      <c r="E1954" s="24">
        <v>94.43</v>
      </c>
    </row>
    <row r="1955" spans="1:5" ht="15.75" customHeight="1" x14ac:dyDescent="0.4">
      <c r="A1955" s="24" t="s">
        <v>1181</v>
      </c>
      <c r="B1955" s="24" t="s">
        <v>2190</v>
      </c>
      <c r="C1955" s="24">
        <v>94.43</v>
      </c>
      <c r="E1955" s="24">
        <v>94.43</v>
      </c>
    </row>
    <row r="1956" spans="1:5" ht="15.75" customHeight="1" x14ac:dyDescent="0.4">
      <c r="A1956" s="24" t="s">
        <v>1710</v>
      </c>
      <c r="B1956" s="24" t="s">
        <v>2188</v>
      </c>
      <c r="C1956" s="24">
        <v>93.67</v>
      </c>
      <c r="D1956" s="24">
        <v>0.74</v>
      </c>
      <c r="E1956" s="24">
        <v>94.41</v>
      </c>
    </row>
    <row r="1957" spans="1:5" ht="15.75" customHeight="1" x14ac:dyDescent="0.4">
      <c r="A1957" s="24" t="s">
        <v>1588</v>
      </c>
      <c r="B1957" s="24" t="s">
        <v>2188</v>
      </c>
      <c r="C1957" s="24">
        <v>94.4</v>
      </c>
      <c r="E1957" s="24">
        <v>94.4</v>
      </c>
    </row>
    <row r="1958" spans="1:5" ht="15.75" customHeight="1" x14ac:dyDescent="0.4">
      <c r="A1958" s="24" t="s">
        <v>420</v>
      </c>
      <c r="B1958" s="24" t="s">
        <v>2188</v>
      </c>
      <c r="C1958" s="24">
        <v>94.4</v>
      </c>
      <c r="E1958" s="24">
        <v>94.4</v>
      </c>
    </row>
    <row r="1959" spans="1:5" ht="15.75" customHeight="1" x14ac:dyDescent="0.4">
      <c r="A1959" s="24" t="s">
        <v>1639</v>
      </c>
      <c r="B1959" s="24" t="s">
        <v>2188</v>
      </c>
      <c r="C1959" s="24">
        <v>94.35</v>
      </c>
      <c r="E1959" s="24">
        <v>94.35</v>
      </c>
    </row>
    <row r="1960" spans="1:5" ht="15.75" customHeight="1" x14ac:dyDescent="0.4">
      <c r="A1960" s="24" t="s">
        <v>2116</v>
      </c>
      <c r="B1960" s="24" t="s">
        <v>2188</v>
      </c>
      <c r="C1960" s="24">
        <v>94.31</v>
      </c>
      <c r="E1960" s="24">
        <v>94.31</v>
      </c>
    </row>
    <row r="1961" spans="1:5" ht="15.75" customHeight="1" x14ac:dyDescent="0.4">
      <c r="A1961" s="24" t="s">
        <v>1497</v>
      </c>
      <c r="B1961" s="24" t="s">
        <v>2188</v>
      </c>
      <c r="C1961" s="24">
        <v>94.3</v>
      </c>
      <c r="E1961" s="24">
        <v>94.3</v>
      </c>
    </row>
    <row r="1962" spans="1:5" ht="15.75" customHeight="1" x14ac:dyDescent="0.4">
      <c r="A1962" s="24" t="s">
        <v>1305</v>
      </c>
      <c r="B1962" s="24" t="s">
        <v>2190</v>
      </c>
      <c r="C1962" s="24">
        <v>94.16</v>
      </c>
      <c r="D1962" s="24">
        <v>0.49</v>
      </c>
      <c r="E1962" s="24">
        <v>94.2</v>
      </c>
    </row>
    <row r="1963" spans="1:5" ht="15.75" customHeight="1" x14ac:dyDescent="0.4">
      <c r="A1963" s="24" t="s">
        <v>1432</v>
      </c>
      <c r="B1963" s="24" t="s">
        <v>2188</v>
      </c>
      <c r="C1963" s="24">
        <v>93.94</v>
      </c>
      <c r="E1963" s="24">
        <v>93.94</v>
      </c>
    </row>
    <row r="1964" spans="1:5" ht="15.75" customHeight="1" x14ac:dyDescent="0.4">
      <c r="A1964" s="24" t="s">
        <v>399</v>
      </c>
      <c r="B1964" s="24" t="s">
        <v>2190</v>
      </c>
      <c r="C1964" s="24">
        <v>93.93</v>
      </c>
      <c r="E1964" s="24">
        <v>93.93</v>
      </c>
    </row>
    <row r="1965" spans="1:5" ht="15.75" customHeight="1" x14ac:dyDescent="0.4">
      <c r="A1965" s="24" t="s">
        <v>1833</v>
      </c>
      <c r="B1965" s="24" t="s">
        <v>2190</v>
      </c>
      <c r="C1965" s="24">
        <v>93.9</v>
      </c>
      <c r="E1965" s="24">
        <v>93.9</v>
      </c>
    </row>
    <row r="1966" spans="1:5" ht="15.75" customHeight="1" x14ac:dyDescent="0.4">
      <c r="A1966" s="24" t="s">
        <v>1584</v>
      </c>
      <c r="B1966" s="24" t="s">
        <v>2188</v>
      </c>
      <c r="C1966" s="24">
        <v>20.92</v>
      </c>
      <c r="D1966" s="24">
        <v>78.94</v>
      </c>
      <c r="E1966" s="24">
        <v>93.79</v>
      </c>
    </row>
    <row r="1967" spans="1:5" ht="15.75" customHeight="1" x14ac:dyDescent="0.4">
      <c r="A1967" s="24" t="s">
        <v>1104</v>
      </c>
      <c r="B1967" s="24" t="s">
        <v>2190</v>
      </c>
      <c r="C1967" s="24">
        <v>93.72</v>
      </c>
      <c r="E1967" s="24">
        <v>93.72</v>
      </c>
    </row>
    <row r="1968" spans="1:5" ht="15.75" customHeight="1" x14ac:dyDescent="0.4">
      <c r="A1968" s="24" t="s">
        <v>2126</v>
      </c>
      <c r="B1968" s="24" t="s">
        <v>2190</v>
      </c>
      <c r="C1968" s="24">
        <v>91.35</v>
      </c>
      <c r="D1968" s="24">
        <v>2.27</v>
      </c>
      <c r="E1968" s="24">
        <v>93.63</v>
      </c>
    </row>
    <row r="1969" spans="1:5" ht="15.75" customHeight="1" x14ac:dyDescent="0.4">
      <c r="A1969" s="24" t="s">
        <v>655</v>
      </c>
      <c r="B1969" s="24" t="s">
        <v>2188</v>
      </c>
      <c r="C1969" s="24">
        <v>93.55</v>
      </c>
      <c r="E1969" s="24">
        <v>93.55</v>
      </c>
    </row>
    <row r="1970" spans="1:5" ht="15.75" customHeight="1" x14ac:dyDescent="0.4">
      <c r="A1970" s="24" t="s">
        <v>1228</v>
      </c>
      <c r="B1970" s="24" t="s">
        <v>2190</v>
      </c>
      <c r="C1970" s="24">
        <v>93.55</v>
      </c>
      <c r="E1970" s="24">
        <v>93.55</v>
      </c>
    </row>
    <row r="1971" spans="1:5" ht="15.75" customHeight="1" x14ac:dyDescent="0.4">
      <c r="A1971" s="24" t="s">
        <v>493</v>
      </c>
      <c r="B1971" s="24" t="s">
        <v>2190</v>
      </c>
      <c r="C1971" s="24">
        <v>93.52</v>
      </c>
      <c r="E1971" s="24">
        <v>93.52</v>
      </c>
    </row>
    <row r="1972" spans="1:5" ht="15.75" customHeight="1" x14ac:dyDescent="0.4">
      <c r="A1972" s="24" t="s">
        <v>1072</v>
      </c>
      <c r="B1972" s="24" t="s">
        <v>2190</v>
      </c>
      <c r="C1972" s="24">
        <v>87.54</v>
      </c>
      <c r="D1972" s="24">
        <v>5.9</v>
      </c>
      <c r="E1972" s="24">
        <v>93.46</v>
      </c>
    </row>
    <row r="1973" spans="1:5" ht="15.75" customHeight="1" x14ac:dyDescent="0.4">
      <c r="A1973" s="24" t="s">
        <v>1809</v>
      </c>
      <c r="B1973" s="24" t="s">
        <v>2188</v>
      </c>
      <c r="C1973" s="24">
        <v>93.37</v>
      </c>
      <c r="E1973" s="24">
        <v>93.37</v>
      </c>
    </row>
    <row r="1974" spans="1:5" ht="15.75" customHeight="1" x14ac:dyDescent="0.4">
      <c r="A1974" s="24" t="s">
        <v>752</v>
      </c>
      <c r="B1974" s="24" t="s">
        <v>2190</v>
      </c>
      <c r="C1974" s="24">
        <v>53.06</v>
      </c>
      <c r="D1974" s="24">
        <v>60.54</v>
      </c>
      <c r="E1974" s="24">
        <v>93.36</v>
      </c>
    </row>
    <row r="1975" spans="1:5" ht="15.75" customHeight="1" x14ac:dyDescent="0.4">
      <c r="A1975" s="24" t="s">
        <v>794</v>
      </c>
      <c r="B1975" s="24" t="s">
        <v>2188</v>
      </c>
      <c r="C1975" s="24">
        <v>93.35</v>
      </c>
      <c r="E1975" s="24">
        <v>93.35</v>
      </c>
    </row>
    <row r="1976" spans="1:5" ht="15.75" customHeight="1" x14ac:dyDescent="0.4">
      <c r="A1976" s="24" t="s">
        <v>659</v>
      </c>
      <c r="B1976" s="24" t="s">
        <v>2188</v>
      </c>
      <c r="C1976" s="24">
        <v>89.87</v>
      </c>
      <c r="D1976" s="24">
        <v>17.649999999999999</v>
      </c>
      <c r="E1976" s="24">
        <v>93.33</v>
      </c>
    </row>
    <row r="1977" spans="1:5" ht="15.75" customHeight="1" x14ac:dyDescent="0.4">
      <c r="A1977" s="24" t="s">
        <v>891</v>
      </c>
      <c r="B1977" s="24" t="s">
        <v>2188</v>
      </c>
      <c r="C1977" s="24">
        <v>93.22</v>
      </c>
      <c r="E1977" s="24">
        <v>93.22</v>
      </c>
    </row>
    <row r="1978" spans="1:5" ht="15.75" customHeight="1" x14ac:dyDescent="0.4">
      <c r="A1978" s="24" t="s">
        <v>1966</v>
      </c>
      <c r="B1978" s="24" t="s">
        <v>2188</v>
      </c>
      <c r="C1978" s="24">
        <v>80.02</v>
      </c>
      <c r="D1978" s="24">
        <v>13.13</v>
      </c>
      <c r="E1978" s="24">
        <v>93.19</v>
      </c>
    </row>
    <row r="1979" spans="1:5" ht="15.75" customHeight="1" x14ac:dyDescent="0.4">
      <c r="A1979" s="24" t="s">
        <v>1762</v>
      </c>
      <c r="B1979" s="24" t="s">
        <v>2190</v>
      </c>
      <c r="C1979" s="24">
        <v>93.15</v>
      </c>
      <c r="D1979" s="24">
        <v>0</v>
      </c>
      <c r="E1979" s="24">
        <v>93.15</v>
      </c>
    </row>
    <row r="1980" spans="1:5" ht="15.75" customHeight="1" x14ac:dyDescent="0.4">
      <c r="A1980" s="24" t="s">
        <v>1401</v>
      </c>
      <c r="B1980" s="24" t="s">
        <v>2188</v>
      </c>
      <c r="C1980" s="24">
        <v>93.15</v>
      </c>
      <c r="E1980" s="24">
        <v>93.15</v>
      </c>
    </row>
    <row r="1981" spans="1:5" ht="15.75" customHeight="1" x14ac:dyDescent="0.4">
      <c r="A1981" s="24" t="s">
        <v>1622</v>
      </c>
      <c r="B1981" s="24" t="s">
        <v>2188</v>
      </c>
      <c r="C1981" s="24">
        <v>93.11</v>
      </c>
      <c r="D1981" s="24">
        <v>0</v>
      </c>
      <c r="E1981" s="24">
        <v>93.11</v>
      </c>
    </row>
    <row r="1982" spans="1:5" ht="15.75" customHeight="1" x14ac:dyDescent="0.4">
      <c r="A1982" s="24" t="s">
        <v>986</v>
      </c>
      <c r="B1982" s="24" t="s">
        <v>2190</v>
      </c>
      <c r="C1982" s="24">
        <v>93.11</v>
      </c>
      <c r="E1982" s="24">
        <v>93.11</v>
      </c>
    </row>
    <row r="1983" spans="1:5" ht="15.75" customHeight="1" x14ac:dyDescent="0.4">
      <c r="A1983" s="24" t="s">
        <v>1212</v>
      </c>
      <c r="B1983" s="24" t="s">
        <v>2188</v>
      </c>
      <c r="C1983" s="24">
        <v>93.09</v>
      </c>
      <c r="E1983" s="24">
        <v>93.09</v>
      </c>
    </row>
    <row r="1984" spans="1:5" ht="15.75" customHeight="1" x14ac:dyDescent="0.4">
      <c r="A1984" s="24" t="s">
        <v>2131</v>
      </c>
      <c r="B1984" s="24" t="s">
        <v>2188</v>
      </c>
      <c r="C1984" s="24">
        <v>93.06</v>
      </c>
      <c r="E1984" s="24">
        <v>93.06</v>
      </c>
    </row>
    <row r="1985" spans="1:5" ht="15.75" customHeight="1" x14ac:dyDescent="0.4">
      <c r="A1985" s="24" t="s">
        <v>1483</v>
      </c>
      <c r="B1985" s="24" t="s">
        <v>2190</v>
      </c>
      <c r="C1985" s="24">
        <v>93.03</v>
      </c>
      <c r="E1985" s="24">
        <v>93.03</v>
      </c>
    </row>
    <row r="1986" spans="1:5" ht="15.75" customHeight="1" x14ac:dyDescent="0.4">
      <c r="A1986" s="24" t="s">
        <v>1428</v>
      </c>
      <c r="B1986" s="24" t="s">
        <v>2188</v>
      </c>
      <c r="C1986" s="24">
        <v>82.29</v>
      </c>
      <c r="D1986" s="24">
        <v>11.72</v>
      </c>
      <c r="E1986" s="24">
        <v>92.97</v>
      </c>
    </row>
    <row r="1987" spans="1:5" ht="15.75" customHeight="1" x14ac:dyDescent="0.4">
      <c r="A1987" s="24" t="s">
        <v>1904</v>
      </c>
      <c r="B1987" s="24" t="s">
        <v>2188</v>
      </c>
      <c r="C1987" s="24">
        <v>92.94</v>
      </c>
      <c r="E1987" s="24">
        <v>92.94</v>
      </c>
    </row>
    <row r="1988" spans="1:5" ht="15.75" customHeight="1" x14ac:dyDescent="0.4">
      <c r="A1988" s="24" t="s">
        <v>1088</v>
      </c>
      <c r="B1988" s="24" t="s">
        <v>2188</v>
      </c>
      <c r="C1988" s="24">
        <v>92.89</v>
      </c>
      <c r="E1988" s="24">
        <v>92.89</v>
      </c>
    </row>
    <row r="1989" spans="1:5" ht="15.75" customHeight="1" x14ac:dyDescent="0.4">
      <c r="A1989" s="24" t="s">
        <v>422</v>
      </c>
      <c r="B1989" s="24" t="s">
        <v>2190</v>
      </c>
      <c r="C1989" s="24">
        <v>92.62</v>
      </c>
      <c r="D1989" s="24">
        <v>10.46</v>
      </c>
      <c r="E1989" s="24">
        <v>92.85</v>
      </c>
    </row>
    <row r="1990" spans="1:5" ht="15.75" customHeight="1" x14ac:dyDescent="0.4">
      <c r="A1990" s="24" t="s">
        <v>235</v>
      </c>
      <c r="B1990" s="24" t="s">
        <v>2190</v>
      </c>
      <c r="C1990" s="24">
        <v>92.42</v>
      </c>
      <c r="D1990" s="24">
        <v>0.37</v>
      </c>
      <c r="E1990" s="24">
        <v>92.79</v>
      </c>
    </row>
    <row r="1991" spans="1:5" ht="15.75" customHeight="1" x14ac:dyDescent="0.4">
      <c r="A1991" s="24" t="s">
        <v>1396</v>
      </c>
      <c r="B1991" s="24" t="s">
        <v>2188</v>
      </c>
      <c r="C1991" s="24">
        <v>92.78</v>
      </c>
      <c r="E1991" s="24">
        <v>92.78</v>
      </c>
    </row>
    <row r="1992" spans="1:5" ht="15.75" customHeight="1" x14ac:dyDescent="0.4">
      <c r="A1992" s="24" t="s">
        <v>997</v>
      </c>
      <c r="B1992" s="24" t="s">
        <v>2190</v>
      </c>
      <c r="C1992" s="24">
        <v>92.46</v>
      </c>
      <c r="D1992" s="24">
        <v>0.73</v>
      </c>
      <c r="E1992" s="24">
        <v>92.76</v>
      </c>
    </row>
    <row r="1993" spans="1:5" ht="15.75" customHeight="1" x14ac:dyDescent="0.4">
      <c r="A1993" s="24" t="s">
        <v>1323</v>
      </c>
      <c r="B1993" s="24" t="s">
        <v>2191</v>
      </c>
      <c r="C1993" s="24">
        <v>92.66</v>
      </c>
      <c r="D1993" s="24">
        <v>2.02</v>
      </c>
      <c r="E1993" s="24">
        <v>92.66</v>
      </c>
    </row>
    <row r="1994" spans="1:5" ht="15.75" customHeight="1" x14ac:dyDescent="0.4">
      <c r="A1994" s="24" t="s">
        <v>1366</v>
      </c>
      <c r="B1994" s="24" t="s">
        <v>2188</v>
      </c>
      <c r="C1994" s="24">
        <v>85.99</v>
      </c>
      <c r="D1994" s="24">
        <v>6.65</v>
      </c>
      <c r="E1994" s="24">
        <v>92.66</v>
      </c>
    </row>
    <row r="1995" spans="1:5" ht="15.75" customHeight="1" x14ac:dyDescent="0.4">
      <c r="A1995" s="24" t="s">
        <v>1756</v>
      </c>
      <c r="B1995" s="24" t="s">
        <v>2188</v>
      </c>
      <c r="C1995" s="24">
        <v>92.64</v>
      </c>
      <c r="D1995" s="24">
        <v>0</v>
      </c>
      <c r="E1995" s="24">
        <v>92.64</v>
      </c>
    </row>
    <row r="1996" spans="1:5" ht="15.75" customHeight="1" x14ac:dyDescent="0.4">
      <c r="A1996" s="24" t="s">
        <v>1153</v>
      </c>
      <c r="B1996" s="24" t="s">
        <v>2190</v>
      </c>
      <c r="C1996" s="24">
        <v>92.61</v>
      </c>
      <c r="E1996" s="24">
        <v>92.61</v>
      </c>
    </row>
    <row r="1997" spans="1:5" ht="15.75" customHeight="1" x14ac:dyDescent="0.4">
      <c r="A1997" s="24" t="s">
        <v>1601</v>
      </c>
      <c r="B1997" s="24" t="s">
        <v>2188</v>
      </c>
      <c r="C1997" s="24">
        <v>92.5</v>
      </c>
      <c r="E1997" s="24">
        <v>92.5</v>
      </c>
    </row>
    <row r="1998" spans="1:5" ht="15.75" customHeight="1" x14ac:dyDescent="0.4">
      <c r="A1998" s="24" t="s">
        <v>1128</v>
      </c>
      <c r="B1998" s="24" t="s">
        <v>2188</v>
      </c>
      <c r="C1998" s="24">
        <v>92.5</v>
      </c>
      <c r="E1998" s="24">
        <v>92.5</v>
      </c>
    </row>
    <row r="1999" spans="1:5" ht="15.75" customHeight="1" x14ac:dyDescent="0.4">
      <c r="A1999" s="24" t="s">
        <v>2129</v>
      </c>
      <c r="B1999" s="24" t="s">
        <v>2188</v>
      </c>
      <c r="C1999" s="24">
        <v>87.44</v>
      </c>
      <c r="D1999" s="24">
        <v>44.25</v>
      </c>
      <c r="E1999" s="24">
        <v>92.43</v>
      </c>
    </row>
    <row r="2000" spans="1:5" ht="15.75" customHeight="1" x14ac:dyDescent="0.4">
      <c r="A2000" s="24" t="s">
        <v>2128</v>
      </c>
      <c r="B2000" s="24" t="s">
        <v>2188</v>
      </c>
      <c r="C2000" s="24">
        <v>91.07</v>
      </c>
      <c r="D2000" s="24">
        <v>1.63</v>
      </c>
      <c r="E2000" s="24">
        <v>92.43</v>
      </c>
    </row>
    <row r="2001" spans="1:5" ht="15.75" customHeight="1" x14ac:dyDescent="0.4">
      <c r="A2001" s="24" t="s">
        <v>1506</v>
      </c>
      <c r="B2001" s="24" t="s">
        <v>2188</v>
      </c>
      <c r="C2001" s="24">
        <v>92.41</v>
      </c>
      <c r="E2001" s="24">
        <v>92.41</v>
      </c>
    </row>
    <row r="2002" spans="1:5" ht="15.75" customHeight="1" x14ac:dyDescent="0.4">
      <c r="A2002" s="24" t="s">
        <v>1132</v>
      </c>
      <c r="B2002" s="24" t="s">
        <v>2190</v>
      </c>
      <c r="C2002" s="24">
        <v>92.4</v>
      </c>
      <c r="E2002" s="24">
        <v>92.4</v>
      </c>
    </row>
    <row r="2003" spans="1:5" ht="15.75" customHeight="1" x14ac:dyDescent="0.4">
      <c r="A2003" s="24" t="s">
        <v>1134</v>
      </c>
      <c r="B2003" s="24" t="s">
        <v>2191</v>
      </c>
      <c r="C2003" s="24">
        <v>39.39</v>
      </c>
      <c r="D2003" s="24">
        <v>66.56</v>
      </c>
      <c r="E2003" s="24">
        <v>92.37</v>
      </c>
    </row>
    <row r="2004" spans="1:5" ht="15.75" customHeight="1" x14ac:dyDescent="0.4">
      <c r="A2004" s="24" t="s">
        <v>1529</v>
      </c>
      <c r="B2004" s="24" t="s">
        <v>2188</v>
      </c>
      <c r="C2004" s="24">
        <v>92.32</v>
      </c>
      <c r="D2004" s="24">
        <v>0.2</v>
      </c>
      <c r="E2004" s="24">
        <v>92.36</v>
      </c>
    </row>
    <row r="2005" spans="1:5" ht="15.75" customHeight="1" x14ac:dyDescent="0.4">
      <c r="A2005" s="24" t="s">
        <v>1763</v>
      </c>
      <c r="B2005" s="24" t="s">
        <v>2188</v>
      </c>
      <c r="C2005" s="24">
        <v>92.22</v>
      </c>
      <c r="D2005" s="24">
        <v>0.17</v>
      </c>
      <c r="E2005" s="24">
        <v>92.31</v>
      </c>
    </row>
    <row r="2006" spans="1:5" ht="15.75" customHeight="1" x14ac:dyDescent="0.4">
      <c r="A2006" s="24" t="s">
        <v>1265</v>
      </c>
      <c r="B2006" s="24" t="s">
        <v>2188</v>
      </c>
      <c r="C2006" s="24">
        <v>92.31</v>
      </c>
      <c r="E2006" s="24">
        <v>92.31</v>
      </c>
    </row>
    <row r="2007" spans="1:5" ht="15.75" customHeight="1" x14ac:dyDescent="0.4">
      <c r="A2007" s="24" t="s">
        <v>2106</v>
      </c>
      <c r="B2007" s="24" t="s">
        <v>2190</v>
      </c>
      <c r="C2007" s="24">
        <v>92.28</v>
      </c>
      <c r="E2007" s="24">
        <v>92.28</v>
      </c>
    </row>
    <row r="2008" spans="1:5" ht="15.75" customHeight="1" x14ac:dyDescent="0.4">
      <c r="A2008" s="24" t="s">
        <v>1282</v>
      </c>
      <c r="B2008" s="24" t="s">
        <v>2190</v>
      </c>
      <c r="C2008" s="24">
        <v>92.25</v>
      </c>
      <c r="E2008" s="24">
        <v>92.25</v>
      </c>
    </row>
    <row r="2009" spans="1:5" ht="15.75" customHeight="1" x14ac:dyDescent="0.4">
      <c r="A2009" s="24" t="s">
        <v>2049</v>
      </c>
      <c r="B2009" s="24" t="s">
        <v>2188</v>
      </c>
      <c r="C2009" s="24">
        <v>92.25</v>
      </c>
      <c r="E2009" s="24">
        <v>92.25</v>
      </c>
    </row>
    <row r="2010" spans="1:5" ht="15.75" customHeight="1" x14ac:dyDescent="0.4">
      <c r="A2010" s="24" t="s">
        <v>1984</v>
      </c>
      <c r="B2010" s="24" t="s">
        <v>2188</v>
      </c>
      <c r="C2010" s="24">
        <v>75.290000000000006</v>
      </c>
      <c r="D2010" s="24">
        <v>16.899999999999999</v>
      </c>
      <c r="E2010" s="24">
        <v>92.24</v>
      </c>
    </row>
    <row r="2011" spans="1:5" ht="15.75" customHeight="1" x14ac:dyDescent="0.4">
      <c r="A2011" s="24" t="s">
        <v>1616</v>
      </c>
      <c r="B2011" s="24" t="s">
        <v>2191</v>
      </c>
      <c r="C2011" s="24">
        <v>92.19</v>
      </c>
      <c r="E2011" s="24">
        <v>92.19</v>
      </c>
    </row>
    <row r="2012" spans="1:5" ht="15.75" customHeight="1" x14ac:dyDescent="0.4">
      <c r="A2012" s="24" t="s">
        <v>1837</v>
      </c>
      <c r="B2012" s="24" t="s">
        <v>2188</v>
      </c>
      <c r="C2012" s="24">
        <v>92.16</v>
      </c>
      <c r="E2012" s="24">
        <v>92.16</v>
      </c>
    </row>
    <row r="2013" spans="1:5" ht="15.75" customHeight="1" x14ac:dyDescent="0.4">
      <c r="A2013" s="24" t="s">
        <v>1194</v>
      </c>
      <c r="B2013" s="24" t="s">
        <v>2190</v>
      </c>
      <c r="C2013" s="24">
        <v>92.16</v>
      </c>
      <c r="E2013" s="24">
        <v>92.16</v>
      </c>
    </row>
    <row r="2014" spans="1:5" ht="15.75" customHeight="1" x14ac:dyDescent="0.4">
      <c r="A2014" s="24" t="s">
        <v>661</v>
      </c>
      <c r="B2014" s="24" t="s">
        <v>2188</v>
      </c>
      <c r="C2014" s="24">
        <v>92.07</v>
      </c>
      <c r="E2014" s="24">
        <v>92.07</v>
      </c>
    </row>
    <row r="2015" spans="1:5" ht="15.75" customHeight="1" x14ac:dyDescent="0.4">
      <c r="A2015" s="24" t="s">
        <v>1014</v>
      </c>
      <c r="B2015" s="24" t="s">
        <v>2190</v>
      </c>
      <c r="C2015" s="24">
        <v>89.31</v>
      </c>
      <c r="D2015" s="24">
        <v>5.01</v>
      </c>
      <c r="E2015" s="24">
        <v>92.05</v>
      </c>
    </row>
    <row r="2016" spans="1:5" ht="15.75" customHeight="1" x14ac:dyDescent="0.4">
      <c r="A2016" s="24" t="s">
        <v>1525</v>
      </c>
      <c r="B2016" s="24" t="s">
        <v>2188</v>
      </c>
      <c r="C2016" s="24">
        <v>91.9</v>
      </c>
      <c r="E2016" s="24">
        <v>91.9</v>
      </c>
    </row>
    <row r="2017" spans="1:5" ht="15.75" customHeight="1" x14ac:dyDescent="0.4">
      <c r="A2017" s="24" t="s">
        <v>1162</v>
      </c>
      <c r="B2017" s="24" t="s">
        <v>2188</v>
      </c>
      <c r="C2017" s="24">
        <v>91.81</v>
      </c>
      <c r="E2017" s="24">
        <v>91.81</v>
      </c>
    </row>
    <row r="2018" spans="1:5" ht="15.75" customHeight="1" x14ac:dyDescent="0.4">
      <c r="A2018" s="24" t="s">
        <v>1607</v>
      </c>
      <c r="B2018" s="24" t="s">
        <v>2188</v>
      </c>
      <c r="C2018" s="24">
        <v>91.79</v>
      </c>
      <c r="E2018" s="24">
        <v>91.79</v>
      </c>
    </row>
    <row r="2019" spans="1:5" ht="15.75" customHeight="1" x14ac:dyDescent="0.4">
      <c r="A2019" s="24" t="s">
        <v>1142</v>
      </c>
      <c r="B2019" s="24" t="s">
        <v>2190</v>
      </c>
      <c r="C2019" s="24">
        <v>85.51</v>
      </c>
      <c r="D2019" s="24">
        <v>6.17</v>
      </c>
      <c r="E2019" s="24">
        <v>91.72</v>
      </c>
    </row>
    <row r="2020" spans="1:5" ht="15.75" customHeight="1" x14ac:dyDescent="0.4">
      <c r="A2020" s="24" t="s">
        <v>2168</v>
      </c>
      <c r="B2020" s="24" t="s">
        <v>2188</v>
      </c>
      <c r="C2020" s="24">
        <v>88.01</v>
      </c>
      <c r="D2020" s="24">
        <v>4.3899999999999997</v>
      </c>
      <c r="E2020" s="24">
        <v>91.7</v>
      </c>
    </row>
    <row r="2021" spans="1:5" ht="15.75" customHeight="1" x14ac:dyDescent="0.4">
      <c r="A2021" s="24" t="s">
        <v>863</v>
      </c>
      <c r="B2021" s="24" t="s">
        <v>2190</v>
      </c>
      <c r="C2021" s="24">
        <v>91.67</v>
      </c>
      <c r="D2021" s="24">
        <v>4.3</v>
      </c>
      <c r="E2021" s="24">
        <v>91.67</v>
      </c>
    </row>
    <row r="2022" spans="1:5" ht="15.75" customHeight="1" x14ac:dyDescent="0.4">
      <c r="A2022" s="24" t="s">
        <v>1324</v>
      </c>
      <c r="B2022" s="24" t="s">
        <v>2191</v>
      </c>
      <c r="C2022" s="24">
        <v>91.47</v>
      </c>
      <c r="E2022" s="24">
        <v>91.47</v>
      </c>
    </row>
    <row r="2023" spans="1:5" ht="15.75" customHeight="1" x14ac:dyDescent="0.4">
      <c r="A2023" s="24" t="s">
        <v>882</v>
      </c>
      <c r="B2023" s="24" t="s">
        <v>2188</v>
      </c>
      <c r="C2023" s="24">
        <v>91.41</v>
      </c>
      <c r="D2023" s="24">
        <v>0.05</v>
      </c>
      <c r="E2023" s="24">
        <v>91.46</v>
      </c>
    </row>
    <row r="2024" spans="1:5" ht="15.75" customHeight="1" x14ac:dyDescent="0.4">
      <c r="A2024" s="24" t="s">
        <v>1223</v>
      </c>
      <c r="B2024" s="24" t="s">
        <v>2190</v>
      </c>
      <c r="C2024" s="24">
        <v>91.44</v>
      </c>
      <c r="E2024" s="24">
        <v>91.44</v>
      </c>
    </row>
    <row r="2025" spans="1:5" ht="15.75" customHeight="1" x14ac:dyDescent="0.4">
      <c r="A2025" s="24" t="s">
        <v>1988</v>
      </c>
      <c r="B2025" s="24" t="s">
        <v>2188</v>
      </c>
      <c r="C2025" s="24">
        <v>91.3</v>
      </c>
      <c r="E2025" s="24">
        <v>91.3</v>
      </c>
    </row>
    <row r="2026" spans="1:5" ht="15.75" customHeight="1" x14ac:dyDescent="0.4">
      <c r="A2026" s="24" t="s">
        <v>928</v>
      </c>
      <c r="B2026" s="24" t="s">
        <v>2190</v>
      </c>
      <c r="C2026" s="24">
        <v>91.24</v>
      </c>
      <c r="E2026" s="24">
        <v>91.24</v>
      </c>
    </row>
    <row r="2027" spans="1:5" ht="15.75" customHeight="1" x14ac:dyDescent="0.4">
      <c r="A2027" s="24" t="s">
        <v>1758</v>
      </c>
      <c r="B2027" s="24" t="s">
        <v>2190</v>
      </c>
      <c r="C2027" s="24">
        <v>88.63</v>
      </c>
      <c r="D2027" s="24">
        <v>2.6</v>
      </c>
      <c r="E2027" s="24">
        <v>91.24</v>
      </c>
    </row>
    <row r="2028" spans="1:5" ht="15.75" customHeight="1" x14ac:dyDescent="0.4">
      <c r="A2028" s="24" t="s">
        <v>1864</v>
      </c>
      <c r="B2028" s="24" t="s">
        <v>2188</v>
      </c>
      <c r="C2028" s="24">
        <v>90.48</v>
      </c>
      <c r="D2028" s="24">
        <v>0.87</v>
      </c>
      <c r="E2028" s="24">
        <v>91.22</v>
      </c>
    </row>
    <row r="2029" spans="1:5" ht="15.75" customHeight="1" x14ac:dyDescent="0.4">
      <c r="A2029" s="24" t="s">
        <v>1754</v>
      </c>
      <c r="B2029" s="24" t="s">
        <v>2188</v>
      </c>
      <c r="C2029" s="24">
        <v>91.14</v>
      </c>
      <c r="E2029" s="24">
        <v>91.14</v>
      </c>
    </row>
    <row r="2030" spans="1:5" ht="15.75" customHeight="1" x14ac:dyDescent="0.4">
      <c r="A2030" s="24" t="s">
        <v>1708</v>
      </c>
      <c r="B2030" s="24" t="s">
        <v>2188</v>
      </c>
      <c r="C2030" s="24">
        <v>91.1</v>
      </c>
      <c r="E2030" s="24">
        <v>91.1</v>
      </c>
    </row>
    <row r="2031" spans="1:5" ht="15.75" customHeight="1" x14ac:dyDescent="0.4">
      <c r="A2031" s="24" t="s">
        <v>1893</v>
      </c>
      <c r="B2031" s="24" t="s">
        <v>2188</v>
      </c>
      <c r="C2031" s="24">
        <v>61.09</v>
      </c>
      <c r="D2031" s="24">
        <v>33.81</v>
      </c>
      <c r="E2031" s="24">
        <v>90.97</v>
      </c>
    </row>
    <row r="2032" spans="1:5" ht="15.75" customHeight="1" x14ac:dyDescent="0.4">
      <c r="A2032" s="24" t="s">
        <v>1222</v>
      </c>
      <c r="B2032" s="24" t="s">
        <v>2190</v>
      </c>
      <c r="C2032" s="24">
        <v>78.760000000000005</v>
      </c>
      <c r="D2032" s="24">
        <v>14.82</v>
      </c>
      <c r="E2032" s="24">
        <v>90.9</v>
      </c>
    </row>
    <row r="2033" spans="1:5" ht="15.75" customHeight="1" x14ac:dyDescent="0.4">
      <c r="A2033" s="24" t="s">
        <v>1644</v>
      </c>
      <c r="B2033" s="24" t="s">
        <v>2188</v>
      </c>
      <c r="C2033" s="24">
        <v>90.87</v>
      </c>
      <c r="E2033" s="24">
        <v>90.87</v>
      </c>
    </row>
    <row r="2034" spans="1:5" ht="15.75" customHeight="1" x14ac:dyDescent="0.4">
      <c r="A2034" s="24" t="s">
        <v>240</v>
      </c>
      <c r="B2034" s="24" t="s">
        <v>2188</v>
      </c>
      <c r="C2034" s="24">
        <v>33.86</v>
      </c>
      <c r="D2034" s="24">
        <v>64.180000000000007</v>
      </c>
      <c r="E2034" s="24">
        <v>90.84</v>
      </c>
    </row>
    <row r="2035" spans="1:5" ht="15.75" customHeight="1" x14ac:dyDescent="0.4">
      <c r="A2035" s="24" t="s">
        <v>1827</v>
      </c>
      <c r="B2035" s="24" t="s">
        <v>2190</v>
      </c>
      <c r="C2035" s="24">
        <v>90.76</v>
      </c>
      <c r="E2035" s="24">
        <v>90.76</v>
      </c>
    </row>
    <row r="2036" spans="1:5" ht="15.75" customHeight="1" x14ac:dyDescent="0.4">
      <c r="A2036" s="24" t="s">
        <v>1249</v>
      </c>
      <c r="B2036" s="24" t="s">
        <v>2188</v>
      </c>
      <c r="C2036" s="24">
        <v>90.71</v>
      </c>
      <c r="E2036" s="24">
        <v>90.71</v>
      </c>
    </row>
    <row r="2037" spans="1:5" ht="15.75" customHeight="1" x14ac:dyDescent="0.4">
      <c r="A2037" s="24" t="s">
        <v>447</v>
      </c>
      <c r="B2037" s="24" t="s">
        <v>2188</v>
      </c>
      <c r="C2037" s="24">
        <v>90.64</v>
      </c>
      <c r="E2037" s="24">
        <v>90.64</v>
      </c>
    </row>
    <row r="2038" spans="1:5" ht="15.75" customHeight="1" x14ac:dyDescent="0.4">
      <c r="A2038" s="24" t="s">
        <v>855</v>
      </c>
      <c r="B2038" s="24" t="s">
        <v>2188</v>
      </c>
      <c r="C2038" s="24">
        <v>90.63</v>
      </c>
      <c r="E2038" s="24">
        <v>90.63</v>
      </c>
    </row>
    <row r="2039" spans="1:5" ht="15.75" customHeight="1" x14ac:dyDescent="0.4">
      <c r="A2039" s="24" t="s">
        <v>2113</v>
      </c>
      <c r="B2039" s="24" t="s">
        <v>2188</v>
      </c>
      <c r="C2039" s="24">
        <v>90.55</v>
      </c>
      <c r="D2039" s="24">
        <v>0.03</v>
      </c>
      <c r="E2039" s="24">
        <v>90.58</v>
      </c>
    </row>
    <row r="2040" spans="1:5" ht="15.75" customHeight="1" x14ac:dyDescent="0.4">
      <c r="A2040" s="24" t="s">
        <v>920</v>
      </c>
      <c r="B2040" s="24" t="s">
        <v>2190</v>
      </c>
      <c r="C2040" s="24">
        <v>90.27</v>
      </c>
      <c r="D2040" s="24">
        <v>0.27</v>
      </c>
      <c r="E2040" s="24">
        <v>90.54</v>
      </c>
    </row>
    <row r="2041" spans="1:5" ht="15.75" customHeight="1" x14ac:dyDescent="0.4">
      <c r="A2041" s="24" t="s">
        <v>770</v>
      </c>
      <c r="B2041" s="24" t="s">
        <v>2190</v>
      </c>
      <c r="C2041" s="24">
        <v>89.5</v>
      </c>
      <c r="D2041" s="24">
        <v>2.74</v>
      </c>
      <c r="E2041" s="24">
        <v>90.52</v>
      </c>
    </row>
    <row r="2042" spans="1:5" ht="15.75" customHeight="1" x14ac:dyDescent="0.4">
      <c r="A2042" s="24" t="s">
        <v>1333</v>
      </c>
      <c r="B2042" s="24" t="s">
        <v>2188</v>
      </c>
      <c r="C2042" s="24">
        <v>90.47</v>
      </c>
      <c r="E2042" s="24">
        <v>90.47</v>
      </c>
    </row>
    <row r="2043" spans="1:5" ht="15.75" customHeight="1" x14ac:dyDescent="0.4">
      <c r="A2043" s="24" t="s">
        <v>1481</v>
      </c>
      <c r="B2043" s="24" t="s">
        <v>2188</v>
      </c>
      <c r="C2043" s="24">
        <v>90.37</v>
      </c>
      <c r="E2043" s="24">
        <v>90.37</v>
      </c>
    </row>
    <row r="2044" spans="1:5" ht="15.75" customHeight="1" x14ac:dyDescent="0.4">
      <c r="A2044" s="24" t="s">
        <v>1715</v>
      </c>
      <c r="B2044" s="24" t="s">
        <v>2188</v>
      </c>
      <c r="C2044" s="24">
        <v>90.35</v>
      </c>
      <c r="E2044" s="24">
        <v>90.35</v>
      </c>
    </row>
    <row r="2045" spans="1:5" ht="15.75" customHeight="1" x14ac:dyDescent="0.4">
      <c r="A2045" s="24" t="s">
        <v>1501</v>
      </c>
      <c r="B2045" s="24" t="s">
        <v>2188</v>
      </c>
      <c r="C2045" s="24">
        <v>75.62</v>
      </c>
      <c r="D2045" s="24">
        <v>14.64</v>
      </c>
      <c r="E2045" s="24">
        <v>90.3</v>
      </c>
    </row>
    <row r="2046" spans="1:5" ht="15.75" customHeight="1" x14ac:dyDescent="0.4">
      <c r="A2046" s="24" t="s">
        <v>1996</v>
      </c>
      <c r="B2046" s="24" t="s">
        <v>2188</v>
      </c>
      <c r="C2046" s="24">
        <v>90.21</v>
      </c>
      <c r="D2046" s="24">
        <v>0</v>
      </c>
      <c r="E2046" s="24">
        <v>90.21</v>
      </c>
    </row>
    <row r="2047" spans="1:5" ht="15.75" customHeight="1" x14ac:dyDescent="0.4">
      <c r="A2047" s="24" t="s">
        <v>1981</v>
      </c>
      <c r="B2047" s="24" t="s">
        <v>2188</v>
      </c>
      <c r="C2047" s="24">
        <v>90.2</v>
      </c>
      <c r="E2047" s="24">
        <v>90.2</v>
      </c>
    </row>
    <row r="2048" spans="1:5" ht="15.75" customHeight="1" x14ac:dyDescent="0.4">
      <c r="A2048" s="24" t="s">
        <v>841</v>
      </c>
      <c r="B2048" s="24" t="s">
        <v>2190</v>
      </c>
      <c r="C2048" s="24">
        <v>90.19</v>
      </c>
      <c r="E2048" s="24">
        <v>90.19</v>
      </c>
    </row>
    <row r="2049" spans="1:5" ht="15.75" customHeight="1" x14ac:dyDescent="0.4">
      <c r="A2049" s="24" t="s">
        <v>1905</v>
      </c>
      <c r="B2049" s="24" t="s">
        <v>2188</v>
      </c>
      <c r="C2049" s="24">
        <v>90.16</v>
      </c>
      <c r="E2049" s="24">
        <v>90.16</v>
      </c>
    </row>
    <row r="2050" spans="1:5" ht="15.75" customHeight="1" x14ac:dyDescent="0.4">
      <c r="A2050" s="24" t="s">
        <v>2064</v>
      </c>
      <c r="B2050" s="24" t="s">
        <v>2188</v>
      </c>
      <c r="C2050" s="24">
        <v>90.02</v>
      </c>
      <c r="E2050" s="24">
        <v>90.02</v>
      </c>
    </row>
    <row r="2051" spans="1:5" ht="15.75" customHeight="1" x14ac:dyDescent="0.4">
      <c r="A2051" s="24" t="s">
        <v>1520</v>
      </c>
      <c r="B2051" s="24" t="s">
        <v>2188</v>
      </c>
      <c r="C2051" s="24">
        <v>90.01</v>
      </c>
      <c r="E2051" s="24">
        <v>90.01</v>
      </c>
    </row>
    <row r="2052" spans="1:5" ht="15.75" customHeight="1" x14ac:dyDescent="0.4">
      <c r="A2052" s="24" t="s">
        <v>2161</v>
      </c>
      <c r="B2052" s="24" t="s">
        <v>2188</v>
      </c>
      <c r="C2052" s="24">
        <v>90.01</v>
      </c>
      <c r="E2052" s="24">
        <v>90.01</v>
      </c>
    </row>
    <row r="2053" spans="1:5" ht="15.75" customHeight="1" x14ac:dyDescent="0.4">
      <c r="A2053" s="24" t="s">
        <v>1647</v>
      </c>
      <c r="B2053" s="24" t="s">
        <v>2188</v>
      </c>
      <c r="C2053" s="24">
        <v>90.01</v>
      </c>
      <c r="E2053" s="24">
        <v>90.01</v>
      </c>
    </row>
    <row r="2054" spans="1:5" ht="15.75" customHeight="1" x14ac:dyDescent="0.4">
      <c r="A2054" s="24" t="s">
        <v>1629</v>
      </c>
      <c r="B2054" s="24" t="s">
        <v>2188</v>
      </c>
      <c r="C2054" s="24">
        <v>89.99</v>
      </c>
      <c r="E2054" s="24">
        <v>89.99</v>
      </c>
    </row>
    <row r="2055" spans="1:5" ht="15.75" customHeight="1" x14ac:dyDescent="0.4">
      <c r="A2055" s="24" t="s">
        <v>1063</v>
      </c>
      <c r="B2055" s="24" t="s">
        <v>2190</v>
      </c>
      <c r="C2055" s="24">
        <v>74.489999999999995</v>
      </c>
      <c r="D2055" s="24">
        <v>63.82</v>
      </c>
      <c r="E2055" s="24">
        <v>89.98</v>
      </c>
    </row>
    <row r="2056" spans="1:5" ht="15.75" customHeight="1" x14ac:dyDescent="0.4">
      <c r="A2056" s="24" t="s">
        <v>1300</v>
      </c>
      <c r="B2056" s="24" t="s">
        <v>2188</v>
      </c>
      <c r="C2056" s="24">
        <v>89.83</v>
      </c>
      <c r="D2056" s="24">
        <v>0.28000000000000003</v>
      </c>
      <c r="E2056" s="24">
        <v>89.97</v>
      </c>
    </row>
    <row r="2057" spans="1:5" ht="15.75" customHeight="1" x14ac:dyDescent="0.4">
      <c r="A2057" s="24" t="s">
        <v>1273</v>
      </c>
      <c r="B2057" s="24" t="s">
        <v>2188</v>
      </c>
      <c r="C2057" s="24">
        <v>89.97</v>
      </c>
      <c r="E2057" s="24">
        <v>89.97</v>
      </c>
    </row>
    <row r="2058" spans="1:5" ht="15.75" customHeight="1" x14ac:dyDescent="0.4">
      <c r="A2058" s="24" t="s">
        <v>688</v>
      </c>
      <c r="B2058" s="24" t="s">
        <v>2188</v>
      </c>
      <c r="C2058" s="24">
        <v>89.87</v>
      </c>
      <c r="E2058" s="24">
        <v>89.87</v>
      </c>
    </row>
    <row r="2059" spans="1:5" ht="15.75" customHeight="1" x14ac:dyDescent="0.4">
      <c r="A2059" s="24" t="s">
        <v>742</v>
      </c>
      <c r="B2059" s="24" t="s">
        <v>2190</v>
      </c>
      <c r="C2059" s="24">
        <v>89.42</v>
      </c>
      <c r="D2059" s="24">
        <v>2.57</v>
      </c>
      <c r="E2059" s="24">
        <v>89.85</v>
      </c>
    </row>
    <row r="2060" spans="1:5" ht="15.75" customHeight="1" x14ac:dyDescent="0.4">
      <c r="A2060" s="24" t="s">
        <v>2087</v>
      </c>
      <c r="B2060" s="24" t="s">
        <v>2197</v>
      </c>
      <c r="C2060" s="24">
        <v>89.82</v>
      </c>
      <c r="E2060" s="24">
        <v>89.82</v>
      </c>
    </row>
    <row r="2061" spans="1:5" ht="15.75" customHeight="1" x14ac:dyDescent="0.4">
      <c r="A2061" s="24" t="s">
        <v>2173</v>
      </c>
      <c r="B2061" s="24" t="s">
        <v>2188</v>
      </c>
      <c r="C2061" s="24">
        <v>89.79</v>
      </c>
      <c r="E2061" s="24">
        <v>89.79</v>
      </c>
    </row>
    <row r="2062" spans="1:5" ht="15.75" customHeight="1" x14ac:dyDescent="0.4">
      <c r="A2062" s="24" t="s">
        <v>529</v>
      </c>
      <c r="B2062" s="24" t="s">
        <v>2190</v>
      </c>
      <c r="C2062" s="24">
        <v>89.75</v>
      </c>
      <c r="D2062" s="24">
        <v>2.95</v>
      </c>
      <c r="E2062" s="24">
        <v>89.78</v>
      </c>
    </row>
    <row r="2063" spans="1:5" ht="15.75" customHeight="1" x14ac:dyDescent="0.4">
      <c r="A2063" s="24" t="s">
        <v>1531</v>
      </c>
      <c r="B2063" s="24" t="s">
        <v>2188</v>
      </c>
      <c r="C2063" s="24">
        <v>89.78</v>
      </c>
      <c r="E2063" s="24">
        <v>89.78</v>
      </c>
    </row>
    <row r="2064" spans="1:5" ht="15.75" customHeight="1" x14ac:dyDescent="0.4">
      <c r="A2064" s="24" t="s">
        <v>539</v>
      </c>
      <c r="B2064" s="24" t="s">
        <v>2188</v>
      </c>
      <c r="C2064" s="24">
        <v>89.74</v>
      </c>
      <c r="E2064" s="24">
        <v>89.74</v>
      </c>
    </row>
    <row r="2065" spans="1:5" ht="15.75" customHeight="1" x14ac:dyDescent="0.4">
      <c r="A2065" s="24" t="s">
        <v>1043</v>
      </c>
      <c r="B2065" s="24" t="s">
        <v>2190</v>
      </c>
      <c r="C2065" s="24">
        <v>86.57</v>
      </c>
      <c r="D2065" s="24">
        <v>77.849999999999994</v>
      </c>
      <c r="E2065" s="24">
        <v>89.61</v>
      </c>
    </row>
    <row r="2066" spans="1:5" ht="15.75" customHeight="1" x14ac:dyDescent="0.4">
      <c r="A2066" s="24" t="s">
        <v>846</v>
      </c>
      <c r="B2066" s="24" t="s">
        <v>2190</v>
      </c>
      <c r="C2066" s="24">
        <v>89.02</v>
      </c>
      <c r="D2066" s="24">
        <v>2.2999999999999998</v>
      </c>
      <c r="E2066" s="24">
        <v>89.6</v>
      </c>
    </row>
    <row r="2067" spans="1:5" ht="15.75" customHeight="1" x14ac:dyDescent="0.4">
      <c r="A2067" s="24" t="s">
        <v>1106</v>
      </c>
      <c r="B2067" s="24" t="s">
        <v>2190</v>
      </c>
      <c r="C2067" s="24">
        <v>89.55</v>
      </c>
      <c r="D2067" s="24">
        <v>0.03</v>
      </c>
      <c r="E2067" s="24">
        <v>89.59</v>
      </c>
    </row>
    <row r="2068" spans="1:5" ht="15.75" customHeight="1" x14ac:dyDescent="0.4">
      <c r="A2068" s="24" t="s">
        <v>2133</v>
      </c>
      <c r="B2068" s="24" t="s">
        <v>2188</v>
      </c>
      <c r="C2068" s="24">
        <v>89.56</v>
      </c>
      <c r="E2068" s="24">
        <v>89.56</v>
      </c>
    </row>
    <row r="2069" spans="1:5" ht="15.75" customHeight="1" x14ac:dyDescent="0.4">
      <c r="A2069" s="24" t="s">
        <v>1578</v>
      </c>
      <c r="B2069" s="24" t="s">
        <v>2190</v>
      </c>
      <c r="C2069" s="24">
        <v>89.42</v>
      </c>
      <c r="E2069" s="24">
        <v>89.42</v>
      </c>
    </row>
    <row r="2070" spans="1:5" ht="15.75" customHeight="1" x14ac:dyDescent="0.4">
      <c r="A2070" s="24" t="s">
        <v>665</v>
      </c>
      <c r="B2070" s="24" t="s">
        <v>2188</v>
      </c>
      <c r="C2070" s="24">
        <v>89.4</v>
      </c>
      <c r="E2070" s="24">
        <v>89.4</v>
      </c>
    </row>
    <row r="2071" spans="1:5" ht="15.75" customHeight="1" x14ac:dyDescent="0.4">
      <c r="A2071" s="24" t="s">
        <v>1136</v>
      </c>
      <c r="B2071" s="24" t="s">
        <v>2190</v>
      </c>
      <c r="C2071" s="24">
        <v>89.4</v>
      </c>
      <c r="E2071" s="24">
        <v>89.4</v>
      </c>
    </row>
    <row r="2072" spans="1:5" ht="15.75" customHeight="1" x14ac:dyDescent="0.4">
      <c r="A2072" s="24" t="s">
        <v>2125</v>
      </c>
      <c r="B2072" s="24" t="s">
        <v>2188</v>
      </c>
      <c r="C2072" s="24">
        <v>76.569999999999993</v>
      </c>
      <c r="D2072" s="24">
        <v>13.39</v>
      </c>
      <c r="E2072" s="24">
        <v>89.36</v>
      </c>
    </row>
    <row r="2073" spans="1:5" ht="15.75" customHeight="1" x14ac:dyDescent="0.4">
      <c r="A2073" s="24" t="s">
        <v>242</v>
      </c>
      <c r="B2073" s="24" t="s">
        <v>2188</v>
      </c>
      <c r="C2073" s="24">
        <v>26.66</v>
      </c>
      <c r="D2073" s="24">
        <v>62.51</v>
      </c>
      <c r="E2073" s="24">
        <v>89.35</v>
      </c>
    </row>
    <row r="2074" spans="1:5" ht="15.75" customHeight="1" x14ac:dyDescent="0.4">
      <c r="A2074" s="24" t="s">
        <v>1574</v>
      </c>
      <c r="B2074" s="24" t="s">
        <v>2188</v>
      </c>
      <c r="C2074" s="24">
        <v>89.34</v>
      </c>
      <c r="E2074" s="24">
        <v>89.34</v>
      </c>
    </row>
    <row r="2075" spans="1:5" ht="15.75" customHeight="1" x14ac:dyDescent="0.4">
      <c r="A2075" s="24" t="s">
        <v>555</v>
      </c>
      <c r="B2075" s="24" t="s">
        <v>2190</v>
      </c>
      <c r="C2075" s="24">
        <v>89.29</v>
      </c>
      <c r="E2075" s="24">
        <v>89.29</v>
      </c>
    </row>
    <row r="2076" spans="1:5" ht="15.75" customHeight="1" x14ac:dyDescent="0.4">
      <c r="A2076" s="24" t="s">
        <v>1183</v>
      </c>
      <c r="B2076" s="24" t="s">
        <v>2190</v>
      </c>
      <c r="C2076" s="24">
        <v>88.96</v>
      </c>
      <c r="D2076" s="24">
        <v>1.37</v>
      </c>
      <c r="E2076" s="24">
        <v>89.26</v>
      </c>
    </row>
    <row r="2077" spans="1:5" ht="15.75" customHeight="1" x14ac:dyDescent="0.4">
      <c r="A2077" s="24" t="s">
        <v>587</v>
      </c>
      <c r="B2077" s="24" t="s">
        <v>2188</v>
      </c>
      <c r="C2077" s="24">
        <v>89.22</v>
      </c>
      <c r="E2077" s="24">
        <v>89.22</v>
      </c>
    </row>
    <row r="2078" spans="1:5" ht="15.75" customHeight="1" x14ac:dyDescent="0.4">
      <c r="A2078" s="24" t="s">
        <v>1732</v>
      </c>
      <c r="B2078" s="24" t="s">
        <v>2196</v>
      </c>
      <c r="C2078" s="24">
        <v>65.3</v>
      </c>
      <c r="D2078" s="24">
        <v>23.18</v>
      </c>
      <c r="E2078" s="24">
        <v>89.14</v>
      </c>
    </row>
    <row r="2079" spans="1:5" ht="15.75" customHeight="1" x14ac:dyDescent="0.4">
      <c r="A2079" s="24" t="s">
        <v>1727</v>
      </c>
      <c r="B2079" s="24" t="s">
        <v>2188</v>
      </c>
      <c r="C2079" s="24">
        <v>89.11</v>
      </c>
      <c r="E2079" s="24">
        <v>89.11</v>
      </c>
    </row>
    <row r="2080" spans="1:5" ht="15.75" customHeight="1" x14ac:dyDescent="0.4">
      <c r="A2080" s="24" t="s">
        <v>2163</v>
      </c>
      <c r="B2080" s="24" t="s">
        <v>2188</v>
      </c>
      <c r="C2080" s="24">
        <v>89.08</v>
      </c>
      <c r="E2080" s="24">
        <v>89.08</v>
      </c>
    </row>
    <row r="2081" spans="1:5" ht="15.75" customHeight="1" x14ac:dyDescent="0.4">
      <c r="A2081" s="24" t="s">
        <v>1643</v>
      </c>
      <c r="B2081" s="24" t="s">
        <v>2188</v>
      </c>
      <c r="C2081" s="24">
        <v>88.71</v>
      </c>
      <c r="D2081" s="24">
        <v>0.65</v>
      </c>
      <c r="E2081" s="24">
        <v>89.05</v>
      </c>
    </row>
    <row r="2082" spans="1:5" ht="15.75" customHeight="1" x14ac:dyDescent="0.4">
      <c r="A2082" s="24" t="s">
        <v>2047</v>
      </c>
      <c r="B2082" s="24" t="s">
        <v>2190</v>
      </c>
      <c r="C2082" s="24">
        <v>88.96</v>
      </c>
      <c r="E2082" s="24">
        <v>88.96</v>
      </c>
    </row>
    <row r="2083" spans="1:5" ht="15.75" customHeight="1" x14ac:dyDescent="0.4">
      <c r="A2083" s="24" t="s">
        <v>1208</v>
      </c>
      <c r="B2083" s="24" t="s">
        <v>2190</v>
      </c>
      <c r="C2083" s="24">
        <v>88.94</v>
      </c>
      <c r="E2083" s="24">
        <v>88.94</v>
      </c>
    </row>
    <row r="2084" spans="1:5" ht="15.75" customHeight="1" x14ac:dyDescent="0.4">
      <c r="A2084" s="24" t="s">
        <v>981</v>
      </c>
      <c r="B2084" s="24" t="s">
        <v>2190</v>
      </c>
      <c r="C2084" s="24">
        <v>88.9</v>
      </c>
      <c r="E2084" s="24">
        <v>88.9</v>
      </c>
    </row>
    <row r="2085" spans="1:5" ht="15.75" customHeight="1" x14ac:dyDescent="0.4">
      <c r="A2085" s="24" t="s">
        <v>1096</v>
      </c>
      <c r="B2085" s="24" t="s">
        <v>2190</v>
      </c>
      <c r="C2085" s="24">
        <v>88.9</v>
      </c>
      <c r="E2085" s="24">
        <v>88.9</v>
      </c>
    </row>
    <row r="2086" spans="1:5" ht="15.75" customHeight="1" x14ac:dyDescent="0.4">
      <c r="A2086" s="24" t="s">
        <v>1253</v>
      </c>
      <c r="B2086" s="24" t="s">
        <v>2190</v>
      </c>
      <c r="C2086" s="24">
        <v>88.89</v>
      </c>
      <c r="E2086" s="24">
        <v>88.89</v>
      </c>
    </row>
    <row r="2087" spans="1:5" ht="15.75" customHeight="1" x14ac:dyDescent="0.4">
      <c r="A2087" s="24" t="s">
        <v>1177</v>
      </c>
      <c r="B2087" s="24" t="s">
        <v>2190</v>
      </c>
      <c r="C2087" s="24">
        <v>88.89</v>
      </c>
      <c r="E2087" s="24">
        <v>88.89</v>
      </c>
    </row>
    <row r="2088" spans="1:5" ht="15.75" customHeight="1" x14ac:dyDescent="0.4">
      <c r="A2088" s="24" t="s">
        <v>996</v>
      </c>
      <c r="B2088" s="24" t="s">
        <v>2190</v>
      </c>
      <c r="C2088" s="24">
        <v>88.88</v>
      </c>
      <c r="E2088" s="24">
        <v>88.88</v>
      </c>
    </row>
    <row r="2089" spans="1:5" ht="15.75" customHeight="1" x14ac:dyDescent="0.4">
      <c r="A2089" s="24" t="s">
        <v>1044</v>
      </c>
      <c r="B2089" s="24" t="s">
        <v>2190</v>
      </c>
      <c r="C2089" s="24">
        <v>88.87</v>
      </c>
      <c r="E2089" s="24">
        <v>88.87</v>
      </c>
    </row>
    <row r="2090" spans="1:5" ht="15.75" customHeight="1" x14ac:dyDescent="0.4">
      <c r="A2090" s="24" t="s">
        <v>1006</v>
      </c>
      <c r="B2090" s="24" t="s">
        <v>2190</v>
      </c>
      <c r="C2090" s="24">
        <v>88.84</v>
      </c>
      <c r="E2090" s="24">
        <v>88.84</v>
      </c>
    </row>
    <row r="2091" spans="1:5" ht="15.75" customHeight="1" x14ac:dyDescent="0.4">
      <c r="A2091" s="24" t="s">
        <v>1695</v>
      </c>
      <c r="B2091" s="24" t="s">
        <v>2190</v>
      </c>
      <c r="C2091" s="24">
        <v>88.41</v>
      </c>
      <c r="D2091" s="24">
        <v>0.41</v>
      </c>
      <c r="E2091" s="24">
        <v>88.82</v>
      </c>
    </row>
    <row r="2092" spans="1:5" ht="15.75" customHeight="1" x14ac:dyDescent="0.4">
      <c r="A2092" s="24" t="s">
        <v>1031</v>
      </c>
      <c r="B2092" s="24" t="s">
        <v>2190</v>
      </c>
      <c r="C2092" s="24">
        <v>88.77</v>
      </c>
      <c r="D2092" s="24">
        <v>0.05</v>
      </c>
      <c r="E2092" s="24">
        <v>88.82</v>
      </c>
    </row>
    <row r="2093" spans="1:5" ht="15.75" customHeight="1" x14ac:dyDescent="0.4">
      <c r="A2093" s="24" t="s">
        <v>1877</v>
      </c>
      <c r="B2093" s="24" t="s">
        <v>2188</v>
      </c>
      <c r="C2093" s="24">
        <v>88.79</v>
      </c>
      <c r="E2093" s="24">
        <v>88.79</v>
      </c>
    </row>
    <row r="2094" spans="1:5" ht="15.75" customHeight="1" x14ac:dyDescent="0.4">
      <c r="A2094" s="24" t="s">
        <v>898</v>
      </c>
      <c r="B2094" s="24" t="s">
        <v>2190</v>
      </c>
      <c r="C2094" s="24">
        <v>88.77</v>
      </c>
      <c r="E2094" s="24">
        <v>88.77</v>
      </c>
    </row>
    <row r="2095" spans="1:5" ht="15.75" customHeight="1" x14ac:dyDescent="0.4">
      <c r="A2095" s="24" t="s">
        <v>1494</v>
      </c>
      <c r="B2095" s="24" t="s">
        <v>2188</v>
      </c>
      <c r="C2095" s="24">
        <v>88.76</v>
      </c>
      <c r="E2095" s="24">
        <v>88.76</v>
      </c>
    </row>
    <row r="2096" spans="1:5" ht="15.75" customHeight="1" x14ac:dyDescent="0.4">
      <c r="A2096" s="24" t="s">
        <v>990</v>
      </c>
      <c r="B2096" s="24" t="s">
        <v>2190</v>
      </c>
      <c r="C2096" s="24">
        <v>88.76</v>
      </c>
      <c r="E2096" s="24">
        <v>88.76</v>
      </c>
    </row>
    <row r="2097" spans="1:5" ht="15.75" customHeight="1" x14ac:dyDescent="0.4">
      <c r="A2097" s="24" t="s">
        <v>1046</v>
      </c>
      <c r="B2097" s="24" t="s">
        <v>2190</v>
      </c>
      <c r="C2097" s="24">
        <v>88.64</v>
      </c>
      <c r="D2097" s="24">
        <v>0.05</v>
      </c>
      <c r="E2097" s="24">
        <v>88.69</v>
      </c>
    </row>
    <row r="2098" spans="1:5" ht="15.75" customHeight="1" x14ac:dyDescent="0.4">
      <c r="A2098" s="24" t="s">
        <v>617</v>
      </c>
      <c r="B2098" s="24" t="s">
        <v>2190</v>
      </c>
      <c r="C2098" s="24">
        <v>88.68</v>
      </c>
      <c r="E2098" s="24">
        <v>88.68</v>
      </c>
    </row>
    <row r="2099" spans="1:5" ht="15.75" customHeight="1" x14ac:dyDescent="0.4">
      <c r="A2099" s="24" t="s">
        <v>1358</v>
      </c>
      <c r="B2099" s="24" t="s">
        <v>2190</v>
      </c>
      <c r="C2099" s="24">
        <v>88.55</v>
      </c>
      <c r="E2099" s="24">
        <v>88.55</v>
      </c>
    </row>
    <row r="2100" spans="1:5" ht="15.75" customHeight="1" x14ac:dyDescent="0.4">
      <c r="A2100" s="24" t="s">
        <v>1280</v>
      </c>
      <c r="B2100" s="24" t="s">
        <v>2188</v>
      </c>
      <c r="C2100" s="24">
        <v>88.55</v>
      </c>
      <c r="E2100" s="24">
        <v>88.55</v>
      </c>
    </row>
    <row r="2101" spans="1:5" ht="15.75" customHeight="1" x14ac:dyDescent="0.4">
      <c r="A2101" s="24" t="s">
        <v>868</v>
      </c>
      <c r="B2101" s="24" t="s">
        <v>2190</v>
      </c>
      <c r="C2101" s="24">
        <v>88.55</v>
      </c>
      <c r="E2101" s="24">
        <v>88.55</v>
      </c>
    </row>
    <row r="2102" spans="1:5" ht="15.75" customHeight="1" x14ac:dyDescent="0.4">
      <c r="A2102" s="24" t="s">
        <v>1241</v>
      </c>
      <c r="B2102" s="24" t="s">
        <v>2190</v>
      </c>
      <c r="C2102" s="24">
        <v>88.54</v>
      </c>
      <c r="E2102" s="24">
        <v>88.54</v>
      </c>
    </row>
    <row r="2103" spans="1:5" ht="15.75" customHeight="1" x14ac:dyDescent="0.4">
      <c r="A2103" s="24" t="s">
        <v>1677</v>
      </c>
      <c r="B2103" s="24" t="s">
        <v>2188</v>
      </c>
      <c r="C2103" s="24">
        <v>88.51</v>
      </c>
      <c r="E2103" s="24">
        <v>88.51</v>
      </c>
    </row>
    <row r="2104" spans="1:5" ht="15.75" customHeight="1" x14ac:dyDescent="0.4">
      <c r="A2104" s="24" t="s">
        <v>873</v>
      </c>
      <c r="B2104" s="24" t="s">
        <v>2190</v>
      </c>
      <c r="C2104" s="24">
        <v>88.47</v>
      </c>
      <c r="E2104" s="24">
        <v>88.47</v>
      </c>
    </row>
    <row r="2105" spans="1:5" ht="15.75" customHeight="1" x14ac:dyDescent="0.4">
      <c r="A2105" s="24" t="s">
        <v>1468</v>
      </c>
      <c r="B2105" s="24" t="s">
        <v>2188</v>
      </c>
      <c r="C2105" s="24">
        <v>80.650000000000006</v>
      </c>
      <c r="D2105" s="24">
        <v>7.77</v>
      </c>
      <c r="E2105" s="24">
        <v>88.44</v>
      </c>
    </row>
    <row r="2106" spans="1:5" ht="15.75" customHeight="1" x14ac:dyDescent="0.4">
      <c r="A2106" s="24" t="s">
        <v>1425</v>
      </c>
      <c r="B2106" s="24" t="s">
        <v>2188</v>
      </c>
      <c r="C2106" s="24">
        <v>88.41</v>
      </c>
      <c r="E2106" s="24">
        <v>88.41</v>
      </c>
    </row>
    <row r="2107" spans="1:5" ht="15.75" customHeight="1" x14ac:dyDescent="0.4">
      <c r="A2107" s="24" t="s">
        <v>1290</v>
      </c>
      <c r="B2107" s="24" t="s">
        <v>2188</v>
      </c>
      <c r="C2107" s="24">
        <v>88.41</v>
      </c>
      <c r="E2107" s="24">
        <v>88.41</v>
      </c>
    </row>
    <row r="2108" spans="1:5" ht="15.75" customHeight="1" x14ac:dyDescent="0.4">
      <c r="A2108" s="24" t="s">
        <v>1926</v>
      </c>
      <c r="B2108" s="24" t="s">
        <v>2190</v>
      </c>
      <c r="C2108" s="24">
        <v>88.41</v>
      </c>
      <c r="E2108" s="24">
        <v>88.41</v>
      </c>
    </row>
    <row r="2109" spans="1:5" ht="15.75" customHeight="1" x14ac:dyDescent="0.4">
      <c r="A2109" s="24" t="s">
        <v>591</v>
      </c>
      <c r="B2109" s="24" t="s">
        <v>2190</v>
      </c>
      <c r="C2109" s="24">
        <v>87.41</v>
      </c>
      <c r="D2109" s="24">
        <v>0.98</v>
      </c>
      <c r="E2109" s="24">
        <v>88.39</v>
      </c>
    </row>
    <row r="2110" spans="1:5" ht="15.75" customHeight="1" x14ac:dyDescent="0.4">
      <c r="A2110" s="24" t="s">
        <v>1083</v>
      </c>
      <c r="B2110" s="24" t="s">
        <v>2190</v>
      </c>
      <c r="C2110" s="24">
        <v>88.38</v>
      </c>
      <c r="E2110" s="24">
        <v>88.38</v>
      </c>
    </row>
    <row r="2111" spans="1:5" ht="15.75" customHeight="1" x14ac:dyDescent="0.4">
      <c r="A2111" s="24" t="s">
        <v>1608</v>
      </c>
      <c r="B2111" s="24" t="s">
        <v>2190</v>
      </c>
      <c r="C2111" s="24">
        <v>88.37</v>
      </c>
      <c r="E2111" s="24">
        <v>88.37</v>
      </c>
    </row>
    <row r="2112" spans="1:5" ht="15.75" customHeight="1" x14ac:dyDescent="0.4">
      <c r="A2112" s="24" t="s">
        <v>1522</v>
      </c>
      <c r="B2112" s="24" t="s">
        <v>2197</v>
      </c>
      <c r="C2112" s="24">
        <v>88.36</v>
      </c>
      <c r="E2112" s="24">
        <v>88.36</v>
      </c>
    </row>
    <row r="2113" spans="1:5" ht="15.75" customHeight="1" x14ac:dyDescent="0.4">
      <c r="A2113" s="24" t="s">
        <v>1573</v>
      </c>
      <c r="B2113" s="24" t="s">
        <v>2188</v>
      </c>
      <c r="C2113" s="24">
        <v>88.36</v>
      </c>
      <c r="E2113" s="24">
        <v>88.36</v>
      </c>
    </row>
    <row r="2114" spans="1:5" ht="15.75" customHeight="1" x14ac:dyDescent="0.4">
      <c r="A2114" s="24" t="s">
        <v>1648</v>
      </c>
      <c r="B2114" s="24" t="s">
        <v>2190</v>
      </c>
      <c r="C2114" s="24">
        <v>88.35</v>
      </c>
      <c r="E2114" s="24">
        <v>88.35</v>
      </c>
    </row>
    <row r="2115" spans="1:5" ht="15.75" customHeight="1" x14ac:dyDescent="0.4">
      <c r="A2115" s="24" t="s">
        <v>1750</v>
      </c>
      <c r="B2115" s="24" t="s">
        <v>2190</v>
      </c>
      <c r="C2115" s="24">
        <v>88.33</v>
      </c>
      <c r="E2115" s="24">
        <v>88.33</v>
      </c>
    </row>
    <row r="2116" spans="1:5" ht="15.75" customHeight="1" x14ac:dyDescent="0.4">
      <c r="A2116" s="24" t="s">
        <v>1486</v>
      </c>
      <c r="B2116" s="24" t="s">
        <v>2190</v>
      </c>
      <c r="C2116" s="24">
        <v>88.02</v>
      </c>
      <c r="D2116" s="24">
        <v>0.3</v>
      </c>
      <c r="E2116" s="24">
        <v>88.32</v>
      </c>
    </row>
    <row r="2117" spans="1:5" ht="15.75" customHeight="1" x14ac:dyDescent="0.4">
      <c r="A2117" s="24" t="s">
        <v>1632</v>
      </c>
      <c r="B2117" s="24" t="s">
        <v>2188</v>
      </c>
      <c r="C2117" s="24">
        <v>32.42</v>
      </c>
      <c r="D2117" s="24">
        <v>55.73</v>
      </c>
      <c r="E2117" s="24">
        <v>88.31</v>
      </c>
    </row>
    <row r="2118" spans="1:5" ht="15.75" customHeight="1" x14ac:dyDescent="0.4">
      <c r="A2118" s="24" t="s">
        <v>1060</v>
      </c>
      <c r="B2118" s="24" t="s">
        <v>2190</v>
      </c>
      <c r="C2118" s="24">
        <v>88.28</v>
      </c>
      <c r="E2118" s="24">
        <v>88.28</v>
      </c>
    </row>
    <row r="2119" spans="1:5" ht="15.75" customHeight="1" x14ac:dyDescent="0.4">
      <c r="A2119" s="24" t="s">
        <v>1871</v>
      </c>
      <c r="B2119" s="24" t="s">
        <v>2188</v>
      </c>
      <c r="C2119" s="24">
        <v>88.27</v>
      </c>
      <c r="E2119" s="24">
        <v>88.27</v>
      </c>
    </row>
    <row r="2120" spans="1:5" ht="15.75" customHeight="1" x14ac:dyDescent="0.4">
      <c r="A2120" s="24" t="s">
        <v>1923</v>
      </c>
      <c r="B2120" s="24" t="s">
        <v>2188</v>
      </c>
      <c r="C2120" s="24">
        <v>88.25</v>
      </c>
      <c r="E2120" s="24">
        <v>88.25</v>
      </c>
    </row>
    <row r="2121" spans="1:5" ht="15.75" customHeight="1" x14ac:dyDescent="0.4">
      <c r="A2121" s="24" t="s">
        <v>461</v>
      </c>
      <c r="B2121" s="24" t="s">
        <v>2190</v>
      </c>
      <c r="C2121" s="24">
        <v>88.24</v>
      </c>
      <c r="E2121" s="24">
        <v>88.24</v>
      </c>
    </row>
    <row r="2122" spans="1:5" ht="15.75" customHeight="1" x14ac:dyDescent="0.4">
      <c r="A2122" s="24" t="s">
        <v>1139</v>
      </c>
      <c r="B2122" s="24" t="s">
        <v>2190</v>
      </c>
      <c r="C2122" s="24">
        <v>88.23</v>
      </c>
      <c r="E2122" s="24">
        <v>88.23</v>
      </c>
    </row>
    <row r="2123" spans="1:5" ht="15.75" customHeight="1" x14ac:dyDescent="0.4">
      <c r="A2123" s="24" t="s">
        <v>1704</v>
      </c>
      <c r="B2123" s="24" t="s">
        <v>2190</v>
      </c>
      <c r="C2123" s="24">
        <v>88.13</v>
      </c>
      <c r="D2123" s="24">
        <v>1.02</v>
      </c>
      <c r="E2123" s="24">
        <v>88.23</v>
      </c>
    </row>
    <row r="2124" spans="1:5" ht="15.75" customHeight="1" x14ac:dyDescent="0.4">
      <c r="A2124" s="24" t="s">
        <v>1604</v>
      </c>
      <c r="B2124" s="24" t="s">
        <v>2188</v>
      </c>
      <c r="C2124" s="24">
        <v>88.22</v>
      </c>
      <c r="E2124" s="24">
        <v>88.22</v>
      </c>
    </row>
    <row r="2125" spans="1:5" ht="15.75" customHeight="1" x14ac:dyDescent="0.4">
      <c r="A2125" s="24" t="s">
        <v>1037</v>
      </c>
      <c r="B2125" s="24" t="s">
        <v>2190</v>
      </c>
      <c r="C2125" s="24">
        <v>86.59</v>
      </c>
      <c r="D2125" s="24">
        <v>3.19</v>
      </c>
      <c r="E2125" s="24">
        <v>88.2</v>
      </c>
    </row>
    <row r="2126" spans="1:5" ht="15.75" customHeight="1" x14ac:dyDescent="0.4">
      <c r="A2126" s="24" t="s">
        <v>1972</v>
      </c>
      <c r="B2126" s="24" t="s">
        <v>2188</v>
      </c>
      <c r="C2126" s="24">
        <v>88.19</v>
      </c>
      <c r="E2126" s="24">
        <v>88.19</v>
      </c>
    </row>
    <row r="2127" spans="1:5" ht="15.75" customHeight="1" x14ac:dyDescent="0.4">
      <c r="A2127" s="24" t="s">
        <v>864</v>
      </c>
      <c r="B2127" s="24" t="s">
        <v>2190</v>
      </c>
      <c r="C2127" s="24">
        <v>88.15</v>
      </c>
      <c r="E2127" s="24">
        <v>88.15</v>
      </c>
    </row>
    <row r="2128" spans="1:5" ht="15.75" customHeight="1" x14ac:dyDescent="0.4">
      <c r="A2128" s="24" t="s">
        <v>931</v>
      </c>
      <c r="B2128" s="24" t="s">
        <v>2188</v>
      </c>
      <c r="C2128" s="24">
        <v>88.13</v>
      </c>
      <c r="E2128" s="24">
        <v>88.13</v>
      </c>
    </row>
    <row r="2129" spans="1:5" ht="15.75" customHeight="1" x14ac:dyDescent="0.4">
      <c r="A2129" s="24" t="s">
        <v>1133</v>
      </c>
      <c r="B2129" s="24" t="s">
        <v>2190</v>
      </c>
      <c r="C2129" s="24">
        <v>88.13</v>
      </c>
      <c r="E2129" s="24">
        <v>88.13</v>
      </c>
    </row>
    <row r="2130" spans="1:5" ht="15.75" customHeight="1" x14ac:dyDescent="0.4">
      <c r="A2130" s="24" t="s">
        <v>1030</v>
      </c>
      <c r="B2130" s="24" t="s">
        <v>2190</v>
      </c>
      <c r="C2130" s="24">
        <v>88.12</v>
      </c>
      <c r="E2130" s="24">
        <v>88.12</v>
      </c>
    </row>
    <row r="2131" spans="1:5" ht="15.75" customHeight="1" x14ac:dyDescent="0.4">
      <c r="A2131" s="24" t="s">
        <v>1215</v>
      </c>
      <c r="B2131" s="24" t="s">
        <v>2188</v>
      </c>
      <c r="C2131" s="24">
        <v>88.12</v>
      </c>
      <c r="E2131" s="24">
        <v>88.12</v>
      </c>
    </row>
    <row r="2132" spans="1:5" ht="15.75" customHeight="1" x14ac:dyDescent="0.4">
      <c r="A2132" s="24" t="s">
        <v>926</v>
      </c>
      <c r="B2132" s="24" t="s">
        <v>2190</v>
      </c>
      <c r="C2132" s="24">
        <v>86.98</v>
      </c>
      <c r="D2132" s="24">
        <v>1.1200000000000001</v>
      </c>
      <c r="E2132" s="24">
        <v>88.11</v>
      </c>
    </row>
    <row r="2133" spans="1:5" ht="15.75" customHeight="1" x14ac:dyDescent="0.4">
      <c r="A2133" s="24" t="s">
        <v>1201</v>
      </c>
      <c r="B2133" s="24" t="s">
        <v>2190</v>
      </c>
      <c r="C2133" s="24">
        <v>88.05</v>
      </c>
      <c r="E2133" s="24">
        <v>88.05</v>
      </c>
    </row>
    <row r="2134" spans="1:5" ht="15.75" customHeight="1" x14ac:dyDescent="0.4">
      <c r="A2134" s="24" t="s">
        <v>2102</v>
      </c>
      <c r="B2134" s="24" t="s">
        <v>2190</v>
      </c>
      <c r="C2134" s="24">
        <v>88.03</v>
      </c>
      <c r="E2134" s="24">
        <v>88.03</v>
      </c>
    </row>
    <row r="2135" spans="1:5" ht="15.75" customHeight="1" x14ac:dyDescent="0.4">
      <c r="A2135" s="24" t="s">
        <v>232</v>
      </c>
      <c r="B2135" s="24" t="s">
        <v>2188</v>
      </c>
      <c r="C2135" s="24">
        <v>88</v>
      </c>
      <c r="E2135" s="24">
        <v>88</v>
      </c>
    </row>
    <row r="2136" spans="1:5" ht="15.75" customHeight="1" x14ac:dyDescent="0.4">
      <c r="A2136" s="24" t="s">
        <v>1743</v>
      </c>
      <c r="B2136" s="24" t="s">
        <v>2188</v>
      </c>
      <c r="C2136" s="24">
        <v>87.96</v>
      </c>
      <c r="E2136" s="24">
        <v>87.96</v>
      </c>
    </row>
    <row r="2137" spans="1:5" ht="15.75" customHeight="1" x14ac:dyDescent="0.4">
      <c r="A2137" s="24" t="s">
        <v>1755</v>
      </c>
      <c r="B2137" s="24" t="s">
        <v>2192</v>
      </c>
      <c r="C2137" s="24">
        <v>87.95</v>
      </c>
      <c r="E2137" s="24">
        <v>87.95</v>
      </c>
    </row>
    <row r="2138" spans="1:5" ht="15.75" customHeight="1" x14ac:dyDescent="0.4">
      <c r="A2138" s="24" t="s">
        <v>1004</v>
      </c>
      <c r="B2138" s="24" t="s">
        <v>2190</v>
      </c>
      <c r="C2138" s="24">
        <v>87.9</v>
      </c>
      <c r="E2138" s="24">
        <v>87.9</v>
      </c>
    </row>
    <row r="2139" spans="1:5" ht="15.75" customHeight="1" x14ac:dyDescent="0.4">
      <c r="A2139" s="24" t="s">
        <v>1962</v>
      </c>
      <c r="B2139" s="24" t="s">
        <v>2188</v>
      </c>
      <c r="C2139" s="24">
        <v>85.49</v>
      </c>
      <c r="D2139" s="24">
        <v>2.39</v>
      </c>
      <c r="E2139" s="24">
        <v>87.89</v>
      </c>
    </row>
    <row r="2140" spans="1:5" ht="15.75" customHeight="1" x14ac:dyDescent="0.4">
      <c r="A2140" s="24" t="s">
        <v>2078</v>
      </c>
      <c r="B2140" s="24" t="s">
        <v>2188</v>
      </c>
      <c r="C2140" s="24">
        <v>87.87</v>
      </c>
      <c r="E2140" s="24">
        <v>87.87</v>
      </c>
    </row>
    <row r="2141" spans="1:5" ht="15.75" customHeight="1" x14ac:dyDescent="0.4">
      <c r="A2141" s="24" t="s">
        <v>1367</v>
      </c>
      <c r="B2141" s="24" t="s">
        <v>2190</v>
      </c>
      <c r="C2141" s="24">
        <v>87.81</v>
      </c>
      <c r="E2141" s="24">
        <v>87.81</v>
      </c>
    </row>
    <row r="2142" spans="1:5" ht="15.75" customHeight="1" x14ac:dyDescent="0.4">
      <c r="A2142" s="24" t="s">
        <v>1039</v>
      </c>
      <c r="B2142" s="24" t="s">
        <v>2190</v>
      </c>
      <c r="C2142" s="24">
        <v>87.8</v>
      </c>
      <c r="E2142" s="24">
        <v>87.8</v>
      </c>
    </row>
    <row r="2143" spans="1:5" ht="15.75" customHeight="1" x14ac:dyDescent="0.4">
      <c r="A2143" s="24" t="s">
        <v>1543</v>
      </c>
      <c r="B2143" s="24" t="s">
        <v>2188</v>
      </c>
      <c r="C2143" s="24">
        <v>87.78</v>
      </c>
      <c r="E2143" s="24">
        <v>87.78</v>
      </c>
    </row>
    <row r="2144" spans="1:5" ht="15.75" customHeight="1" x14ac:dyDescent="0.4">
      <c r="A2144" s="24" t="s">
        <v>1122</v>
      </c>
      <c r="B2144" s="24" t="s">
        <v>2188</v>
      </c>
      <c r="C2144" s="24">
        <v>87.02</v>
      </c>
      <c r="D2144" s="24">
        <v>0.74</v>
      </c>
      <c r="E2144" s="24">
        <v>87.77</v>
      </c>
    </row>
    <row r="2145" spans="1:5" ht="15.75" customHeight="1" x14ac:dyDescent="0.4">
      <c r="A2145" s="24" t="s">
        <v>2156</v>
      </c>
      <c r="B2145" s="24" t="s">
        <v>2188</v>
      </c>
      <c r="C2145" s="24">
        <v>87.76</v>
      </c>
      <c r="E2145" s="24">
        <v>87.76</v>
      </c>
    </row>
    <row r="2146" spans="1:5" ht="15.75" customHeight="1" x14ac:dyDescent="0.4">
      <c r="A2146" s="24" t="s">
        <v>1221</v>
      </c>
      <c r="B2146" s="24" t="s">
        <v>2188</v>
      </c>
      <c r="C2146" s="24">
        <v>87.75</v>
      </c>
      <c r="E2146" s="24">
        <v>87.75</v>
      </c>
    </row>
    <row r="2147" spans="1:5" ht="15.75" customHeight="1" x14ac:dyDescent="0.4">
      <c r="A2147" s="24" t="s">
        <v>1565</v>
      </c>
      <c r="B2147" s="24" t="s">
        <v>2188</v>
      </c>
      <c r="C2147" s="24">
        <v>86.47</v>
      </c>
      <c r="D2147" s="24">
        <v>1.25</v>
      </c>
      <c r="E2147" s="24">
        <v>87.72</v>
      </c>
    </row>
    <row r="2148" spans="1:5" ht="15.75" customHeight="1" x14ac:dyDescent="0.4">
      <c r="A2148" s="24" t="s">
        <v>1700</v>
      </c>
      <c r="B2148" s="24" t="s">
        <v>2188</v>
      </c>
      <c r="C2148" s="24">
        <v>78.63</v>
      </c>
      <c r="D2148" s="24">
        <v>61.05</v>
      </c>
      <c r="E2148" s="24">
        <v>87.7</v>
      </c>
    </row>
    <row r="2149" spans="1:5" ht="15.75" customHeight="1" x14ac:dyDescent="0.4">
      <c r="A2149" s="24" t="s">
        <v>1668</v>
      </c>
      <c r="B2149" s="24" t="s">
        <v>2188</v>
      </c>
      <c r="C2149" s="24">
        <v>87.68</v>
      </c>
      <c r="E2149" s="24">
        <v>87.68</v>
      </c>
    </row>
    <row r="2150" spans="1:5" ht="15.75" customHeight="1" x14ac:dyDescent="0.4">
      <c r="A2150" s="24" t="s">
        <v>1099</v>
      </c>
      <c r="B2150" s="24" t="s">
        <v>2190</v>
      </c>
      <c r="C2150" s="24">
        <v>87.3</v>
      </c>
      <c r="D2150" s="24">
        <v>4.68</v>
      </c>
      <c r="E2150" s="24">
        <v>87.64</v>
      </c>
    </row>
    <row r="2151" spans="1:5" ht="15.75" customHeight="1" x14ac:dyDescent="0.4">
      <c r="A2151" s="24" t="s">
        <v>1038</v>
      </c>
      <c r="B2151" s="24" t="s">
        <v>2190</v>
      </c>
      <c r="C2151" s="24">
        <v>87.61</v>
      </c>
      <c r="E2151" s="24">
        <v>87.61</v>
      </c>
    </row>
    <row r="2152" spans="1:5" ht="15.75" customHeight="1" x14ac:dyDescent="0.4">
      <c r="A2152" s="24" t="s">
        <v>1445</v>
      </c>
      <c r="B2152" s="24" t="s">
        <v>2188</v>
      </c>
      <c r="C2152" s="24">
        <v>81.36</v>
      </c>
      <c r="D2152" s="24">
        <v>14.66</v>
      </c>
      <c r="E2152" s="24">
        <v>87.59</v>
      </c>
    </row>
    <row r="2153" spans="1:5" ht="15.75" customHeight="1" x14ac:dyDescent="0.4">
      <c r="A2153" s="24" t="s">
        <v>521</v>
      </c>
      <c r="B2153" s="24" t="s">
        <v>2190</v>
      </c>
      <c r="C2153" s="24">
        <v>87.55</v>
      </c>
      <c r="E2153" s="24">
        <v>87.55</v>
      </c>
    </row>
    <row r="2154" spans="1:5" ht="15.75" customHeight="1" x14ac:dyDescent="0.4">
      <c r="A2154" s="24" t="s">
        <v>1801</v>
      </c>
      <c r="B2154" s="24" t="s">
        <v>2190</v>
      </c>
      <c r="C2154" s="24">
        <v>87.13</v>
      </c>
      <c r="D2154" s="24">
        <v>0.36</v>
      </c>
      <c r="E2154" s="24">
        <v>87.49</v>
      </c>
    </row>
    <row r="2155" spans="1:5" ht="15.75" customHeight="1" x14ac:dyDescent="0.4">
      <c r="A2155" s="24" t="s">
        <v>1613</v>
      </c>
      <c r="B2155" s="24" t="s">
        <v>2188</v>
      </c>
      <c r="C2155" s="24">
        <v>87.47</v>
      </c>
      <c r="E2155" s="24">
        <v>87.47</v>
      </c>
    </row>
    <row r="2156" spans="1:5" ht="15.75" customHeight="1" x14ac:dyDescent="0.4">
      <c r="A2156" s="24" t="s">
        <v>633</v>
      </c>
      <c r="B2156" s="24" t="s">
        <v>2188</v>
      </c>
      <c r="C2156" s="24">
        <v>87.37</v>
      </c>
      <c r="D2156" s="24">
        <v>2.2200000000000002</v>
      </c>
      <c r="E2156" s="24">
        <v>87.45</v>
      </c>
    </row>
    <row r="2157" spans="1:5" ht="15.75" customHeight="1" x14ac:dyDescent="0.4">
      <c r="A2157" s="24" t="s">
        <v>569</v>
      </c>
      <c r="B2157" s="24" t="s">
        <v>2190</v>
      </c>
      <c r="C2157" s="24">
        <v>87.45</v>
      </c>
      <c r="E2157" s="24">
        <v>87.45</v>
      </c>
    </row>
    <row r="2158" spans="1:5" ht="15.75" customHeight="1" x14ac:dyDescent="0.4">
      <c r="A2158" s="24" t="s">
        <v>1175</v>
      </c>
      <c r="B2158" s="24" t="s">
        <v>2190</v>
      </c>
      <c r="C2158" s="24">
        <v>87.44</v>
      </c>
      <c r="E2158" s="24">
        <v>87.44</v>
      </c>
    </row>
    <row r="2159" spans="1:5" ht="15.75" customHeight="1" x14ac:dyDescent="0.4">
      <c r="A2159" s="24" t="s">
        <v>1890</v>
      </c>
      <c r="B2159" s="24" t="s">
        <v>2188</v>
      </c>
      <c r="C2159" s="24">
        <v>87.42</v>
      </c>
      <c r="E2159" s="24">
        <v>87.42</v>
      </c>
    </row>
    <row r="2160" spans="1:5" ht="15.75" customHeight="1" x14ac:dyDescent="0.4">
      <c r="A2160" s="24" t="s">
        <v>643</v>
      </c>
      <c r="B2160" s="24" t="s">
        <v>2188</v>
      </c>
      <c r="C2160" s="24">
        <v>87.42</v>
      </c>
      <c r="E2160" s="24">
        <v>87.42</v>
      </c>
    </row>
    <row r="2161" spans="1:5" ht="15.75" customHeight="1" x14ac:dyDescent="0.4">
      <c r="A2161" s="24" t="s">
        <v>239</v>
      </c>
      <c r="B2161" s="24" t="s">
        <v>2190</v>
      </c>
      <c r="C2161" s="24">
        <v>87.4</v>
      </c>
      <c r="E2161" s="24">
        <v>87.4</v>
      </c>
    </row>
    <row r="2162" spans="1:5" ht="15.75" customHeight="1" x14ac:dyDescent="0.4">
      <c r="A2162" s="24" t="s">
        <v>1449</v>
      </c>
      <c r="B2162" s="24" t="s">
        <v>2188</v>
      </c>
      <c r="C2162" s="24">
        <v>87.4</v>
      </c>
      <c r="E2162" s="24">
        <v>87.4</v>
      </c>
    </row>
    <row r="2163" spans="1:5" ht="15.75" customHeight="1" x14ac:dyDescent="0.4">
      <c r="A2163" s="24" t="s">
        <v>1482</v>
      </c>
      <c r="B2163" s="24" t="s">
        <v>2188</v>
      </c>
      <c r="C2163" s="24">
        <v>87.38</v>
      </c>
      <c r="E2163" s="24">
        <v>87.38</v>
      </c>
    </row>
    <row r="2164" spans="1:5" ht="15.75" customHeight="1" x14ac:dyDescent="0.4">
      <c r="A2164" s="24" t="s">
        <v>1818</v>
      </c>
      <c r="B2164" s="24" t="s">
        <v>2190</v>
      </c>
      <c r="C2164" s="24">
        <v>86.72</v>
      </c>
      <c r="D2164" s="24">
        <v>0.61</v>
      </c>
      <c r="E2164" s="24">
        <v>87.34</v>
      </c>
    </row>
    <row r="2165" spans="1:5" ht="15.75" customHeight="1" x14ac:dyDescent="0.4">
      <c r="A2165" s="24" t="s">
        <v>1439</v>
      </c>
      <c r="B2165" s="24" t="s">
        <v>2188</v>
      </c>
      <c r="C2165" s="24">
        <v>87.32</v>
      </c>
      <c r="E2165" s="24">
        <v>87.32</v>
      </c>
    </row>
    <row r="2166" spans="1:5" ht="15.75" customHeight="1" x14ac:dyDescent="0.4">
      <c r="A2166" s="24" t="s">
        <v>1238</v>
      </c>
      <c r="B2166" s="24" t="s">
        <v>2190</v>
      </c>
      <c r="C2166" s="24">
        <v>86.98</v>
      </c>
      <c r="D2166" s="24">
        <v>0.32</v>
      </c>
      <c r="E2166" s="24">
        <v>87.3</v>
      </c>
    </row>
    <row r="2167" spans="1:5" ht="15.75" customHeight="1" x14ac:dyDescent="0.4">
      <c r="A2167" s="24" t="s">
        <v>1523</v>
      </c>
      <c r="B2167" s="24" t="s">
        <v>2188</v>
      </c>
      <c r="C2167" s="24">
        <v>87.18</v>
      </c>
      <c r="D2167" s="24">
        <v>0.12</v>
      </c>
      <c r="E2167" s="24">
        <v>87.28</v>
      </c>
    </row>
    <row r="2168" spans="1:5" ht="15.75" customHeight="1" x14ac:dyDescent="0.4">
      <c r="A2168" s="24" t="s">
        <v>673</v>
      </c>
      <c r="B2168" s="24" t="s">
        <v>2190</v>
      </c>
      <c r="C2168" s="24">
        <v>87.28</v>
      </c>
      <c r="E2168" s="24">
        <v>87.28</v>
      </c>
    </row>
    <row r="2169" spans="1:5" ht="15.75" customHeight="1" x14ac:dyDescent="0.4">
      <c r="A2169" s="24" t="s">
        <v>736</v>
      </c>
      <c r="B2169" s="24" t="s">
        <v>2190</v>
      </c>
      <c r="C2169" s="24">
        <v>87.26</v>
      </c>
      <c r="E2169" s="24">
        <v>87.26</v>
      </c>
    </row>
    <row r="2170" spans="1:5" ht="15.75" customHeight="1" x14ac:dyDescent="0.4">
      <c r="A2170" s="24" t="s">
        <v>1841</v>
      </c>
      <c r="B2170" s="24" t="s">
        <v>2190</v>
      </c>
      <c r="C2170" s="24">
        <v>87.26</v>
      </c>
      <c r="E2170" s="24">
        <v>87.26</v>
      </c>
    </row>
    <row r="2171" spans="1:5" ht="15.75" customHeight="1" x14ac:dyDescent="0.4">
      <c r="A2171" s="24" t="s">
        <v>726</v>
      </c>
      <c r="B2171" s="24" t="s">
        <v>2188</v>
      </c>
      <c r="C2171" s="24">
        <v>87.25</v>
      </c>
      <c r="E2171" s="24">
        <v>87.25</v>
      </c>
    </row>
    <row r="2172" spans="1:5" ht="15.75" customHeight="1" x14ac:dyDescent="0.4">
      <c r="A2172" s="24" t="s">
        <v>1788</v>
      </c>
      <c r="B2172" s="24" t="s">
        <v>2190</v>
      </c>
      <c r="C2172" s="24">
        <v>87.24</v>
      </c>
      <c r="E2172" s="24">
        <v>87.24</v>
      </c>
    </row>
    <row r="2173" spans="1:5" ht="15.75" customHeight="1" x14ac:dyDescent="0.4">
      <c r="A2173" s="24" t="s">
        <v>1857</v>
      </c>
      <c r="B2173" s="24" t="s">
        <v>2190</v>
      </c>
      <c r="C2173" s="24">
        <v>87.23</v>
      </c>
      <c r="E2173" s="24">
        <v>87.23</v>
      </c>
    </row>
    <row r="2174" spans="1:5" ht="15.75" customHeight="1" x14ac:dyDescent="0.4">
      <c r="A2174" s="24" t="s">
        <v>1645</v>
      </c>
      <c r="B2174" s="24" t="s">
        <v>2188</v>
      </c>
      <c r="C2174" s="24">
        <v>87.22</v>
      </c>
      <c r="E2174" s="24">
        <v>87.22</v>
      </c>
    </row>
    <row r="2175" spans="1:5" ht="15.75" customHeight="1" x14ac:dyDescent="0.4">
      <c r="A2175" s="24" t="s">
        <v>912</v>
      </c>
      <c r="B2175" s="24" t="s">
        <v>2190</v>
      </c>
      <c r="C2175" s="24">
        <v>87.21</v>
      </c>
      <c r="D2175" s="24">
        <v>0</v>
      </c>
      <c r="E2175" s="24">
        <v>87.21</v>
      </c>
    </row>
    <row r="2176" spans="1:5" ht="15.75" customHeight="1" x14ac:dyDescent="0.4">
      <c r="A2176" s="24" t="s">
        <v>1742</v>
      </c>
      <c r="B2176" s="24" t="s">
        <v>2190</v>
      </c>
      <c r="C2176" s="24">
        <v>85.84</v>
      </c>
      <c r="D2176" s="24">
        <v>1.36</v>
      </c>
      <c r="E2176" s="24">
        <v>87.2</v>
      </c>
    </row>
    <row r="2177" spans="1:5" ht="15.75" customHeight="1" x14ac:dyDescent="0.4">
      <c r="A2177" s="24" t="s">
        <v>426</v>
      </c>
      <c r="B2177" s="24" t="s">
        <v>2190</v>
      </c>
      <c r="C2177" s="24">
        <v>87.05</v>
      </c>
      <c r="D2177" s="24">
        <v>0.14000000000000001</v>
      </c>
      <c r="E2177" s="24">
        <v>87.19</v>
      </c>
    </row>
    <row r="2178" spans="1:5" ht="15.75" customHeight="1" x14ac:dyDescent="0.4">
      <c r="A2178" s="24" t="s">
        <v>1281</v>
      </c>
      <c r="B2178" s="24" t="s">
        <v>2188</v>
      </c>
      <c r="C2178" s="24">
        <v>87.18</v>
      </c>
      <c r="E2178" s="24">
        <v>87.18</v>
      </c>
    </row>
    <row r="2179" spans="1:5" ht="15.75" customHeight="1" x14ac:dyDescent="0.4">
      <c r="A2179" s="24" t="s">
        <v>858</v>
      </c>
      <c r="B2179" s="24" t="s">
        <v>2190</v>
      </c>
      <c r="C2179" s="24">
        <v>87.16</v>
      </c>
      <c r="E2179" s="24">
        <v>87.16</v>
      </c>
    </row>
    <row r="2180" spans="1:5" ht="15.75" customHeight="1" x14ac:dyDescent="0.4">
      <c r="A2180" s="24" t="s">
        <v>1365</v>
      </c>
      <c r="B2180" s="24" t="s">
        <v>2188</v>
      </c>
      <c r="C2180" s="24">
        <v>85.62</v>
      </c>
      <c r="D2180" s="24">
        <v>9.26</v>
      </c>
      <c r="E2180" s="24">
        <v>87.16</v>
      </c>
    </row>
    <row r="2181" spans="1:5" ht="15.75" customHeight="1" x14ac:dyDescent="0.4">
      <c r="A2181" s="24" t="s">
        <v>243</v>
      </c>
      <c r="B2181" s="24" t="s">
        <v>2190</v>
      </c>
      <c r="C2181" s="24">
        <v>86.87</v>
      </c>
      <c r="D2181" s="24">
        <v>0.25</v>
      </c>
      <c r="E2181" s="24">
        <v>87.12</v>
      </c>
    </row>
    <row r="2182" spans="1:5" ht="15.75" customHeight="1" x14ac:dyDescent="0.4">
      <c r="A2182" s="24" t="s">
        <v>1214</v>
      </c>
      <c r="B2182" s="24" t="s">
        <v>2190</v>
      </c>
      <c r="C2182" s="24">
        <v>26</v>
      </c>
      <c r="D2182" s="24">
        <v>71.09</v>
      </c>
      <c r="E2182" s="24">
        <v>87.1</v>
      </c>
    </row>
    <row r="2183" spans="1:5" ht="15.75" customHeight="1" x14ac:dyDescent="0.4">
      <c r="A2183" s="24" t="s">
        <v>953</v>
      </c>
      <c r="B2183" s="24" t="s">
        <v>2190</v>
      </c>
      <c r="C2183" s="24">
        <v>87.09</v>
      </c>
      <c r="E2183" s="24">
        <v>87.09</v>
      </c>
    </row>
    <row r="2184" spans="1:5" ht="15.75" customHeight="1" x14ac:dyDescent="0.4">
      <c r="A2184" s="24" t="s">
        <v>2132</v>
      </c>
      <c r="B2184" s="24" t="s">
        <v>2190</v>
      </c>
      <c r="C2184" s="24">
        <v>87.07</v>
      </c>
      <c r="E2184" s="24">
        <v>87.07</v>
      </c>
    </row>
    <row r="2185" spans="1:5" ht="15.75" customHeight="1" x14ac:dyDescent="0.4">
      <c r="A2185" s="24" t="s">
        <v>1242</v>
      </c>
      <c r="B2185" s="24" t="s">
        <v>2190</v>
      </c>
      <c r="C2185" s="24">
        <v>87.07</v>
      </c>
      <c r="E2185" s="24">
        <v>87.07</v>
      </c>
    </row>
    <row r="2186" spans="1:5" ht="15.75" customHeight="1" x14ac:dyDescent="0.4">
      <c r="A2186" s="24" t="s">
        <v>1879</v>
      </c>
      <c r="B2186" s="24" t="s">
        <v>2188</v>
      </c>
      <c r="C2186" s="24">
        <v>87.05</v>
      </c>
      <c r="E2186" s="24">
        <v>87.05</v>
      </c>
    </row>
    <row r="2187" spans="1:5" ht="15.75" customHeight="1" x14ac:dyDescent="0.4">
      <c r="A2187" s="24" t="s">
        <v>764</v>
      </c>
      <c r="B2187" s="24" t="s">
        <v>2190</v>
      </c>
      <c r="C2187" s="24">
        <v>86.85</v>
      </c>
      <c r="D2187" s="24">
        <v>1.68</v>
      </c>
      <c r="E2187" s="24">
        <v>87.03</v>
      </c>
    </row>
    <row r="2188" spans="1:5" ht="15.75" customHeight="1" x14ac:dyDescent="0.4">
      <c r="A2188" s="24" t="s">
        <v>543</v>
      </c>
      <c r="B2188" s="24" t="s">
        <v>2190</v>
      </c>
      <c r="C2188" s="24">
        <v>85.79</v>
      </c>
      <c r="D2188" s="24">
        <v>1.24</v>
      </c>
      <c r="E2188" s="24">
        <v>87.03</v>
      </c>
    </row>
    <row r="2189" spans="1:5" ht="15.75" customHeight="1" x14ac:dyDescent="0.4">
      <c r="A2189" s="24" t="s">
        <v>1079</v>
      </c>
      <c r="B2189" s="24" t="s">
        <v>2190</v>
      </c>
      <c r="C2189" s="24">
        <v>84.46</v>
      </c>
      <c r="D2189" s="24">
        <v>2.54</v>
      </c>
      <c r="E2189" s="24">
        <v>87.01</v>
      </c>
    </row>
    <row r="2190" spans="1:5" ht="15.75" customHeight="1" x14ac:dyDescent="0.4">
      <c r="A2190" s="24" t="s">
        <v>1151</v>
      </c>
      <c r="B2190" s="24" t="s">
        <v>2190</v>
      </c>
      <c r="C2190" s="24">
        <v>87.01</v>
      </c>
      <c r="E2190" s="24">
        <v>87.01</v>
      </c>
    </row>
    <row r="2191" spans="1:5" ht="15.75" customHeight="1" x14ac:dyDescent="0.4">
      <c r="A2191" s="24" t="s">
        <v>835</v>
      </c>
      <c r="B2191" s="24" t="s">
        <v>2190</v>
      </c>
      <c r="C2191" s="24">
        <v>86.99</v>
      </c>
      <c r="E2191" s="24">
        <v>86.99</v>
      </c>
    </row>
    <row r="2192" spans="1:5" ht="15.75" customHeight="1" x14ac:dyDescent="0.4">
      <c r="A2192" s="24" t="s">
        <v>1236</v>
      </c>
      <c r="B2192" s="24" t="s">
        <v>2190</v>
      </c>
      <c r="C2192" s="24">
        <v>86.34</v>
      </c>
      <c r="D2192" s="24">
        <v>1.0900000000000001</v>
      </c>
      <c r="E2192" s="24">
        <v>86.98</v>
      </c>
    </row>
    <row r="2193" spans="1:5" ht="15.75" customHeight="1" x14ac:dyDescent="0.4">
      <c r="A2193" s="24" t="s">
        <v>790</v>
      </c>
      <c r="B2193" s="24" t="s">
        <v>2188</v>
      </c>
      <c r="C2193" s="24">
        <v>86.98</v>
      </c>
      <c r="E2193" s="24">
        <v>86.98</v>
      </c>
    </row>
    <row r="2194" spans="1:5" ht="15.75" customHeight="1" x14ac:dyDescent="0.4">
      <c r="A2194" s="24" t="s">
        <v>1718</v>
      </c>
      <c r="B2194" s="24" t="s">
        <v>2190</v>
      </c>
      <c r="C2194" s="24">
        <v>86.81</v>
      </c>
      <c r="D2194" s="24">
        <v>0.18</v>
      </c>
      <c r="E2194" s="24">
        <v>86.97</v>
      </c>
    </row>
    <row r="2195" spans="1:5" ht="15.75" customHeight="1" x14ac:dyDescent="0.4">
      <c r="A2195" s="24" t="s">
        <v>1158</v>
      </c>
      <c r="B2195" s="24" t="s">
        <v>2190</v>
      </c>
      <c r="C2195" s="24">
        <v>86.92</v>
      </c>
      <c r="D2195" s="24">
        <v>0.04</v>
      </c>
      <c r="E2195" s="24">
        <v>86.96</v>
      </c>
    </row>
    <row r="2196" spans="1:5" ht="15.75" customHeight="1" x14ac:dyDescent="0.4">
      <c r="A2196" s="24" t="s">
        <v>885</v>
      </c>
      <c r="B2196" s="24" t="s">
        <v>2190</v>
      </c>
      <c r="C2196" s="24">
        <v>86.95</v>
      </c>
      <c r="E2196" s="24">
        <v>86.95</v>
      </c>
    </row>
    <row r="2197" spans="1:5" ht="15.75" customHeight="1" x14ac:dyDescent="0.4">
      <c r="A2197" s="24" t="s">
        <v>1552</v>
      </c>
      <c r="B2197" s="24" t="s">
        <v>2188</v>
      </c>
      <c r="C2197" s="24">
        <v>86.95</v>
      </c>
      <c r="E2197" s="24">
        <v>86.95</v>
      </c>
    </row>
    <row r="2198" spans="1:5" ht="15.75" customHeight="1" x14ac:dyDescent="0.4">
      <c r="A2198" s="24" t="s">
        <v>1678</v>
      </c>
      <c r="B2198" s="24" t="s">
        <v>2190</v>
      </c>
      <c r="C2198" s="24">
        <v>86.94</v>
      </c>
      <c r="E2198" s="24">
        <v>86.94</v>
      </c>
    </row>
    <row r="2199" spans="1:5" ht="15.75" customHeight="1" x14ac:dyDescent="0.4">
      <c r="A2199" s="24" t="s">
        <v>1110</v>
      </c>
      <c r="B2199" s="24" t="s">
        <v>2190</v>
      </c>
      <c r="C2199" s="24">
        <v>86.92</v>
      </c>
      <c r="E2199" s="24">
        <v>86.92</v>
      </c>
    </row>
    <row r="2200" spans="1:5" ht="15.75" customHeight="1" x14ac:dyDescent="0.4">
      <c r="A2200" s="24" t="s">
        <v>1210</v>
      </c>
      <c r="B2200" s="24" t="s">
        <v>2190</v>
      </c>
      <c r="C2200" s="24">
        <v>86.91</v>
      </c>
      <c r="E2200" s="24">
        <v>86.91</v>
      </c>
    </row>
    <row r="2201" spans="1:5" ht="15.75" customHeight="1" x14ac:dyDescent="0.4">
      <c r="A2201" s="24" t="s">
        <v>1157</v>
      </c>
      <c r="B2201" s="24" t="s">
        <v>2190</v>
      </c>
      <c r="C2201" s="24">
        <v>86.91</v>
      </c>
      <c r="E2201" s="24">
        <v>86.91</v>
      </c>
    </row>
    <row r="2202" spans="1:5" ht="15.75" customHeight="1" x14ac:dyDescent="0.4">
      <c r="A2202" s="24" t="s">
        <v>740</v>
      </c>
      <c r="B2202" s="24" t="s">
        <v>2188</v>
      </c>
      <c r="C2202" s="24">
        <v>86.91</v>
      </c>
      <c r="E2202" s="24">
        <v>86.91</v>
      </c>
    </row>
    <row r="2203" spans="1:5" ht="15.75" customHeight="1" x14ac:dyDescent="0.4">
      <c r="A2203" s="24" t="s">
        <v>853</v>
      </c>
      <c r="B2203" s="24" t="s">
        <v>2190</v>
      </c>
      <c r="C2203" s="24">
        <v>86.88</v>
      </c>
      <c r="D2203" s="24">
        <v>0.87</v>
      </c>
      <c r="E2203" s="24">
        <v>86.9</v>
      </c>
    </row>
    <row r="2204" spans="1:5" ht="15.75" customHeight="1" x14ac:dyDescent="0.4">
      <c r="A2204" s="24" t="s">
        <v>2110</v>
      </c>
      <c r="B2204" s="24" t="s">
        <v>2190</v>
      </c>
      <c r="C2204" s="24">
        <v>86.89</v>
      </c>
      <c r="E2204" s="24">
        <v>86.89</v>
      </c>
    </row>
    <row r="2205" spans="1:5" ht="15.75" customHeight="1" x14ac:dyDescent="0.4">
      <c r="A2205" s="24" t="s">
        <v>1611</v>
      </c>
      <c r="B2205" s="24" t="s">
        <v>2188</v>
      </c>
      <c r="C2205" s="24">
        <v>86.87</v>
      </c>
      <c r="E2205" s="24">
        <v>86.87</v>
      </c>
    </row>
    <row r="2206" spans="1:5" ht="15.75" customHeight="1" x14ac:dyDescent="0.4">
      <c r="A2206" s="24" t="s">
        <v>1217</v>
      </c>
      <c r="B2206" s="24" t="s">
        <v>2190</v>
      </c>
      <c r="C2206" s="24">
        <v>86.2</v>
      </c>
      <c r="D2206" s="24">
        <v>0.63</v>
      </c>
      <c r="E2206" s="24">
        <v>86.83</v>
      </c>
    </row>
    <row r="2207" spans="1:5" ht="15.75" customHeight="1" x14ac:dyDescent="0.4">
      <c r="A2207" s="24" t="s">
        <v>1178</v>
      </c>
      <c r="B2207" s="24" t="s">
        <v>2190</v>
      </c>
      <c r="C2207" s="24">
        <v>86.82</v>
      </c>
      <c r="E2207" s="24">
        <v>86.82</v>
      </c>
    </row>
    <row r="2208" spans="1:5" ht="15.75" customHeight="1" x14ac:dyDescent="0.4">
      <c r="A2208" s="24" t="s">
        <v>2109</v>
      </c>
      <c r="B2208" s="24" t="s">
        <v>2190</v>
      </c>
      <c r="C2208" s="24">
        <v>86.82</v>
      </c>
      <c r="D2208" s="24">
        <v>0.02</v>
      </c>
      <c r="E2208" s="24">
        <v>86.82</v>
      </c>
    </row>
    <row r="2209" spans="1:5" ht="15.75" customHeight="1" x14ac:dyDescent="0.4">
      <c r="A2209" s="24" t="s">
        <v>1504</v>
      </c>
      <c r="B2209" s="24" t="s">
        <v>2188</v>
      </c>
      <c r="C2209" s="24">
        <v>86.82</v>
      </c>
      <c r="E2209" s="24">
        <v>86.82</v>
      </c>
    </row>
    <row r="2210" spans="1:5" ht="15.75" customHeight="1" x14ac:dyDescent="0.4">
      <c r="A2210" s="24" t="s">
        <v>1787</v>
      </c>
      <c r="B2210" s="24" t="s">
        <v>2190</v>
      </c>
      <c r="C2210" s="24">
        <v>86.81</v>
      </c>
      <c r="E2210" s="24">
        <v>86.81</v>
      </c>
    </row>
    <row r="2211" spans="1:5" ht="15.75" customHeight="1" x14ac:dyDescent="0.4">
      <c r="A2211" s="24" t="s">
        <v>1123</v>
      </c>
      <c r="B2211" s="24" t="s">
        <v>2190</v>
      </c>
      <c r="C2211" s="24">
        <v>86.81</v>
      </c>
      <c r="E2211" s="24">
        <v>86.81</v>
      </c>
    </row>
    <row r="2212" spans="1:5" ht="15.75" customHeight="1" x14ac:dyDescent="0.4">
      <c r="A2212" s="24" t="s">
        <v>2147</v>
      </c>
      <c r="B2212" s="24" t="s">
        <v>2188</v>
      </c>
      <c r="C2212" s="24">
        <v>86.8</v>
      </c>
      <c r="E2212" s="24">
        <v>86.8</v>
      </c>
    </row>
    <row r="2213" spans="1:5" ht="15.75" customHeight="1" x14ac:dyDescent="0.4">
      <c r="A2213" s="24" t="s">
        <v>1356</v>
      </c>
      <c r="B2213" s="24" t="s">
        <v>2190</v>
      </c>
      <c r="C2213" s="24">
        <v>86.77</v>
      </c>
      <c r="E2213" s="24">
        <v>86.77</v>
      </c>
    </row>
    <row r="2214" spans="1:5" ht="15.75" customHeight="1" x14ac:dyDescent="0.4">
      <c r="A2214" s="24" t="s">
        <v>611</v>
      </c>
      <c r="B2214" s="24" t="s">
        <v>2190</v>
      </c>
      <c r="C2214" s="24">
        <v>86.74</v>
      </c>
      <c r="E2214" s="24">
        <v>86.74</v>
      </c>
    </row>
    <row r="2215" spans="1:5" ht="15.75" customHeight="1" x14ac:dyDescent="0.4">
      <c r="A2215" s="24" t="s">
        <v>1649</v>
      </c>
      <c r="B2215" s="24" t="s">
        <v>2188</v>
      </c>
      <c r="C2215" s="24">
        <v>86.58</v>
      </c>
      <c r="D2215" s="24">
        <v>6.83</v>
      </c>
      <c r="E2215" s="24">
        <v>86.74</v>
      </c>
    </row>
    <row r="2216" spans="1:5" ht="15.75" customHeight="1" x14ac:dyDescent="0.4">
      <c r="A2216" s="24" t="s">
        <v>453</v>
      </c>
      <c r="B2216" s="24" t="s">
        <v>2190</v>
      </c>
      <c r="C2216" s="24">
        <v>86.72</v>
      </c>
      <c r="E2216" s="24">
        <v>86.72</v>
      </c>
    </row>
    <row r="2217" spans="1:5" ht="15.75" customHeight="1" x14ac:dyDescent="0.4">
      <c r="A2217" s="24" t="s">
        <v>1111</v>
      </c>
      <c r="B2217" s="24" t="s">
        <v>2190</v>
      </c>
      <c r="C2217" s="24">
        <v>86.71</v>
      </c>
      <c r="E2217" s="24">
        <v>86.71</v>
      </c>
    </row>
    <row r="2218" spans="1:5" ht="15.75" customHeight="1" x14ac:dyDescent="0.4">
      <c r="A2218" s="24" t="s">
        <v>1641</v>
      </c>
      <c r="B2218" s="24" t="s">
        <v>2188</v>
      </c>
      <c r="C2218" s="24">
        <v>86.58</v>
      </c>
      <c r="D2218" s="24">
        <v>28.62</v>
      </c>
      <c r="E2218" s="24">
        <v>86.7</v>
      </c>
    </row>
    <row r="2219" spans="1:5" ht="15.75" customHeight="1" x14ac:dyDescent="0.4">
      <c r="A2219" s="24" t="s">
        <v>1831</v>
      </c>
      <c r="B2219" s="24" t="s">
        <v>2190</v>
      </c>
      <c r="C2219" s="24">
        <v>86.7</v>
      </c>
      <c r="E2219" s="24">
        <v>86.7</v>
      </c>
    </row>
    <row r="2220" spans="1:5" ht="15.75" customHeight="1" x14ac:dyDescent="0.4">
      <c r="A2220" s="24" t="s">
        <v>1682</v>
      </c>
      <c r="B2220" s="24" t="s">
        <v>2190</v>
      </c>
      <c r="C2220" s="24">
        <v>86.68</v>
      </c>
      <c r="E2220" s="24">
        <v>86.68</v>
      </c>
    </row>
    <row r="2221" spans="1:5" ht="15.75" customHeight="1" x14ac:dyDescent="0.4">
      <c r="A2221" s="24" t="s">
        <v>918</v>
      </c>
      <c r="B2221" s="24" t="s">
        <v>2190</v>
      </c>
      <c r="C2221" s="24">
        <v>86.68</v>
      </c>
      <c r="E2221" s="24">
        <v>86.68</v>
      </c>
    </row>
    <row r="2222" spans="1:5" ht="15.75" customHeight="1" x14ac:dyDescent="0.4">
      <c r="A2222" s="24" t="s">
        <v>2060</v>
      </c>
      <c r="B2222" s="24" t="s">
        <v>2190</v>
      </c>
      <c r="C2222" s="24">
        <v>86.64</v>
      </c>
      <c r="D2222" s="24">
        <v>0.02</v>
      </c>
      <c r="E2222" s="24">
        <v>86.66</v>
      </c>
    </row>
    <row r="2223" spans="1:5" ht="15.75" customHeight="1" x14ac:dyDescent="0.4">
      <c r="A2223" s="24" t="s">
        <v>1625</v>
      </c>
      <c r="B2223" s="24" t="s">
        <v>2190</v>
      </c>
      <c r="C2223" s="24">
        <v>86.65</v>
      </c>
      <c r="E2223" s="24">
        <v>86.65</v>
      </c>
    </row>
    <row r="2224" spans="1:5" ht="15.75" customHeight="1" x14ac:dyDescent="0.4">
      <c r="A2224" s="24" t="s">
        <v>1462</v>
      </c>
      <c r="B2224" s="24" t="s">
        <v>2188</v>
      </c>
      <c r="C2224" s="24">
        <v>86.64</v>
      </c>
      <c r="E2224" s="24">
        <v>86.64</v>
      </c>
    </row>
    <row r="2225" spans="1:5" ht="15.75" customHeight="1" x14ac:dyDescent="0.4">
      <c r="A2225" s="24" t="s">
        <v>1105</v>
      </c>
      <c r="B2225" s="24" t="s">
        <v>2190</v>
      </c>
      <c r="C2225" s="24">
        <v>86.64</v>
      </c>
      <c r="E2225" s="24">
        <v>86.64</v>
      </c>
    </row>
    <row r="2226" spans="1:5" ht="15.75" customHeight="1" x14ac:dyDescent="0.4">
      <c r="A2226" s="24" t="s">
        <v>1160</v>
      </c>
      <c r="B2226" s="24" t="s">
        <v>2190</v>
      </c>
      <c r="C2226" s="24">
        <v>86.64</v>
      </c>
      <c r="E2226" s="24">
        <v>86.64</v>
      </c>
    </row>
    <row r="2227" spans="1:5" ht="15.75" customHeight="1" x14ac:dyDescent="0.4">
      <c r="A2227" s="24" t="s">
        <v>2101</v>
      </c>
      <c r="B2227" s="24" t="s">
        <v>2190</v>
      </c>
      <c r="C2227" s="24">
        <v>86.64</v>
      </c>
      <c r="E2227" s="24">
        <v>86.64</v>
      </c>
    </row>
    <row r="2228" spans="1:5" ht="15.75" customHeight="1" x14ac:dyDescent="0.4">
      <c r="A2228" s="24" t="s">
        <v>1889</v>
      </c>
      <c r="B2228" s="24" t="s">
        <v>2190</v>
      </c>
      <c r="C2228" s="24">
        <v>86.63</v>
      </c>
      <c r="E2228" s="24">
        <v>86.63</v>
      </c>
    </row>
    <row r="2229" spans="1:5" ht="15.75" customHeight="1" x14ac:dyDescent="0.4">
      <c r="A2229" s="24" t="s">
        <v>1873</v>
      </c>
      <c r="B2229" s="24" t="s">
        <v>2188</v>
      </c>
      <c r="C2229" s="24">
        <v>86.62</v>
      </c>
      <c r="E2229" s="24">
        <v>86.62</v>
      </c>
    </row>
    <row r="2230" spans="1:5" ht="15.75" customHeight="1" x14ac:dyDescent="0.4">
      <c r="A2230" s="24" t="s">
        <v>1990</v>
      </c>
      <c r="B2230" s="24" t="s">
        <v>2188</v>
      </c>
      <c r="C2230" s="24">
        <v>86.49</v>
      </c>
      <c r="D2230" s="24">
        <v>0.24</v>
      </c>
      <c r="E2230" s="24">
        <v>86.6</v>
      </c>
    </row>
    <row r="2231" spans="1:5" ht="15.75" customHeight="1" x14ac:dyDescent="0.4">
      <c r="A2231" s="24" t="s">
        <v>1803</v>
      </c>
      <c r="B2231" s="24" t="s">
        <v>2188</v>
      </c>
      <c r="C2231" s="24">
        <v>86.48</v>
      </c>
      <c r="D2231" s="24">
        <v>1.9</v>
      </c>
      <c r="E2231" s="24">
        <v>86.6</v>
      </c>
    </row>
    <row r="2232" spans="1:5" ht="15.75" customHeight="1" x14ac:dyDescent="0.4">
      <c r="A2232" s="24" t="s">
        <v>1237</v>
      </c>
      <c r="B2232" s="24" t="s">
        <v>2190</v>
      </c>
      <c r="C2232" s="24">
        <v>86.59</v>
      </c>
      <c r="E2232" s="24">
        <v>86.59</v>
      </c>
    </row>
    <row r="2233" spans="1:5" ht="15.75" customHeight="1" x14ac:dyDescent="0.4">
      <c r="A2233" s="24" t="s">
        <v>1090</v>
      </c>
      <c r="B2233" s="24" t="s">
        <v>2190</v>
      </c>
      <c r="C2233" s="24">
        <v>86.58</v>
      </c>
      <c r="E2233" s="24">
        <v>86.58</v>
      </c>
    </row>
    <row r="2234" spans="1:5" ht="15.75" customHeight="1" x14ac:dyDescent="0.4">
      <c r="A2234" s="24" t="s">
        <v>960</v>
      </c>
      <c r="B2234" s="24" t="s">
        <v>2190</v>
      </c>
      <c r="C2234" s="24">
        <v>86.55</v>
      </c>
      <c r="E2234" s="24">
        <v>86.55</v>
      </c>
    </row>
    <row r="2235" spans="1:5" ht="15.75" customHeight="1" x14ac:dyDescent="0.4">
      <c r="A2235" s="24" t="s">
        <v>395</v>
      </c>
      <c r="B2235" s="24" t="s">
        <v>2190</v>
      </c>
      <c r="C2235" s="24">
        <v>86.55</v>
      </c>
      <c r="E2235" s="24">
        <v>86.55</v>
      </c>
    </row>
    <row r="2236" spans="1:5" ht="15.75" customHeight="1" x14ac:dyDescent="0.4">
      <c r="A2236" s="24" t="s">
        <v>987</v>
      </c>
      <c r="B2236" s="24" t="s">
        <v>2190</v>
      </c>
      <c r="C2236" s="24">
        <v>86.55</v>
      </c>
      <c r="E2236" s="24">
        <v>86.55</v>
      </c>
    </row>
    <row r="2237" spans="1:5" ht="15.75" customHeight="1" x14ac:dyDescent="0.4">
      <c r="A2237" s="24" t="s">
        <v>1268</v>
      </c>
      <c r="B2237" s="24" t="s">
        <v>2188</v>
      </c>
      <c r="C2237" s="24">
        <v>86.51</v>
      </c>
      <c r="E2237" s="24">
        <v>86.51</v>
      </c>
    </row>
    <row r="2238" spans="1:5" ht="15.75" customHeight="1" x14ac:dyDescent="0.4">
      <c r="A2238" s="24" t="s">
        <v>1615</v>
      </c>
      <c r="B2238" s="24" t="s">
        <v>2188</v>
      </c>
      <c r="C2238" s="24">
        <v>86.51</v>
      </c>
      <c r="D2238" s="24">
        <v>0</v>
      </c>
      <c r="E2238" s="24">
        <v>86.51</v>
      </c>
    </row>
    <row r="2239" spans="1:5" ht="15.75" customHeight="1" x14ac:dyDescent="0.4">
      <c r="A2239" s="24" t="s">
        <v>248</v>
      </c>
      <c r="B2239" s="24" t="s">
        <v>2188</v>
      </c>
      <c r="C2239" s="24">
        <v>86.51</v>
      </c>
      <c r="E2239" s="24">
        <v>86.51</v>
      </c>
    </row>
    <row r="2240" spans="1:5" ht="15.75" customHeight="1" x14ac:dyDescent="0.4">
      <c r="A2240" s="24" t="s">
        <v>878</v>
      </c>
      <c r="B2240" s="24" t="s">
        <v>2190</v>
      </c>
      <c r="C2240" s="24">
        <v>86.5</v>
      </c>
      <c r="E2240" s="24">
        <v>86.5</v>
      </c>
    </row>
    <row r="2241" spans="1:5" ht="15.75" customHeight="1" x14ac:dyDescent="0.4">
      <c r="A2241" s="24" t="s">
        <v>2071</v>
      </c>
      <c r="B2241" s="24" t="s">
        <v>2190</v>
      </c>
      <c r="C2241" s="24">
        <v>86.49</v>
      </c>
      <c r="E2241" s="24">
        <v>86.49</v>
      </c>
    </row>
    <row r="2242" spans="1:5" ht="15.75" customHeight="1" x14ac:dyDescent="0.4">
      <c r="A2242" s="24" t="s">
        <v>237</v>
      </c>
      <c r="B2242" s="24" t="s">
        <v>2190</v>
      </c>
      <c r="C2242" s="24">
        <v>86.48</v>
      </c>
      <c r="E2242" s="24">
        <v>86.48</v>
      </c>
    </row>
    <row r="2243" spans="1:5" ht="15.75" customHeight="1" x14ac:dyDescent="0.4">
      <c r="A2243" s="24" t="s">
        <v>1067</v>
      </c>
      <c r="B2243" s="24" t="s">
        <v>2190</v>
      </c>
      <c r="C2243" s="24">
        <v>85.83</v>
      </c>
      <c r="D2243" s="24">
        <v>5.84</v>
      </c>
      <c r="E2243" s="24">
        <v>86.46</v>
      </c>
    </row>
    <row r="2244" spans="1:5" ht="15.75" customHeight="1" x14ac:dyDescent="0.4">
      <c r="A2244" s="24" t="s">
        <v>2148</v>
      </c>
      <c r="B2244" s="24" t="s">
        <v>2188</v>
      </c>
      <c r="C2244" s="24">
        <v>86.43</v>
      </c>
      <c r="E2244" s="24">
        <v>86.43</v>
      </c>
    </row>
    <row r="2245" spans="1:5" ht="15.75" customHeight="1" x14ac:dyDescent="0.4">
      <c r="A2245" s="24" t="s">
        <v>952</v>
      </c>
      <c r="B2245" s="24" t="s">
        <v>2190</v>
      </c>
      <c r="C2245" s="24">
        <v>86.42</v>
      </c>
      <c r="E2245" s="24">
        <v>86.42</v>
      </c>
    </row>
    <row r="2246" spans="1:5" ht="15.75" customHeight="1" x14ac:dyDescent="0.4">
      <c r="A2246" s="24" t="s">
        <v>988</v>
      </c>
      <c r="B2246" s="24" t="s">
        <v>2191</v>
      </c>
      <c r="C2246" s="24">
        <v>86.42</v>
      </c>
      <c r="E2246" s="24">
        <v>86.42</v>
      </c>
    </row>
    <row r="2247" spans="1:5" ht="15.75" customHeight="1" x14ac:dyDescent="0.4">
      <c r="A2247" s="24" t="s">
        <v>1930</v>
      </c>
      <c r="B2247" s="24" t="s">
        <v>2188</v>
      </c>
      <c r="C2247" s="24">
        <v>86.42</v>
      </c>
      <c r="E2247" s="24">
        <v>86.42</v>
      </c>
    </row>
    <row r="2248" spans="1:5" ht="15.75" customHeight="1" x14ac:dyDescent="0.4">
      <c r="A2248" s="24" t="s">
        <v>1114</v>
      </c>
      <c r="B2248" s="24" t="s">
        <v>2190</v>
      </c>
      <c r="C2248" s="24">
        <v>86.42</v>
      </c>
      <c r="E2248" s="24">
        <v>86.42</v>
      </c>
    </row>
    <row r="2249" spans="1:5" ht="15.75" customHeight="1" x14ac:dyDescent="0.4">
      <c r="A2249" s="24" t="s">
        <v>1906</v>
      </c>
      <c r="B2249" s="24" t="s">
        <v>2190</v>
      </c>
      <c r="C2249" s="24">
        <v>86.39</v>
      </c>
      <c r="E2249" s="24">
        <v>86.39</v>
      </c>
    </row>
    <row r="2250" spans="1:5" ht="15.75" customHeight="1" x14ac:dyDescent="0.4">
      <c r="A2250" s="24" t="s">
        <v>2098</v>
      </c>
      <c r="B2250" s="24" t="s">
        <v>2188</v>
      </c>
      <c r="C2250" s="24">
        <v>86.39</v>
      </c>
      <c r="E2250" s="24">
        <v>86.39</v>
      </c>
    </row>
    <row r="2251" spans="1:5" ht="15.75" customHeight="1" x14ac:dyDescent="0.4">
      <c r="A2251" s="24" t="s">
        <v>1816</v>
      </c>
      <c r="B2251" s="24" t="s">
        <v>2188</v>
      </c>
      <c r="C2251" s="24">
        <v>86.37</v>
      </c>
      <c r="E2251" s="24">
        <v>86.37</v>
      </c>
    </row>
    <row r="2252" spans="1:5" ht="15.75" customHeight="1" x14ac:dyDescent="0.4">
      <c r="A2252" s="24" t="s">
        <v>914</v>
      </c>
      <c r="B2252" s="24" t="s">
        <v>2190</v>
      </c>
      <c r="C2252" s="24">
        <v>86.37</v>
      </c>
      <c r="E2252" s="24">
        <v>86.37</v>
      </c>
    </row>
    <row r="2253" spans="1:5" ht="15.75" customHeight="1" x14ac:dyDescent="0.4">
      <c r="A2253" s="24" t="s">
        <v>1127</v>
      </c>
      <c r="B2253" s="24" t="s">
        <v>2190</v>
      </c>
      <c r="C2253" s="24">
        <v>86.37</v>
      </c>
      <c r="E2253" s="24">
        <v>86.37</v>
      </c>
    </row>
    <row r="2254" spans="1:5" ht="15.75" customHeight="1" x14ac:dyDescent="0.4">
      <c r="A2254" s="24" t="s">
        <v>2018</v>
      </c>
      <c r="B2254" s="24" t="s">
        <v>2188</v>
      </c>
      <c r="C2254" s="24">
        <v>86.36</v>
      </c>
      <c r="E2254" s="24">
        <v>86.36</v>
      </c>
    </row>
    <row r="2255" spans="1:5" ht="15.75" customHeight="1" x14ac:dyDescent="0.4">
      <c r="A2255" s="24" t="s">
        <v>1406</v>
      </c>
      <c r="B2255" s="24" t="s">
        <v>2188</v>
      </c>
      <c r="C2255" s="24">
        <v>86.3</v>
      </c>
      <c r="D2255" s="24">
        <v>0.21</v>
      </c>
      <c r="E2255" s="24">
        <v>86.36</v>
      </c>
    </row>
    <row r="2256" spans="1:5" ht="15.75" customHeight="1" x14ac:dyDescent="0.4">
      <c r="A2256" s="24" t="s">
        <v>2123</v>
      </c>
      <c r="B2256" s="24" t="s">
        <v>2190</v>
      </c>
      <c r="C2256" s="24">
        <v>86.36</v>
      </c>
      <c r="E2256" s="24">
        <v>86.36</v>
      </c>
    </row>
    <row r="2257" spans="1:5" ht="15.75" customHeight="1" x14ac:dyDescent="0.4">
      <c r="A2257" s="24" t="s">
        <v>1200</v>
      </c>
      <c r="B2257" s="24" t="s">
        <v>2190</v>
      </c>
      <c r="C2257" s="24">
        <v>86.35</v>
      </c>
      <c r="E2257" s="24">
        <v>86.35</v>
      </c>
    </row>
    <row r="2258" spans="1:5" ht="15.75" customHeight="1" x14ac:dyDescent="0.4">
      <c r="A2258" s="24" t="s">
        <v>1048</v>
      </c>
      <c r="B2258" s="24" t="s">
        <v>2190</v>
      </c>
      <c r="C2258" s="24">
        <v>86.32</v>
      </c>
      <c r="E2258" s="24">
        <v>86.32</v>
      </c>
    </row>
    <row r="2259" spans="1:5" ht="15.75" customHeight="1" x14ac:dyDescent="0.4">
      <c r="A2259" s="24" t="s">
        <v>948</v>
      </c>
      <c r="B2259" s="24" t="s">
        <v>2190</v>
      </c>
      <c r="C2259" s="24">
        <v>86.32</v>
      </c>
      <c r="E2259" s="24">
        <v>86.32</v>
      </c>
    </row>
    <row r="2260" spans="1:5" ht="15.75" customHeight="1" x14ac:dyDescent="0.4">
      <c r="A2260" s="24" t="s">
        <v>1052</v>
      </c>
      <c r="B2260" s="24" t="s">
        <v>2190</v>
      </c>
      <c r="C2260" s="24">
        <v>86.32</v>
      </c>
      <c r="E2260" s="24">
        <v>86.32</v>
      </c>
    </row>
    <row r="2261" spans="1:5" ht="15.75" customHeight="1" x14ac:dyDescent="0.4">
      <c r="A2261" s="24" t="s">
        <v>1696</v>
      </c>
      <c r="B2261" s="24" t="s">
        <v>2190</v>
      </c>
      <c r="C2261" s="24">
        <v>86.31</v>
      </c>
      <c r="E2261" s="24">
        <v>86.31</v>
      </c>
    </row>
    <row r="2262" spans="1:5" ht="15.75" customHeight="1" x14ac:dyDescent="0.4">
      <c r="A2262" s="24" t="s">
        <v>1560</v>
      </c>
      <c r="B2262" s="24" t="s">
        <v>2188</v>
      </c>
      <c r="C2262" s="24">
        <v>86.31</v>
      </c>
      <c r="E2262" s="24">
        <v>86.31</v>
      </c>
    </row>
    <row r="2263" spans="1:5" ht="15.75" customHeight="1" x14ac:dyDescent="0.4">
      <c r="A2263" s="24" t="s">
        <v>1454</v>
      </c>
      <c r="B2263" s="24" t="s">
        <v>2188</v>
      </c>
      <c r="C2263" s="24">
        <v>86.31</v>
      </c>
      <c r="E2263" s="24">
        <v>86.31</v>
      </c>
    </row>
    <row r="2264" spans="1:5" ht="15.75" customHeight="1" x14ac:dyDescent="0.4">
      <c r="A2264" s="24" t="s">
        <v>1880</v>
      </c>
      <c r="B2264" s="24" t="s">
        <v>2188</v>
      </c>
      <c r="C2264" s="24">
        <v>86.3</v>
      </c>
      <c r="E2264" s="24">
        <v>86.3</v>
      </c>
    </row>
    <row r="2265" spans="1:5" ht="15.75" customHeight="1" x14ac:dyDescent="0.4">
      <c r="A2265" s="24" t="s">
        <v>1024</v>
      </c>
      <c r="B2265" s="24" t="s">
        <v>2188</v>
      </c>
      <c r="C2265" s="24">
        <v>86.29</v>
      </c>
      <c r="E2265" s="24">
        <v>86.29</v>
      </c>
    </row>
    <row r="2266" spans="1:5" ht="15.75" customHeight="1" x14ac:dyDescent="0.4">
      <c r="A2266" s="24" t="s">
        <v>2056</v>
      </c>
      <c r="B2266" s="24" t="s">
        <v>2188</v>
      </c>
      <c r="C2266" s="24">
        <v>86.27</v>
      </c>
      <c r="E2266" s="24">
        <v>86.27</v>
      </c>
    </row>
    <row r="2267" spans="1:5" ht="15.75" customHeight="1" x14ac:dyDescent="0.4">
      <c r="A2267" s="24" t="s">
        <v>1711</v>
      </c>
      <c r="B2267" s="24" t="s">
        <v>2188</v>
      </c>
      <c r="C2267" s="24">
        <v>86.24</v>
      </c>
      <c r="E2267" s="24">
        <v>86.24</v>
      </c>
    </row>
    <row r="2268" spans="1:5" ht="15.75" customHeight="1" x14ac:dyDescent="0.4">
      <c r="A2268" s="24" t="s">
        <v>1721</v>
      </c>
      <c r="B2268" s="24" t="s">
        <v>2190</v>
      </c>
      <c r="C2268" s="24">
        <v>86.23</v>
      </c>
      <c r="E2268" s="24">
        <v>86.23</v>
      </c>
    </row>
    <row r="2269" spans="1:5" ht="15.75" customHeight="1" x14ac:dyDescent="0.4">
      <c r="A2269" s="24" t="s">
        <v>1234</v>
      </c>
      <c r="B2269" s="24" t="s">
        <v>2190</v>
      </c>
      <c r="C2269" s="24">
        <v>86.19</v>
      </c>
      <c r="E2269" s="24">
        <v>86.19</v>
      </c>
    </row>
    <row r="2270" spans="1:5" ht="15.75" customHeight="1" x14ac:dyDescent="0.4">
      <c r="A2270" s="24" t="s">
        <v>1233</v>
      </c>
      <c r="B2270" s="24" t="s">
        <v>2190</v>
      </c>
      <c r="C2270" s="24">
        <v>86.19</v>
      </c>
      <c r="E2270" s="24">
        <v>86.19</v>
      </c>
    </row>
    <row r="2271" spans="1:5" ht="15.75" customHeight="1" x14ac:dyDescent="0.4">
      <c r="A2271" s="24" t="s">
        <v>1042</v>
      </c>
      <c r="B2271" s="24" t="s">
        <v>2190</v>
      </c>
      <c r="C2271" s="24">
        <v>86.15</v>
      </c>
      <c r="E2271" s="24">
        <v>86.15</v>
      </c>
    </row>
    <row r="2272" spans="1:5" ht="15.75" customHeight="1" x14ac:dyDescent="0.4">
      <c r="A2272" s="24" t="s">
        <v>1209</v>
      </c>
      <c r="B2272" s="24" t="s">
        <v>2190</v>
      </c>
      <c r="C2272" s="24">
        <v>86.14</v>
      </c>
      <c r="E2272" s="24">
        <v>86.14</v>
      </c>
    </row>
    <row r="2273" spans="1:5" ht="15.75" customHeight="1" x14ac:dyDescent="0.4">
      <c r="A2273" s="24" t="s">
        <v>1662</v>
      </c>
      <c r="B2273" s="24" t="s">
        <v>2190</v>
      </c>
      <c r="C2273" s="24">
        <v>86.14</v>
      </c>
      <c r="D2273" s="24">
        <v>0</v>
      </c>
      <c r="E2273" s="24">
        <v>86.14</v>
      </c>
    </row>
    <row r="2274" spans="1:5" ht="15.75" customHeight="1" x14ac:dyDescent="0.4">
      <c r="A2274" s="24" t="s">
        <v>2052</v>
      </c>
      <c r="B2274" s="24" t="s">
        <v>2190</v>
      </c>
      <c r="C2274" s="24">
        <v>86.14</v>
      </c>
      <c r="E2274" s="24">
        <v>86.14</v>
      </c>
    </row>
    <row r="2275" spans="1:5" ht="15.75" customHeight="1" x14ac:dyDescent="0.4">
      <c r="A2275" s="24" t="s">
        <v>1817</v>
      </c>
      <c r="B2275" s="24" t="s">
        <v>2188</v>
      </c>
      <c r="C2275" s="24">
        <v>86.11</v>
      </c>
      <c r="E2275" s="24">
        <v>86.11</v>
      </c>
    </row>
    <row r="2276" spans="1:5" ht="15.75" customHeight="1" x14ac:dyDescent="0.4">
      <c r="A2276" s="24" t="s">
        <v>1291</v>
      </c>
      <c r="B2276" s="24" t="s">
        <v>2188</v>
      </c>
      <c r="C2276" s="24">
        <v>86.1</v>
      </c>
      <c r="E2276" s="24">
        <v>86.1</v>
      </c>
    </row>
    <row r="2277" spans="1:5" ht="15.75" customHeight="1" x14ac:dyDescent="0.4">
      <c r="A2277" s="24" t="s">
        <v>1597</v>
      </c>
      <c r="B2277" s="24" t="s">
        <v>2190</v>
      </c>
      <c r="C2277" s="24">
        <v>86.1</v>
      </c>
      <c r="E2277" s="24">
        <v>86.1</v>
      </c>
    </row>
    <row r="2278" spans="1:5" ht="15.75" customHeight="1" x14ac:dyDescent="0.4">
      <c r="A2278" s="24" t="s">
        <v>1089</v>
      </c>
      <c r="B2278" s="24" t="s">
        <v>2190</v>
      </c>
      <c r="C2278" s="24">
        <v>86.1</v>
      </c>
      <c r="E2278" s="24">
        <v>86.1</v>
      </c>
    </row>
    <row r="2279" spans="1:5" ht="15.75" customHeight="1" x14ac:dyDescent="0.4">
      <c r="A2279" s="24" t="s">
        <v>1036</v>
      </c>
      <c r="B2279" s="24" t="s">
        <v>2190</v>
      </c>
      <c r="C2279" s="24">
        <v>86.1</v>
      </c>
      <c r="E2279" s="24">
        <v>86.1</v>
      </c>
    </row>
    <row r="2280" spans="1:5" ht="15.75" customHeight="1" x14ac:dyDescent="0.4">
      <c r="A2280" s="24" t="s">
        <v>1091</v>
      </c>
      <c r="B2280" s="24" t="s">
        <v>2190</v>
      </c>
      <c r="C2280" s="24">
        <v>86.1</v>
      </c>
      <c r="E2280" s="24">
        <v>86.1</v>
      </c>
    </row>
    <row r="2281" spans="1:5" ht="15.75" customHeight="1" x14ac:dyDescent="0.4">
      <c r="A2281" s="24" t="s">
        <v>1407</v>
      </c>
      <c r="B2281" s="24" t="s">
        <v>2188</v>
      </c>
      <c r="C2281" s="24">
        <v>86.09</v>
      </c>
      <c r="E2281" s="24">
        <v>86.09</v>
      </c>
    </row>
    <row r="2282" spans="1:5" ht="15.75" customHeight="1" x14ac:dyDescent="0.4">
      <c r="A2282" s="24" t="s">
        <v>1929</v>
      </c>
      <c r="B2282" s="24" t="s">
        <v>2188</v>
      </c>
      <c r="C2282" s="24">
        <v>86.06</v>
      </c>
      <c r="E2282" s="24">
        <v>86.06</v>
      </c>
    </row>
    <row r="2283" spans="1:5" ht="15.75" customHeight="1" x14ac:dyDescent="0.4">
      <c r="A2283" s="24" t="s">
        <v>1147</v>
      </c>
      <c r="B2283" s="24" t="s">
        <v>2190</v>
      </c>
      <c r="C2283" s="24">
        <v>86.04</v>
      </c>
      <c r="E2283" s="24">
        <v>86.04</v>
      </c>
    </row>
    <row r="2284" spans="1:5" ht="15.75" customHeight="1" x14ac:dyDescent="0.4">
      <c r="A2284" s="24" t="s">
        <v>1144</v>
      </c>
      <c r="B2284" s="24" t="s">
        <v>2190</v>
      </c>
      <c r="C2284" s="24">
        <v>86.04</v>
      </c>
      <c r="E2284" s="24">
        <v>86.04</v>
      </c>
    </row>
    <row r="2285" spans="1:5" ht="15.75" customHeight="1" x14ac:dyDescent="0.4">
      <c r="A2285" s="24" t="s">
        <v>1687</v>
      </c>
      <c r="B2285" s="24" t="s">
        <v>2190</v>
      </c>
      <c r="C2285" s="24">
        <v>86.02</v>
      </c>
      <c r="E2285" s="24">
        <v>86.02</v>
      </c>
    </row>
    <row r="2286" spans="1:5" ht="15.75" customHeight="1" x14ac:dyDescent="0.4">
      <c r="A2286" s="24" t="s">
        <v>1171</v>
      </c>
      <c r="B2286" s="24" t="s">
        <v>2190</v>
      </c>
      <c r="C2286" s="24">
        <v>86.01</v>
      </c>
      <c r="E2286" s="24">
        <v>86.01</v>
      </c>
    </row>
    <row r="2287" spans="1:5" ht="15.75" customHeight="1" x14ac:dyDescent="0.4">
      <c r="A2287" s="24" t="s">
        <v>1066</v>
      </c>
      <c r="B2287" s="24" t="s">
        <v>2190</v>
      </c>
      <c r="C2287" s="24">
        <v>85.98</v>
      </c>
      <c r="E2287" s="24">
        <v>85.98</v>
      </c>
    </row>
    <row r="2288" spans="1:5" ht="15.75" customHeight="1" x14ac:dyDescent="0.4">
      <c r="A2288" s="24" t="s">
        <v>1451</v>
      </c>
      <c r="B2288" s="24" t="s">
        <v>2188</v>
      </c>
      <c r="C2288" s="24">
        <v>85.77</v>
      </c>
      <c r="D2288" s="24">
        <v>0.18</v>
      </c>
      <c r="E2288" s="24">
        <v>85.95</v>
      </c>
    </row>
    <row r="2289" spans="1:5" ht="15.75" customHeight="1" x14ac:dyDescent="0.4">
      <c r="A2289" s="24" t="s">
        <v>2063</v>
      </c>
      <c r="B2289" s="24" t="s">
        <v>2188</v>
      </c>
      <c r="C2289" s="24">
        <v>85.95</v>
      </c>
      <c r="E2289" s="24">
        <v>85.95</v>
      </c>
    </row>
    <row r="2290" spans="1:5" ht="15.75" customHeight="1" x14ac:dyDescent="0.4">
      <c r="A2290" s="24" t="s">
        <v>1751</v>
      </c>
      <c r="B2290" s="24" t="s">
        <v>2190</v>
      </c>
      <c r="C2290" s="24">
        <v>85.92</v>
      </c>
      <c r="D2290" s="24">
        <v>0.53</v>
      </c>
      <c r="E2290" s="24">
        <v>85.94</v>
      </c>
    </row>
    <row r="2291" spans="1:5" ht="15.75" customHeight="1" x14ac:dyDescent="0.4">
      <c r="A2291" s="24" t="s">
        <v>1337</v>
      </c>
      <c r="B2291" s="24" t="s">
        <v>2191</v>
      </c>
      <c r="C2291" s="24">
        <v>85.93</v>
      </c>
      <c r="E2291" s="24">
        <v>85.93</v>
      </c>
    </row>
    <row r="2292" spans="1:5" ht="15.75" customHeight="1" x14ac:dyDescent="0.4">
      <c r="A2292" s="24" t="s">
        <v>527</v>
      </c>
      <c r="B2292" s="24" t="s">
        <v>2188</v>
      </c>
      <c r="C2292" s="24">
        <v>85.92</v>
      </c>
      <c r="E2292" s="24">
        <v>85.92</v>
      </c>
    </row>
    <row r="2293" spans="1:5" ht="15.75" customHeight="1" x14ac:dyDescent="0.4">
      <c r="A2293" s="24" t="s">
        <v>2086</v>
      </c>
      <c r="B2293" s="24" t="s">
        <v>2190</v>
      </c>
      <c r="C2293" s="24">
        <v>85.9</v>
      </c>
      <c r="E2293" s="24">
        <v>85.9</v>
      </c>
    </row>
    <row r="2294" spans="1:5" ht="15.75" customHeight="1" x14ac:dyDescent="0.4">
      <c r="A2294" s="24" t="s">
        <v>976</v>
      </c>
      <c r="B2294" s="24" t="s">
        <v>2188</v>
      </c>
      <c r="C2294" s="24">
        <v>85.9</v>
      </c>
      <c r="E2294" s="24">
        <v>85.9</v>
      </c>
    </row>
    <row r="2295" spans="1:5" ht="15.75" customHeight="1" x14ac:dyDescent="0.4">
      <c r="A2295" s="24" t="s">
        <v>1025</v>
      </c>
      <c r="B2295" s="24" t="s">
        <v>2190</v>
      </c>
      <c r="C2295" s="24">
        <v>85.88</v>
      </c>
      <c r="E2295" s="24">
        <v>85.88</v>
      </c>
    </row>
    <row r="2296" spans="1:5" ht="15.75" customHeight="1" x14ac:dyDescent="0.4">
      <c r="A2296" s="24" t="s">
        <v>2037</v>
      </c>
      <c r="B2296" s="24" t="s">
        <v>2188</v>
      </c>
      <c r="C2296" s="24">
        <v>85.88</v>
      </c>
      <c r="D2296" s="24">
        <v>0</v>
      </c>
      <c r="E2296" s="24">
        <v>85.88</v>
      </c>
    </row>
    <row r="2297" spans="1:5" ht="15.75" customHeight="1" x14ac:dyDescent="0.4">
      <c r="A2297" s="24" t="s">
        <v>1435</v>
      </c>
      <c r="B2297" s="24" t="s">
        <v>2190</v>
      </c>
      <c r="C2297" s="24">
        <v>85.85</v>
      </c>
      <c r="E2297" s="24">
        <v>85.85</v>
      </c>
    </row>
    <row r="2298" spans="1:5" ht="15.75" customHeight="1" x14ac:dyDescent="0.4">
      <c r="A2298" s="24" t="s">
        <v>1219</v>
      </c>
      <c r="B2298" s="24" t="s">
        <v>2188</v>
      </c>
      <c r="C2298" s="24">
        <v>85.85</v>
      </c>
      <c r="E2298" s="24">
        <v>85.85</v>
      </c>
    </row>
    <row r="2299" spans="1:5" ht="15.75" customHeight="1" x14ac:dyDescent="0.4">
      <c r="A2299" s="24" t="s">
        <v>1350</v>
      </c>
      <c r="B2299" s="24" t="s">
        <v>2188</v>
      </c>
      <c r="C2299" s="24">
        <v>85.85</v>
      </c>
      <c r="E2299" s="24">
        <v>85.85</v>
      </c>
    </row>
    <row r="2300" spans="1:5" ht="15.75" customHeight="1" x14ac:dyDescent="0.4">
      <c r="A2300" s="24" t="s">
        <v>1321</v>
      </c>
      <c r="B2300" s="24" t="s">
        <v>2188</v>
      </c>
      <c r="C2300" s="24">
        <v>85.84</v>
      </c>
      <c r="E2300" s="24">
        <v>85.84</v>
      </c>
    </row>
    <row r="2301" spans="1:5" ht="15.75" customHeight="1" x14ac:dyDescent="0.4">
      <c r="A2301" s="24" t="s">
        <v>1786</v>
      </c>
      <c r="B2301" s="24" t="s">
        <v>2190</v>
      </c>
      <c r="C2301" s="24">
        <v>85.83</v>
      </c>
      <c r="E2301" s="24">
        <v>85.83</v>
      </c>
    </row>
    <row r="2302" spans="1:5" ht="15.75" customHeight="1" x14ac:dyDescent="0.4">
      <c r="A2302" s="24" t="s">
        <v>1322</v>
      </c>
      <c r="B2302" s="24" t="s">
        <v>2190</v>
      </c>
      <c r="C2302" s="24">
        <v>85.63</v>
      </c>
      <c r="D2302" s="24">
        <v>0.19</v>
      </c>
      <c r="E2302" s="24">
        <v>85.81</v>
      </c>
    </row>
    <row r="2303" spans="1:5" ht="15.75" customHeight="1" x14ac:dyDescent="0.4">
      <c r="A2303" s="24" t="s">
        <v>1943</v>
      </c>
      <c r="B2303" s="24" t="s">
        <v>2188</v>
      </c>
      <c r="C2303" s="24">
        <v>85.81</v>
      </c>
      <c r="E2303" s="24">
        <v>85.81</v>
      </c>
    </row>
    <row r="2304" spans="1:5" ht="15.75" customHeight="1" x14ac:dyDescent="0.4">
      <c r="A2304" s="24" t="s">
        <v>1007</v>
      </c>
      <c r="B2304" s="24" t="s">
        <v>2190</v>
      </c>
      <c r="C2304" s="24">
        <v>85.81</v>
      </c>
      <c r="E2304" s="24">
        <v>85.81</v>
      </c>
    </row>
    <row r="2305" spans="1:5" ht="15.75" customHeight="1" x14ac:dyDescent="0.4">
      <c r="A2305" s="24" t="s">
        <v>641</v>
      </c>
      <c r="B2305" s="24" t="s">
        <v>2190</v>
      </c>
      <c r="C2305" s="24">
        <v>85.8</v>
      </c>
      <c r="E2305" s="24">
        <v>85.8</v>
      </c>
    </row>
    <row r="2306" spans="1:5" ht="15.75" customHeight="1" x14ac:dyDescent="0.4">
      <c r="A2306" s="24" t="s">
        <v>1018</v>
      </c>
      <c r="B2306" s="24" t="s">
        <v>2188</v>
      </c>
      <c r="C2306" s="24">
        <v>85.79</v>
      </c>
      <c r="E2306" s="24">
        <v>85.79</v>
      </c>
    </row>
    <row r="2307" spans="1:5" ht="15.75" customHeight="1" x14ac:dyDescent="0.4">
      <c r="A2307" s="24" t="s">
        <v>1709</v>
      </c>
      <c r="B2307" s="24" t="s">
        <v>2188</v>
      </c>
      <c r="C2307" s="24">
        <v>85.78</v>
      </c>
      <c r="E2307" s="24">
        <v>85.78</v>
      </c>
    </row>
    <row r="2308" spans="1:5" ht="15.75" customHeight="1" x14ac:dyDescent="0.4">
      <c r="A2308" s="24" t="s">
        <v>1587</v>
      </c>
      <c r="B2308" s="24" t="s">
        <v>2188</v>
      </c>
      <c r="C2308" s="24">
        <v>85.76</v>
      </c>
      <c r="E2308" s="24">
        <v>85.76</v>
      </c>
    </row>
    <row r="2309" spans="1:5" ht="15.75" customHeight="1" x14ac:dyDescent="0.4">
      <c r="A2309" s="24" t="s">
        <v>2140</v>
      </c>
      <c r="B2309" s="24" t="s">
        <v>2188</v>
      </c>
      <c r="C2309" s="24">
        <v>85.76</v>
      </c>
      <c r="E2309" s="24">
        <v>85.76</v>
      </c>
    </row>
    <row r="2310" spans="1:5" ht="15.75" customHeight="1" x14ac:dyDescent="0.4">
      <c r="A2310" s="24" t="s">
        <v>1248</v>
      </c>
      <c r="B2310" s="24" t="s">
        <v>2188</v>
      </c>
      <c r="C2310" s="24">
        <v>85.75</v>
      </c>
      <c r="E2310" s="24">
        <v>85.75</v>
      </c>
    </row>
    <row r="2311" spans="1:5" ht="15.75" customHeight="1" x14ac:dyDescent="0.4">
      <c r="A2311" s="24" t="s">
        <v>1019</v>
      </c>
      <c r="B2311" s="24" t="s">
        <v>2190</v>
      </c>
      <c r="C2311" s="24">
        <v>85.74</v>
      </c>
      <c r="E2311" s="24">
        <v>85.74</v>
      </c>
    </row>
    <row r="2312" spans="1:5" ht="15.75" customHeight="1" x14ac:dyDescent="0.4">
      <c r="A2312" s="24" t="s">
        <v>1202</v>
      </c>
      <c r="B2312" s="24" t="s">
        <v>2190</v>
      </c>
      <c r="C2312" s="24">
        <v>83.34</v>
      </c>
      <c r="D2312" s="24">
        <v>6.43</v>
      </c>
      <c r="E2312" s="24">
        <v>85.73</v>
      </c>
    </row>
    <row r="2313" spans="1:5" ht="15.75" customHeight="1" x14ac:dyDescent="0.4">
      <c r="A2313" s="24" t="s">
        <v>1908</v>
      </c>
      <c r="B2313" s="24" t="s">
        <v>2188</v>
      </c>
      <c r="C2313" s="24">
        <v>85.73</v>
      </c>
      <c r="E2313" s="24">
        <v>85.73</v>
      </c>
    </row>
    <row r="2314" spans="1:5" ht="15.75" customHeight="1" x14ac:dyDescent="0.4">
      <c r="A2314" s="24" t="s">
        <v>718</v>
      </c>
      <c r="B2314" s="24" t="s">
        <v>2190</v>
      </c>
      <c r="C2314" s="24">
        <v>85.7</v>
      </c>
      <c r="E2314" s="24">
        <v>85.7</v>
      </c>
    </row>
    <row r="2315" spans="1:5" ht="15.75" customHeight="1" x14ac:dyDescent="0.4">
      <c r="A2315" s="24" t="s">
        <v>1191</v>
      </c>
      <c r="B2315" s="24" t="s">
        <v>2190</v>
      </c>
      <c r="C2315" s="24">
        <v>85.68</v>
      </c>
      <c r="E2315" s="24">
        <v>85.68</v>
      </c>
    </row>
    <row r="2316" spans="1:5" ht="15.75" customHeight="1" x14ac:dyDescent="0.4">
      <c r="A2316" s="24" t="s">
        <v>1299</v>
      </c>
      <c r="B2316" s="24" t="s">
        <v>2188</v>
      </c>
      <c r="C2316" s="24">
        <v>85.57</v>
      </c>
      <c r="D2316" s="24">
        <v>2.63</v>
      </c>
      <c r="E2316" s="24">
        <v>85.68</v>
      </c>
    </row>
    <row r="2317" spans="1:5" ht="15.75" customHeight="1" x14ac:dyDescent="0.4">
      <c r="A2317" s="24" t="s">
        <v>961</v>
      </c>
      <c r="B2317" s="24" t="s">
        <v>2188</v>
      </c>
      <c r="C2317" s="24">
        <v>85.67</v>
      </c>
      <c r="E2317" s="24">
        <v>85.67</v>
      </c>
    </row>
    <row r="2318" spans="1:5" ht="15.75" customHeight="1" x14ac:dyDescent="0.4">
      <c r="A2318" s="24" t="s">
        <v>2046</v>
      </c>
      <c r="B2318" s="24" t="s">
        <v>2188</v>
      </c>
      <c r="C2318" s="24">
        <v>85.67</v>
      </c>
      <c r="E2318" s="24">
        <v>85.67</v>
      </c>
    </row>
    <row r="2319" spans="1:5" ht="15.75" customHeight="1" x14ac:dyDescent="0.4">
      <c r="A2319" s="24" t="s">
        <v>2026</v>
      </c>
      <c r="B2319" s="24" t="s">
        <v>2190</v>
      </c>
      <c r="C2319" s="24">
        <v>85.67</v>
      </c>
      <c r="E2319" s="24">
        <v>85.67</v>
      </c>
    </row>
    <row r="2320" spans="1:5" ht="15.75" customHeight="1" x14ac:dyDescent="0.4">
      <c r="A2320" s="24" t="s">
        <v>1882</v>
      </c>
      <c r="B2320" s="24" t="s">
        <v>2188</v>
      </c>
      <c r="C2320" s="24">
        <v>85.64</v>
      </c>
      <c r="E2320" s="24">
        <v>85.64</v>
      </c>
    </row>
    <row r="2321" spans="1:5" ht="15.75" customHeight="1" x14ac:dyDescent="0.4">
      <c r="A2321" s="24" t="s">
        <v>413</v>
      </c>
      <c r="B2321" s="24" t="s">
        <v>2188</v>
      </c>
      <c r="C2321" s="24">
        <v>85.64</v>
      </c>
      <c r="E2321" s="24">
        <v>85.64</v>
      </c>
    </row>
    <row r="2322" spans="1:5" ht="15.75" customHeight="1" x14ac:dyDescent="0.4">
      <c r="A2322" s="24" t="s">
        <v>2048</v>
      </c>
      <c r="B2322" s="24" t="s">
        <v>2188</v>
      </c>
      <c r="C2322" s="24">
        <v>85.64</v>
      </c>
      <c r="E2322" s="24">
        <v>85.64</v>
      </c>
    </row>
    <row r="2323" spans="1:5" ht="15.75" customHeight="1" x14ac:dyDescent="0.4">
      <c r="A2323" s="24" t="s">
        <v>1924</v>
      </c>
      <c r="B2323" s="24" t="s">
        <v>2190</v>
      </c>
      <c r="C2323" s="24">
        <v>85.64</v>
      </c>
      <c r="E2323" s="24">
        <v>85.64</v>
      </c>
    </row>
    <row r="2324" spans="1:5" ht="15.75" customHeight="1" x14ac:dyDescent="0.4">
      <c r="A2324" s="24" t="s">
        <v>1811</v>
      </c>
      <c r="B2324" s="24" t="s">
        <v>2188</v>
      </c>
      <c r="C2324" s="24">
        <v>85.62</v>
      </c>
      <c r="E2324" s="24">
        <v>85.62</v>
      </c>
    </row>
    <row r="2325" spans="1:5" ht="15.75" customHeight="1" x14ac:dyDescent="0.4">
      <c r="A2325" s="24" t="s">
        <v>1429</v>
      </c>
      <c r="B2325" s="24" t="s">
        <v>2188</v>
      </c>
      <c r="C2325" s="24">
        <v>85.61</v>
      </c>
      <c r="E2325" s="24">
        <v>85.61</v>
      </c>
    </row>
    <row r="2326" spans="1:5" ht="15.75" customHeight="1" x14ac:dyDescent="0.4">
      <c r="A2326" s="24" t="s">
        <v>1672</v>
      </c>
      <c r="B2326" s="24" t="s">
        <v>2190</v>
      </c>
      <c r="C2326" s="24">
        <v>85.6</v>
      </c>
      <c r="E2326" s="24">
        <v>85.6</v>
      </c>
    </row>
    <row r="2327" spans="1:5" ht="15.75" customHeight="1" x14ac:dyDescent="0.4">
      <c r="A2327" s="24" t="s">
        <v>1804</v>
      </c>
      <c r="B2327" s="24" t="s">
        <v>2188</v>
      </c>
      <c r="C2327" s="24">
        <v>85.58</v>
      </c>
      <c r="E2327" s="24">
        <v>85.58</v>
      </c>
    </row>
    <row r="2328" spans="1:5" ht="15.75" customHeight="1" x14ac:dyDescent="0.4">
      <c r="A2328" s="24" t="s">
        <v>415</v>
      </c>
      <c r="B2328" s="24" t="s">
        <v>2190</v>
      </c>
      <c r="C2328" s="24">
        <v>85.58</v>
      </c>
      <c r="E2328" s="24">
        <v>85.58</v>
      </c>
    </row>
    <row r="2329" spans="1:5" ht="15.75" customHeight="1" x14ac:dyDescent="0.4">
      <c r="A2329" s="24" t="s">
        <v>1765</v>
      </c>
      <c r="B2329" s="24" t="s">
        <v>2188</v>
      </c>
      <c r="C2329" s="24">
        <v>85.54</v>
      </c>
      <c r="E2329" s="24">
        <v>85.54</v>
      </c>
    </row>
    <row r="2330" spans="1:5" ht="15.75" customHeight="1" x14ac:dyDescent="0.4">
      <c r="A2330" s="24" t="s">
        <v>2091</v>
      </c>
      <c r="B2330" s="24" t="s">
        <v>2188</v>
      </c>
      <c r="C2330" s="24">
        <v>85.48</v>
      </c>
      <c r="E2330" s="24">
        <v>85.48</v>
      </c>
    </row>
    <row r="2331" spans="1:5" ht="15.75" customHeight="1" x14ac:dyDescent="0.4">
      <c r="A2331" s="24" t="s">
        <v>1777</v>
      </c>
      <c r="B2331" s="24" t="s">
        <v>2188</v>
      </c>
      <c r="C2331" s="24">
        <v>85.25</v>
      </c>
      <c r="D2331" s="24">
        <v>0.23</v>
      </c>
      <c r="E2331" s="24">
        <v>85.48</v>
      </c>
    </row>
    <row r="2332" spans="1:5" ht="15.75" customHeight="1" x14ac:dyDescent="0.4">
      <c r="A2332" s="24" t="s">
        <v>720</v>
      </c>
      <c r="B2332" s="24" t="s">
        <v>2188</v>
      </c>
      <c r="C2332" s="24">
        <v>84.83</v>
      </c>
      <c r="D2332" s="24">
        <v>0.65</v>
      </c>
      <c r="E2332" s="24">
        <v>85.48</v>
      </c>
    </row>
    <row r="2333" spans="1:5" ht="15.75" customHeight="1" x14ac:dyDescent="0.4">
      <c r="A2333" s="24" t="s">
        <v>1003</v>
      </c>
      <c r="B2333" s="24" t="s">
        <v>2190</v>
      </c>
      <c r="C2333" s="24">
        <v>85.46</v>
      </c>
      <c r="E2333" s="24">
        <v>85.46</v>
      </c>
    </row>
    <row r="2334" spans="1:5" ht="15.75" customHeight="1" x14ac:dyDescent="0.4">
      <c r="A2334" s="24" t="s">
        <v>922</v>
      </c>
      <c r="B2334" s="24" t="s">
        <v>2188</v>
      </c>
      <c r="C2334" s="24">
        <v>85.44</v>
      </c>
      <c r="E2334" s="24">
        <v>85.44</v>
      </c>
    </row>
    <row r="2335" spans="1:5" ht="15.75" customHeight="1" x14ac:dyDescent="0.4">
      <c r="A2335" s="24" t="s">
        <v>1343</v>
      </c>
      <c r="B2335" s="24" t="s">
        <v>2188</v>
      </c>
      <c r="C2335" s="24">
        <v>8.61</v>
      </c>
      <c r="D2335" s="24">
        <v>85.18</v>
      </c>
      <c r="E2335" s="24">
        <v>85.44</v>
      </c>
    </row>
    <row r="2336" spans="1:5" ht="15.75" customHeight="1" x14ac:dyDescent="0.4">
      <c r="A2336" s="24" t="s">
        <v>1851</v>
      </c>
      <c r="B2336" s="24" t="s">
        <v>2188</v>
      </c>
      <c r="C2336" s="24">
        <v>85.43</v>
      </c>
      <c r="E2336" s="24">
        <v>85.43</v>
      </c>
    </row>
    <row r="2337" spans="1:5" ht="15.75" customHeight="1" x14ac:dyDescent="0.4">
      <c r="A2337" s="24" t="s">
        <v>437</v>
      </c>
      <c r="B2337" s="24" t="s">
        <v>2188</v>
      </c>
      <c r="C2337" s="24">
        <v>85.42</v>
      </c>
      <c r="E2337" s="24">
        <v>85.42</v>
      </c>
    </row>
    <row r="2338" spans="1:5" ht="15.75" customHeight="1" x14ac:dyDescent="0.4">
      <c r="A2338" s="24" t="s">
        <v>1650</v>
      </c>
      <c r="B2338" s="24" t="s">
        <v>2188</v>
      </c>
      <c r="C2338" s="24">
        <v>85.39</v>
      </c>
      <c r="D2338" s="24">
        <v>0</v>
      </c>
      <c r="E2338" s="24">
        <v>85.39</v>
      </c>
    </row>
    <row r="2339" spans="1:5" ht="15.75" customHeight="1" x14ac:dyDescent="0.4">
      <c r="A2339" s="24" t="s">
        <v>669</v>
      </c>
      <c r="B2339" s="24" t="s">
        <v>2190</v>
      </c>
      <c r="C2339" s="24">
        <v>85.36</v>
      </c>
      <c r="E2339" s="24">
        <v>85.36</v>
      </c>
    </row>
    <row r="2340" spans="1:5" ht="15.75" customHeight="1" x14ac:dyDescent="0.4">
      <c r="A2340" s="24" t="s">
        <v>1953</v>
      </c>
      <c r="B2340" s="24" t="s">
        <v>2188</v>
      </c>
      <c r="C2340" s="24">
        <v>85.35</v>
      </c>
      <c r="E2340" s="24">
        <v>85.35</v>
      </c>
    </row>
    <row r="2341" spans="1:5" ht="15.75" customHeight="1" x14ac:dyDescent="0.4">
      <c r="A2341" s="24" t="s">
        <v>1084</v>
      </c>
      <c r="B2341" s="24" t="s">
        <v>2188</v>
      </c>
      <c r="C2341" s="24">
        <v>85.14</v>
      </c>
      <c r="D2341" s="24">
        <v>0.21</v>
      </c>
      <c r="E2341" s="24">
        <v>85.35</v>
      </c>
    </row>
    <row r="2342" spans="1:5" ht="15.75" customHeight="1" x14ac:dyDescent="0.4">
      <c r="A2342" s="24" t="s">
        <v>1254</v>
      </c>
      <c r="B2342" s="24" t="s">
        <v>2188</v>
      </c>
      <c r="C2342" s="24">
        <v>85.29</v>
      </c>
      <c r="E2342" s="24">
        <v>85.29</v>
      </c>
    </row>
    <row r="2343" spans="1:5" ht="15.75" customHeight="1" x14ac:dyDescent="0.4">
      <c r="A2343" s="24" t="s">
        <v>2015</v>
      </c>
      <c r="B2343" s="24" t="s">
        <v>2188</v>
      </c>
      <c r="C2343" s="24">
        <v>85.28</v>
      </c>
      <c r="E2343" s="24">
        <v>85.28</v>
      </c>
    </row>
    <row r="2344" spans="1:5" ht="15.75" customHeight="1" x14ac:dyDescent="0.4">
      <c r="A2344" s="24" t="s">
        <v>1572</v>
      </c>
      <c r="B2344" s="24" t="s">
        <v>2188</v>
      </c>
      <c r="C2344" s="24">
        <v>85.27</v>
      </c>
      <c r="E2344" s="24">
        <v>85.27</v>
      </c>
    </row>
    <row r="2345" spans="1:5" ht="15.75" customHeight="1" x14ac:dyDescent="0.4">
      <c r="A2345" s="24" t="s">
        <v>1712</v>
      </c>
      <c r="B2345" s="24" t="s">
        <v>2188</v>
      </c>
      <c r="C2345" s="24">
        <v>85.27</v>
      </c>
      <c r="E2345" s="24">
        <v>85.27</v>
      </c>
    </row>
    <row r="2346" spans="1:5" ht="15.75" customHeight="1" x14ac:dyDescent="0.4">
      <c r="A2346" s="24" t="s">
        <v>1165</v>
      </c>
      <c r="B2346" s="24" t="s">
        <v>2190</v>
      </c>
      <c r="C2346" s="24">
        <v>85.25</v>
      </c>
      <c r="E2346" s="24">
        <v>85.25</v>
      </c>
    </row>
    <row r="2347" spans="1:5" ht="15.75" customHeight="1" x14ac:dyDescent="0.4">
      <c r="A2347" s="24" t="s">
        <v>943</v>
      </c>
      <c r="B2347" s="24" t="s">
        <v>2190</v>
      </c>
      <c r="C2347" s="24">
        <v>85.25</v>
      </c>
      <c r="E2347" s="24">
        <v>85.25</v>
      </c>
    </row>
    <row r="2348" spans="1:5" ht="15.75" customHeight="1" x14ac:dyDescent="0.4">
      <c r="A2348" s="24" t="s">
        <v>1605</v>
      </c>
      <c r="B2348" s="24" t="s">
        <v>2188</v>
      </c>
      <c r="C2348" s="24">
        <v>85.25</v>
      </c>
      <c r="E2348" s="24">
        <v>85.25</v>
      </c>
    </row>
    <row r="2349" spans="1:5" ht="15.75" customHeight="1" x14ac:dyDescent="0.4">
      <c r="A2349" s="24" t="s">
        <v>1628</v>
      </c>
      <c r="B2349" s="24" t="s">
        <v>2188</v>
      </c>
      <c r="C2349" s="24">
        <v>85.24</v>
      </c>
      <c r="E2349" s="24">
        <v>85.24</v>
      </c>
    </row>
    <row r="2350" spans="1:5" ht="15.75" customHeight="1" x14ac:dyDescent="0.4">
      <c r="A2350" s="24" t="s">
        <v>1013</v>
      </c>
      <c r="B2350" s="24" t="s">
        <v>2190</v>
      </c>
      <c r="C2350" s="24">
        <v>85.24</v>
      </c>
      <c r="E2350" s="24">
        <v>85.24</v>
      </c>
    </row>
    <row r="2351" spans="1:5" ht="15.75" customHeight="1" x14ac:dyDescent="0.4">
      <c r="A2351" s="24" t="s">
        <v>1470</v>
      </c>
      <c r="B2351" s="24" t="s">
        <v>2188</v>
      </c>
      <c r="C2351" s="24">
        <v>85.21</v>
      </c>
      <c r="D2351" s="24">
        <v>0</v>
      </c>
      <c r="E2351" s="24">
        <v>85.21</v>
      </c>
    </row>
    <row r="2352" spans="1:5" ht="15.75" customHeight="1" x14ac:dyDescent="0.4">
      <c r="A2352" s="24" t="s">
        <v>1535</v>
      </c>
      <c r="B2352" s="24" t="s">
        <v>2188</v>
      </c>
      <c r="C2352" s="24">
        <v>85.21</v>
      </c>
      <c r="E2352" s="24">
        <v>85.21</v>
      </c>
    </row>
    <row r="2353" spans="1:5" ht="15.75" customHeight="1" x14ac:dyDescent="0.4">
      <c r="A2353" s="24" t="s">
        <v>1391</v>
      </c>
      <c r="B2353" s="24" t="s">
        <v>2188</v>
      </c>
      <c r="C2353" s="24">
        <v>85.17</v>
      </c>
      <c r="E2353" s="24">
        <v>85.17</v>
      </c>
    </row>
    <row r="2354" spans="1:5" ht="15.75" customHeight="1" x14ac:dyDescent="0.4">
      <c r="A2354" s="24" t="s">
        <v>1232</v>
      </c>
      <c r="B2354" s="24" t="s">
        <v>2190</v>
      </c>
      <c r="C2354" s="24">
        <v>85.16</v>
      </c>
      <c r="E2354" s="24">
        <v>85.16</v>
      </c>
    </row>
    <row r="2355" spans="1:5" ht="15.75" customHeight="1" x14ac:dyDescent="0.4">
      <c r="A2355" s="24" t="s">
        <v>1129</v>
      </c>
      <c r="B2355" s="24" t="s">
        <v>2190</v>
      </c>
      <c r="C2355" s="24">
        <v>85.16</v>
      </c>
      <c r="E2355" s="24">
        <v>85.16</v>
      </c>
    </row>
    <row r="2356" spans="1:5" ht="15.75" customHeight="1" x14ac:dyDescent="0.4">
      <c r="A2356" s="24" t="s">
        <v>1872</v>
      </c>
      <c r="B2356" s="24" t="s">
        <v>2188</v>
      </c>
      <c r="C2356" s="24">
        <v>85.16</v>
      </c>
      <c r="E2356" s="24">
        <v>85.16</v>
      </c>
    </row>
    <row r="2357" spans="1:5" ht="15.75" customHeight="1" x14ac:dyDescent="0.4">
      <c r="A2357" s="24" t="s">
        <v>698</v>
      </c>
      <c r="B2357" s="24" t="s">
        <v>2190</v>
      </c>
      <c r="C2357" s="24">
        <v>85.15</v>
      </c>
      <c r="E2357" s="24">
        <v>85.15</v>
      </c>
    </row>
    <row r="2358" spans="1:5" ht="15.75" customHeight="1" x14ac:dyDescent="0.4">
      <c r="A2358" s="24" t="s">
        <v>1845</v>
      </c>
      <c r="B2358" s="24" t="s">
        <v>2188</v>
      </c>
      <c r="C2358" s="24">
        <v>85.08</v>
      </c>
      <c r="E2358" s="24">
        <v>85.08</v>
      </c>
    </row>
    <row r="2359" spans="1:5" ht="15.75" customHeight="1" x14ac:dyDescent="0.4">
      <c r="A2359" s="24" t="s">
        <v>1409</v>
      </c>
      <c r="B2359" s="24" t="s">
        <v>2188</v>
      </c>
      <c r="C2359" s="24">
        <v>85.08</v>
      </c>
      <c r="E2359" s="24">
        <v>85.08</v>
      </c>
    </row>
    <row r="2360" spans="1:5" ht="15.75" customHeight="1" x14ac:dyDescent="0.4">
      <c r="A2360" s="24" t="s">
        <v>2134</v>
      </c>
      <c r="B2360" s="24" t="s">
        <v>2190</v>
      </c>
      <c r="C2360" s="24">
        <v>85.07</v>
      </c>
      <c r="E2360" s="24">
        <v>85.07</v>
      </c>
    </row>
    <row r="2361" spans="1:5" ht="15.75" customHeight="1" x14ac:dyDescent="0.4">
      <c r="A2361" s="24" t="s">
        <v>905</v>
      </c>
      <c r="B2361" s="24" t="s">
        <v>2188</v>
      </c>
      <c r="C2361" s="24">
        <v>85.06</v>
      </c>
      <c r="E2361" s="24">
        <v>85.06</v>
      </c>
    </row>
    <row r="2362" spans="1:5" ht="15.75" customHeight="1" x14ac:dyDescent="0.4">
      <c r="A2362" s="24" t="s">
        <v>2034</v>
      </c>
      <c r="B2362" s="24" t="s">
        <v>2188</v>
      </c>
      <c r="C2362" s="24">
        <v>85.04</v>
      </c>
      <c r="E2362" s="24">
        <v>85.04</v>
      </c>
    </row>
    <row r="2363" spans="1:5" ht="15.75" customHeight="1" x14ac:dyDescent="0.4">
      <c r="A2363" s="24" t="s">
        <v>956</v>
      </c>
      <c r="B2363" s="24" t="s">
        <v>2190</v>
      </c>
      <c r="C2363" s="24">
        <v>85.03</v>
      </c>
      <c r="E2363" s="24">
        <v>85.03</v>
      </c>
    </row>
    <row r="2364" spans="1:5" ht="15.75" customHeight="1" x14ac:dyDescent="0.4">
      <c r="A2364" s="24" t="s">
        <v>1768</v>
      </c>
      <c r="B2364" s="24" t="s">
        <v>2188</v>
      </c>
      <c r="C2364" s="24">
        <v>85.01</v>
      </c>
      <c r="E2364" s="24">
        <v>85.01</v>
      </c>
    </row>
    <row r="2365" spans="1:5" ht="15.75" customHeight="1" x14ac:dyDescent="0.4">
      <c r="A2365" s="24" t="s">
        <v>2096</v>
      </c>
      <c r="B2365" s="24" t="s">
        <v>2188</v>
      </c>
      <c r="C2365" s="24">
        <v>84.99</v>
      </c>
      <c r="E2365" s="24">
        <v>84.99</v>
      </c>
    </row>
    <row r="2366" spans="1:5" ht="15.75" customHeight="1" x14ac:dyDescent="0.4">
      <c r="A2366" s="24" t="s">
        <v>1942</v>
      </c>
      <c r="B2366" s="24" t="s">
        <v>2188</v>
      </c>
      <c r="C2366" s="24">
        <v>84.99</v>
      </c>
      <c r="E2366" s="24">
        <v>84.99</v>
      </c>
    </row>
    <row r="2367" spans="1:5" ht="15.75" customHeight="1" x14ac:dyDescent="0.4">
      <c r="A2367" s="24" t="s">
        <v>515</v>
      </c>
      <c r="B2367" s="24" t="s">
        <v>2190</v>
      </c>
      <c r="C2367" s="24">
        <v>84.41</v>
      </c>
      <c r="D2367" s="24">
        <v>0.66</v>
      </c>
      <c r="E2367" s="24">
        <v>84.99</v>
      </c>
    </row>
    <row r="2368" spans="1:5" ht="15.75" customHeight="1" x14ac:dyDescent="0.4">
      <c r="A2368" s="24" t="s">
        <v>2061</v>
      </c>
      <c r="B2368" s="24" t="s">
        <v>2188</v>
      </c>
      <c r="C2368" s="24">
        <v>84.98</v>
      </c>
      <c r="E2368" s="24">
        <v>84.98</v>
      </c>
    </row>
    <row r="2369" spans="1:5" ht="15.75" customHeight="1" x14ac:dyDescent="0.4">
      <c r="A2369" s="24" t="s">
        <v>2035</v>
      </c>
      <c r="B2369" s="24" t="s">
        <v>2188</v>
      </c>
      <c r="C2369" s="24">
        <v>84.96</v>
      </c>
      <c r="E2369" s="24">
        <v>84.96</v>
      </c>
    </row>
    <row r="2370" spans="1:5" ht="15.75" customHeight="1" x14ac:dyDescent="0.4">
      <c r="A2370" s="24" t="s">
        <v>1527</v>
      </c>
      <c r="B2370" s="24" t="s">
        <v>2188</v>
      </c>
      <c r="C2370" s="24">
        <v>84.95</v>
      </c>
      <c r="E2370" s="24">
        <v>84.95</v>
      </c>
    </row>
    <row r="2371" spans="1:5" ht="15.75" customHeight="1" x14ac:dyDescent="0.4">
      <c r="A2371" s="24" t="s">
        <v>2151</v>
      </c>
      <c r="B2371" s="24" t="s">
        <v>2188</v>
      </c>
      <c r="C2371" s="24">
        <v>84.95</v>
      </c>
      <c r="E2371" s="24">
        <v>84.95</v>
      </c>
    </row>
    <row r="2372" spans="1:5" ht="15.75" customHeight="1" x14ac:dyDescent="0.4">
      <c r="A2372" s="24" t="s">
        <v>1612</v>
      </c>
      <c r="B2372" s="24" t="s">
        <v>2188</v>
      </c>
      <c r="C2372" s="24">
        <v>84.94</v>
      </c>
      <c r="E2372" s="24">
        <v>84.94</v>
      </c>
    </row>
    <row r="2373" spans="1:5" ht="15.75" customHeight="1" x14ac:dyDescent="0.4">
      <c r="A2373" s="24" t="s">
        <v>1460</v>
      </c>
      <c r="B2373" s="24" t="s">
        <v>2188</v>
      </c>
      <c r="C2373" s="24">
        <v>84.93</v>
      </c>
      <c r="E2373" s="24">
        <v>84.93</v>
      </c>
    </row>
    <row r="2374" spans="1:5" ht="15.75" customHeight="1" x14ac:dyDescent="0.4">
      <c r="A2374" s="24" t="s">
        <v>1371</v>
      </c>
      <c r="B2374" s="24" t="s">
        <v>2188</v>
      </c>
      <c r="C2374" s="24">
        <v>84.92</v>
      </c>
      <c r="E2374" s="24">
        <v>84.92</v>
      </c>
    </row>
    <row r="2375" spans="1:5" ht="15.75" customHeight="1" x14ac:dyDescent="0.4">
      <c r="A2375" s="24" t="s">
        <v>792</v>
      </c>
      <c r="B2375" s="24" t="s">
        <v>2188</v>
      </c>
      <c r="C2375" s="24">
        <v>84.91</v>
      </c>
      <c r="E2375" s="24">
        <v>84.91</v>
      </c>
    </row>
    <row r="2376" spans="1:5" ht="15.75" customHeight="1" x14ac:dyDescent="0.4">
      <c r="A2376" s="24" t="s">
        <v>1438</v>
      </c>
      <c r="B2376" s="24" t="s">
        <v>2188</v>
      </c>
      <c r="C2376" s="24">
        <v>84.9</v>
      </c>
      <c r="E2376" s="24">
        <v>84.9</v>
      </c>
    </row>
    <row r="2377" spans="1:5" ht="15.75" customHeight="1" x14ac:dyDescent="0.4">
      <c r="A2377" s="24" t="s">
        <v>377</v>
      </c>
      <c r="B2377" s="24" t="s">
        <v>2188</v>
      </c>
      <c r="C2377" s="24">
        <v>84.9</v>
      </c>
      <c r="E2377" s="24">
        <v>84.9</v>
      </c>
    </row>
    <row r="2378" spans="1:5" ht="15.75" customHeight="1" x14ac:dyDescent="0.4">
      <c r="A2378" s="24" t="s">
        <v>1502</v>
      </c>
      <c r="B2378" s="24" t="s">
        <v>2188</v>
      </c>
      <c r="C2378" s="24">
        <v>84.9</v>
      </c>
      <c r="E2378" s="24">
        <v>84.9</v>
      </c>
    </row>
    <row r="2379" spans="1:5" ht="15.75" customHeight="1" x14ac:dyDescent="0.4">
      <c r="A2379" s="24" t="s">
        <v>1308</v>
      </c>
      <c r="B2379" s="24" t="s">
        <v>2188</v>
      </c>
      <c r="C2379" s="24">
        <v>84.87</v>
      </c>
      <c r="E2379" s="24">
        <v>84.87</v>
      </c>
    </row>
    <row r="2380" spans="1:5" ht="15.75" customHeight="1" x14ac:dyDescent="0.4">
      <c r="A2380" s="24" t="s">
        <v>714</v>
      </c>
      <c r="B2380" s="24" t="s">
        <v>2188</v>
      </c>
      <c r="C2380" s="24">
        <v>84.86</v>
      </c>
      <c r="E2380" s="24">
        <v>84.86</v>
      </c>
    </row>
    <row r="2381" spans="1:5" ht="15.75" customHeight="1" x14ac:dyDescent="0.4">
      <c r="A2381" s="24" t="s">
        <v>1294</v>
      </c>
      <c r="B2381" s="24" t="s">
        <v>2188</v>
      </c>
      <c r="C2381" s="24">
        <v>84.85</v>
      </c>
      <c r="E2381" s="24">
        <v>84.85</v>
      </c>
    </row>
    <row r="2382" spans="1:5" ht="15.75" customHeight="1" x14ac:dyDescent="0.4">
      <c r="A2382" s="24" t="s">
        <v>894</v>
      </c>
      <c r="B2382" s="24" t="s">
        <v>2188</v>
      </c>
      <c r="C2382" s="24">
        <v>82.39</v>
      </c>
      <c r="D2382" s="24">
        <v>2.64</v>
      </c>
      <c r="E2382" s="24">
        <v>84.83</v>
      </c>
    </row>
    <row r="2383" spans="1:5" ht="15.75" customHeight="1" x14ac:dyDescent="0.4">
      <c r="A2383" s="24" t="s">
        <v>1821</v>
      </c>
      <c r="B2383" s="24" t="s">
        <v>2188</v>
      </c>
      <c r="C2383" s="24">
        <v>84.82</v>
      </c>
      <c r="E2383" s="24">
        <v>84.82</v>
      </c>
    </row>
    <row r="2384" spans="1:5" ht="15.75" customHeight="1" x14ac:dyDescent="0.4">
      <c r="A2384" s="24" t="s">
        <v>1035</v>
      </c>
      <c r="B2384" s="24" t="s">
        <v>2188</v>
      </c>
      <c r="C2384" s="24">
        <v>84.81</v>
      </c>
      <c r="E2384" s="24">
        <v>84.81</v>
      </c>
    </row>
    <row r="2385" spans="1:5" ht="15.75" customHeight="1" x14ac:dyDescent="0.4">
      <c r="A2385" s="24" t="s">
        <v>1862</v>
      </c>
      <c r="B2385" s="24" t="s">
        <v>2188</v>
      </c>
      <c r="C2385" s="24">
        <v>84.8</v>
      </c>
      <c r="E2385" s="24">
        <v>84.8</v>
      </c>
    </row>
    <row r="2386" spans="1:5" ht="15.75" customHeight="1" x14ac:dyDescent="0.4">
      <c r="A2386" s="24" t="s">
        <v>1878</v>
      </c>
      <c r="B2386" s="24" t="s">
        <v>2188</v>
      </c>
      <c r="C2386" s="24">
        <v>84.78</v>
      </c>
      <c r="E2386" s="24">
        <v>84.78</v>
      </c>
    </row>
    <row r="2387" spans="1:5" ht="15.75" customHeight="1" x14ac:dyDescent="0.4">
      <c r="A2387" s="24" t="s">
        <v>1404</v>
      </c>
      <c r="B2387" s="24" t="s">
        <v>2188</v>
      </c>
      <c r="C2387" s="24">
        <v>84.76</v>
      </c>
      <c r="E2387" s="24">
        <v>84.76</v>
      </c>
    </row>
    <row r="2388" spans="1:5" ht="15.75" customHeight="1" x14ac:dyDescent="0.4">
      <c r="A2388" s="24" t="s">
        <v>2080</v>
      </c>
      <c r="B2388" s="24" t="s">
        <v>2188</v>
      </c>
      <c r="C2388" s="24">
        <v>84.76</v>
      </c>
      <c r="E2388" s="24">
        <v>84.76</v>
      </c>
    </row>
    <row r="2389" spans="1:5" ht="15.75" customHeight="1" x14ac:dyDescent="0.4">
      <c r="A2389" s="24" t="s">
        <v>1856</v>
      </c>
      <c r="B2389" s="24" t="s">
        <v>2188</v>
      </c>
      <c r="C2389" s="24">
        <v>84.74</v>
      </c>
      <c r="E2389" s="24">
        <v>84.74</v>
      </c>
    </row>
    <row r="2390" spans="1:5" ht="15.75" customHeight="1" x14ac:dyDescent="0.4">
      <c r="A2390" s="24" t="s">
        <v>1444</v>
      </c>
      <c r="B2390" s="24" t="s">
        <v>2188</v>
      </c>
      <c r="C2390" s="24">
        <v>84.72</v>
      </c>
      <c r="E2390" s="24">
        <v>84.72</v>
      </c>
    </row>
    <row r="2391" spans="1:5" ht="15.75" customHeight="1" x14ac:dyDescent="0.4">
      <c r="A2391" s="24" t="s">
        <v>1663</v>
      </c>
      <c r="B2391" s="24" t="s">
        <v>2188</v>
      </c>
      <c r="C2391" s="24">
        <v>84.72</v>
      </c>
      <c r="E2391" s="24">
        <v>84.72</v>
      </c>
    </row>
    <row r="2392" spans="1:5" ht="15.75" customHeight="1" x14ac:dyDescent="0.4">
      <c r="A2392" s="24" t="s">
        <v>973</v>
      </c>
      <c r="B2392" s="24" t="s">
        <v>2190</v>
      </c>
      <c r="C2392" s="24">
        <v>84.72</v>
      </c>
      <c r="E2392" s="24">
        <v>84.72</v>
      </c>
    </row>
    <row r="2393" spans="1:5" ht="15.75" customHeight="1" x14ac:dyDescent="0.4">
      <c r="A2393" s="24" t="s">
        <v>1957</v>
      </c>
      <c r="B2393" s="24" t="s">
        <v>2188</v>
      </c>
      <c r="C2393" s="24">
        <v>84.72</v>
      </c>
      <c r="E2393" s="24">
        <v>84.72</v>
      </c>
    </row>
    <row r="2394" spans="1:5" ht="15.75" customHeight="1" x14ac:dyDescent="0.4">
      <c r="A2394" s="24" t="s">
        <v>866</v>
      </c>
      <c r="B2394" s="24" t="s">
        <v>2188</v>
      </c>
      <c r="C2394" s="24">
        <v>84.27</v>
      </c>
      <c r="D2394" s="24">
        <v>0.45</v>
      </c>
      <c r="E2394" s="24">
        <v>84.72</v>
      </c>
    </row>
    <row r="2395" spans="1:5" ht="15.75" customHeight="1" x14ac:dyDescent="0.4">
      <c r="A2395" s="24" t="s">
        <v>959</v>
      </c>
      <c r="B2395" s="24" t="s">
        <v>2188</v>
      </c>
      <c r="C2395" s="24">
        <v>84.63</v>
      </c>
      <c r="E2395" s="24">
        <v>84.63</v>
      </c>
    </row>
    <row r="2396" spans="1:5" ht="15.75" customHeight="1" x14ac:dyDescent="0.4">
      <c r="A2396" s="24" t="s">
        <v>1551</v>
      </c>
      <c r="B2396" s="24" t="s">
        <v>2188</v>
      </c>
      <c r="C2396" s="24">
        <v>84.63</v>
      </c>
      <c r="E2396" s="24">
        <v>84.63</v>
      </c>
    </row>
    <row r="2397" spans="1:5" ht="15.75" customHeight="1" x14ac:dyDescent="0.4">
      <c r="A2397" s="24" t="s">
        <v>2152</v>
      </c>
      <c r="B2397" s="24" t="s">
        <v>2188</v>
      </c>
      <c r="C2397" s="24">
        <v>84.59</v>
      </c>
      <c r="E2397" s="24">
        <v>84.59</v>
      </c>
    </row>
    <row r="2398" spans="1:5" ht="15.75" customHeight="1" x14ac:dyDescent="0.4">
      <c r="A2398" s="24" t="s">
        <v>1623</v>
      </c>
      <c r="B2398" s="24" t="s">
        <v>2190</v>
      </c>
      <c r="C2398" s="24">
        <v>84.55</v>
      </c>
      <c r="E2398" s="24">
        <v>84.55</v>
      </c>
    </row>
    <row r="2399" spans="1:5" ht="15.75" customHeight="1" x14ac:dyDescent="0.4">
      <c r="A2399" s="24" t="s">
        <v>1331</v>
      </c>
      <c r="B2399" s="24" t="s">
        <v>2188</v>
      </c>
      <c r="C2399" s="24">
        <v>84.55</v>
      </c>
      <c r="E2399" s="24">
        <v>84.55</v>
      </c>
    </row>
    <row r="2400" spans="1:5" ht="15.75" customHeight="1" x14ac:dyDescent="0.4">
      <c r="A2400" s="24" t="s">
        <v>2119</v>
      </c>
      <c r="B2400" s="24" t="s">
        <v>2188</v>
      </c>
      <c r="C2400" s="24">
        <v>84.54</v>
      </c>
      <c r="E2400" s="24">
        <v>84.54</v>
      </c>
    </row>
    <row r="2401" spans="1:5" ht="15.75" customHeight="1" x14ac:dyDescent="0.4">
      <c r="A2401" s="24" t="s">
        <v>883</v>
      </c>
      <c r="B2401" s="24" t="s">
        <v>2188</v>
      </c>
      <c r="C2401" s="24">
        <v>84.54</v>
      </c>
      <c r="E2401" s="24">
        <v>84.54</v>
      </c>
    </row>
    <row r="2402" spans="1:5" ht="15.75" customHeight="1" x14ac:dyDescent="0.4">
      <c r="A2402" s="24" t="s">
        <v>1057</v>
      </c>
      <c r="B2402" s="24" t="s">
        <v>2190</v>
      </c>
      <c r="C2402" s="24">
        <v>84.53</v>
      </c>
      <c r="E2402" s="24">
        <v>84.53</v>
      </c>
    </row>
    <row r="2403" spans="1:5" ht="15.75" customHeight="1" x14ac:dyDescent="0.4">
      <c r="A2403" s="24" t="s">
        <v>1261</v>
      </c>
      <c r="B2403" s="24" t="s">
        <v>2188</v>
      </c>
      <c r="C2403" s="24">
        <v>84.53</v>
      </c>
      <c r="E2403" s="24">
        <v>84.53</v>
      </c>
    </row>
    <row r="2404" spans="1:5" ht="15.75" customHeight="1" x14ac:dyDescent="0.4">
      <c r="A2404" s="24" t="s">
        <v>884</v>
      </c>
      <c r="B2404" s="24" t="s">
        <v>2190</v>
      </c>
      <c r="C2404" s="24">
        <v>84.52</v>
      </c>
      <c r="E2404" s="24">
        <v>84.52</v>
      </c>
    </row>
    <row r="2405" spans="1:5" ht="15.75" customHeight="1" x14ac:dyDescent="0.4">
      <c r="A2405" s="24" t="s">
        <v>1272</v>
      </c>
      <c r="B2405" s="24" t="s">
        <v>2188</v>
      </c>
      <c r="C2405" s="24">
        <v>84.51</v>
      </c>
      <c r="E2405" s="24">
        <v>84.51</v>
      </c>
    </row>
    <row r="2406" spans="1:5" ht="15.75" customHeight="1" x14ac:dyDescent="0.4">
      <c r="A2406" s="24" t="s">
        <v>2028</v>
      </c>
      <c r="B2406" s="24" t="s">
        <v>2188</v>
      </c>
      <c r="C2406" s="24">
        <v>84.5</v>
      </c>
      <c r="E2406" s="24">
        <v>84.5</v>
      </c>
    </row>
    <row r="2407" spans="1:5" ht="15.75" customHeight="1" x14ac:dyDescent="0.4">
      <c r="A2407" s="24" t="s">
        <v>2171</v>
      </c>
      <c r="B2407" s="24" t="s">
        <v>2188</v>
      </c>
      <c r="C2407" s="24">
        <v>84.5</v>
      </c>
      <c r="D2407" s="24">
        <v>0</v>
      </c>
      <c r="E2407" s="24">
        <v>84.5</v>
      </c>
    </row>
    <row r="2408" spans="1:5" ht="15.75" customHeight="1" x14ac:dyDescent="0.4">
      <c r="A2408" s="24" t="s">
        <v>1534</v>
      </c>
      <c r="B2408" s="24" t="s">
        <v>2188</v>
      </c>
      <c r="C2408" s="24">
        <v>84.49</v>
      </c>
      <c r="E2408" s="24">
        <v>84.49</v>
      </c>
    </row>
    <row r="2409" spans="1:5" ht="15.75" customHeight="1" x14ac:dyDescent="0.4">
      <c r="A2409" s="24" t="s">
        <v>1511</v>
      </c>
      <c r="B2409" s="24" t="s">
        <v>2188</v>
      </c>
      <c r="C2409" s="24">
        <v>84.4</v>
      </c>
      <c r="D2409" s="24">
        <v>0.03</v>
      </c>
      <c r="E2409" s="24">
        <v>84.43</v>
      </c>
    </row>
    <row r="2410" spans="1:5" ht="15.75" customHeight="1" x14ac:dyDescent="0.4">
      <c r="A2410" s="24" t="s">
        <v>1976</v>
      </c>
      <c r="B2410" s="24" t="s">
        <v>2188</v>
      </c>
      <c r="C2410" s="24">
        <v>84.43</v>
      </c>
      <c r="E2410" s="24">
        <v>84.43</v>
      </c>
    </row>
    <row r="2411" spans="1:5" ht="15.75" customHeight="1" x14ac:dyDescent="0.4">
      <c r="A2411" s="24" t="s">
        <v>2024</v>
      </c>
      <c r="B2411" s="24" t="s">
        <v>2188</v>
      </c>
      <c r="C2411" s="24">
        <v>84.42</v>
      </c>
      <c r="E2411" s="24">
        <v>84.42</v>
      </c>
    </row>
    <row r="2412" spans="1:5" ht="15.75" customHeight="1" x14ac:dyDescent="0.4">
      <c r="A2412" s="24" t="s">
        <v>231</v>
      </c>
      <c r="B2412" s="24" t="s">
        <v>2190</v>
      </c>
      <c r="C2412" s="24">
        <v>83.14</v>
      </c>
      <c r="D2412" s="24">
        <v>6.13</v>
      </c>
      <c r="E2412" s="24">
        <v>84.38</v>
      </c>
    </row>
    <row r="2413" spans="1:5" ht="15.75" customHeight="1" x14ac:dyDescent="0.4">
      <c r="A2413" s="24" t="s">
        <v>627</v>
      </c>
      <c r="B2413" s="24" t="s">
        <v>2188</v>
      </c>
      <c r="C2413" s="24">
        <v>84.35</v>
      </c>
      <c r="E2413" s="24">
        <v>84.35</v>
      </c>
    </row>
    <row r="2414" spans="1:5" ht="15.75" customHeight="1" x14ac:dyDescent="0.4">
      <c r="A2414" s="24" t="s">
        <v>1834</v>
      </c>
      <c r="B2414" s="24" t="s">
        <v>2188</v>
      </c>
      <c r="C2414" s="24">
        <v>84.31</v>
      </c>
      <c r="E2414" s="24">
        <v>84.31</v>
      </c>
    </row>
    <row r="2415" spans="1:5" ht="15.75" customHeight="1" x14ac:dyDescent="0.4">
      <c r="A2415" s="24" t="s">
        <v>942</v>
      </c>
      <c r="B2415" s="24" t="s">
        <v>2190</v>
      </c>
      <c r="C2415" s="24">
        <v>84.31</v>
      </c>
      <c r="E2415" s="24">
        <v>84.31</v>
      </c>
    </row>
    <row r="2416" spans="1:5" ht="15.75" customHeight="1" x14ac:dyDescent="0.4">
      <c r="A2416" s="24" t="s">
        <v>2011</v>
      </c>
      <c r="B2416" s="24" t="s">
        <v>2188</v>
      </c>
      <c r="C2416" s="24">
        <v>84.23</v>
      </c>
      <c r="E2416" s="24">
        <v>84.23</v>
      </c>
    </row>
    <row r="2417" spans="1:5" ht="15.75" customHeight="1" x14ac:dyDescent="0.4">
      <c r="A2417" s="24" t="s">
        <v>1590</v>
      </c>
      <c r="B2417" s="24" t="s">
        <v>2188</v>
      </c>
      <c r="C2417" s="24">
        <v>84.2</v>
      </c>
      <c r="E2417" s="24">
        <v>84.2</v>
      </c>
    </row>
    <row r="2418" spans="1:5" ht="15.75" customHeight="1" x14ac:dyDescent="0.4">
      <c r="A2418" s="24" t="s">
        <v>892</v>
      </c>
      <c r="B2418" s="24" t="s">
        <v>2190</v>
      </c>
      <c r="C2418" s="24">
        <v>84.19</v>
      </c>
      <c r="E2418" s="24">
        <v>84.19</v>
      </c>
    </row>
    <row r="2419" spans="1:5" ht="15.75" customHeight="1" x14ac:dyDescent="0.4">
      <c r="A2419" s="24" t="s">
        <v>1840</v>
      </c>
      <c r="B2419" s="24" t="s">
        <v>2188</v>
      </c>
      <c r="C2419" s="24">
        <v>84.15</v>
      </c>
      <c r="E2419" s="24">
        <v>84.15</v>
      </c>
    </row>
    <row r="2420" spans="1:5" ht="15.75" customHeight="1" x14ac:dyDescent="0.4">
      <c r="A2420" s="24" t="s">
        <v>1362</v>
      </c>
      <c r="B2420" s="24" t="s">
        <v>2188</v>
      </c>
      <c r="C2420" s="24">
        <v>84.14</v>
      </c>
      <c r="E2420" s="24">
        <v>84.14</v>
      </c>
    </row>
    <row r="2421" spans="1:5" ht="15.75" customHeight="1" x14ac:dyDescent="0.4">
      <c r="A2421" s="24" t="s">
        <v>2001</v>
      </c>
      <c r="B2421" s="24" t="s">
        <v>2188</v>
      </c>
      <c r="C2421" s="24">
        <v>84.03</v>
      </c>
      <c r="D2421" s="24">
        <v>0.65</v>
      </c>
      <c r="E2421" s="24">
        <v>84.14</v>
      </c>
    </row>
    <row r="2422" spans="1:5" ht="15.75" customHeight="1" x14ac:dyDescent="0.4">
      <c r="A2422" s="24" t="s">
        <v>1353</v>
      </c>
      <c r="B2422" s="24" t="s">
        <v>2188</v>
      </c>
      <c r="C2422" s="24">
        <v>84.14</v>
      </c>
      <c r="E2422" s="24">
        <v>84.14</v>
      </c>
    </row>
    <row r="2423" spans="1:5" ht="15.75" customHeight="1" x14ac:dyDescent="0.4">
      <c r="A2423" s="24" t="s">
        <v>230</v>
      </c>
      <c r="B2423" s="24" t="s">
        <v>2196</v>
      </c>
      <c r="C2423" s="24">
        <v>77.41</v>
      </c>
      <c r="D2423" s="24">
        <v>6.54</v>
      </c>
      <c r="E2423" s="24">
        <v>84.14</v>
      </c>
    </row>
    <row r="2424" spans="1:5" ht="15.75" customHeight="1" x14ac:dyDescent="0.4">
      <c r="A2424" s="24" t="s">
        <v>1973</v>
      </c>
      <c r="B2424" s="24" t="s">
        <v>2188</v>
      </c>
      <c r="C2424" s="24">
        <v>84.11</v>
      </c>
      <c r="E2424" s="24">
        <v>84.11</v>
      </c>
    </row>
    <row r="2425" spans="1:5" ht="15.75" customHeight="1" x14ac:dyDescent="0.4">
      <c r="A2425" s="24" t="s">
        <v>1167</v>
      </c>
      <c r="B2425" s="24" t="s">
        <v>2190</v>
      </c>
      <c r="C2425" s="24">
        <v>84.06</v>
      </c>
      <c r="E2425" s="24">
        <v>84.06</v>
      </c>
    </row>
    <row r="2426" spans="1:5" ht="15.75" customHeight="1" x14ac:dyDescent="0.4">
      <c r="A2426" s="24" t="s">
        <v>1955</v>
      </c>
      <c r="B2426" s="24" t="s">
        <v>2188</v>
      </c>
      <c r="C2426" s="24">
        <v>84.05</v>
      </c>
      <c r="E2426" s="24">
        <v>84.05</v>
      </c>
    </row>
    <row r="2427" spans="1:5" ht="15.75" customHeight="1" x14ac:dyDescent="0.4">
      <c r="A2427" s="24" t="s">
        <v>1697</v>
      </c>
      <c r="B2427" s="24" t="s">
        <v>2188</v>
      </c>
      <c r="C2427" s="24">
        <v>83.98</v>
      </c>
      <c r="E2427" s="24">
        <v>83.98</v>
      </c>
    </row>
    <row r="2428" spans="1:5" ht="15.75" customHeight="1" x14ac:dyDescent="0.4">
      <c r="A2428" s="24" t="s">
        <v>1304</v>
      </c>
      <c r="B2428" s="24" t="s">
        <v>2188</v>
      </c>
      <c r="C2428" s="24">
        <v>83.98</v>
      </c>
      <c r="E2428" s="24">
        <v>83.98</v>
      </c>
    </row>
    <row r="2429" spans="1:5" ht="15.75" customHeight="1" x14ac:dyDescent="0.4">
      <c r="A2429" s="24" t="s">
        <v>1491</v>
      </c>
      <c r="B2429" s="24" t="s">
        <v>2188</v>
      </c>
      <c r="C2429" s="24">
        <v>83.98</v>
      </c>
      <c r="E2429" s="24">
        <v>83.98</v>
      </c>
    </row>
    <row r="2430" spans="1:5" ht="15.75" customHeight="1" x14ac:dyDescent="0.4">
      <c r="A2430" s="24" t="s">
        <v>1262</v>
      </c>
      <c r="B2430" s="24" t="s">
        <v>2188</v>
      </c>
      <c r="C2430" s="24">
        <v>83.98</v>
      </c>
      <c r="E2430" s="24">
        <v>83.98</v>
      </c>
    </row>
    <row r="2431" spans="1:5" ht="15.75" customHeight="1" x14ac:dyDescent="0.4">
      <c r="A2431" s="24" t="s">
        <v>1318</v>
      </c>
      <c r="B2431" s="24" t="s">
        <v>2188</v>
      </c>
      <c r="C2431" s="24">
        <v>83.96</v>
      </c>
      <c r="E2431" s="24">
        <v>83.96</v>
      </c>
    </row>
    <row r="2432" spans="1:5" ht="15.75" customHeight="1" x14ac:dyDescent="0.4">
      <c r="A2432" s="24" t="s">
        <v>1393</v>
      </c>
      <c r="B2432" s="24" t="s">
        <v>2188</v>
      </c>
      <c r="C2432" s="24">
        <v>83.96</v>
      </c>
      <c r="E2432" s="24">
        <v>83.96</v>
      </c>
    </row>
    <row r="2433" spans="1:5" ht="15.75" customHeight="1" x14ac:dyDescent="0.4">
      <c r="A2433" s="24" t="s">
        <v>1550</v>
      </c>
      <c r="B2433" s="24" t="s">
        <v>2188</v>
      </c>
      <c r="C2433" s="24">
        <v>71.739999999999995</v>
      </c>
      <c r="D2433" s="24">
        <v>25.74</v>
      </c>
      <c r="E2433" s="24">
        <v>83.83</v>
      </c>
    </row>
    <row r="2434" spans="1:5" ht="15.75" customHeight="1" x14ac:dyDescent="0.4">
      <c r="A2434" s="24" t="s">
        <v>1339</v>
      </c>
      <c r="B2434" s="24" t="s">
        <v>2188</v>
      </c>
      <c r="C2434" s="24">
        <v>83.78</v>
      </c>
      <c r="E2434" s="24">
        <v>83.78</v>
      </c>
    </row>
    <row r="2435" spans="1:5" ht="15.75" customHeight="1" x14ac:dyDescent="0.4">
      <c r="A2435" s="24" t="s">
        <v>869</v>
      </c>
      <c r="B2435" s="24" t="s">
        <v>2188</v>
      </c>
      <c r="C2435" s="24">
        <v>83.76</v>
      </c>
      <c r="E2435" s="24">
        <v>83.76</v>
      </c>
    </row>
    <row r="2436" spans="1:5" ht="15.75" customHeight="1" x14ac:dyDescent="0.4">
      <c r="A2436" s="24" t="s">
        <v>2036</v>
      </c>
      <c r="B2436" s="24" t="s">
        <v>2188</v>
      </c>
      <c r="C2436" s="24">
        <v>83.71</v>
      </c>
      <c r="E2436" s="24">
        <v>83.71</v>
      </c>
    </row>
    <row r="2437" spans="1:5" ht="15.75" customHeight="1" x14ac:dyDescent="0.4">
      <c r="A2437" s="24" t="s">
        <v>581</v>
      </c>
      <c r="B2437" s="24" t="s">
        <v>2188</v>
      </c>
      <c r="C2437" s="24">
        <v>79</v>
      </c>
      <c r="D2437" s="24">
        <v>5.5</v>
      </c>
      <c r="E2437" s="24">
        <v>83.63</v>
      </c>
    </row>
    <row r="2438" spans="1:5" ht="15.75" customHeight="1" x14ac:dyDescent="0.4">
      <c r="A2438" s="24" t="s">
        <v>847</v>
      </c>
      <c r="B2438" s="24" t="s">
        <v>2188</v>
      </c>
      <c r="C2438" s="24">
        <v>83.6</v>
      </c>
      <c r="E2438" s="24">
        <v>83.6</v>
      </c>
    </row>
    <row r="2439" spans="1:5" ht="15.75" customHeight="1" x14ac:dyDescent="0.4">
      <c r="A2439" s="24" t="s">
        <v>1370</v>
      </c>
      <c r="B2439" s="24" t="s">
        <v>2188</v>
      </c>
      <c r="C2439" s="24">
        <v>83.56</v>
      </c>
      <c r="E2439" s="24">
        <v>83.56</v>
      </c>
    </row>
    <row r="2440" spans="1:5" ht="15.75" customHeight="1" x14ac:dyDescent="0.4">
      <c r="A2440" s="24" t="s">
        <v>1722</v>
      </c>
      <c r="B2440" s="24" t="s">
        <v>2190</v>
      </c>
      <c r="C2440" s="24">
        <v>83.47</v>
      </c>
      <c r="D2440" s="24">
        <v>1.71</v>
      </c>
      <c r="E2440" s="24">
        <v>83.53</v>
      </c>
    </row>
    <row r="2441" spans="1:5" ht="15.75" customHeight="1" x14ac:dyDescent="0.4">
      <c r="A2441" s="24" t="s">
        <v>1000</v>
      </c>
      <c r="B2441" s="24" t="s">
        <v>2190</v>
      </c>
      <c r="C2441" s="24">
        <v>83.51</v>
      </c>
      <c r="E2441" s="24">
        <v>83.51</v>
      </c>
    </row>
    <row r="2442" spans="1:5" ht="15.75" customHeight="1" x14ac:dyDescent="0.4">
      <c r="A2442" s="24" t="s">
        <v>230</v>
      </c>
      <c r="B2442" s="24" t="s">
        <v>2188</v>
      </c>
      <c r="C2442" s="24">
        <v>58.52</v>
      </c>
      <c r="D2442" s="24">
        <v>24.9</v>
      </c>
      <c r="E2442" s="24">
        <v>83.49</v>
      </c>
    </row>
    <row r="2443" spans="1:5" ht="15.75" customHeight="1" x14ac:dyDescent="0.4">
      <c r="A2443" s="24" t="s">
        <v>1912</v>
      </c>
      <c r="B2443" s="24" t="s">
        <v>2188</v>
      </c>
      <c r="C2443" s="24">
        <v>82.66</v>
      </c>
      <c r="D2443" s="24">
        <v>0.93</v>
      </c>
      <c r="E2443" s="24">
        <v>83.47</v>
      </c>
    </row>
    <row r="2444" spans="1:5" ht="15.75" customHeight="1" x14ac:dyDescent="0.4">
      <c r="A2444" s="24" t="s">
        <v>1593</v>
      </c>
      <c r="B2444" s="24" t="s">
        <v>2188</v>
      </c>
      <c r="C2444" s="24">
        <v>83.46</v>
      </c>
      <c r="E2444" s="24">
        <v>83.46</v>
      </c>
    </row>
    <row r="2445" spans="1:5" ht="15.75" customHeight="1" x14ac:dyDescent="0.4">
      <c r="A2445" s="24" t="s">
        <v>1564</v>
      </c>
      <c r="B2445" s="24" t="s">
        <v>2188</v>
      </c>
      <c r="C2445" s="24">
        <v>83.44</v>
      </c>
      <c r="E2445" s="24">
        <v>83.44</v>
      </c>
    </row>
    <row r="2446" spans="1:5" ht="15.75" customHeight="1" x14ac:dyDescent="0.4">
      <c r="A2446" s="24" t="s">
        <v>1320</v>
      </c>
      <c r="B2446" s="24" t="s">
        <v>2188</v>
      </c>
      <c r="C2446" s="24">
        <v>83.43</v>
      </c>
      <c r="E2446" s="24">
        <v>83.43</v>
      </c>
    </row>
    <row r="2447" spans="1:5" ht="15.75" customHeight="1" x14ac:dyDescent="0.4">
      <c r="A2447" s="24" t="s">
        <v>463</v>
      </c>
      <c r="B2447" s="24" t="s">
        <v>2190</v>
      </c>
      <c r="C2447" s="24">
        <v>83.42</v>
      </c>
      <c r="E2447" s="24">
        <v>83.42</v>
      </c>
    </row>
    <row r="2448" spans="1:5" ht="15.75" customHeight="1" x14ac:dyDescent="0.4">
      <c r="A2448" s="24" t="s">
        <v>807</v>
      </c>
      <c r="B2448" s="24" t="s">
        <v>2190</v>
      </c>
      <c r="C2448" s="24">
        <v>9.2799999999999994</v>
      </c>
      <c r="D2448" s="24">
        <v>73.739999999999995</v>
      </c>
      <c r="E2448" s="24">
        <v>83.38</v>
      </c>
    </row>
    <row r="2449" spans="1:5" ht="15.75" customHeight="1" x14ac:dyDescent="0.4">
      <c r="A2449" s="24" t="s">
        <v>1380</v>
      </c>
      <c r="B2449" s="24" t="s">
        <v>2188</v>
      </c>
      <c r="C2449" s="24">
        <v>83.33</v>
      </c>
      <c r="E2449" s="24">
        <v>83.33</v>
      </c>
    </row>
    <row r="2450" spans="1:5" ht="15.75" customHeight="1" x14ac:dyDescent="0.4">
      <c r="A2450" s="24" t="s">
        <v>1002</v>
      </c>
      <c r="B2450" s="24" t="s">
        <v>2190</v>
      </c>
      <c r="C2450" s="24">
        <v>83.25</v>
      </c>
      <c r="E2450" s="24">
        <v>83.25</v>
      </c>
    </row>
    <row r="2451" spans="1:5" ht="15.75" customHeight="1" x14ac:dyDescent="0.4">
      <c r="A2451" s="24" t="s">
        <v>1994</v>
      </c>
      <c r="B2451" s="24" t="s">
        <v>2188</v>
      </c>
      <c r="C2451" s="24">
        <v>83.25</v>
      </c>
      <c r="E2451" s="24">
        <v>83.25</v>
      </c>
    </row>
    <row r="2452" spans="1:5" ht="15.75" customHeight="1" x14ac:dyDescent="0.4">
      <c r="A2452" s="24" t="s">
        <v>1107</v>
      </c>
      <c r="B2452" s="24" t="s">
        <v>2190</v>
      </c>
      <c r="C2452" s="24">
        <v>82.55</v>
      </c>
      <c r="D2452" s="24">
        <v>0.68</v>
      </c>
      <c r="E2452" s="24">
        <v>83.24</v>
      </c>
    </row>
    <row r="2453" spans="1:5" ht="15.75" customHeight="1" x14ac:dyDescent="0.4">
      <c r="A2453" s="24" t="s">
        <v>1640</v>
      </c>
      <c r="B2453" s="24" t="s">
        <v>2188</v>
      </c>
      <c r="C2453" s="24">
        <v>83.17</v>
      </c>
      <c r="E2453" s="24">
        <v>83.17</v>
      </c>
    </row>
    <row r="2454" spans="1:5" ht="15.75" customHeight="1" x14ac:dyDescent="0.4">
      <c r="A2454" s="24" t="s">
        <v>859</v>
      </c>
      <c r="B2454" s="24" t="s">
        <v>2188</v>
      </c>
      <c r="C2454" s="24">
        <v>83.16</v>
      </c>
      <c r="E2454" s="24">
        <v>83.16</v>
      </c>
    </row>
    <row r="2455" spans="1:5" ht="15.75" customHeight="1" x14ac:dyDescent="0.4">
      <c r="A2455" s="24" t="s">
        <v>1985</v>
      </c>
      <c r="B2455" s="24" t="s">
        <v>2190</v>
      </c>
      <c r="C2455" s="24">
        <v>83.09</v>
      </c>
      <c r="E2455" s="24">
        <v>83.09</v>
      </c>
    </row>
    <row r="2456" spans="1:5" ht="15.75" customHeight="1" x14ac:dyDescent="0.4">
      <c r="A2456" s="24" t="s">
        <v>1997</v>
      </c>
      <c r="B2456" s="24" t="s">
        <v>2188</v>
      </c>
      <c r="C2456" s="24">
        <v>83.08</v>
      </c>
      <c r="E2456" s="24">
        <v>83.08</v>
      </c>
    </row>
    <row r="2457" spans="1:5" ht="15.75" customHeight="1" x14ac:dyDescent="0.4">
      <c r="A2457" s="24" t="s">
        <v>1278</v>
      </c>
      <c r="B2457" s="24" t="s">
        <v>2188</v>
      </c>
      <c r="C2457" s="24">
        <v>81.94</v>
      </c>
      <c r="D2457" s="24">
        <v>1.1100000000000001</v>
      </c>
      <c r="E2457" s="24">
        <v>83.05</v>
      </c>
    </row>
    <row r="2458" spans="1:5" ht="15.75" customHeight="1" x14ac:dyDescent="0.4">
      <c r="A2458" s="24" t="s">
        <v>1324</v>
      </c>
      <c r="B2458" s="24" t="s">
        <v>2196</v>
      </c>
      <c r="C2458" s="24">
        <v>81.93</v>
      </c>
      <c r="D2458" s="24">
        <v>0.99</v>
      </c>
      <c r="E2458" s="24">
        <v>82.95</v>
      </c>
    </row>
    <row r="2459" spans="1:5" ht="15.75" customHeight="1" x14ac:dyDescent="0.4">
      <c r="A2459" s="24" t="s">
        <v>2051</v>
      </c>
      <c r="B2459" s="24" t="s">
        <v>2190</v>
      </c>
      <c r="C2459" s="24">
        <v>82.94</v>
      </c>
      <c r="E2459" s="24">
        <v>82.94</v>
      </c>
    </row>
    <row r="2460" spans="1:5" ht="15.75" customHeight="1" x14ac:dyDescent="0.4">
      <c r="A2460" s="24" t="s">
        <v>1266</v>
      </c>
      <c r="B2460" s="24" t="s">
        <v>2188</v>
      </c>
      <c r="C2460" s="24">
        <v>82.93</v>
      </c>
      <c r="E2460" s="24">
        <v>82.93</v>
      </c>
    </row>
    <row r="2461" spans="1:5" ht="15.75" customHeight="1" x14ac:dyDescent="0.4">
      <c r="A2461" s="24" t="s">
        <v>1453</v>
      </c>
      <c r="B2461" s="24" t="s">
        <v>2188</v>
      </c>
      <c r="C2461" s="24">
        <v>24.16</v>
      </c>
      <c r="D2461" s="24">
        <v>76.06</v>
      </c>
      <c r="E2461" s="24">
        <v>82.93</v>
      </c>
    </row>
    <row r="2462" spans="1:5" ht="15.75" customHeight="1" x14ac:dyDescent="0.4">
      <c r="A2462" s="24" t="s">
        <v>1807</v>
      </c>
      <c r="B2462" s="24" t="s">
        <v>2190</v>
      </c>
      <c r="C2462" s="24">
        <v>79.709999999999994</v>
      </c>
      <c r="D2462" s="24">
        <v>3.13</v>
      </c>
      <c r="E2462" s="24">
        <v>82.86</v>
      </c>
    </row>
    <row r="2463" spans="1:5" ht="15.75" customHeight="1" x14ac:dyDescent="0.4">
      <c r="A2463" s="24" t="s">
        <v>619</v>
      </c>
      <c r="B2463" s="24" t="s">
        <v>2188</v>
      </c>
      <c r="C2463" s="24">
        <v>47.48</v>
      </c>
      <c r="D2463" s="24">
        <v>35.53</v>
      </c>
      <c r="E2463" s="24">
        <v>82.8</v>
      </c>
    </row>
    <row r="2464" spans="1:5" ht="15.75" customHeight="1" x14ac:dyDescent="0.4">
      <c r="A2464" s="24" t="s">
        <v>2050</v>
      </c>
      <c r="B2464" s="24" t="s">
        <v>2188</v>
      </c>
      <c r="C2464" s="24">
        <v>82.71</v>
      </c>
      <c r="E2464" s="24">
        <v>82.71</v>
      </c>
    </row>
    <row r="2465" spans="1:5" ht="15.75" customHeight="1" x14ac:dyDescent="0.4">
      <c r="A2465" s="24" t="s">
        <v>1585</v>
      </c>
      <c r="B2465" s="24" t="s">
        <v>2188</v>
      </c>
      <c r="C2465" s="24">
        <v>82.65</v>
      </c>
      <c r="E2465" s="24">
        <v>82.65</v>
      </c>
    </row>
    <row r="2466" spans="1:5" ht="15.75" customHeight="1" x14ac:dyDescent="0.4">
      <c r="A2466" s="24" t="s">
        <v>908</v>
      </c>
      <c r="B2466" s="24" t="s">
        <v>2190</v>
      </c>
      <c r="C2466" s="24">
        <v>82.59</v>
      </c>
      <c r="E2466" s="24">
        <v>82.59</v>
      </c>
    </row>
    <row r="2467" spans="1:5" ht="15.75" customHeight="1" x14ac:dyDescent="0.4">
      <c r="A2467" s="24" t="s">
        <v>435</v>
      </c>
      <c r="B2467" s="24" t="s">
        <v>2188</v>
      </c>
      <c r="C2467" s="24">
        <v>82.35</v>
      </c>
      <c r="D2467" s="24">
        <v>1.78</v>
      </c>
      <c r="E2467" s="24">
        <v>82.58</v>
      </c>
    </row>
    <row r="2468" spans="1:5" ht="15.75" customHeight="1" x14ac:dyDescent="0.4">
      <c r="A2468" s="24" t="s">
        <v>1692</v>
      </c>
      <c r="B2468" s="24" t="s">
        <v>2188</v>
      </c>
      <c r="C2468" s="24">
        <v>82.47</v>
      </c>
      <c r="E2468" s="24">
        <v>82.47</v>
      </c>
    </row>
    <row r="2469" spans="1:5" ht="15.75" customHeight="1" x14ac:dyDescent="0.4">
      <c r="A2469" s="24" t="s">
        <v>1112</v>
      </c>
      <c r="B2469" s="24" t="s">
        <v>2190</v>
      </c>
      <c r="C2469" s="24">
        <v>81.55</v>
      </c>
      <c r="D2469" s="24">
        <v>0.82</v>
      </c>
      <c r="E2469" s="24">
        <v>82.31</v>
      </c>
    </row>
    <row r="2470" spans="1:5" ht="15.75" customHeight="1" x14ac:dyDescent="0.4">
      <c r="A2470" s="24" t="s">
        <v>1154</v>
      </c>
      <c r="B2470" s="24" t="s">
        <v>2188</v>
      </c>
      <c r="C2470" s="24">
        <v>82.25</v>
      </c>
      <c r="D2470" s="24">
        <v>0</v>
      </c>
      <c r="E2470" s="24">
        <v>82.25</v>
      </c>
    </row>
    <row r="2471" spans="1:5" ht="15.75" customHeight="1" x14ac:dyDescent="0.4">
      <c r="A2471" s="24" t="s">
        <v>774</v>
      </c>
      <c r="B2471" s="24" t="s">
        <v>2188</v>
      </c>
      <c r="C2471" s="24">
        <v>76.31</v>
      </c>
      <c r="D2471" s="24">
        <v>6.25</v>
      </c>
      <c r="E2471" s="24">
        <v>82.15</v>
      </c>
    </row>
    <row r="2472" spans="1:5" ht="15.75" customHeight="1" x14ac:dyDescent="0.4">
      <c r="A2472" s="24" t="s">
        <v>2138</v>
      </c>
      <c r="B2472" s="24" t="s">
        <v>2192</v>
      </c>
      <c r="C2472" s="24">
        <v>77.709999999999994</v>
      </c>
      <c r="D2472" s="24">
        <v>6.1</v>
      </c>
      <c r="E2472" s="24">
        <v>82.13</v>
      </c>
    </row>
    <row r="2473" spans="1:5" ht="15.75" customHeight="1" x14ac:dyDescent="0.4">
      <c r="A2473" s="24" t="s">
        <v>1352</v>
      </c>
      <c r="B2473" s="24" t="s">
        <v>2188</v>
      </c>
      <c r="C2473" s="24">
        <v>82.12</v>
      </c>
      <c r="E2473" s="24">
        <v>82.12</v>
      </c>
    </row>
    <row r="2474" spans="1:5" ht="15.75" customHeight="1" x14ac:dyDescent="0.4">
      <c r="A2474" s="24" t="s">
        <v>272</v>
      </c>
      <c r="B2474" s="24" t="s">
        <v>2190</v>
      </c>
      <c r="C2474" s="24">
        <v>82.1</v>
      </c>
      <c r="D2474" s="24">
        <v>7.61</v>
      </c>
      <c r="E2474" s="24">
        <v>82.1</v>
      </c>
    </row>
    <row r="2475" spans="1:5" ht="15.75" customHeight="1" x14ac:dyDescent="0.4">
      <c r="A2475" s="24" t="s">
        <v>1034</v>
      </c>
      <c r="B2475" s="24" t="s">
        <v>2188</v>
      </c>
      <c r="C2475" s="24">
        <v>82.05</v>
      </c>
      <c r="E2475" s="24">
        <v>82.05</v>
      </c>
    </row>
    <row r="2476" spans="1:5" ht="15.75" customHeight="1" x14ac:dyDescent="0.4">
      <c r="A2476" s="24" t="s">
        <v>1670</v>
      </c>
      <c r="B2476" s="24" t="s">
        <v>2190</v>
      </c>
      <c r="C2476" s="24">
        <v>81.94</v>
      </c>
      <c r="D2476" s="24">
        <v>15.72</v>
      </c>
      <c r="E2476" s="24">
        <v>82.04</v>
      </c>
    </row>
    <row r="2477" spans="1:5" ht="15.75" customHeight="1" x14ac:dyDescent="0.4">
      <c r="A2477" s="24" t="s">
        <v>485</v>
      </c>
      <c r="B2477" s="24" t="s">
        <v>2188</v>
      </c>
      <c r="C2477" s="24">
        <v>82.03</v>
      </c>
      <c r="E2477" s="24">
        <v>82.03</v>
      </c>
    </row>
    <row r="2478" spans="1:5" ht="15.75" customHeight="1" x14ac:dyDescent="0.4">
      <c r="A2478" s="24" t="s">
        <v>649</v>
      </c>
      <c r="B2478" s="24" t="s">
        <v>2188</v>
      </c>
      <c r="C2478" s="24">
        <v>32.15</v>
      </c>
      <c r="D2478" s="24">
        <v>49.72</v>
      </c>
      <c r="E2478" s="24">
        <v>82.02</v>
      </c>
    </row>
    <row r="2479" spans="1:5" ht="15.75" customHeight="1" x14ac:dyDescent="0.4">
      <c r="A2479" s="24" t="s">
        <v>1400</v>
      </c>
      <c r="B2479" s="24" t="s">
        <v>2188</v>
      </c>
      <c r="C2479" s="24">
        <v>81.94</v>
      </c>
      <c r="E2479" s="24">
        <v>81.94</v>
      </c>
    </row>
    <row r="2480" spans="1:5" ht="15.75" customHeight="1" x14ac:dyDescent="0.4">
      <c r="A2480" s="24" t="s">
        <v>1080</v>
      </c>
      <c r="B2480" s="24" t="s">
        <v>2190</v>
      </c>
      <c r="C2480" s="24">
        <v>81.86</v>
      </c>
      <c r="E2480" s="24">
        <v>81.86</v>
      </c>
    </row>
    <row r="2481" spans="1:5" ht="15.75" customHeight="1" x14ac:dyDescent="0.4">
      <c r="A2481" s="24" t="s">
        <v>1443</v>
      </c>
      <c r="B2481" s="24" t="s">
        <v>2188</v>
      </c>
      <c r="C2481" s="24">
        <v>81.86</v>
      </c>
      <c r="E2481" s="24">
        <v>81.86</v>
      </c>
    </row>
    <row r="2482" spans="1:5" ht="15.75" customHeight="1" x14ac:dyDescent="0.4">
      <c r="A2482" s="24" t="s">
        <v>1021</v>
      </c>
      <c r="B2482" s="24" t="s">
        <v>2188</v>
      </c>
      <c r="C2482" s="24">
        <v>81.86</v>
      </c>
      <c r="E2482" s="24">
        <v>81.86</v>
      </c>
    </row>
    <row r="2483" spans="1:5" ht="15.75" customHeight="1" x14ac:dyDescent="0.4">
      <c r="A2483" s="24" t="s">
        <v>1852</v>
      </c>
      <c r="B2483" s="24" t="s">
        <v>2188</v>
      </c>
      <c r="C2483" s="24">
        <v>80.819999999999993</v>
      </c>
      <c r="D2483" s="24">
        <v>1.03</v>
      </c>
      <c r="E2483" s="24">
        <v>81.86</v>
      </c>
    </row>
    <row r="2484" spans="1:5" ht="15.75" customHeight="1" x14ac:dyDescent="0.4">
      <c r="A2484" s="24" t="s">
        <v>2142</v>
      </c>
      <c r="B2484" s="24" t="s">
        <v>2188</v>
      </c>
      <c r="C2484" s="24">
        <v>57.03</v>
      </c>
      <c r="D2484" s="24">
        <v>71.34</v>
      </c>
      <c r="E2484" s="24">
        <v>81.75</v>
      </c>
    </row>
    <row r="2485" spans="1:5" ht="15.75" customHeight="1" x14ac:dyDescent="0.4">
      <c r="A2485" s="24" t="s">
        <v>1694</v>
      </c>
      <c r="B2485" s="24" t="s">
        <v>2190</v>
      </c>
      <c r="C2485" s="24">
        <v>81.739999999999995</v>
      </c>
      <c r="E2485" s="24">
        <v>81.739999999999995</v>
      </c>
    </row>
    <row r="2486" spans="1:5" ht="15.75" customHeight="1" x14ac:dyDescent="0.4">
      <c r="A2486" s="24" t="s">
        <v>1701</v>
      </c>
      <c r="B2486" s="24" t="s">
        <v>2195</v>
      </c>
      <c r="C2486" s="24">
        <v>81.739999999999995</v>
      </c>
      <c r="E2486" s="24">
        <v>81.739999999999995</v>
      </c>
    </row>
    <row r="2487" spans="1:5" ht="15.75" customHeight="1" x14ac:dyDescent="0.4">
      <c r="A2487" s="24" t="s">
        <v>1267</v>
      </c>
      <c r="B2487" s="24" t="s">
        <v>2188</v>
      </c>
      <c r="C2487" s="24">
        <v>81.7</v>
      </c>
      <c r="E2487" s="24">
        <v>81.7</v>
      </c>
    </row>
    <row r="2488" spans="1:5" ht="15.75" customHeight="1" x14ac:dyDescent="0.4">
      <c r="A2488" s="24" t="s">
        <v>2066</v>
      </c>
      <c r="B2488" s="24" t="s">
        <v>2188</v>
      </c>
      <c r="C2488" s="24">
        <v>80.39</v>
      </c>
      <c r="D2488" s="24">
        <v>1.3</v>
      </c>
      <c r="E2488" s="24">
        <v>81.69</v>
      </c>
    </row>
    <row r="2489" spans="1:5" ht="15.75" customHeight="1" x14ac:dyDescent="0.4">
      <c r="A2489" s="24" t="s">
        <v>417</v>
      </c>
      <c r="B2489" s="24" t="s">
        <v>2190</v>
      </c>
      <c r="C2489" s="24">
        <v>81.62</v>
      </c>
      <c r="E2489" s="24">
        <v>81.62</v>
      </c>
    </row>
    <row r="2490" spans="1:5" ht="15.75" customHeight="1" x14ac:dyDescent="0.4">
      <c r="A2490" s="24" t="s">
        <v>389</v>
      </c>
      <c r="B2490" s="24" t="s">
        <v>2190</v>
      </c>
      <c r="C2490" s="24">
        <v>81.58</v>
      </c>
      <c r="E2490" s="24">
        <v>81.58</v>
      </c>
    </row>
    <row r="2491" spans="1:5" ht="15.75" customHeight="1" x14ac:dyDescent="0.4">
      <c r="A2491" s="24" t="s">
        <v>1394</v>
      </c>
      <c r="B2491" s="24" t="s">
        <v>2188</v>
      </c>
      <c r="C2491" s="24">
        <v>81.53</v>
      </c>
      <c r="E2491" s="24">
        <v>81.53</v>
      </c>
    </row>
    <row r="2492" spans="1:5" ht="15.75" customHeight="1" x14ac:dyDescent="0.4">
      <c r="A2492" s="24" t="s">
        <v>599</v>
      </c>
      <c r="B2492" s="24" t="s">
        <v>2188</v>
      </c>
      <c r="C2492" s="24">
        <v>81.510000000000005</v>
      </c>
      <c r="E2492" s="24">
        <v>81.510000000000005</v>
      </c>
    </row>
    <row r="2493" spans="1:5" ht="15.75" customHeight="1" x14ac:dyDescent="0.4">
      <c r="A2493" s="24" t="s">
        <v>1193</v>
      </c>
      <c r="B2493" s="24" t="s">
        <v>2190</v>
      </c>
      <c r="C2493" s="24">
        <v>81.510000000000005</v>
      </c>
      <c r="E2493" s="24">
        <v>81.510000000000005</v>
      </c>
    </row>
    <row r="2494" spans="1:5" ht="15.75" customHeight="1" x14ac:dyDescent="0.4">
      <c r="A2494" s="24" t="s">
        <v>1325</v>
      </c>
      <c r="B2494" s="24" t="s">
        <v>2188</v>
      </c>
      <c r="C2494" s="24">
        <v>81.5</v>
      </c>
      <c r="E2494" s="24">
        <v>81.5</v>
      </c>
    </row>
    <row r="2495" spans="1:5" ht="15.75" customHeight="1" x14ac:dyDescent="0.4">
      <c r="A2495" s="24" t="s">
        <v>1163</v>
      </c>
      <c r="B2495" s="24" t="s">
        <v>2190</v>
      </c>
      <c r="C2495" s="24">
        <v>81.33</v>
      </c>
      <c r="E2495" s="24">
        <v>81.33</v>
      </c>
    </row>
    <row r="2496" spans="1:5" ht="15.75" customHeight="1" x14ac:dyDescent="0.4">
      <c r="A2496" s="24" t="s">
        <v>1433</v>
      </c>
      <c r="B2496" s="24" t="s">
        <v>2188</v>
      </c>
      <c r="C2496" s="24">
        <v>81.260000000000005</v>
      </c>
      <c r="E2496" s="24">
        <v>81.260000000000005</v>
      </c>
    </row>
    <row r="2497" spans="1:5" ht="15.75" customHeight="1" x14ac:dyDescent="0.4">
      <c r="A2497" s="24" t="s">
        <v>1216</v>
      </c>
      <c r="B2497" s="24" t="s">
        <v>2190</v>
      </c>
      <c r="C2497" s="24">
        <v>81.22</v>
      </c>
      <c r="E2497" s="24">
        <v>81.22</v>
      </c>
    </row>
    <row r="2498" spans="1:5" ht="15.75" customHeight="1" x14ac:dyDescent="0.4">
      <c r="A2498" s="24" t="s">
        <v>2145</v>
      </c>
      <c r="B2498" s="24" t="s">
        <v>2188</v>
      </c>
      <c r="C2498" s="24">
        <v>76.099999999999994</v>
      </c>
      <c r="D2498" s="24">
        <v>4.93</v>
      </c>
      <c r="E2498" s="24">
        <v>81.05</v>
      </c>
    </row>
    <row r="2499" spans="1:5" ht="15.75" customHeight="1" x14ac:dyDescent="0.4">
      <c r="A2499" s="24" t="s">
        <v>1932</v>
      </c>
      <c r="B2499" s="24" t="s">
        <v>2188</v>
      </c>
      <c r="C2499" s="24">
        <v>81.05</v>
      </c>
      <c r="E2499" s="24">
        <v>81.05</v>
      </c>
    </row>
    <row r="2500" spans="1:5" ht="15.75" customHeight="1" x14ac:dyDescent="0.4">
      <c r="A2500" s="24" t="s">
        <v>1276</v>
      </c>
      <c r="B2500" s="24" t="s">
        <v>2188</v>
      </c>
      <c r="C2500" s="24">
        <v>80.930000000000007</v>
      </c>
      <c r="E2500" s="24">
        <v>80.930000000000007</v>
      </c>
    </row>
    <row r="2501" spans="1:5" ht="15.75" customHeight="1" x14ac:dyDescent="0.4">
      <c r="A2501" s="24" t="s">
        <v>1674</v>
      </c>
      <c r="B2501" s="24" t="s">
        <v>2190</v>
      </c>
      <c r="C2501" s="24">
        <v>79.83</v>
      </c>
      <c r="D2501" s="24">
        <v>0.98</v>
      </c>
      <c r="E2501" s="24">
        <v>80.81</v>
      </c>
    </row>
    <row r="2502" spans="1:5" ht="15.75" customHeight="1" x14ac:dyDescent="0.4">
      <c r="A2502" s="24" t="s">
        <v>533</v>
      </c>
      <c r="B2502" s="24" t="s">
        <v>2188</v>
      </c>
      <c r="C2502" s="24">
        <v>80.75</v>
      </c>
      <c r="E2502" s="24">
        <v>80.75</v>
      </c>
    </row>
    <row r="2503" spans="1:5" ht="15.75" customHeight="1" x14ac:dyDescent="0.4">
      <c r="A2503" s="24" t="s">
        <v>1116</v>
      </c>
      <c r="B2503" s="24" t="s">
        <v>2190</v>
      </c>
      <c r="C2503" s="24">
        <v>80.72</v>
      </c>
      <c r="E2503" s="24">
        <v>80.72</v>
      </c>
    </row>
    <row r="2504" spans="1:5" ht="15.75" customHeight="1" x14ac:dyDescent="0.4">
      <c r="A2504" s="24" t="s">
        <v>2057</v>
      </c>
      <c r="B2504" s="24" t="s">
        <v>2196</v>
      </c>
      <c r="C2504" s="24">
        <v>73.28</v>
      </c>
      <c r="D2504" s="24">
        <v>7.2</v>
      </c>
      <c r="E2504" s="24">
        <v>80.69</v>
      </c>
    </row>
    <row r="2505" spans="1:5" ht="15.75" customHeight="1" x14ac:dyDescent="0.4">
      <c r="A2505" s="24" t="s">
        <v>1457</v>
      </c>
      <c r="B2505" s="24" t="s">
        <v>2188</v>
      </c>
      <c r="C2505" s="24">
        <v>80.52</v>
      </c>
      <c r="D2505" s="24">
        <v>0.83</v>
      </c>
      <c r="E2505" s="24">
        <v>80.55</v>
      </c>
    </row>
    <row r="2506" spans="1:5" ht="15.75" customHeight="1" x14ac:dyDescent="0.4">
      <c r="A2506" s="24" t="s">
        <v>1944</v>
      </c>
      <c r="B2506" s="24" t="s">
        <v>2190</v>
      </c>
      <c r="C2506" s="24">
        <v>80.53</v>
      </c>
      <c r="E2506" s="24">
        <v>80.53</v>
      </c>
    </row>
    <row r="2507" spans="1:5" ht="15.75" customHeight="1" x14ac:dyDescent="0.4">
      <c r="A2507" s="24" t="s">
        <v>2085</v>
      </c>
      <c r="B2507" s="24" t="s">
        <v>2190</v>
      </c>
      <c r="C2507" s="24">
        <v>79.599999999999994</v>
      </c>
      <c r="D2507" s="24">
        <v>1.53</v>
      </c>
      <c r="E2507" s="24">
        <v>80.510000000000005</v>
      </c>
    </row>
    <row r="2508" spans="1:5" ht="15.75" customHeight="1" x14ac:dyDescent="0.4">
      <c r="A2508" s="24" t="s">
        <v>1575</v>
      </c>
      <c r="B2508" s="24" t="s">
        <v>2188</v>
      </c>
      <c r="C2508" s="24">
        <v>80.489999999999995</v>
      </c>
      <c r="E2508" s="24">
        <v>80.489999999999995</v>
      </c>
    </row>
    <row r="2509" spans="1:5" ht="15.75" customHeight="1" x14ac:dyDescent="0.4">
      <c r="A2509" s="24" t="s">
        <v>1403</v>
      </c>
      <c r="B2509" s="24" t="s">
        <v>2188</v>
      </c>
      <c r="C2509" s="24">
        <v>80.400000000000006</v>
      </c>
      <c r="E2509" s="24">
        <v>80.400000000000006</v>
      </c>
    </row>
    <row r="2510" spans="1:5" ht="15.75" customHeight="1" x14ac:dyDescent="0.4">
      <c r="A2510" s="24" t="s">
        <v>1571</v>
      </c>
      <c r="B2510" s="24" t="s">
        <v>2188</v>
      </c>
      <c r="C2510" s="24">
        <v>80.36</v>
      </c>
      <c r="E2510" s="24">
        <v>80.36</v>
      </c>
    </row>
    <row r="2511" spans="1:5" ht="15.75" customHeight="1" x14ac:dyDescent="0.4">
      <c r="A2511" s="24" t="s">
        <v>1346</v>
      </c>
      <c r="B2511" s="24" t="s">
        <v>2188</v>
      </c>
      <c r="C2511" s="24">
        <v>80.3</v>
      </c>
      <c r="E2511" s="24">
        <v>80.3</v>
      </c>
    </row>
    <row r="2512" spans="1:5" ht="15.75" customHeight="1" x14ac:dyDescent="0.4">
      <c r="A2512" s="24" t="s">
        <v>1440</v>
      </c>
      <c r="B2512" s="24" t="s">
        <v>2188</v>
      </c>
      <c r="C2512" s="24">
        <v>80.28</v>
      </c>
      <c r="E2512" s="24">
        <v>80.28</v>
      </c>
    </row>
    <row r="2513" spans="1:5" ht="15.75" customHeight="1" x14ac:dyDescent="0.4">
      <c r="A2513" s="24" t="s">
        <v>1760</v>
      </c>
      <c r="B2513" s="24" t="s">
        <v>2190</v>
      </c>
      <c r="C2513" s="24">
        <v>80.239999999999995</v>
      </c>
      <c r="E2513" s="24">
        <v>80.239999999999995</v>
      </c>
    </row>
    <row r="2514" spans="1:5" ht="15.75" customHeight="1" x14ac:dyDescent="0.4">
      <c r="A2514" s="24" t="s">
        <v>1659</v>
      </c>
      <c r="B2514" s="24" t="s">
        <v>2190</v>
      </c>
      <c r="C2514" s="24">
        <v>80.22</v>
      </c>
      <c r="E2514" s="24">
        <v>80.22</v>
      </c>
    </row>
    <row r="2515" spans="1:5" ht="15.75" customHeight="1" x14ac:dyDescent="0.4">
      <c r="A2515" s="24" t="s">
        <v>1581</v>
      </c>
      <c r="B2515" s="24" t="s">
        <v>2188</v>
      </c>
      <c r="C2515" s="24">
        <v>80.209999999999994</v>
      </c>
      <c r="E2515" s="24">
        <v>80.209999999999994</v>
      </c>
    </row>
    <row r="2516" spans="1:5" ht="15.75" customHeight="1" x14ac:dyDescent="0.4">
      <c r="A2516" s="24" t="s">
        <v>1045</v>
      </c>
      <c r="B2516" s="24" t="s">
        <v>2190</v>
      </c>
      <c r="C2516" s="24">
        <v>58.65</v>
      </c>
      <c r="D2516" s="24">
        <v>21.39</v>
      </c>
      <c r="E2516" s="24">
        <v>80.14</v>
      </c>
    </row>
    <row r="2517" spans="1:5" ht="15.75" customHeight="1" x14ac:dyDescent="0.4">
      <c r="A2517" s="24" t="s">
        <v>1148</v>
      </c>
      <c r="B2517" s="24" t="s">
        <v>2190</v>
      </c>
      <c r="C2517" s="24">
        <v>78.739999999999995</v>
      </c>
      <c r="D2517" s="24">
        <v>1.21</v>
      </c>
      <c r="E2517" s="24">
        <v>79.95</v>
      </c>
    </row>
    <row r="2518" spans="1:5" ht="15.75" customHeight="1" x14ac:dyDescent="0.4">
      <c r="A2518" s="24" t="s">
        <v>1867</v>
      </c>
      <c r="B2518" s="24" t="s">
        <v>2190</v>
      </c>
      <c r="C2518" s="24">
        <v>49.41</v>
      </c>
      <c r="D2518" s="24">
        <v>31.75</v>
      </c>
      <c r="E2518" s="24">
        <v>79.94</v>
      </c>
    </row>
    <row r="2519" spans="1:5" ht="15.75" customHeight="1" x14ac:dyDescent="0.4">
      <c r="A2519" s="24" t="s">
        <v>557</v>
      </c>
      <c r="B2519" s="24" t="s">
        <v>2190</v>
      </c>
      <c r="C2519" s="24">
        <v>79.900000000000006</v>
      </c>
      <c r="E2519" s="24">
        <v>79.900000000000006</v>
      </c>
    </row>
    <row r="2520" spans="1:5" ht="15.75" customHeight="1" x14ac:dyDescent="0.4">
      <c r="A2520" s="24" t="s">
        <v>2023</v>
      </c>
      <c r="B2520" s="24" t="s">
        <v>2188</v>
      </c>
      <c r="C2520" s="24">
        <v>79.849999999999994</v>
      </c>
      <c r="E2520" s="24">
        <v>79.849999999999994</v>
      </c>
    </row>
    <row r="2521" spans="1:5" ht="15.75" customHeight="1" x14ac:dyDescent="0.4">
      <c r="A2521" s="24" t="s">
        <v>1448</v>
      </c>
      <c r="B2521" s="24" t="s">
        <v>2188</v>
      </c>
      <c r="C2521" s="24">
        <v>79.84</v>
      </c>
      <c r="E2521" s="24">
        <v>79.84</v>
      </c>
    </row>
    <row r="2522" spans="1:5" ht="15.75" customHeight="1" x14ac:dyDescent="0.4">
      <c r="A2522" s="24" t="s">
        <v>712</v>
      </c>
      <c r="B2522" s="24" t="s">
        <v>2188</v>
      </c>
      <c r="C2522" s="24">
        <v>79.72</v>
      </c>
      <c r="D2522" s="24">
        <v>0.65</v>
      </c>
      <c r="E2522" s="24">
        <v>79.72</v>
      </c>
    </row>
    <row r="2523" spans="1:5" ht="15.75" customHeight="1" x14ac:dyDescent="0.4">
      <c r="A2523" s="24" t="s">
        <v>1150</v>
      </c>
      <c r="B2523" s="24" t="s">
        <v>2190</v>
      </c>
      <c r="C2523" s="24">
        <v>77.03</v>
      </c>
      <c r="D2523" s="24">
        <v>49.83</v>
      </c>
      <c r="E2523" s="24">
        <v>79.7</v>
      </c>
    </row>
    <row r="2524" spans="1:5" ht="15.75" customHeight="1" x14ac:dyDescent="0.4">
      <c r="A2524" s="24" t="s">
        <v>1554</v>
      </c>
      <c r="B2524" s="24" t="s">
        <v>2188</v>
      </c>
      <c r="C2524" s="24">
        <v>79.67</v>
      </c>
      <c r="E2524" s="24">
        <v>79.67</v>
      </c>
    </row>
    <row r="2525" spans="1:5" ht="15.75" customHeight="1" x14ac:dyDescent="0.4">
      <c r="A2525" s="24" t="s">
        <v>1737</v>
      </c>
      <c r="B2525" s="24" t="s">
        <v>2190</v>
      </c>
      <c r="C2525" s="24">
        <v>76.17</v>
      </c>
      <c r="D2525" s="24">
        <v>3.51</v>
      </c>
      <c r="E2525" s="24">
        <v>79.64</v>
      </c>
    </row>
    <row r="2526" spans="1:5" ht="15.75" customHeight="1" x14ac:dyDescent="0.4">
      <c r="A2526" s="24" t="s">
        <v>1569</v>
      </c>
      <c r="B2526" s="24" t="s">
        <v>2188</v>
      </c>
      <c r="C2526" s="24">
        <v>79.47</v>
      </c>
      <c r="E2526" s="24">
        <v>79.47</v>
      </c>
    </row>
    <row r="2527" spans="1:5" ht="15.75" customHeight="1" x14ac:dyDescent="0.4">
      <c r="A2527" s="24" t="s">
        <v>1390</v>
      </c>
      <c r="B2527" s="24" t="s">
        <v>2188</v>
      </c>
      <c r="C2527" s="24">
        <v>55.08</v>
      </c>
      <c r="D2527" s="24">
        <v>24.25</v>
      </c>
      <c r="E2527" s="24">
        <v>79.41</v>
      </c>
    </row>
    <row r="2528" spans="1:5" ht="15.75" customHeight="1" x14ac:dyDescent="0.4">
      <c r="A2528" s="24" t="s">
        <v>2032</v>
      </c>
      <c r="B2528" s="24" t="s">
        <v>2188</v>
      </c>
      <c r="C2528" s="24">
        <v>78.89</v>
      </c>
      <c r="D2528" s="24">
        <v>0.48</v>
      </c>
      <c r="E2528" s="24">
        <v>79.37</v>
      </c>
    </row>
    <row r="2529" spans="1:5" ht="15.75" customHeight="1" x14ac:dyDescent="0.4">
      <c r="A2529" s="24" t="s">
        <v>1334</v>
      </c>
      <c r="B2529" s="24" t="s">
        <v>2188</v>
      </c>
      <c r="C2529" s="24">
        <v>79.34</v>
      </c>
      <c r="E2529" s="24">
        <v>79.34</v>
      </c>
    </row>
    <row r="2530" spans="1:5" ht="15.75" customHeight="1" x14ac:dyDescent="0.4">
      <c r="A2530" s="24" t="s">
        <v>303</v>
      </c>
      <c r="B2530" s="24" t="s">
        <v>2190</v>
      </c>
      <c r="C2530" s="24">
        <v>71.23</v>
      </c>
      <c r="D2530" s="24">
        <v>8.9700000000000006</v>
      </c>
      <c r="E2530" s="24">
        <v>79.31</v>
      </c>
    </row>
    <row r="2531" spans="1:5" ht="15.75" customHeight="1" x14ac:dyDescent="0.4">
      <c r="A2531" s="24" t="s">
        <v>2157</v>
      </c>
      <c r="B2531" s="24" t="s">
        <v>2188</v>
      </c>
      <c r="C2531" s="24">
        <v>71.7</v>
      </c>
      <c r="D2531" s="24">
        <v>11.32</v>
      </c>
      <c r="E2531" s="24">
        <v>78.98</v>
      </c>
    </row>
    <row r="2532" spans="1:5" ht="15.75" customHeight="1" x14ac:dyDescent="0.4">
      <c r="A2532" s="24" t="s">
        <v>1109</v>
      </c>
      <c r="B2532" s="24" t="s">
        <v>2188</v>
      </c>
      <c r="C2532" s="24">
        <v>78.709999999999994</v>
      </c>
      <c r="D2532" s="24">
        <v>17.260000000000002</v>
      </c>
      <c r="E2532" s="24">
        <v>78.92</v>
      </c>
    </row>
    <row r="2533" spans="1:5" ht="15.75" customHeight="1" x14ac:dyDescent="0.4">
      <c r="A2533" s="24" t="s">
        <v>1808</v>
      </c>
      <c r="B2533" s="24" t="s">
        <v>2190</v>
      </c>
      <c r="C2533" s="24">
        <v>78.599999999999994</v>
      </c>
      <c r="E2533" s="24">
        <v>78.599999999999994</v>
      </c>
    </row>
    <row r="2534" spans="1:5" ht="15.75" customHeight="1" x14ac:dyDescent="0.4">
      <c r="A2534" s="24" t="s">
        <v>561</v>
      </c>
      <c r="B2534" s="24" t="s">
        <v>2188</v>
      </c>
      <c r="C2534" s="24">
        <v>78.56</v>
      </c>
      <c r="E2534" s="24">
        <v>78.56</v>
      </c>
    </row>
    <row r="2535" spans="1:5" ht="15.75" customHeight="1" x14ac:dyDescent="0.4">
      <c r="A2535" s="24" t="s">
        <v>1509</v>
      </c>
      <c r="B2535" s="24" t="s">
        <v>2188</v>
      </c>
      <c r="C2535" s="24">
        <v>78.28</v>
      </c>
      <c r="E2535" s="24">
        <v>78.28</v>
      </c>
    </row>
    <row r="2536" spans="1:5" ht="15.75" customHeight="1" x14ac:dyDescent="0.4">
      <c r="A2536" s="24" t="s">
        <v>2143</v>
      </c>
      <c r="B2536" s="24" t="s">
        <v>2188</v>
      </c>
      <c r="C2536" s="24">
        <v>78.28</v>
      </c>
      <c r="E2536" s="24">
        <v>78.28</v>
      </c>
    </row>
    <row r="2537" spans="1:5" ht="15.75" customHeight="1" x14ac:dyDescent="0.4">
      <c r="A2537" s="24" t="s">
        <v>1989</v>
      </c>
      <c r="B2537" s="24" t="s">
        <v>2188</v>
      </c>
      <c r="C2537" s="24">
        <v>78.180000000000007</v>
      </c>
      <c r="E2537" s="24">
        <v>78.180000000000007</v>
      </c>
    </row>
    <row r="2538" spans="1:5" ht="15.75" customHeight="1" x14ac:dyDescent="0.4">
      <c r="A2538" s="24" t="s">
        <v>2042</v>
      </c>
      <c r="B2538" s="24" t="s">
        <v>2188</v>
      </c>
      <c r="C2538" s="24">
        <v>78.180000000000007</v>
      </c>
      <c r="E2538" s="24">
        <v>78.180000000000007</v>
      </c>
    </row>
    <row r="2539" spans="1:5" ht="15.75" customHeight="1" x14ac:dyDescent="0.4">
      <c r="A2539" s="24" t="s">
        <v>451</v>
      </c>
      <c r="B2539" s="24" t="s">
        <v>2188</v>
      </c>
      <c r="C2539" s="24">
        <v>51.66</v>
      </c>
      <c r="D2539" s="24">
        <v>77.53</v>
      </c>
      <c r="E2539" s="24">
        <v>78.11</v>
      </c>
    </row>
    <row r="2540" spans="1:5" ht="15.75" customHeight="1" x14ac:dyDescent="0.4">
      <c r="A2540" s="24" t="s">
        <v>850</v>
      </c>
      <c r="B2540" s="24" t="s">
        <v>2190</v>
      </c>
      <c r="C2540" s="24">
        <v>78.11</v>
      </c>
      <c r="E2540" s="24">
        <v>78.11</v>
      </c>
    </row>
    <row r="2541" spans="1:5" ht="15.75" customHeight="1" x14ac:dyDescent="0.4">
      <c r="A2541" s="24" t="s">
        <v>1646</v>
      </c>
      <c r="B2541" s="24" t="s">
        <v>2188</v>
      </c>
      <c r="C2541" s="24">
        <v>76.28</v>
      </c>
      <c r="D2541" s="24">
        <v>1.77</v>
      </c>
      <c r="E2541" s="24">
        <v>78.05</v>
      </c>
    </row>
    <row r="2542" spans="1:5" ht="15.75" customHeight="1" x14ac:dyDescent="0.4">
      <c r="A2542" s="24" t="s">
        <v>1679</v>
      </c>
      <c r="B2542" s="24" t="s">
        <v>2190</v>
      </c>
      <c r="C2542" s="24">
        <v>21.29</v>
      </c>
      <c r="D2542" s="24">
        <v>75.88</v>
      </c>
      <c r="E2542" s="24">
        <v>77.900000000000006</v>
      </c>
    </row>
    <row r="2543" spans="1:5" ht="15.75" customHeight="1" x14ac:dyDescent="0.4">
      <c r="A2543" s="24" t="s">
        <v>1461</v>
      </c>
      <c r="B2543" s="24" t="s">
        <v>2190</v>
      </c>
      <c r="C2543" s="24">
        <v>65.69</v>
      </c>
      <c r="D2543" s="24">
        <v>15.37</v>
      </c>
      <c r="E2543" s="24">
        <v>77.849999999999994</v>
      </c>
    </row>
    <row r="2544" spans="1:5" ht="15.75" customHeight="1" x14ac:dyDescent="0.4">
      <c r="A2544" s="24" t="s">
        <v>1284</v>
      </c>
      <c r="B2544" s="24" t="s">
        <v>2188</v>
      </c>
      <c r="C2544" s="24">
        <v>77.61</v>
      </c>
      <c r="E2544" s="24">
        <v>77.61</v>
      </c>
    </row>
    <row r="2545" spans="1:5" ht="15.75" customHeight="1" x14ac:dyDescent="0.4">
      <c r="A2545" s="24" t="s">
        <v>1100</v>
      </c>
      <c r="B2545" s="24" t="s">
        <v>2190</v>
      </c>
      <c r="C2545" s="24">
        <v>67.709999999999994</v>
      </c>
      <c r="D2545" s="24">
        <v>9.7799999999999994</v>
      </c>
      <c r="E2545" s="24">
        <v>77.540000000000006</v>
      </c>
    </row>
    <row r="2546" spans="1:5" ht="15.75" customHeight="1" x14ac:dyDescent="0.4">
      <c r="A2546" s="24" t="s">
        <v>223</v>
      </c>
      <c r="B2546" s="24" t="s">
        <v>2188</v>
      </c>
      <c r="C2546" s="24">
        <v>77.53</v>
      </c>
      <c r="E2546" s="24">
        <v>77.53</v>
      </c>
    </row>
    <row r="2547" spans="1:5" ht="15.75" customHeight="1" x14ac:dyDescent="0.4">
      <c r="A2547" s="24" t="s">
        <v>2164</v>
      </c>
      <c r="B2547" s="24" t="s">
        <v>2188</v>
      </c>
      <c r="C2547" s="24">
        <v>77.3</v>
      </c>
      <c r="E2547" s="24">
        <v>77.3</v>
      </c>
    </row>
    <row r="2548" spans="1:5" ht="15.75" customHeight="1" x14ac:dyDescent="0.4">
      <c r="A2548" s="24" t="s">
        <v>567</v>
      </c>
      <c r="B2548" s="24" t="s">
        <v>2190</v>
      </c>
      <c r="C2548" s="24">
        <v>77.16</v>
      </c>
      <c r="E2548" s="24">
        <v>77.16</v>
      </c>
    </row>
    <row r="2549" spans="1:5" ht="15.75" customHeight="1" x14ac:dyDescent="0.4">
      <c r="A2549" s="24" t="s">
        <v>915</v>
      </c>
      <c r="B2549" s="24" t="s">
        <v>2190</v>
      </c>
      <c r="C2549" s="24">
        <v>76.760000000000005</v>
      </c>
      <c r="D2549" s="24">
        <v>0.38</v>
      </c>
      <c r="E2549" s="24">
        <v>77.12</v>
      </c>
    </row>
    <row r="2550" spans="1:5" ht="15.75" customHeight="1" x14ac:dyDescent="0.4">
      <c r="A2550" s="24" t="s">
        <v>1860</v>
      </c>
      <c r="B2550" s="24" t="s">
        <v>2188</v>
      </c>
      <c r="C2550" s="24">
        <v>76.849999999999994</v>
      </c>
      <c r="D2550" s="24">
        <v>0.42</v>
      </c>
      <c r="E2550" s="24">
        <v>77.11</v>
      </c>
    </row>
    <row r="2551" spans="1:5" ht="15.75" customHeight="1" x14ac:dyDescent="0.4">
      <c r="A2551" s="24" t="s">
        <v>1327</v>
      </c>
      <c r="B2551" s="24" t="s">
        <v>2188</v>
      </c>
      <c r="C2551" s="24">
        <v>76.87</v>
      </c>
      <c r="E2551" s="24">
        <v>76.87</v>
      </c>
    </row>
    <row r="2552" spans="1:5" ht="15.75" customHeight="1" x14ac:dyDescent="0.4">
      <c r="A2552" s="24" t="s">
        <v>1978</v>
      </c>
      <c r="B2552" s="24" t="s">
        <v>2188</v>
      </c>
      <c r="C2552" s="24">
        <v>74.290000000000006</v>
      </c>
      <c r="D2552" s="24">
        <v>2.31</v>
      </c>
      <c r="E2552" s="24">
        <v>76.599999999999994</v>
      </c>
    </row>
    <row r="2553" spans="1:5" ht="15.75" customHeight="1" x14ac:dyDescent="0.4">
      <c r="A2553" s="24" t="s">
        <v>1861</v>
      </c>
      <c r="B2553" s="24" t="s">
        <v>2188</v>
      </c>
      <c r="C2553" s="24">
        <v>70.16</v>
      </c>
      <c r="D2553" s="24">
        <v>6.14</v>
      </c>
      <c r="E2553" s="24">
        <v>76.31</v>
      </c>
    </row>
    <row r="2554" spans="1:5" ht="15.75" customHeight="1" x14ac:dyDescent="0.4">
      <c r="A2554" s="24" t="s">
        <v>1671</v>
      </c>
      <c r="B2554" s="24" t="s">
        <v>2196</v>
      </c>
      <c r="C2554" s="24">
        <v>75.709999999999994</v>
      </c>
      <c r="D2554" s="24">
        <v>0.33</v>
      </c>
      <c r="E2554" s="24">
        <v>76.05</v>
      </c>
    </row>
    <row r="2555" spans="1:5" ht="15.75" customHeight="1" x14ac:dyDescent="0.4">
      <c r="A2555" s="24" t="s">
        <v>1119</v>
      </c>
      <c r="B2555" s="24" t="s">
        <v>2190</v>
      </c>
      <c r="C2555" s="24">
        <v>75.989999999999995</v>
      </c>
      <c r="D2555" s="24">
        <v>0.02</v>
      </c>
      <c r="E2555" s="24">
        <v>76.02</v>
      </c>
    </row>
    <row r="2556" spans="1:5" ht="15.75" customHeight="1" x14ac:dyDescent="0.4">
      <c r="A2556" s="24" t="s">
        <v>1553</v>
      </c>
      <c r="B2556" s="24" t="s">
        <v>2188</v>
      </c>
      <c r="C2556" s="24">
        <v>75.88</v>
      </c>
      <c r="E2556" s="24">
        <v>75.88</v>
      </c>
    </row>
    <row r="2557" spans="1:5" ht="15.75" customHeight="1" x14ac:dyDescent="0.4">
      <c r="A2557" s="24" t="s">
        <v>1485</v>
      </c>
      <c r="B2557" s="24" t="s">
        <v>2188</v>
      </c>
      <c r="C2557" s="24">
        <v>75.03</v>
      </c>
      <c r="D2557" s="24">
        <v>0.83</v>
      </c>
      <c r="E2557" s="24">
        <v>75.849999999999994</v>
      </c>
    </row>
    <row r="2558" spans="1:5" ht="15.75" customHeight="1" x14ac:dyDescent="0.4">
      <c r="A2558" s="24" t="s">
        <v>2030</v>
      </c>
      <c r="B2558" s="24" t="s">
        <v>2188</v>
      </c>
      <c r="C2558" s="24">
        <v>75.84</v>
      </c>
      <c r="E2558" s="24">
        <v>75.84</v>
      </c>
    </row>
    <row r="2559" spans="1:5" ht="15.75" customHeight="1" x14ac:dyDescent="0.4">
      <c r="A2559" s="24" t="s">
        <v>419</v>
      </c>
      <c r="B2559" s="24" t="s">
        <v>2188</v>
      </c>
      <c r="C2559" s="24">
        <v>75.83</v>
      </c>
      <c r="E2559" s="24">
        <v>75.83</v>
      </c>
    </row>
    <row r="2560" spans="1:5" ht="15.75" customHeight="1" x14ac:dyDescent="0.4">
      <c r="A2560" s="24" t="s">
        <v>2059</v>
      </c>
      <c r="B2560" s="24" t="s">
        <v>2188</v>
      </c>
      <c r="C2560" s="24">
        <v>75.73</v>
      </c>
      <c r="E2560" s="24">
        <v>75.73</v>
      </c>
    </row>
    <row r="2561" spans="1:5" ht="15.75" customHeight="1" x14ac:dyDescent="0.4">
      <c r="A2561" s="24" t="s">
        <v>481</v>
      </c>
      <c r="B2561" s="24" t="s">
        <v>2190</v>
      </c>
      <c r="C2561" s="24">
        <v>75.650000000000006</v>
      </c>
      <c r="E2561" s="24">
        <v>75.650000000000006</v>
      </c>
    </row>
    <row r="2562" spans="1:5" ht="15.75" customHeight="1" x14ac:dyDescent="0.4">
      <c r="A2562" s="24" t="s">
        <v>487</v>
      </c>
      <c r="B2562" s="24" t="s">
        <v>2188</v>
      </c>
      <c r="C2562" s="24">
        <v>17.89</v>
      </c>
      <c r="D2562" s="24">
        <v>57.46</v>
      </c>
      <c r="E2562" s="24">
        <v>75.52</v>
      </c>
    </row>
    <row r="2563" spans="1:5" ht="15.75" customHeight="1" x14ac:dyDescent="0.4">
      <c r="A2563" s="24" t="s">
        <v>1599</v>
      </c>
      <c r="B2563" s="24" t="s">
        <v>2188</v>
      </c>
      <c r="C2563" s="24">
        <v>75.209999999999994</v>
      </c>
      <c r="D2563" s="24">
        <v>1.7</v>
      </c>
      <c r="E2563" s="24">
        <v>75.34</v>
      </c>
    </row>
    <row r="2564" spans="1:5" ht="15.75" customHeight="1" x14ac:dyDescent="0.4">
      <c r="A2564" s="24" t="s">
        <v>2005</v>
      </c>
      <c r="B2564" s="24" t="s">
        <v>2190</v>
      </c>
      <c r="C2564" s="24">
        <v>75.09</v>
      </c>
      <c r="E2564" s="24">
        <v>75.09</v>
      </c>
    </row>
    <row r="2565" spans="1:5" ht="15.75" customHeight="1" x14ac:dyDescent="0.4">
      <c r="A2565" s="24" t="s">
        <v>832</v>
      </c>
      <c r="B2565" s="24" t="s">
        <v>2188</v>
      </c>
      <c r="C2565" s="24">
        <v>75.08</v>
      </c>
      <c r="E2565" s="24">
        <v>75.08</v>
      </c>
    </row>
    <row r="2566" spans="1:5" ht="15.75" customHeight="1" x14ac:dyDescent="0.4">
      <c r="A2566" s="24" t="s">
        <v>949</v>
      </c>
      <c r="B2566" s="24" t="s">
        <v>2188</v>
      </c>
      <c r="C2566" s="24">
        <v>75.06</v>
      </c>
      <c r="E2566" s="24">
        <v>75.06</v>
      </c>
    </row>
    <row r="2567" spans="1:5" ht="15.75" customHeight="1" x14ac:dyDescent="0.4">
      <c r="A2567" s="24" t="s">
        <v>1673</v>
      </c>
      <c r="B2567" s="24" t="s">
        <v>2196</v>
      </c>
      <c r="C2567" s="24">
        <v>75</v>
      </c>
      <c r="E2567" s="24">
        <v>75</v>
      </c>
    </row>
    <row r="2568" spans="1:5" ht="15.75" customHeight="1" x14ac:dyDescent="0.4">
      <c r="A2568" s="24" t="s">
        <v>1596</v>
      </c>
      <c r="B2568" s="24" t="s">
        <v>2188</v>
      </c>
      <c r="C2568" s="24">
        <v>74.63</v>
      </c>
      <c r="D2568" s="24">
        <v>0.23</v>
      </c>
      <c r="E2568" s="24">
        <v>74.87</v>
      </c>
    </row>
    <row r="2569" spans="1:5" ht="15.75" customHeight="1" x14ac:dyDescent="0.4">
      <c r="A2569" s="24" t="s">
        <v>1783</v>
      </c>
      <c r="B2569" s="24" t="s">
        <v>2188</v>
      </c>
      <c r="C2569" s="24">
        <v>74.73</v>
      </c>
      <c r="D2569" s="24">
        <v>0.12</v>
      </c>
      <c r="E2569" s="24">
        <v>74.849999999999994</v>
      </c>
    </row>
    <row r="2570" spans="1:5" ht="15.75" customHeight="1" x14ac:dyDescent="0.4">
      <c r="A2570" s="24" t="s">
        <v>1767</v>
      </c>
      <c r="B2570" s="24" t="s">
        <v>2190</v>
      </c>
      <c r="C2570" s="24">
        <v>67.05</v>
      </c>
      <c r="D2570" s="24">
        <v>7.51</v>
      </c>
      <c r="E2570" s="24">
        <v>74.599999999999994</v>
      </c>
    </row>
    <row r="2571" spans="1:5" ht="15.75" customHeight="1" x14ac:dyDescent="0.4">
      <c r="A2571" s="24" t="s">
        <v>583</v>
      </c>
      <c r="B2571" s="24" t="s">
        <v>2190</v>
      </c>
      <c r="C2571" s="24">
        <v>43</v>
      </c>
      <c r="D2571" s="24">
        <v>31.35</v>
      </c>
      <c r="E2571" s="24">
        <v>74.5</v>
      </c>
    </row>
    <row r="2572" spans="1:5" ht="15.75" customHeight="1" x14ac:dyDescent="0.4">
      <c r="A2572" s="24" t="s">
        <v>1819</v>
      </c>
      <c r="B2572" s="24" t="s">
        <v>2190</v>
      </c>
      <c r="C2572" s="24">
        <v>74.459999999999994</v>
      </c>
      <c r="E2572" s="24">
        <v>74.459999999999994</v>
      </c>
    </row>
    <row r="2573" spans="1:5" ht="15.75" customHeight="1" x14ac:dyDescent="0.4">
      <c r="A2573" s="24" t="s">
        <v>799</v>
      </c>
      <c r="B2573" s="24" t="s">
        <v>2188</v>
      </c>
      <c r="C2573" s="24">
        <v>74.23</v>
      </c>
      <c r="E2573" s="24">
        <v>74.23</v>
      </c>
    </row>
    <row r="2574" spans="1:5" ht="15.75" customHeight="1" x14ac:dyDescent="0.4">
      <c r="A2574" s="24" t="s">
        <v>1192</v>
      </c>
      <c r="B2574" s="24" t="s">
        <v>2190</v>
      </c>
      <c r="C2574" s="24">
        <v>2.66</v>
      </c>
      <c r="D2574" s="24">
        <v>71.13</v>
      </c>
      <c r="E2574" s="24">
        <v>74.12</v>
      </c>
    </row>
    <row r="2575" spans="1:5" ht="15.75" customHeight="1" x14ac:dyDescent="0.4">
      <c r="A2575" s="24" t="s">
        <v>1399</v>
      </c>
      <c r="B2575" s="24" t="s">
        <v>2190</v>
      </c>
      <c r="C2575" s="24">
        <v>30.09</v>
      </c>
      <c r="D2575" s="24">
        <v>52.45</v>
      </c>
      <c r="E2575" s="24">
        <v>73.91</v>
      </c>
    </row>
    <row r="2576" spans="1:5" ht="15.75" customHeight="1" x14ac:dyDescent="0.4">
      <c r="A2576" s="24" t="s">
        <v>870</v>
      </c>
      <c r="B2576" s="24" t="s">
        <v>2190</v>
      </c>
      <c r="C2576" s="24">
        <v>73.73</v>
      </c>
      <c r="E2576" s="24">
        <v>73.73</v>
      </c>
    </row>
    <row r="2577" spans="1:5" ht="15.75" customHeight="1" x14ac:dyDescent="0.4">
      <c r="A2577" s="24" t="s">
        <v>1227</v>
      </c>
      <c r="B2577" s="24" t="s">
        <v>2190</v>
      </c>
      <c r="C2577" s="24">
        <v>57.3</v>
      </c>
      <c r="D2577" s="24">
        <v>16.2</v>
      </c>
      <c r="E2577" s="24">
        <v>73.58</v>
      </c>
    </row>
    <row r="2578" spans="1:5" ht="15.75" customHeight="1" x14ac:dyDescent="0.4">
      <c r="A2578" s="24" t="s">
        <v>409</v>
      </c>
      <c r="B2578" s="24" t="s">
        <v>2188</v>
      </c>
      <c r="C2578" s="24">
        <v>70.45</v>
      </c>
      <c r="D2578" s="24">
        <v>2.52</v>
      </c>
      <c r="E2578" s="24">
        <v>72.98</v>
      </c>
    </row>
    <row r="2579" spans="1:5" ht="15.75" customHeight="1" x14ac:dyDescent="0.4">
      <c r="A2579" s="24" t="s">
        <v>1753</v>
      </c>
      <c r="B2579" s="24" t="s">
        <v>2190</v>
      </c>
      <c r="C2579" s="24">
        <v>72.97</v>
      </c>
      <c r="E2579" s="24">
        <v>72.97</v>
      </c>
    </row>
    <row r="2580" spans="1:5" ht="15.75" customHeight="1" x14ac:dyDescent="0.4">
      <c r="A2580" s="24" t="s">
        <v>1726</v>
      </c>
      <c r="B2580" s="24" t="s">
        <v>2196</v>
      </c>
      <c r="C2580" s="24">
        <v>72.42</v>
      </c>
      <c r="D2580" s="24">
        <v>0.24</v>
      </c>
      <c r="E2580" s="24">
        <v>72.66</v>
      </c>
    </row>
    <row r="2581" spans="1:5" ht="15.75" customHeight="1" x14ac:dyDescent="0.4">
      <c r="A2581" s="24" t="s">
        <v>2146</v>
      </c>
      <c r="B2581" s="24" t="s">
        <v>2188</v>
      </c>
      <c r="C2581" s="24">
        <v>72.2</v>
      </c>
      <c r="E2581" s="24">
        <v>72.2</v>
      </c>
    </row>
    <row r="2582" spans="1:5" ht="15.75" customHeight="1" x14ac:dyDescent="0.4">
      <c r="A2582" s="24" t="s">
        <v>1375</v>
      </c>
      <c r="B2582" s="24" t="s">
        <v>2188</v>
      </c>
      <c r="C2582" s="24">
        <v>71.88</v>
      </c>
      <c r="D2582" s="24">
        <v>0.73</v>
      </c>
      <c r="E2582" s="24">
        <v>72.17</v>
      </c>
    </row>
    <row r="2583" spans="1:5" ht="15.75" customHeight="1" x14ac:dyDescent="0.4">
      <c r="A2583" s="24" t="s">
        <v>2082</v>
      </c>
      <c r="B2583" s="24" t="s">
        <v>2188</v>
      </c>
      <c r="C2583" s="24">
        <v>71.33</v>
      </c>
      <c r="E2583" s="24">
        <v>71.33</v>
      </c>
    </row>
    <row r="2584" spans="1:5" ht="15.75" customHeight="1" x14ac:dyDescent="0.4">
      <c r="A2584" s="24" t="s">
        <v>921</v>
      </c>
      <c r="B2584" s="24" t="s">
        <v>2188</v>
      </c>
      <c r="C2584" s="24">
        <v>67.66</v>
      </c>
      <c r="D2584" s="24">
        <v>18.75</v>
      </c>
      <c r="E2584" s="24">
        <v>71.040000000000006</v>
      </c>
    </row>
    <row r="2585" spans="1:5" ht="15.75" customHeight="1" x14ac:dyDescent="0.4">
      <c r="A2585" s="24" t="s">
        <v>937</v>
      </c>
      <c r="B2585" s="24" t="s">
        <v>2188</v>
      </c>
      <c r="C2585" s="24">
        <v>70.430000000000007</v>
      </c>
      <c r="D2585" s="24">
        <v>0.03</v>
      </c>
      <c r="E2585" s="24">
        <v>70.459999999999994</v>
      </c>
    </row>
    <row r="2586" spans="1:5" ht="15.75" customHeight="1" x14ac:dyDescent="0.4">
      <c r="A2586" s="24" t="s">
        <v>469</v>
      </c>
      <c r="B2586" s="24" t="s">
        <v>2190</v>
      </c>
      <c r="C2586" s="24">
        <v>70.05</v>
      </c>
      <c r="E2586" s="24">
        <v>70.05</v>
      </c>
    </row>
    <row r="2587" spans="1:5" ht="15.75" customHeight="1" x14ac:dyDescent="0.4">
      <c r="A2587" s="24" t="s">
        <v>730</v>
      </c>
      <c r="B2587" s="24" t="s">
        <v>2188</v>
      </c>
      <c r="C2587" s="24">
        <v>67.39</v>
      </c>
      <c r="D2587" s="24">
        <v>1.61</v>
      </c>
      <c r="E2587" s="24">
        <v>69.010000000000005</v>
      </c>
    </row>
    <row r="2588" spans="1:5" ht="15.75" customHeight="1" x14ac:dyDescent="0.4">
      <c r="A2588" s="24" t="s">
        <v>1773</v>
      </c>
      <c r="B2588" s="24" t="s">
        <v>2191</v>
      </c>
      <c r="C2588" s="24">
        <v>2.2000000000000002</v>
      </c>
      <c r="D2588" s="24">
        <v>68.22</v>
      </c>
      <c r="E2588" s="24">
        <v>68.760000000000005</v>
      </c>
    </row>
    <row r="2589" spans="1:5" ht="15.75" customHeight="1" x14ac:dyDescent="0.4">
      <c r="A2589" s="24" t="s">
        <v>1738</v>
      </c>
      <c r="B2589" s="24" t="s">
        <v>2190</v>
      </c>
      <c r="C2589" s="24">
        <v>35.53</v>
      </c>
      <c r="D2589" s="24">
        <v>32.92</v>
      </c>
      <c r="E2589" s="24">
        <v>68.599999999999994</v>
      </c>
    </row>
    <row r="2590" spans="1:5" ht="15.75" customHeight="1" x14ac:dyDescent="0.4">
      <c r="A2590" s="24" t="s">
        <v>489</v>
      </c>
      <c r="B2590" s="24" t="s">
        <v>2190</v>
      </c>
      <c r="C2590" s="24">
        <v>68.48</v>
      </c>
      <c r="D2590" s="24">
        <v>0.01</v>
      </c>
      <c r="E2590" s="24">
        <v>68.489999999999995</v>
      </c>
    </row>
    <row r="2591" spans="1:5" ht="15.75" customHeight="1" x14ac:dyDescent="0.4">
      <c r="A2591" s="24" t="s">
        <v>593</v>
      </c>
      <c r="B2591" s="24" t="s">
        <v>2188</v>
      </c>
      <c r="C2591" s="24">
        <v>41.58</v>
      </c>
      <c r="D2591" s="24">
        <v>50.12</v>
      </c>
      <c r="E2591" s="24">
        <v>68.44</v>
      </c>
    </row>
    <row r="2592" spans="1:5" ht="15.75" customHeight="1" x14ac:dyDescent="0.4">
      <c r="A2592" s="24" t="s">
        <v>1354</v>
      </c>
      <c r="B2592" s="24" t="s">
        <v>2188</v>
      </c>
      <c r="C2592" s="24">
        <v>68.31</v>
      </c>
      <c r="D2592" s="24">
        <v>0.06</v>
      </c>
      <c r="E2592" s="24">
        <v>68.37</v>
      </c>
    </row>
    <row r="2593" spans="1:5" ht="15.75" customHeight="1" x14ac:dyDescent="0.4">
      <c r="A2593" s="24" t="s">
        <v>249</v>
      </c>
      <c r="B2593" s="24" t="s">
        <v>2188</v>
      </c>
      <c r="C2593" s="24">
        <v>68.25</v>
      </c>
      <c r="E2593" s="24">
        <v>68.25</v>
      </c>
    </row>
    <row r="2594" spans="1:5" ht="15.75" customHeight="1" x14ac:dyDescent="0.4">
      <c r="A2594" s="24" t="s">
        <v>1426</v>
      </c>
      <c r="B2594" s="24" t="s">
        <v>2188</v>
      </c>
      <c r="C2594" s="24">
        <v>67.5</v>
      </c>
      <c r="E2594" s="24">
        <v>67.5</v>
      </c>
    </row>
    <row r="2595" spans="1:5" ht="15.75" customHeight="1" x14ac:dyDescent="0.4">
      <c r="A2595" s="24" t="s">
        <v>939</v>
      </c>
      <c r="B2595" s="24" t="s">
        <v>2196</v>
      </c>
      <c r="C2595" s="24">
        <v>67.319999999999993</v>
      </c>
      <c r="E2595" s="24">
        <v>67.319999999999993</v>
      </c>
    </row>
    <row r="2596" spans="1:5" ht="15.75" customHeight="1" x14ac:dyDescent="0.4">
      <c r="A2596" s="24" t="s">
        <v>2043</v>
      </c>
      <c r="B2596" s="24" t="s">
        <v>2188</v>
      </c>
      <c r="C2596" s="24">
        <v>15.19</v>
      </c>
      <c r="D2596" s="24">
        <v>54.59</v>
      </c>
      <c r="E2596" s="24">
        <v>66.930000000000007</v>
      </c>
    </row>
    <row r="2597" spans="1:5" ht="15.75" customHeight="1" x14ac:dyDescent="0.4">
      <c r="A2597" s="24" t="s">
        <v>1070</v>
      </c>
      <c r="B2597" s="24" t="s">
        <v>2190</v>
      </c>
      <c r="C2597" s="24">
        <v>66.7</v>
      </c>
      <c r="E2597" s="24">
        <v>66.7</v>
      </c>
    </row>
    <row r="2598" spans="1:5" ht="15.75" customHeight="1" x14ac:dyDescent="0.4">
      <c r="A2598" s="24" t="s">
        <v>1757</v>
      </c>
      <c r="B2598" s="24" t="s">
        <v>2190</v>
      </c>
      <c r="C2598" s="24">
        <v>63.17</v>
      </c>
      <c r="D2598" s="24">
        <v>3.22</v>
      </c>
      <c r="E2598" s="24">
        <v>66.400000000000006</v>
      </c>
    </row>
    <row r="2599" spans="1:5" ht="15.75" customHeight="1" x14ac:dyDescent="0.4">
      <c r="A2599" s="24" t="s">
        <v>1546</v>
      </c>
      <c r="B2599" s="24" t="s">
        <v>2188</v>
      </c>
      <c r="C2599" s="24">
        <v>66.38</v>
      </c>
      <c r="E2599" s="24">
        <v>66.38</v>
      </c>
    </row>
    <row r="2600" spans="1:5" ht="15.75" customHeight="1" x14ac:dyDescent="0.4">
      <c r="A2600" s="24" t="s">
        <v>995</v>
      </c>
      <c r="B2600" s="24" t="s">
        <v>2190</v>
      </c>
      <c r="C2600" s="24">
        <v>66.36</v>
      </c>
      <c r="E2600" s="24">
        <v>66.36</v>
      </c>
    </row>
    <row r="2601" spans="1:5" ht="15.75" customHeight="1" x14ac:dyDescent="0.4">
      <c r="A2601" s="24" t="s">
        <v>667</v>
      </c>
      <c r="B2601" s="24" t="s">
        <v>2188</v>
      </c>
      <c r="C2601" s="24">
        <v>52.25</v>
      </c>
      <c r="D2601" s="24">
        <v>13.8</v>
      </c>
      <c r="E2601" s="24">
        <v>66.09</v>
      </c>
    </row>
    <row r="2602" spans="1:5" ht="15.75" customHeight="1" x14ac:dyDescent="0.4">
      <c r="A2602" s="24" t="s">
        <v>1189</v>
      </c>
      <c r="B2602" s="24" t="s">
        <v>2190</v>
      </c>
      <c r="C2602" s="24">
        <v>65.72</v>
      </c>
      <c r="D2602" s="24">
        <v>0.01</v>
      </c>
      <c r="E2602" s="24">
        <v>65.73</v>
      </c>
    </row>
    <row r="2603" spans="1:5" ht="15.75" customHeight="1" x14ac:dyDescent="0.4">
      <c r="A2603" s="24" t="s">
        <v>1675</v>
      </c>
      <c r="B2603" s="24" t="s">
        <v>2190</v>
      </c>
      <c r="C2603" s="24">
        <v>9.69</v>
      </c>
      <c r="D2603" s="24">
        <v>55.76</v>
      </c>
      <c r="E2603" s="24">
        <v>65.72</v>
      </c>
    </row>
    <row r="2604" spans="1:5" ht="15.75" customHeight="1" x14ac:dyDescent="0.4">
      <c r="A2604" s="24" t="s">
        <v>1484</v>
      </c>
      <c r="B2604" s="24" t="s">
        <v>2188</v>
      </c>
      <c r="C2604" s="24">
        <v>60.03</v>
      </c>
      <c r="D2604" s="24">
        <v>5.67</v>
      </c>
      <c r="E2604" s="24">
        <v>65.64</v>
      </c>
    </row>
    <row r="2605" spans="1:5" ht="15.75" customHeight="1" x14ac:dyDescent="0.4">
      <c r="A2605" s="24" t="s">
        <v>877</v>
      </c>
      <c r="B2605" s="24" t="s">
        <v>2188</v>
      </c>
      <c r="C2605" s="24">
        <v>65.14</v>
      </c>
      <c r="E2605" s="24">
        <v>65.14</v>
      </c>
    </row>
    <row r="2606" spans="1:5" ht="15.75" customHeight="1" x14ac:dyDescent="0.4">
      <c r="A2606" s="24" t="s">
        <v>1634</v>
      </c>
      <c r="B2606" s="24" t="s">
        <v>2188</v>
      </c>
      <c r="C2606" s="24">
        <v>65.099999999999994</v>
      </c>
      <c r="E2606" s="24">
        <v>65.099999999999994</v>
      </c>
    </row>
    <row r="2607" spans="1:5" ht="15.75" customHeight="1" x14ac:dyDescent="0.4">
      <c r="A2607" s="24" t="s">
        <v>1152</v>
      </c>
      <c r="B2607" s="24" t="s">
        <v>2188</v>
      </c>
      <c r="C2607" s="24">
        <v>64.12</v>
      </c>
      <c r="D2607" s="24">
        <v>13.47</v>
      </c>
      <c r="E2607" s="24">
        <v>65.02</v>
      </c>
    </row>
    <row r="2608" spans="1:5" ht="15.75" customHeight="1" x14ac:dyDescent="0.4">
      <c r="A2608" s="24" t="s">
        <v>1689</v>
      </c>
      <c r="B2608" s="24" t="s">
        <v>2190</v>
      </c>
      <c r="C2608" s="24">
        <v>33.950000000000003</v>
      </c>
      <c r="D2608" s="24">
        <v>39.909999999999997</v>
      </c>
      <c r="E2608" s="24">
        <v>64.989999999999995</v>
      </c>
    </row>
    <row r="2609" spans="1:5" ht="15.75" customHeight="1" x14ac:dyDescent="0.4">
      <c r="A2609" s="24" t="s">
        <v>1614</v>
      </c>
      <c r="B2609" s="24" t="s">
        <v>2188</v>
      </c>
      <c r="C2609" s="24">
        <v>27.1</v>
      </c>
      <c r="D2609" s="24">
        <v>51.49</v>
      </c>
      <c r="E2609" s="24">
        <v>64.97</v>
      </c>
    </row>
    <row r="2610" spans="1:5" ht="15.75" customHeight="1" x14ac:dyDescent="0.4">
      <c r="A2610" s="24" t="s">
        <v>1255</v>
      </c>
      <c r="B2610" s="24" t="s">
        <v>2188</v>
      </c>
      <c r="C2610" s="24">
        <v>64.8</v>
      </c>
      <c r="E2610" s="24">
        <v>64.8</v>
      </c>
    </row>
    <row r="2611" spans="1:5" ht="15.75" customHeight="1" x14ac:dyDescent="0.4">
      <c r="A2611" s="24" t="s">
        <v>1536</v>
      </c>
      <c r="B2611" s="24" t="s">
        <v>2188</v>
      </c>
      <c r="C2611" s="24">
        <v>64.739999999999995</v>
      </c>
      <c r="E2611" s="24">
        <v>64.739999999999995</v>
      </c>
    </row>
    <row r="2612" spans="1:5" ht="15.75" customHeight="1" x14ac:dyDescent="0.4">
      <c r="A2612" s="24" t="s">
        <v>929</v>
      </c>
      <c r="B2612" s="24" t="s">
        <v>2190</v>
      </c>
      <c r="C2612" s="24">
        <v>64.56</v>
      </c>
      <c r="E2612" s="24">
        <v>64.56</v>
      </c>
    </row>
    <row r="2613" spans="1:5" ht="15.75" customHeight="1" x14ac:dyDescent="0.4">
      <c r="A2613" s="24" t="s">
        <v>285</v>
      </c>
      <c r="B2613" s="24" t="s">
        <v>2188</v>
      </c>
      <c r="C2613" s="24">
        <v>57.82</v>
      </c>
      <c r="D2613" s="24">
        <v>6.64</v>
      </c>
      <c r="E2613" s="24">
        <v>64.47</v>
      </c>
    </row>
    <row r="2614" spans="1:5" ht="15.75" customHeight="1" x14ac:dyDescent="0.4">
      <c r="A2614" s="24" t="s">
        <v>1561</v>
      </c>
      <c r="B2614" s="24" t="s">
        <v>2196</v>
      </c>
      <c r="C2614" s="24">
        <v>64.23</v>
      </c>
      <c r="E2614" s="24">
        <v>64.23</v>
      </c>
    </row>
    <row r="2615" spans="1:5" ht="15.75" customHeight="1" x14ac:dyDescent="0.4">
      <c r="A2615" s="24" t="s">
        <v>849</v>
      </c>
      <c r="B2615" s="24" t="s">
        <v>2190</v>
      </c>
      <c r="C2615" s="24">
        <v>63.56</v>
      </c>
      <c r="E2615" s="24">
        <v>63.56</v>
      </c>
    </row>
    <row r="2616" spans="1:5" ht="15.75" customHeight="1" x14ac:dyDescent="0.4">
      <c r="A2616" s="24" t="s">
        <v>881</v>
      </c>
      <c r="B2616" s="24" t="s">
        <v>2190</v>
      </c>
      <c r="C2616" s="24">
        <v>63.23</v>
      </c>
      <c r="D2616" s="24">
        <v>1.9</v>
      </c>
      <c r="E2616" s="24">
        <v>63.25</v>
      </c>
    </row>
    <row r="2617" spans="1:5" ht="15.75" customHeight="1" x14ac:dyDescent="0.4">
      <c r="A2617" s="24" t="s">
        <v>2053</v>
      </c>
      <c r="B2617" s="24" t="s">
        <v>2188</v>
      </c>
      <c r="C2617" s="24">
        <v>62.03</v>
      </c>
      <c r="E2617" s="24">
        <v>62.03</v>
      </c>
    </row>
    <row r="2618" spans="1:5" ht="15.75" customHeight="1" x14ac:dyDescent="0.4">
      <c r="A2618" s="24" t="s">
        <v>681</v>
      </c>
      <c r="B2618" s="24" t="s">
        <v>2188</v>
      </c>
      <c r="C2618" s="24">
        <v>61.82</v>
      </c>
      <c r="D2618" s="24">
        <v>14.86</v>
      </c>
      <c r="E2618" s="24">
        <v>61.87</v>
      </c>
    </row>
    <row r="2619" spans="1:5" ht="15.75" customHeight="1" x14ac:dyDescent="0.4">
      <c r="A2619" s="24" t="s">
        <v>1023</v>
      </c>
      <c r="B2619" s="24" t="s">
        <v>2188</v>
      </c>
      <c r="C2619" s="24">
        <v>61.68</v>
      </c>
      <c r="E2619" s="24">
        <v>61.68</v>
      </c>
    </row>
    <row r="2620" spans="1:5" ht="15.75" customHeight="1" x14ac:dyDescent="0.4">
      <c r="A2620" s="24" t="s">
        <v>1197</v>
      </c>
      <c r="B2620" s="24" t="s">
        <v>2190</v>
      </c>
      <c r="C2620" s="24">
        <v>61.49</v>
      </c>
      <c r="E2620" s="24">
        <v>61.49</v>
      </c>
    </row>
    <row r="2621" spans="1:5" ht="15.75" customHeight="1" x14ac:dyDescent="0.4">
      <c r="A2621" s="24" t="s">
        <v>1566</v>
      </c>
      <c r="B2621" s="24" t="s">
        <v>2194</v>
      </c>
      <c r="C2621" s="24">
        <v>61.44</v>
      </c>
      <c r="E2621" s="24">
        <v>61.44</v>
      </c>
    </row>
    <row r="2622" spans="1:5" ht="15.75" customHeight="1" x14ac:dyDescent="0.4">
      <c r="A2622" s="24" t="s">
        <v>2040</v>
      </c>
      <c r="B2622" s="24" t="s">
        <v>2190</v>
      </c>
      <c r="C2622" s="24">
        <v>61.12</v>
      </c>
      <c r="E2622" s="24">
        <v>61.12</v>
      </c>
    </row>
    <row r="2623" spans="1:5" ht="15.75" customHeight="1" x14ac:dyDescent="0.4">
      <c r="A2623" s="24" t="s">
        <v>305</v>
      </c>
      <c r="B2623" s="24" t="s">
        <v>2190</v>
      </c>
      <c r="C2623" s="24">
        <v>60.87</v>
      </c>
      <c r="E2623" s="24">
        <v>60.87</v>
      </c>
    </row>
    <row r="2624" spans="1:5" ht="15.75" customHeight="1" x14ac:dyDescent="0.4">
      <c r="A2624" s="24" t="s">
        <v>766</v>
      </c>
      <c r="B2624" s="24" t="s">
        <v>2190</v>
      </c>
      <c r="C2624" s="24">
        <v>60.39</v>
      </c>
      <c r="E2624" s="24">
        <v>60.39</v>
      </c>
    </row>
    <row r="2625" spans="1:5" ht="15.75" customHeight="1" x14ac:dyDescent="0.4">
      <c r="A2625" s="24" t="s">
        <v>1259</v>
      </c>
      <c r="B2625" s="24" t="s">
        <v>2188</v>
      </c>
      <c r="C2625" s="24">
        <v>45.15</v>
      </c>
      <c r="D2625" s="24">
        <v>16.66</v>
      </c>
      <c r="E2625" s="24">
        <v>60.22</v>
      </c>
    </row>
    <row r="2626" spans="1:5" ht="15.75" customHeight="1" x14ac:dyDescent="0.4">
      <c r="A2626" s="24" t="s">
        <v>1717</v>
      </c>
      <c r="B2626" s="24" t="s">
        <v>2188</v>
      </c>
      <c r="C2626" s="24">
        <v>59.78</v>
      </c>
      <c r="E2626" s="24">
        <v>59.78</v>
      </c>
    </row>
    <row r="2627" spans="1:5" ht="15.75" customHeight="1" x14ac:dyDescent="0.4">
      <c r="A2627" s="24" t="s">
        <v>260</v>
      </c>
      <c r="B2627" s="24" t="s">
        <v>2188</v>
      </c>
      <c r="C2627" s="24">
        <v>59.21</v>
      </c>
      <c r="D2627" s="24">
        <v>0.36</v>
      </c>
      <c r="E2627" s="24">
        <v>59.57</v>
      </c>
    </row>
    <row r="2628" spans="1:5" ht="15.75" customHeight="1" x14ac:dyDescent="0.4">
      <c r="A2628" s="24" t="s">
        <v>1563</v>
      </c>
      <c r="B2628" s="24" t="s">
        <v>2190</v>
      </c>
      <c r="C2628" s="24">
        <v>43.65</v>
      </c>
      <c r="D2628" s="24">
        <v>15.47</v>
      </c>
      <c r="E2628" s="24">
        <v>59.19</v>
      </c>
    </row>
    <row r="2629" spans="1:5" ht="15.75" customHeight="1" x14ac:dyDescent="0.4">
      <c r="A2629" s="24" t="s">
        <v>1884</v>
      </c>
      <c r="B2629" s="24" t="s">
        <v>2188</v>
      </c>
      <c r="C2629" s="24">
        <v>58.86</v>
      </c>
      <c r="E2629" s="24">
        <v>58.86</v>
      </c>
    </row>
    <row r="2630" spans="1:5" ht="15.75" customHeight="1" x14ac:dyDescent="0.4">
      <c r="A2630" s="24" t="s">
        <v>1118</v>
      </c>
      <c r="B2630" s="24" t="s">
        <v>2190</v>
      </c>
      <c r="C2630" s="24">
        <v>58.73</v>
      </c>
      <c r="E2630" s="24">
        <v>58.73</v>
      </c>
    </row>
    <row r="2631" spans="1:5" ht="15.75" customHeight="1" x14ac:dyDescent="0.4">
      <c r="A2631" s="24" t="s">
        <v>2009</v>
      </c>
      <c r="B2631" s="24" t="s">
        <v>2188</v>
      </c>
      <c r="C2631" s="24">
        <v>58.41</v>
      </c>
      <c r="E2631" s="24">
        <v>58.41</v>
      </c>
    </row>
    <row r="2632" spans="1:5" ht="15.75" customHeight="1" x14ac:dyDescent="0.4">
      <c r="A2632" s="24" t="s">
        <v>1015</v>
      </c>
      <c r="B2632" s="24" t="s">
        <v>2190</v>
      </c>
      <c r="C2632" s="24">
        <v>58.15</v>
      </c>
      <c r="D2632" s="24">
        <v>0.32</v>
      </c>
      <c r="E2632" s="24">
        <v>58.19</v>
      </c>
    </row>
    <row r="2633" spans="1:5" ht="15.75" customHeight="1" x14ac:dyDescent="0.4">
      <c r="A2633" s="24" t="s">
        <v>1005</v>
      </c>
      <c r="B2633" s="24" t="s">
        <v>2188</v>
      </c>
      <c r="C2633" s="24">
        <v>56.62</v>
      </c>
      <c r="D2633" s="24">
        <v>0.74</v>
      </c>
      <c r="E2633" s="24">
        <v>57.36</v>
      </c>
    </row>
    <row r="2634" spans="1:5" ht="15.75" customHeight="1" x14ac:dyDescent="0.4">
      <c r="A2634" s="24" t="s">
        <v>970</v>
      </c>
      <c r="B2634" s="24" t="s">
        <v>2190</v>
      </c>
      <c r="C2634" s="24">
        <v>56.26</v>
      </c>
      <c r="E2634" s="24">
        <v>56.26</v>
      </c>
    </row>
    <row r="2635" spans="1:5" ht="15.75" customHeight="1" x14ac:dyDescent="0.4">
      <c r="A2635" s="24" t="s">
        <v>776</v>
      </c>
      <c r="B2635" s="24" t="s">
        <v>2188</v>
      </c>
      <c r="C2635" s="24">
        <v>52.74</v>
      </c>
      <c r="D2635" s="24">
        <v>3.34</v>
      </c>
      <c r="E2635" s="24">
        <v>56.09</v>
      </c>
    </row>
    <row r="2636" spans="1:5" ht="15.75" customHeight="1" x14ac:dyDescent="0.4">
      <c r="A2636" s="24" t="s">
        <v>559</v>
      </c>
      <c r="B2636" s="24" t="s">
        <v>2190</v>
      </c>
      <c r="C2636" s="24">
        <v>55.6</v>
      </c>
      <c r="E2636" s="24">
        <v>55.6</v>
      </c>
    </row>
    <row r="2637" spans="1:5" ht="15.75" customHeight="1" x14ac:dyDescent="0.4">
      <c r="A2637" s="24" t="s">
        <v>663</v>
      </c>
      <c r="B2637" s="24" t="s">
        <v>2188</v>
      </c>
      <c r="C2637" s="24">
        <v>44.56</v>
      </c>
      <c r="D2637" s="24">
        <v>10.84</v>
      </c>
      <c r="E2637" s="24">
        <v>55.43</v>
      </c>
    </row>
    <row r="2638" spans="1:5" ht="15.75" customHeight="1" x14ac:dyDescent="0.4">
      <c r="A2638" s="24" t="s">
        <v>704</v>
      </c>
      <c r="B2638" s="24" t="s">
        <v>2188</v>
      </c>
      <c r="C2638" s="24">
        <v>55.31</v>
      </c>
      <c r="E2638" s="24">
        <v>55.31</v>
      </c>
    </row>
    <row r="2639" spans="1:5" ht="15.75" customHeight="1" x14ac:dyDescent="0.4">
      <c r="A2639" s="24" t="s">
        <v>1975</v>
      </c>
      <c r="B2639" s="24" t="s">
        <v>2188</v>
      </c>
      <c r="C2639" s="24">
        <v>54.81</v>
      </c>
      <c r="E2639" s="24">
        <v>54.81</v>
      </c>
    </row>
    <row r="2640" spans="1:5" ht="15.75" customHeight="1" x14ac:dyDescent="0.4">
      <c r="A2640" s="24" t="s">
        <v>345</v>
      </c>
      <c r="B2640" s="24" t="s">
        <v>2188</v>
      </c>
      <c r="C2640" s="24">
        <v>40.9</v>
      </c>
      <c r="D2640" s="24">
        <v>12.82</v>
      </c>
      <c r="E2640" s="24">
        <v>53.75</v>
      </c>
    </row>
    <row r="2641" spans="1:5" ht="15.75" customHeight="1" x14ac:dyDescent="0.4">
      <c r="A2641" s="24" t="s">
        <v>1686</v>
      </c>
      <c r="B2641" s="24" t="s">
        <v>2190</v>
      </c>
      <c r="C2641" s="24">
        <v>52.77</v>
      </c>
      <c r="D2641" s="24">
        <v>0.73</v>
      </c>
      <c r="E2641" s="24">
        <v>53.5</v>
      </c>
    </row>
    <row r="2642" spans="1:5" ht="15.75" customHeight="1" x14ac:dyDescent="0.4">
      <c r="A2642" s="24" t="s">
        <v>969</v>
      </c>
      <c r="B2642" s="24" t="s">
        <v>2190</v>
      </c>
      <c r="C2642" s="24">
        <v>53.06</v>
      </c>
      <c r="E2642" s="24">
        <v>53.06</v>
      </c>
    </row>
    <row r="2643" spans="1:5" ht="15.75" customHeight="1" x14ac:dyDescent="0.4">
      <c r="A2643" s="24" t="s">
        <v>479</v>
      </c>
      <c r="B2643" s="24" t="s">
        <v>2188</v>
      </c>
      <c r="C2643" s="24">
        <v>52.01</v>
      </c>
      <c r="D2643" s="24">
        <v>1.04</v>
      </c>
      <c r="E2643" s="24">
        <v>52.43</v>
      </c>
    </row>
    <row r="2644" spans="1:5" ht="15.75" customHeight="1" x14ac:dyDescent="0.4">
      <c r="A2644" s="24" t="s">
        <v>1229</v>
      </c>
      <c r="B2644" s="24" t="s">
        <v>2190</v>
      </c>
      <c r="C2644" s="24">
        <v>51.3</v>
      </c>
      <c r="D2644" s="24">
        <v>0.09</v>
      </c>
      <c r="E2644" s="24">
        <v>51.35</v>
      </c>
    </row>
    <row r="2645" spans="1:5" ht="15.75" customHeight="1" x14ac:dyDescent="0.4">
      <c r="A2645" s="24" t="s">
        <v>803</v>
      </c>
      <c r="B2645" s="24" t="s">
        <v>2188</v>
      </c>
      <c r="C2645" s="24">
        <v>50.44</v>
      </c>
      <c r="E2645" s="24">
        <v>50.44</v>
      </c>
    </row>
    <row r="2646" spans="1:5" ht="15.75" customHeight="1" x14ac:dyDescent="0.4">
      <c r="A2646" s="24" t="s">
        <v>1945</v>
      </c>
      <c r="B2646" s="24" t="s">
        <v>2188</v>
      </c>
      <c r="C2646" s="24">
        <v>50.26</v>
      </c>
      <c r="E2646" s="24">
        <v>50.26</v>
      </c>
    </row>
    <row r="2647" spans="1:5" ht="15.75" customHeight="1" x14ac:dyDescent="0.4">
      <c r="A2647" s="24" t="s">
        <v>1315</v>
      </c>
      <c r="B2647" s="24" t="s">
        <v>2190</v>
      </c>
      <c r="C2647" s="24">
        <v>49.32</v>
      </c>
      <c r="E2647" s="24">
        <v>49.32</v>
      </c>
    </row>
    <row r="2648" spans="1:5" ht="15.75" customHeight="1" x14ac:dyDescent="0.4">
      <c r="A2648" s="24" t="s">
        <v>1137</v>
      </c>
      <c r="B2648" s="24" t="s">
        <v>2190</v>
      </c>
      <c r="C2648" s="24">
        <v>46.44</v>
      </c>
      <c r="D2648" s="24">
        <v>1.1200000000000001</v>
      </c>
      <c r="E2648" s="24">
        <v>47.54</v>
      </c>
    </row>
    <row r="2649" spans="1:5" ht="15.75" customHeight="1" x14ac:dyDescent="0.4">
      <c r="A2649" s="24" t="s">
        <v>1345</v>
      </c>
      <c r="B2649" s="24" t="s">
        <v>2193</v>
      </c>
      <c r="C2649" s="24">
        <v>47.37</v>
      </c>
      <c r="E2649" s="24">
        <v>47.37</v>
      </c>
    </row>
    <row r="2650" spans="1:5" ht="15.75" customHeight="1" x14ac:dyDescent="0.4">
      <c r="A2650" s="24" t="s">
        <v>647</v>
      </c>
      <c r="B2650" s="24" t="s">
        <v>2188</v>
      </c>
      <c r="C2650" s="24">
        <v>46.9</v>
      </c>
      <c r="E2650" s="24">
        <v>46.9</v>
      </c>
    </row>
    <row r="2651" spans="1:5" ht="15.75" customHeight="1" x14ac:dyDescent="0.4">
      <c r="A2651" s="24" t="s">
        <v>1490</v>
      </c>
      <c r="B2651" s="24" t="s">
        <v>2188</v>
      </c>
      <c r="C2651" s="24">
        <v>45.76</v>
      </c>
      <c r="E2651" s="24">
        <v>45.76</v>
      </c>
    </row>
    <row r="2652" spans="1:5" ht="15.75" customHeight="1" x14ac:dyDescent="0.4">
      <c r="A2652" s="24" t="s">
        <v>2090</v>
      </c>
      <c r="B2652" s="24" t="s">
        <v>2188</v>
      </c>
      <c r="C2652" s="24">
        <v>45.28</v>
      </c>
      <c r="D2652" s="24">
        <v>0.06</v>
      </c>
      <c r="E2652" s="24">
        <v>45.34</v>
      </c>
    </row>
    <row r="2653" spans="1:5" ht="15.75" customHeight="1" x14ac:dyDescent="0.4">
      <c r="A2653" s="24" t="s">
        <v>1699</v>
      </c>
      <c r="B2653" s="24" t="s">
        <v>2190</v>
      </c>
      <c r="C2653" s="24">
        <v>45.02</v>
      </c>
      <c r="E2653" s="24">
        <v>45.02</v>
      </c>
    </row>
    <row r="2654" spans="1:5" ht="15.75" customHeight="1" x14ac:dyDescent="0.4">
      <c r="A2654" s="24" t="s">
        <v>1839</v>
      </c>
      <c r="B2654" s="24" t="s">
        <v>2188</v>
      </c>
      <c r="C2654" s="24">
        <v>44.99</v>
      </c>
      <c r="E2654" s="24">
        <v>44.99</v>
      </c>
    </row>
    <row r="2655" spans="1:5" ht="15.75" customHeight="1" x14ac:dyDescent="0.4">
      <c r="A2655" s="24" t="s">
        <v>706</v>
      </c>
      <c r="B2655" s="24" t="s">
        <v>2190</v>
      </c>
      <c r="C2655" s="24">
        <v>44.56</v>
      </c>
      <c r="E2655" s="24">
        <v>44.56</v>
      </c>
    </row>
    <row r="2656" spans="1:5" ht="15.75" customHeight="1" x14ac:dyDescent="0.4">
      <c r="A2656" s="24" t="s">
        <v>1235</v>
      </c>
      <c r="B2656" s="24" t="s">
        <v>2190</v>
      </c>
      <c r="C2656" s="24">
        <v>44.46</v>
      </c>
      <c r="E2656" s="24">
        <v>44.46</v>
      </c>
    </row>
    <row r="2657" spans="1:5" ht="15.75" customHeight="1" x14ac:dyDescent="0.4">
      <c r="A2657" s="24" t="s">
        <v>1746</v>
      </c>
      <c r="B2657" s="24" t="s">
        <v>2190</v>
      </c>
      <c r="C2657" s="24">
        <v>43.54</v>
      </c>
      <c r="D2657" s="24">
        <v>0.72</v>
      </c>
      <c r="E2657" s="24">
        <v>44.26</v>
      </c>
    </row>
    <row r="2658" spans="1:5" ht="15.75" customHeight="1" x14ac:dyDescent="0.4">
      <c r="A2658" s="24" t="s">
        <v>607</v>
      </c>
      <c r="B2658" s="24" t="s">
        <v>2188</v>
      </c>
      <c r="C2658" s="24">
        <v>44.04</v>
      </c>
      <c r="D2658" s="24">
        <v>0</v>
      </c>
      <c r="E2658" s="24">
        <v>44.04</v>
      </c>
    </row>
    <row r="2659" spans="1:5" ht="15.75" customHeight="1" x14ac:dyDescent="0.4">
      <c r="A2659" s="24" t="s">
        <v>1744</v>
      </c>
      <c r="B2659" s="24" t="s">
        <v>2196</v>
      </c>
      <c r="C2659" s="24">
        <v>43.89</v>
      </c>
      <c r="E2659" s="24">
        <v>43.89</v>
      </c>
    </row>
    <row r="2660" spans="1:5" ht="15.75" customHeight="1" x14ac:dyDescent="0.4">
      <c r="A2660" s="24" t="s">
        <v>1431</v>
      </c>
      <c r="B2660" s="24" t="s">
        <v>2188</v>
      </c>
      <c r="C2660" s="24">
        <v>43.46</v>
      </c>
      <c r="D2660" s="24">
        <v>0.36</v>
      </c>
      <c r="E2660" s="24">
        <v>43.82</v>
      </c>
    </row>
    <row r="2661" spans="1:5" ht="15.75" customHeight="1" x14ac:dyDescent="0.4">
      <c r="A2661" s="24" t="s">
        <v>760</v>
      </c>
      <c r="B2661" s="24" t="s">
        <v>2188</v>
      </c>
      <c r="C2661" s="24">
        <v>36.32</v>
      </c>
      <c r="D2661" s="24">
        <v>5.88</v>
      </c>
      <c r="E2661" s="24">
        <v>42.22</v>
      </c>
    </row>
    <row r="2662" spans="1:5" ht="15.75" customHeight="1" x14ac:dyDescent="0.4">
      <c r="A2662" s="24" t="s">
        <v>499</v>
      </c>
      <c r="B2662" s="24" t="s">
        <v>2190</v>
      </c>
      <c r="C2662" s="24">
        <v>41.7</v>
      </c>
      <c r="E2662" s="24">
        <v>41.7</v>
      </c>
    </row>
    <row r="2663" spans="1:5" ht="15.75" customHeight="1" x14ac:dyDescent="0.4">
      <c r="A2663" s="24" t="s">
        <v>1868</v>
      </c>
      <c r="B2663" s="24" t="s">
        <v>2188</v>
      </c>
      <c r="C2663" s="24">
        <v>40.42</v>
      </c>
      <c r="D2663" s="24">
        <v>0.86</v>
      </c>
      <c r="E2663" s="24">
        <v>41.28</v>
      </c>
    </row>
    <row r="2664" spans="1:5" ht="15.75" customHeight="1" x14ac:dyDescent="0.4">
      <c r="A2664" s="24" t="s">
        <v>871</v>
      </c>
      <c r="B2664" s="24" t="s">
        <v>2188</v>
      </c>
      <c r="C2664" s="24">
        <v>40.950000000000003</v>
      </c>
      <c r="E2664" s="24">
        <v>40.950000000000003</v>
      </c>
    </row>
    <row r="2665" spans="1:5" ht="15.75" customHeight="1" x14ac:dyDescent="0.4">
      <c r="A2665" s="24" t="s">
        <v>1011</v>
      </c>
      <c r="B2665" s="24" t="s">
        <v>2188</v>
      </c>
      <c r="C2665" s="24">
        <v>34.369999999999997</v>
      </c>
      <c r="D2665" s="24">
        <v>6.23</v>
      </c>
      <c r="E2665" s="24">
        <v>40.630000000000003</v>
      </c>
    </row>
    <row r="2666" spans="1:5" ht="15.75" customHeight="1" x14ac:dyDescent="0.4">
      <c r="A2666" s="24" t="s">
        <v>1784</v>
      </c>
      <c r="B2666" s="24" t="s">
        <v>2190</v>
      </c>
      <c r="C2666" s="24">
        <v>39.869999999999997</v>
      </c>
      <c r="E2666" s="24">
        <v>39.869999999999997</v>
      </c>
    </row>
    <row r="2667" spans="1:5" ht="15.75" customHeight="1" x14ac:dyDescent="0.4">
      <c r="A2667" s="24" t="s">
        <v>351</v>
      </c>
      <c r="B2667" s="24" t="s">
        <v>2190</v>
      </c>
      <c r="C2667" s="24">
        <v>38.61</v>
      </c>
      <c r="E2667" s="24">
        <v>38.61</v>
      </c>
    </row>
    <row r="2668" spans="1:5" ht="15.75" customHeight="1" x14ac:dyDescent="0.4">
      <c r="A2668" s="24" t="s">
        <v>455</v>
      </c>
      <c r="B2668" s="24" t="s">
        <v>2190</v>
      </c>
      <c r="C2668" s="24">
        <v>17.66</v>
      </c>
      <c r="D2668" s="24">
        <v>20.53</v>
      </c>
      <c r="E2668" s="24">
        <v>38.28</v>
      </c>
    </row>
    <row r="2669" spans="1:5" ht="15.75" customHeight="1" x14ac:dyDescent="0.4">
      <c r="A2669" s="24" t="s">
        <v>1510</v>
      </c>
      <c r="B2669" s="24" t="s">
        <v>2188</v>
      </c>
      <c r="C2669" s="24">
        <v>24.58</v>
      </c>
      <c r="D2669" s="24">
        <v>25.17</v>
      </c>
      <c r="E2669" s="24">
        <v>37.409999999999997</v>
      </c>
    </row>
    <row r="2670" spans="1:5" ht="15.75" customHeight="1" x14ac:dyDescent="0.4">
      <c r="A2670" s="24" t="s">
        <v>924</v>
      </c>
      <c r="B2670" s="24" t="s">
        <v>2188</v>
      </c>
      <c r="C2670" s="24">
        <v>37.32</v>
      </c>
      <c r="E2670" s="24">
        <v>37.32</v>
      </c>
    </row>
    <row r="2671" spans="1:5" ht="15.75" customHeight="1" x14ac:dyDescent="0.4">
      <c r="A2671" s="24" t="s">
        <v>475</v>
      </c>
      <c r="B2671" s="24" t="s">
        <v>2188</v>
      </c>
      <c r="C2671" s="24">
        <v>37.11</v>
      </c>
      <c r="E2671" s="24">
        <v>37.11</v>
      </c>
    </row>
    <row r="2672" spans="1:5" ht="15.75" customHeight="1" x14ac:dyDescent="0.4">
      <c r="A2672" s="24" t="s">
        <v>283</v>
      </c>
      <c r="B2672" s="24" t="s">
        <v>2190</v>
      </c>
      <c r="C2672" s="24">
        <v>37.1</v>
      </c>
      <c r="E2672" s="24">
        <v>37.1</v>
      </c>
    </row>
    <row r="2673" spans="1:5" ht="15.75" customHeight="1" x14ac:dyDescent="0.4">
      <c r="A2673" s="24" t="s">
        <v>287</v>
      </c>
      <c r="B2673" s="24" t="s">
        <v>2188</v>
      </c>
      <c r="C2673" s="24">
        <v>32.299999999999997</v>
      </c>
      <c r="D2673" s="24">
        <v>5.94</v>
      </c>
      <c r="E2673" s="24">
        <v>37.07</v>
      </c>
    </row>
    <row r="2674" spans="1:5" ht="15.75" customHeight="1" x14ac:dyDescent="0.4">
      <c r="A2674" s="24" t="s">
        <v>1859</v>
      </c>
      <c r="B2674" s="24" t="s">
        <v>2188</v>
      </c>
      <c r="C2674" s="24">
        <v>36.81</v>
      </c>
      <c r="E2674" s="24">
        <v>36.81</v>
      </c>
    </row>
    <row r="2675" spans="1:5" ht="15.75" customHeight="1" x14ac:dyDescent="0.4">
      <c r="A2675" s="24" t="s">
        <v>449</v>
      </c>
      <c r="B2675" s="24" t="s">
        <v>2190</v>
      </c>
      <c r="C2675" s="24">
        <v>36.79</v>
      </c>
      <c r="E2675" s="24">
        <v>36.79</v>
      </c>
    </row>
    <row r="2676" spans="1:5" ht="15.75" customHeight="1" x14ac:dyDescent="0.4">
      <c r="A2676" s="24" t="s">
        <v>1866</v>
      </c>
      <c r="B2676" s="24" t="s">
        <v>2188</v>
      </c>
      <c r="C2676" s="24">
        <v>7.18</v>
      </c>
      <c r="D2676" s="24">
        <v>36.36</v>
      </c>
      <c r="E2676" s="24">
        <v>36.47</v>
      </c>
    </row>
    <row r="2677" spans="1:5" ht="15.75" customHeight="1" x14ac:dyDescent="0.4">
      <c r="A2677" s="24" t="s">
        <v>1298</v>
      </c>
      <c r="B2677" s="24" t="s">
        <v>2188</v>
      </c>
      <c r="C2677" s="24">
        <v>21.49</v>
      </c>
      <c r="D2677" s="24">
        <v>14.78</v>
      </c>
      <c r="E2677" s="24">
        <v>36.32</v>
      </c>
    </row>
    <row r="2678" spans="1:5" ht="15.75" customHeight="1" x14ac:dyDescent="0.4">
      <c r="A2678" s="24" t="s">
        <v>651</v>
      </c>
      <c r="B2678" s="24" t="s">
        <v>2190</v>
      </c>
      <c r="C2678" s="24">
        <v>35.75</v>
      </c>
      <c r="E2678" s="24">
        <v>35.75</v>
      </c>
    </row>
    <row r="2679" spans="1:5" ht="15.75" customHeight="1" x14ac:dyDescent="0.4">
      <c r="A2679" s="24" t="s">
        <v>1667</v>
      </c>
      <c r="B2679" s="24" t="s">
        <v>2190</v>
      </c>
      <c r="C2679" s="24">
        <v>23.69</v>
      </c>
      <c r="D2679" s="24">
        <v>11.8</v>
      </c>
      <c r="E2679" s="24">
        <v>35.54</v>
      </c>
    </row>
    <row r="2680" spans="1:5" ht="15.75" customHeight="1" x14ac:dyDescent="0.4">
      <c r="A2680" s="24" t="s">
        <v>1264</v>
      </c>
      <c r="B2680" s="24" t="s">
        <v>2196</v>
      </c>
      <c r="C2680" s="24">
        <v>34.520000000000003</v>
      </c>
      <c r="D2680" s="24">
        <v>0.31</v>
      </c>
      <c r="E2680" s="24">
        <v>34.840000000000003</v>
      </c>
    </row>
    <row r="2681" spans="1:5" ht="15.75" customHeight="1" x14ac:dyDescent="0.4">
      <c r="A2681" s="24" t="s">
        <v>545</v>
      </c>
      <c r="B2681" s="24" t="s">
        <v>2190</v>
      </c>
      <c r="C2681" s="24">
        <v>34.549999999999997</v>
      </c>
      <c r="D2681" s="24">
        <v>0</v>
      </c>
      <c r="E2681" s="24">
        <v>34.549999999999997</v>
      </c>
    </row>
    <row r="2682" spans="1:5" ht="15.75" customHeight="1" x14ac:dyDescent="0.4">
      <c r="A2682" s="24" t="s">
        <v>836</v>
      </c>
      <c r="B2682" s="24" t="s">
        <v>2190</v>
      </c>
      <c r="C2682" s="24">
        <v>34.46</v>
      </c>
      <c r="E2682" s="24">
        <v>34.46</v>
      </c>
    </row>
    <row r="2683" spans="1:5" ht="15.75" customHeight="1" x14ac:dyDescent="0.4">
      <c r="A2683" s="24" t="s">
        <v>1796</v>
      </c>
      <c r="B2683" s="24" t="s">
        <v>2188</v>
      </c>
      <c r="C2683" s="24">
        <v>34.119999999999997</v>
      </c>
      <c r="E2683" s="24">
        <v>34.119999999999997</v>
      </c>
    </row>
    <row r="2684" spans="1:5" ht="15.75" customHeight="1" x14ac:dyDescent="0.4">
      <c r="A2684" s="24" t="s">
        <v>1549</v>
      </c>
      <c r="B2684" s="24" t="s">
        <v>2196</v>
      </c>
      <c r="C2684" s="24">
        <v>33.590000000000003</v>
      </c>
      <c r="E2684" s="24">
        <v>33.590000000000003</v>
      </c>
    </row>
    <row r="2685" spans="1:5" ht="15.75" customHeight="1" x14ac:dyDescent="0.4">
      <c r="A2685" s="24" t="s">
        <v>1512</v>
      </c>
      <c r="B2685" s="24" t="s">
        <v>2190</v>
      </c>
      <c r="C2685" s="24">
        <v>33.32</v>
      </c>
      <c r="E2685" s="24">
        <v>33.32</v>
      </c>
    </row>
    <row r="2686" spans="1:5" ht="15.75" customHeight="1" x14ac:dyDescent="0.4">
      <c r="A2686" s="24" t="s">
        <v>473</v>
      </c>
      <c r="B2686" s="24" t="s">
        <v>2188</v>
      </c>
      <c r="C2686" s="24">
        <v>33.31</v>
      </c>
      <c r="E2686" s="24">
        <v>33.31</v>
      </c>
    </row>
    <row r="2687" spans="1:5" ht="15.75" customHeight="1" x14ac:dyDescent="0.4">
      <c r="A2687" s="24" t="s">
        <v>1140</v>
      </c>
      <c r="B2687" s="24" t="s">
        <v>2188</v>
      </c>
      <c r="C2687" s="24">
        <v>32.64</v>
      </c>
      <c r="E2687" s="24">
        <v>32.64</v>
      </c>
    </row>
    <row r="2688" spans="1:5" ht="15.75" customHeight="1" x14ac:dyDescent="0.4">
      <c r="A2688" s="24" t="s">
        <v>319</v>
      </c>
      <c r="B2688" s="24" t="s">
        <v>2188</v>
      </c>
      <c r="C2688" s="24">
        <v>31.04</v>
      </c>
      <c r="D2688" s="24">
        <v>1.48</v>
      </c>
      <c r="E2688" s="24">
        <v>32.520000000000003</v>
      </c>
    </row>
    <row r="2689" spans="1:5" ht="15.75" customHeight="1" x14ac:dyDescent="0.4">
      <c r="A2689" s="24" t="s">
        <v>2103</v>
      </c>
      <c r="B2689" s="24" t="s">
        <v>2188</v>
      </c>
      <c r="C2689" s="24">
        <v>17.52</v>
      </c>
      <c r="D2689" s="24">
        <v>16.7</v>
      </c>
      <c r="E2689" s="24">
        <v>31.98</v>
      </c>
    </row>
    <row r="2690" spans="1:5" ht="15.75" customHeight="1" x14ac:dyDescent="0.4">
      <c r="A2690" s="24" t="s">
        <v>925</v>
      </c>
      <c r="B2690" s="24" t="s">
        <v>2190</v>
      </c>
      <c r="C2690" s="24">
        <v>31.92</v>
      </c>
      <c r="E2690" s="24">
        <v>31.92</v>
      </c>
    </row>
    <row r="2691" spans="1:5" ht="15.75" customHeight="1" x14ac:dyDescent="0.4">
      <c r="A2691" s="24" t="s">
        <v>1125</v>
      </c>
      <c r="B2691" s="24" t="s">
        <v>2190</v>
      </c>
      <c r="C2691" s="24">
        <v>31.63</v>
      </c>
      <c r="D2691" s="24">
        <v>9.2200000000000006</v>
      </c>
      <c r="E2691" s="24">
        <v>31.66</v>
      </c>
    </row>
    <row r="2692" spans="1:5" ht="15.75" customHeight="1" x14ac:dyDescent="0.4">
      <c r="A2692" s="24" t="s">
        <v>1149</v>
      </c>
      <c r="B2692" s="24" t="s">
        <v>2190</v>
      </c>
      <c r="C2692" s="24">
        <v>31.11</v>
      </c>
      <c r="E2692" s="24">
        <v>31.11</v>
      </c>
    </row>
    <row r="2693" spans="1:5" ht="15.75" customHeight="1" x14ac:dyDescent="0.4">
      <c r="A2693" s="24" t="s">
        <v>2105</v>
      </c>
      <c r="B2693" s="24" t="s">
        <v>2190</v>
      </c>
      <c r="C2693" s="24">
        <v>20.21</v>
      </c>
      <c r="D2693" s="24">
        <v>9.99</v>
      </c>
      <c r="E2693" s="24">
        <v>30.25</v>
      </c>
    </row>
    <row r="2694" spans="1:5" ht="15.75" customHeight="1" x14ac:dyDescent="0.4">
      <c r="A2694" s="24" t="s">
        <v>2004</v>
      </c>
      <c r="B2694" s="24" t="s">
        <v>2188</v>
      </c>
      <c r="C2694" s="24">
        <v>0.34</v>
      </c>
      <c r="D2694" s="24">
        <v>28.59</v>
      </c>
      <c r="E2694" s="24">
        <v>29.01</v>
      </c>
    </row>
    <row r="2695" spans="1:5" ht="15.75" customHeight="1" x14ac:dyDescent="0.4">
      <c r="A2695" s="24" t="s">
        <v>917</v>
      </c>
      <c r="B2695" s="24" t="s">
        <v>2196</v>
      </c>
      <c r="C2695" s="24">
        <v>27.94</v>
      </c>
      <c r="D2695" s="24">
        <v>0.11</v>
      </c>
      <c r="E2695" s="24">
        <v>28.05</v>
      </c>
    </row>
    <row r="2696" spans="1:5" ht="15.75" customHeight="1" x14ac:dyDescent="0.4">
      <c r="A2696" s="24" t="s">
        <v>1330</v>
      </c>
      <c r="B2696" s="24" t="s">
        <v>2188</v>
      </c>
      <c r="C2696" s="24">
        <v>27.41</v>
      </c>
      <c r="D2696" s="24">
        <v>0.33</v>
      </c>
      <c r="E2696" s="24">
        <v>27.74</v>
      </c>
    </row>
    <row r="2697" spans="1:5" ht="15.75" customHeight="1" x14ac:dyDescent="0.4">
      <c r="A2697" s="24" t="s">
        <v>1800</v>
      </c>
      <c r="B2697" s="24" t="s">
        <v>2188</v>
      </c>
      <c r="C2697" s="24">
        <v>18.2</v>
      </c>
      <c r="D2697" s="24">
        <v>9.3699999999999992</v>
      </c>
      <c r="E2697" s="24">
        <v>27.51</v>
      </c>
    </row>
    <row r="2698" spans="1:5" ht="15.75" customHeight="1" x14ac:dyDescent="0.4">
      <c r="A2698" s="24" t="s">
        <v>2089</v>
      </c>
      <c r="B2698" s="24" t="s">
        <v>2188</v>
      </c>
      <c r="C2698" s="24">
        <v>20.52</v>
      </c>
      <c r="D2698" s="24">
        <v>6.78</v>
      </c>
      <c r="E2698" s="24">
        <v>27.32</v>
      </c>
    </row>
    <row r="2699" spans="1:5" ht="15.75" customHeight="1" x14ac:dyDescent="0.4">
      <c r="A2699" s="24" t="s">
        <v>1657</v>
      </c>
      <c r="B2699" s="24" t="s">
        <v>2188</v>
      </c>
      <c r="C2699" s="24">
        <v>25.58</v>
      </c>
      <c r="D2699" s="24">
        <v>4.88</v>
      </c>
      <c r="E2699" s="24">
        <v>25.65</v>
      </c>
    </row>
    <row r="2700" spans="1:5" ht="15.75" customHeight="1" x14ac:dyDescent="0.4">
      <c r="A2700" s="24" t="s">
        <v>1993</v>
      </c>
      <c r="B2700" s="24" t="s">
        <v>2188</v>
      </c>
      <c r="C2700" s="24">
        <v>23.74</v>
      </c>
      <c r="D2700" s="24">
        <v>1.35</v>
      </c>
      <c r="E2700" s="24">
        <v>25.09</v>
      </c>
    </row>
    <row r="2701" spans="1:5" ht="15.75" customHeight="1" x14ac:dyDescent="0.4">
      <c r="A2701" s="24" t="s">
        <v>364</v>
      </c>
      <c r="B2701" s="24" t="s">
        <v>2190</v>
      </c>
      <c r="C2701" s="24">
        <v>22.75</v>
      </c>
      <c r="E2701" s="24">
        <v>22.75</v>
      </c>
    </row>
    <row r="2702" spans="1:5" ht="15.75" customHeight="1" x14ac:dyDescent="0.4">
      <c r="A2702" s="24" t="s">
        <v>2083</v>
      </c>
      <c r="B2702" s="24" t="s">
        <v>2197</v>
      </c>
      <c r="C2702" s="24">
        <v>21.3</v>
      </c>
      <c r="E2702" s="24">
        <v>21.3</v>
      </c>
    </row>
    <row r="2703" spans="1:5" ht="15.75" customHeight="1" x14ac:dyDescent="0.4">
      <c r="A2703" s="24" t="s">
        <v>786</v>
      </c>
      <c r="B2703" s="24" t="s">
        <v>2188</v>
      </c>
      <c r="C2703" s="24">
        <v>20.6</v>
      </c>
      <c r="E2703" s="24">
        <v>20.6</v>
      </c>
    </row>
    <row r="2704" spans="1:5" ht="15.75" customHeight="1" x14ac:dyDescent="0.4">
      <c r="A2704" s="24" t="s">
        <v>585</v>
      </c>
      <c r="B2704" s="24" t="s">
        <v>2188</v>
      </c>
      <c r="C2704" s="24">
        <v>19.52</v>
      </c>
      <c r="D2704" s="24">
        <v>0.38</v>
      </c>
      <c r="E2704" s="24">
        <v>19.899999999999999</v>
      </c>
    </row>
    <row r="2705" spans="1:5" ht="15.75" customHeight="1" x14ac:dyDescent="0.4">
      <c r="A2705" s="24" t="s">
        <v>708</v>
      </c>
      <c r="B2705" s="24" t="s">
        <v>2188</v>
      </c>
      <c r="C2705" s="24">
        <v>19.11</v>
      </c>
      <c r="E2705" s="24">
        <v>19.11</v>
      </c>
    </row>
    <row r="2706" spans="1:5" ht="15.75" customHeight="1" x14ac:dyDescent="0.4">
      <c r="A2706" s="24" t="s">
        <v>383</v>
      </c>
      <c r="B2706" s="24" t="s">
        <v>2190</v>
      </c>
      <c r="C2706" s="24">
        <v>18.73</v>
      </c>
      <c r="E2706" s="24">
        <v>18.73</v>
      </c>
    </row>
    <row r="2707" spans="1:5" ht="15.75" customHeight="1" x14ac:dyDescent="0.4">
      <c r="A2707" s="24" t="s">
        <v>762</v>
      </c>
      <c r="B2707" s="24" t="s">
        <v>2188</v>
      </c>
      <c r="C2707" s="24">
        <v>17.829999999999998</v>
      </c>
      <c r="E2707" s="24">
        <v>17.829999999999998</v>
      </c>
    </row>
    <row r="2708" spans="1:5" ht="15.75" customHeight="1" x14ac:dyDescent="0.4">
      <c r="A2708" s="24" t="s">
        <v>932</v>
      </c>
      <c r="B2708" s="24" t="s">
        <v>2190</v>
      </c>
      <c r="C2708" s="24">
        <v>17.079999999999998</v>
      </c>
      <c r="E2708" s="24">
        <v>17.079999999999998</v>
      </c>
    </row>
    <row r="2709" spans="1:5" ht="15.75" customHeight="1" x14ac:dyDescent="0.4">
      <c r="A2709" s="24" t="s">
        <v>424</v>
      </c>
      <c r="B2709" s="24" t="s">
        <v>2190</v>
      </c>
      <c r="C2709" s="24">
        <v>15.11</v>
      </c>
      <c r="E2709" s="24">
        <v>15.11</v>
      </c>
    </row>
    <row r="2710" spans="1:5" ht="15.75" customHeight="1" x14ac:dyDescent="0.4">
      <c r="A2710" s="24" t="s">
        <v>1730</v>
      </c>
      <c r="B2710" s="24" t="s">
        <v>2188</v>
      </c>
      <c r="C2710" s="24">
        <v>0.18</v>
      </c>
      <c r="D2710" s="24">
        <v>14.15</v>
      </c>
      <c r="E2710" s="24">
        <v>14.2</v>
      </c>
    </row>
    <row r="2711" spans="1:5" ht="15.75" customHeight="1" x14ac:dyDescent="0.4">
      <c r="A2711" s="24" t="s">
        <v>1794</v>
      </c>
      <c r="B2711" s="24" t="s">
        <v>2188</v>
      </c>
      <c r="C2711" s="24">
        <v>11.97</v>
      </c>
      <c r="E2711" s="24">
        <v>11.97</v>
      </c>
    </row>
    <row r="2712" spans="1:5" ht="15.75" customHeight="1" x14ac:dyDescent="0.4">
      <c r="A2712" s="24" t="s">
        <v>998</v>
      </c>
      <c r="B2712" s="24" t="s">
        <v>2190</v>
      </c>
      <c r="C2712" s="24">
        <v>10.68</v>
      </c>
      <c r="E2712" s="24">
        <v>10.68</v>
      </c>
    </row>
    <row r="2713" spans="1:5" ht="15.75" customHeight="1" x14ac:dyDescent="0.4">
      <c r="A2713" s="24" t="s">
        <v>966</v>
      </c>
      <c r="B2713" s="24" t="s">
        <v>2188</v>
      </c>
      <c r="C2713" s="24">
        <v>8.31</v>
      </c>
      <c r="D2713" s="24">
        <v>0.7</v>
      </c>
      <c r="E2713" s="24">
        <v>9.01</v>
      </c>
    </row>
    <row r="2714" spans="1:5" ht="15.75" customHeight="1" x14ac:dyDescent="0.4">
      <c r="A2714" s="24" t="s">
        <v>1295</v>
      </c>
      <c r="B2714" s="24" t="s">
        <v>2188</v>
      </c>
      <c r="C2714" s="24">
        <v>1.68</v>
      </c>
      <c r="D2714" s="24">
        <v>8.09</v>
      </c>
      <c r="E2714" s="24">
        <v>8.42</v>
      </c>
    </row>
    <row r="2715" spans="1:5" ht="15.75" customHeight="1" x14ac:dyDescent="0.4">
      <c r="A2715" s="24" t="s">
        <v>441</v>
      </c>
      <c r="B2715" s="24" t="s">
        <v>2190</v>
      </c>
      <c r="C2715" s="24">
        <v>7.5</v>
      </c>
      <c r="E2715" s="24">
        <v>7.5</v>
      </c>
    </row>
    <row r="2716" spans="1:5" ht="15.75" customHeight="1" x14ac:dyDescent="0.4">
      <c r="A2716" s="24" t="s">
        <v>1595</v>
      </c>
      <c r="B2716" s="24" t="s">
        <v>2188</v>
      </c>
      <c r="C2716" s="24">
        <v>7.3</v>
      </c>
      <c r="E2716" s="24">
        <v>7.3</v>
      </c>
    </row>
    <row r="2717" spans="1:5" ht="15.75" customHeight="1" x14ac:dyDescent="0.4">
      <c r="A2717" s="24" t="s">
        <v>571</v>
      </c>
      <c r="B2717" s="24" t="s">
        <v>2188</v>
      </c>
      <c r="C2717" s="24">
        <v>7.23</v>
      </c>
      <c r="E2717" s="24">
        <v>7.23</v>
      </c>
    </row>
    <row r="2718" spans="1:5" ht="15.75" customHeight="1" x14ac:dyDescent="0.4">
      <c r="A2718" s="24" t="s">
        <v>357</v>
      </c>
      <c r="B2718" s="24" t="s">
        <v>2190</v>
      </c>
      <c r="C2718" s="24">
        <v>7.02</v>
      </c>
      <c r="E2718" s="24">
        <v>7.02</v>
      </c>
    </row>
    <row r="2719" spans="1:5" ht="15.75" customHeight="1" x14ac:dyDescent="0.4">
      <c r="A2719" s="24" t="s">
        <v>629</v>
      </c>
      <c r="B2719" s="24" t="s">
        <v>2188</v>
      </c>
      <c r="C2719" s="24">
        <v>2.74</v>
      </c>
      <c r="E2719" s="24">
        <v>2.74</v>
      </c>
    </row>
    <row r="2720" spans="1:5" ht="15.75" customHeight="1" x14ac:dyDescent="0.4">
      <c r="A2720" s="24" t="s">
        <v>1633</v>
      </c>
      <c r="B2720" s="24" t="s">
        <v>2188</v>
      </c>
      <c r="C2720" s="24">
        <v>1.75</v>
      </c>
      <c r="E2720" s="24">
        <v>1.75</v>
      </c>
    </row>
    <row r="2721" spans="1:5" ht="15.75" customHeight="1" x14ac:dyDescent="0.4">
      <c r="A2721" s="24" t="s">
        <v>1503</v>
      </c>
      <c r="B2721" s="24" t="s">
        <v>2188</v>
      </c>
      <c r="C2721" s="24">
        <v>0.77</v>
      </c>
      <c r="D2721" s="24">
        <v>0.82</v>
      </c>
      <c r="E2721" s="24">
        <v>1.59</v>
      </c>
    </row>
    <row r="2722" spans="1:5" ht="15.75" customHeight="1" x14ac:dyDescent="0.4">
      <c r="A2722" s="24" t="s">
        <v>1770</v>
      </c>
      <c r="B2722" s="24" t="s">
        <v>2188</v>
      </c>
      <c r="C2722" s="24">
        <v>1.42</v>
      </c>
      <c r="E2722" s="24">
        <v>1.42</v>
      </c>
    </row>
    <row r="2723" spans="1:5" ht="15.75" customHeight="1" x14ac:dyDescent="0.4">
      <c r="A2723" s="24" t="s">
        <v>829</v>
      </c>
      <c r="B2723" s="24" t="s">
        <v>2188</v>
      </c>
      <c r="C2723" s="24">
        <v>0.85</v>
      </c>
      <c r="E2723" s="24">
        <v>0.85</v>
      </c>
    </row>
    <row r="2724" spans="1:5" ht="15.75" customHeight="1" x14ac:dyDescent="0.4">
      <c r="C2724" s="24"/>
      <c r="E2724" s="24"/>
    </row>
    <row r="2725" spans="1:5" ht="15.75" customHeight="1" x14ac:dyDescent="0.4">
      <c r="C2725" s="24"/>
      <c r="E2725" s="24"/>
    </row>
    <row r="2726" spans="1:5" ht="15.75" customHeight="1" x14ac:dyDescent="0.4">
      <c r="C2726" s="24"/>
      <c r="E2726" s="24"/>
    </row>
    <row r="2727" spans="1:5" ht="15.75" customHeight="1" x14ac:dyDescent="0.4">
      <c r="C2727" s="24"/>
      <c r="E2727" s="24"/>
    </row>
    <row r="2728" spans="1:5" ht="15.75" customHeight="1" x14ac:dyDescent="0.4">
      <c r="C2728" s="24"/>
      <c r="E2728" s="24"/>
    </row>
    <row r="2729" spans="1:5" ht="15.75" customHeight="1" x14ac:dyDescent="0.4">
      <c r="C2729" s="24"/>
      <c r="E2729" s="24"/>
    </row>
    <row r="2730" spans="1:5" ht="15.75" customHeight="1" x14ac:dyDescent="0.4">
      <c r="C2730" s="24"/>
      <c r="E2730" s="24"/>
    </row>
    <row r="2731" spans="1:5" ht="15.75" customHeight="1" x14ac:dyDescent="0.4">
      <c r="C2731" s="24"/>
      <c r="E2731" s="24"/>
    </row>
    <row r="2732" spans="1:5" ht="15.75" customHeight="1" x14ac:dyDescent="0.4">
      <c r="C2732" s="24"/>
      <c r="E2732" s="24"/>
    </row>
    <row r="2733" spans="1:5" ht="15.75" customHeight="1" x14ac:dyDescent="0.4">
      <c r="C2733" s="24"/>
      <c r="E2733" s="24"/>
    </row>
    <row r="2734" spans="1:5" ht="15.75" customHeight="1" x14ac:dyDescent="0.4">
      <c r="C2734" s="24"/>
      <c r="E2734" s="24"/>
    </row>
    <row r="2735" spans="1:5" ht="15.75" customHeight="1" x14ac:dyDescent="0.4">
      <c r="C2735" s="24"/>
      <c r="E2735" s="24"/>
    </row>
    <row r="2736" spans="1:5" ht="15.75" customHeight="1" x14ac:dyDescent="0.4">
      <c r="C2736" s="24"/>
      <c r="E2736" s="24"/>
    </row>
    <row r="2737" spans="3:5" ht="15.75" customHeight="1" x14ac:dyDescent="0.4">
      <c r="C2737" s="24"/>
      <c r="E2737" s="24"/>
    </row>
    <row r="2738" spans="3:5" ht="15.75" customHeight="1" x14ac:dyDescent="0.4">
      <c r="C2738" s="24"/>
      <c r="E2738" s="24"/>
    </row>
    <row r="2739" spans="3:5" ht="15.75" customHeight="1" x14ac:dyDescent="0.4">
      <c r="C2739" s="24"/>
      <c r="E2739" s="24"/>
    </row>
    <row r="2740" spans="3:5" ht="15.75" customHeight="1" x14ac:dyDescent="0.4">
      <c r="C2740" s="24"/>
      <c r="E2740" s="24"/>
    </row>
    <row r="2741" spans="3:5" ht="15.75" customHeight="1" x14ac:dyDescent="0.4">
      <c r="C2741" s="24"/>
      <c r="E2741" s="24"/>
    </row>
    <row r="2742" spans="3:5" ht="15.75" customHeight="1" x14ac:dyDescent="0.4">
      <c r="C2742" s="24"/>
      <c r="E2742" s="24"/>
    </row>
    <row r="2743" spans="3:5" ht="15.75" customHeight="1" x14ac:dyDescent="0.4">
      <c r="C2743" s="24"/>
      <c r="E2743" s="24"/>
    </row>
    <row r="2744" spans="3:5" ht="15.75" customHeight="1" x14ac:dyDescent="0.4">
      <c r="C2744" s="24"/>
      <c r="E2744" s="24"/>
    </row>
    <row r="2745" spans="3:5" ht="15.75" customHeight="1" x14ac:dyDescent="0.4">
      <c r="C2745" s="24"/>
      <c r="E2745" s="24"/>
    </row>
    <row r="2746" spans="3:5" ht="15.75" customHeight="1" x14ac:dyDescent="0.4">
      <c r="C2746" s="24"/>
      <c r="E2746" s="24"/>
    </row>
    <row r="2747" spans="3:5" ht="15.75" customHeight="1" x14ac:dyDescent="0.4">
      <c r="C2747" s="24"/>
      <c r="E2747" s="24"/>
    </row>
    <row r="2748" spans="3:5" ht="15.75" customHeight="1" x14ac:dyDescent="0.4">
      <c r="C2748" s="24"/>
      <c r="E2748" s="24"/>
    </row>
    <row r="2749" spans="3:5" ht="15.75" customHeight="1" x14ac:dyDescent="0.4">
      <c r="C2749" s="24"/>
      <c r="E2749" s="24"/>
    </row>
    <row r="2750" spans="3:5" ht="15.75" customHeight="1" x14ac:dyDescent="0.4">
      <c r="C2750" s="24"/>
      <c r="E2750" s="24"/>
    </row>
    <row r="2751" spans="3:5" ht="15.75" customHeight="1" x14ac:dyDescent="0.4">
      <c r="C2751" s="24"/>
      <c r="E2751" s="24"/>
    </row>
    <row r="2752" spans="3:5" ht="15.75" customHeight="1" x14ac:dyDescent="0.4">
      <c r="C2752" s="24"/>
      <c r="E2752" s="24"/>
    </row>
    <row r="2753" spans="3:5" ht="15.75" customHeight="1" x14ac:dyDescent="0.4">
      <c r="C2753" s="24"/>
      <c r="E2753" s="24"/>
    </row>
    <row r="2754" spans="3:5" ht="15.75" customHeight="1" x14ac:dyDescent="0.4">
      <c r="C2754" s="24"/>
      <c r="E2754" s="24"/>
    </row>
    <row r="2755" spans="3:5" ht="15.75" customHeight="1" x14ac:dyDescent="0.4">
      <c r="C2755" s="24"/>
      <c r="E2755" s="24"/>
    </row>
    <row r="2756" spans="3:5" ht="15.75" customHeight="1" x14ac:dyDescent="0.4">
      <c r="C2756" s="24"/>
      <c r="E2756" s="24"/>
    </row>
    <row r="2757" spans="3:5" ht="15.75" customHeight="1" x14ac:dyDescent="0.4">
      <c r="C2757" s="24"/>
      <c r="E2757" s="24"/>
    </row>
    <row r="2758" spans="3:5" ht="15.75" customHeight="1" x14ac:dyDescent="0.4">
      <c r="C2758" s="24"/>
      <c r="E2758" s="24"/>
    </row>
    <row r="2759" spans="3:5" ht="15.75" customHeight="1" x14ac:dyDescent="0.4">
      <c r="C2759" s="24"/>
      <c r="E2759" s="24"/>
    </row>
    <row r="2760" spans="3:5" ht="15.75" customHeight="1" x14ac:dyDescent="0.4">
      <c r="C2760" s="24"/>
      <c r="E2760" s="24"/>
    </row>
    <row r="2761" spans="3:5" ht="15.75" customHeight="1" x14ac:dyDescent="0.4">
      <c r="C2761" s="24"/>
      <c r="E2761" s="24"/>
    </row>
    <row r="2762" spans="3:5" ht="15.75" customHeight="1" x14ac:dyDescent="0.4">
      <c r="C2762" s="24"/>
      <c r="E2762" s="24"/>
    </row>
    <row r="2763" spans="3:5" ht="15.75" customHeight="1" x14ac:dyDescent="0.4">
      <c r="C2763" s="24"/>
      <c r="E2763" s="24"/>
    </row>
    <row r="2764" spans="3:5" ht="15.75" customHeight="1" x14ac:dyDescent="0.4">
      <c r="C2764" s="24"/>
      <c r="E2764" s="24"/>
    </row>
    <row r="2765" spans="3:5" ht="15.75" customHeight="1" x14ac:dyDescent="0.4">
      <c r="C2765" s="24"/>
      <c r="E2765" s="24"/>
    </row>
    <row r="2766" spans="3:5" ht="15.75" customHeight="1" x14ac:dyDescent="0.4">
      <c r="C2766" s="24"/>
      <c r="E2766" s="24"/>
    </row>
    <row r="2767" spans="3:5" ht="15.75" customHeight="1" x14ac:dyDescent="0.4">
      <c r="C2767" s="24"/>
      <c r="E2767" s="24"/>
    </row>
    <row r="2768" spans="3:5" ht="15.75" customHeight="1" x14ac:dyDescent="0.4">
      <c r="C2768" s="24"/>
      <c r="E2768" s="24"/>
    </row>
    <row r="2769" spans="3:5" ht="15.75" customHeight="1" x14ac:dyDescent="0.4">
      <c r="C2769" s="24"/>
      <c r="E2769" s="24"/>
    </row>
    <row r="2770" spans="3:5" ht="15.75" customHeight="1" x14ac:dyDescent="0.4">
      <c r="C2770" s="24"/>
      <c r="E2770" s="24"/>
    </row>
    <row r="2771" spans="3:5" ht="15.75" customHeight="1" x14ac:dyDescent="0.4">
      <c r="C2771" s="24"/>
      <c r="E2771" s="24"/>
    </row>
    <row r="2772" spans="3:5" ht="15.75" customHeight="1" x14ac:dyDescent="0.4">
      <c r="C2772" s="24"/>
      <c r="E2772" s="24"/>
    </row>
    <row r="2773" spans="3:5" ht="15.75" customHeight="1" x14ac:dyDescent="0.4">
      <c r="C2773" s="24"/>
      <c r="E2773" s="24"/>
    </row>
    <row r="2774" spans="3:5" ht="15.75" customHeight="1" x14ac:dyDescent="0.4">
      <c r="C2774" s="24"/>
      <c r="E2774" s="24"/>
    </row>
    <row r="2775" spans="3:5" ht="15.75" customHeight="1" x14ac:dyDescent="0.4">
      <c r="C2775" s="24"/>
      <c r="E2775" s="24"/>
    </row>
    <row r="2776" spans="3:5" ht="15.75" customHeight="1" x14ac:dyDescent="0.4">
      <c r="C2776" s="24"/>
      <c r="E2776" s="24"/>
    </row>
    <row r="2777" spans="3:5" ht="15.75" customHeight="1" x14ac:dyDescent="0.4">
      <c r="C2777" s="24"/>
      <c r="E2777" s="24"/>
    </row>
    <row r="2778" spans="3:5" ht="15.75" customHeight="1" x14ac:dyDescent="0.4">
      <c r="C2778" s="24"/>
      <c r="E2778" s="24"/>
    </row>
    <row r="2779" spans="3:5" ht="15.75" customHeight="1" x14ac:dyDescent="0.4">
      <c r="C2779" s="24"/>
      <c r="E2779" s="24"/>
    </row>
    <row r="2780" spans="3:5" ht="15.75" customHeight="1" x14ac:dyDescent="0.4">
      <c r="C2780" s="24"/>
      <c r="E2780" s="24"/>
    </row>
    <row r="2781" spans="3:5" ht="15.75" customHeight="1" x14ac:dyDescent="0.4">
      <c r="C2781" s="24"/>
      <c r="E2781" s="24"/>
    </row>
    <row r="2782" spans="3:5" ht="15.75" customHeight="1" x14ac:dyDescent="0.4">
      <c r="C2782" s="24"/>
      <c r="E2782" s="24"/>
    </row>
    <row r="2783" spans="3:5" ht="15.75" customHeight="1" x14ac:dyDescent="0.4">
      <c r="C2783" s="24"/>
      <c r="E2783" s="24"/>
    </row>
    <row r="2784" spans="3:5" ht="15.75" customHeight="1" x14ac:dyDescent="0.4">
      <c r="C2784" s="24"/>
      <c r="E2784" s="24"/>
    </row>
    <row r="2785" spans="3:5" ht="15.75" customHeight="1" x14ac:dyDescent="0.4">
      <c r="C2785" s="24"/>
      <c r="E2785" s="24"/>
    </row>
    <row r="2786" spans="3:5" ht="15.75" customHeight="1" x14ac:dyDescent="0.4">
      <c r="C2786" s="24"/>
      <c r="E2786" s="24"/>
    </row>
    <row r="2787" spans="3:5" ht="15.75" customHeight="1" x14ac:dyDescent="0.4">
      <c r="C2787" s="24"/>
      <c r="E2787" s="24"/>
    </row>
    <row r="2788" spans="3:5" ht="15.75" customHeight="1" x14ac:dyDescent="0.4">
      <c r="C2788" s="24"/>
      <c r="E2788" s="24"/>
    </row>
    <row r="2789" spans="3:5" ht="15.75" customHeight="1" x14ac:dyDescent="0.4">
      <c r="C2789" s="24"/>
      <c r="E2789" s="24"/>
    </row>
    <row r="2790" spans="3:5" ht="15.75" customHeight="1" x14ac:dyDescent="0.4">
      <c r="C2790" s="24"/>
      <c r="E2790" s="24"/>
    </row>
    <row r="2791" spans="3:5" ht="15.75" customHeight="1" x14ac:dyDescent="0.4">
      <c r="C2791" s="24"/>
      <c r="E2791" s="24"/>
    </row>
    <row r="2792" spans="3:5" ht="15.75" customHeight="1" x14ac:dyDescent="0.4">
      <c r="C2792" s="24"/>
      <c r="E2792" s="24"/>
    </row>
    <row r="2793" spans="3:5" ht="15.75" customHeight="1" x14ac:dyDescent="0.4">
      <c r="C2793" s="24"/>
      <c r="E2793" s="24"/>
    </row>
    <row r="2794" spans="3:5" ht="15.75" customHeight="1" x14ac:dyDescent="0.4">
      <c r="C2794" s="24"/>
      <c r="E2794" s="24"/>
    </row>
    <row r="2795" spans="3:5" ht="15.75" customHeight="1" x14ac:dyDescent="0.4">
      <c r="C2795" s="24"/>
      <c r="E2795" s="24"/>
    </row>
    <row r="2796" spans="3:5" ht="15.75" customHeight="1" x14ac:dyDescent="0.4">
      <c r="C2796" s="24"/>
      <c r="E2796" s="24"/>
    </row>
    <row r="2797" spans="3:5" ht="15.75" customHeight="1" x14ac:dyDescent="0.4">
      <c r="C2797" s="24"/>
      <c r="E2797" s="24"/>
    </row>
    <row r="2798" spans="3:5" ht="15.75" customHeight="1" x14ac:dyDescent="0.4">
      <c r="C2798" s="24"/>
      <c r="E2798" s="24"/>
    </row>
    <row r="2799" spans="3:5" ht="15.75" customHeight="1" x14ac:dyDescent="0.4">
      <c r="C2799" s="24"/>
      <c r="E2799" s="24"/>
    </row>
    <row r="2800" spans="3:5" ht="15.75" customHeight="1" x14ac:dyDescent="0.4">
      <c r="C2800" s="24"/>
      <c r="E2800" s="24"/>
    </row>
    <row r="2801" spans="3:5" ht="15.75" customHeight="1" x14ac:dyDescent="0.4">
      <c r="C2801" s="24"/>
      <c r="E2801" s="24"/>
    </row>
    <row r="2802" spans="3:5" ht="15.75" customHeight="1" x14ac:dyDescent="0.4">
      <c r="C2802" s="24"/>
      <c r="E2802" s="24"/>
    </row>
    <row r="2803" spans="3:5" ht="15.75" customHeight="1" x14ac:dyDescent="0.4">
      <c r="C2803" s="24"/>
      <c r="E2803" s="24"/>
    </row>
    <row r="2804" spans="3:5" ht="15.75" customHeight="1" x14ac:dyDescent="0.4">
      <c r="C2804" s="24"/>
      <c r="E2804" s="24"/>
    </row>
    <row r="2805" spans="3:5" ht="15.75" customHeight="1" x14ac:dyDescent="0.4">
      <c r="C2805" s="24"/>
      <c r="E2805" s="24"/>
    </row>
    <row r="2806" spans="3:5" ht="15.75" customHeight="1" x14ac:dyDescent="0.4">
      <c r="C2806" s="24"/>
      <c r="E2806" s="24"/>
    </row>
    <row r="2807" spans="3:5" ht="15.75" customHeight="1" x14ac:dyDescent="0.4">
      <c r="C2807" s="24"/>
      <c r="E2807" s="24"/>
    </row>
    <row r="2808" spans="3:5" ht="15.75" customHeight="1" x14ac:dyDescent="0.4">
      <c r="C2808" s="24"/>
      <c r="E2808" s="24"/>
    </row>
    <row r="2809" spans="3:5" ht="15.75" customHeight="1" x14ac:dyDescent="0.4">
      <c r="C2809" s="24"/>
      <c r="E2809" s="24"/>
    </row>
    <row r="2810" spans="3:5" ht="15.75" customHeight="1" x14ac:dyDescent="0.4">
      <c r="C2810" s="24"/>
      <c r="E2810" s="24"/>
    </row>
    <row r="2811" spans="3:5" ht="15.75" customHeight="1" x14ac:dyDescent="0.4">
      <c r="C2811" s="24"/>
      <c r="E2811" s="24"/>
    </row>
    <row r="2812" spans="3:5" ht="15.75" customHeight="1" x14ac:dyDescent="0.4">
      <c r="C2812" s="24"/>
      <c r="E2812" s="24"/>
    </row>
    <row r="2813" spans="3:5" ht="15.75" customHeight="1" x14ac:dyDescent="0.4">
      <c r="C2813" s="24"/>
      <c r="E2813" s="24"/>
    </row>
    <row r="2814" spans="3:5" ht="15.75" customHeight="1" x14ac:dyDescent="0.4">
      <c r="C2814" s="24"/>
      <c r="E2814" s="24"/>
    </row>
    <row r="2815" spans="3:5" ht="15.75" customHeight="1" x14ac:dyDescent="0.4">
      <c r="C2815" s="24"/>
      <c r="E2815" s="24"/>
    </row>
    <row r="2816" spans="3:5" ht="15.75" customHeight="1" x14ac:dyDescent="0.4">
      <c r="C2816" s="24"/>
      <c r="E2816" s="24"/>
    </row>
    <row r="2817" spans="3:5" ht="15.75" customHeight="1" x14ac:dyDescent="0.4">
      <c r="C2817" s="24"/>
      <c r="E2817" s="24"/>
    </row>
    <row r="2818" spans="3:5" ht="15.75" customHeight="1" x14ac:dyDescent="0.4">
      <c r="C2818" s="24"/>
      <c r="E2818" s="24"/>
    </row>
    <row r="2819" spans="3:5" ht="15.75" customHeight="1" x14ac:dyDescent="0.4">
      <c r="C2819" s="24"/>
      <c r="E2819" s="24"/>
    </row>
    <row r="2820" spans="3:5" ht="15.75" customHeight="1" x14ac:dyDescent="0.4">
      <c r="C2820" s="24"/>
      <c r="E2820" s="24"/>
    </row>
    <row r="2821" spans="3:5" ht="15.75" customHeight="1" x14ac:dyDescent="0.4">
      <c r="C2821" s="24"/>
      <c r="E2821" s="24"/>
    </row>
    <row r="2822" spans="3:5" ht="15.75" customHeight="1" x14ac:dyDescent="0.4">
      <c r="C2822" s="24"/>
      <c r="E2822" s="24"/>
    </row>
    <row r="2823" spans="3:5" ht="15.75" customHeight="1" x14ac:dyDescent="0.4">
      <c r="C2823" s="24"/>
      <c r="E2823" s="24"/>
    </row>
    <row r="2824" spans="3:5" ht="15.75" customHeight="1" x14ac:dyDescent="0.4">
      <c r="C2824" s="24"/>
      <c r="E2824" s="24"/>
    </row>
    <row r="2825" spans="3:5" ht="15.75" customHeight="1" x14ac:dyDescent="0.4">
      <c r="C2825" s="24"/>
      <c r="E2825" s="24"/>
    </row>
    <row r="2826" spans="3:5" ht="15.75" customHeight="1" x14ac:dyDescent="0.4">
      <c r="C2826" s="24"/>
      <c r="E2826" s="24"/>
    </row>
    <row r="2827" spans="3:5" ht="15.75" customHeight="1" x14ac:dyDescent="0.4">
      <c r="C2827" s="24"/>
      <c r="E2827" s="24"/>
    </row>
    <row r="2828" spans="3:5" ht="15.75" customHeight="1" x14ac:dyDescent="0.4">
      <c r="C2828" s="24"/>
      <c r="E2828" s="24"/>
    </row>
    <row r="2829" spans="3:5" ht="15.75" customHeight="1" x14ac:dyDescent="0.4">
      <c r="C2829" s="24"/>
      <c r="E2829" s="24"/>
    </row>
    <row r="2830" spans="3:5" ht="15.75" customHeight="1" x14ac:dyDescent="0.4">
      <c r="C2830" s="24"/>
      <c r="E2830" s="24"/>
    </row>
    <row r="2831" spans="3:5" ht="15.75" customHeight="1" x14ac:dyDescent="0.4">
      <c r="C2831" s="24"/>
      <c r="E2831" s="24"/>
    </row>
    <row r="2832" spans="3:5" ht="15.75" customHeight="1" x14ac:dyDescent="0.4">
      <c r="C2832" s="24"/>
      <c r="E2832" s="24"/>
    </row>
    <row r="2833" spans="3:5" ht="15.75" customHeight="1" x14ac:dyDescent="0.4">
      <c r="C2833" s="24"/>
      <c r="E2833" s="24"/>
    </row>
    <row r="2834" spans="3:5" ht="15.75" customHeight="1" x14ac:dyDescent="0.4">
      <c r="C2834" s="24"/>
      <c r="E2834" s="24"/>
    </row>
    <row r="2835" spans="3:5" ht="15.75" customHeight="1" x14ac:dyDescent="0.4">
      <c r="C2835" s="24"/>
      <c r="E2835" s="24"/>
    </row>
    <row r="2836" spans="3:5" ht="15.75" customHeight="1" x14ac:dyDescent="0.4">
      <c r="C2836" s="24"/>
      <c r="E2836" s="24"/>
    </row>
    <row r="2837" spans="3:5" ht="15.75" customHeight="1" x14ac:dyDescent="0.4">
      <c r="C2837" s="24"/>
      <c r="E2837" s="24"/>
    </row>
    <row r="2838" spans="3:5" ht="15.75" customHeight="1" x14ac:dyDescent="0.4">
      <c r="C2838" s="24"/>
      <c r="E2838" s="24"/>
    </row>
    <row r="2839" spans="3:5" ht="15.75" customHeight="1" x14ac:dyDescent="0.4">
      <c r="C2839" s="24"/>
      <c r="E2839" s="24"/>
    </row>
    <row r="2840" spans="3:5" ht="15.75" customHeight="1" x14ac:dyDescent="0.4">
      <c r="C2840" s="24"/>
      <c r="E2840" s="24"/>
    </row>
    <row r="2841" spans="3:5" ht="15.75" customHeight="1" x14ac:dyDescent="0.4">
      <c r="C2841" s="24"/>
      <c r="E2841" s="24"/>
    </row>
    <row r="2842" spans="3:5" ht="15.75" customHeight="1" x14ac:dyDescent="0.4">
      <c r="C2842" s="24"/>
      <c r="E2842" s="24"/>
    </row>
    <row r="2843" spans="3:5" ht="15.75" customHeight="1" x14ac:dyDescent="0.4">
      <c r="C2843" s="24"/>
      <c r="E2843" s="24"/>
    </row>
    <row r="2844" spans="3:5" ht="15.75" customHeight="1" x14ac:dyDescent="0.4">
      <c r="C2844" s="24"/>
      <c r="E2844" s="24"/>
    </row>
    <row r="2845" spans="3:5" ht="15.75" customHeight="1" x14ac:dyDescent="0.4">
      <c r="C2845" s="24"/>
      <c r="E2845" s="24"/>
    </row>
    <row r="2846" spans="3:5" ht="15.75" customHeight="1" x14ac:dyDescent="0.4">
      <c r="C2846" s="24"/>
      <c r="E2846" s="24"/>
    </row>
    <row r="2847" spans="3:5" ht="15.75" customHeight="1" x14ac:dyDescent="0.4">
      <c r="C2847" s="24"/>
      <c r="E2847" s="24"/>
    </row>
    <row r="2848" spans="3:5" ht="15.75" customHeight="1" x14ac:dyDescent="0.4">
      <c r="C2848" s="24"/>
      <c r="E2848" s="24"/>
    </row>
    <row r="2849" spans="3:5" ht="15.75" customHeight="1" x14ac:dyDescent="0.4">
      <c r="C2849" s="24"/>
      <c r="E2849" s="24"/>
    </row>
    <row r="2850" spans="3:5" ht="15.75" customHeight="1" x14ac:dyDescent="0.4">
      <c r="C2850" s="24"/>
      <c r="E2850" s="24"/>
    </row>
    <row r="2851" spans="3:5" ht="15.75" customHeight="1" x14ac:dyDescent="0.4">
      <c r="C2851" s="24"/>
      <c r="E2851" s="24"/>
    </row>
    <row r="2852" spans="3:5" ht="15.75" customHeight="1" x14ac:dyDescent="0.4">
      <c r="C2852" s="24"/>
      <c r="E2852" s="24"/>
    </row>
    <row r="2853" spans="3:5" ht="15.75" customHeight="1" x14ac:dyDescent="0.4">
      <c r="C2853" s="24"/>
      <c r="E2853" s="24"/>
    </row>
    <row r="2854" spans="3:5" ht="15.75" customHeight="1" x14ac:dyDescent="0.4">
      <c r="C2854" s="24"/>
      <c r="E2854" s="24"/>
    </row>
    <row r="2855" spans="3:5" ht="15.75" customHeight="1" x14ac:dyDescent="0.4">
      <c r="C2855" s="24"/>
      <c r="E2855" s="24"/>
    </row>
    <row r="2856" spans="3:5" ht="15.75" customHeight="1" x14ac:dyDescent="0.4">
      <c r="C2856" s="24"/>
      <c r="E2856" s="24"/>
    </row>
    <row r="2857" spans="3:5" ht="15.75" customHeight="1" x14ac:dyDescent="0.4">
      <c r="C2857" s="24"/>
      <c r="E2857" s="24"/>
    </row>
    <row r="2858" spans="3:5" ht="15.75" customHeight="1" x14ac:dyDescent="0.4">
      <c r="C2858" s="24"/>
      <c r="E2858" s="24"/>
    </row>
    <row r="2859" spans="3:5" ht="15.75" customHeight="1" x14ac:dyDescent="0.4">
      <c r="C2859" s="24"/>
      <c r="E2859" s="24"/>
    </row>
    <row r="2860" spans="3:5" ht="15.75" customHeight="1" x14ac:dyDescent="0.4">
      <c r="C2860" s="24"/>
      <c r="E2860" s="24"/>
    </row>
    <row r="2861" spans="3:5" ht="15.75" customHeight="1" x14ac:dyDescent="0.4">
      <c r="C2861" s="24"/>
      <c r="E2861" s="24"/>
    </row>
    <row r="2862" spans="3:5" ht="15.75" customHeight="1" x14ac:dyDescent="0.4">
      <c r="C2862" s="24"/>
      <c r="E2862" s="24"/>
    </row>
    <row r="2863" spans="3:5" ht="15.75" customHeight="1" x14ac:dyDescent="0.4">
      <c r="C2863" s="24"/>
      <c r="E2863" s="24"/>
    </row>
    <row r="2864" spans="3:5" ht="15.75" customHeight="1" x14ac:dyDescent="0.4">
      <c r="C2864" s="24"/>
      <c r="E2864" s="24"/>
    </row>
    <row r="2865" spans="3:5" ht="15.75" customHeight="1" x14ac:dyDescent="0.4">
      <c r="C2865" s="24"/>
      <c r="E2865" s="24"/>
    </row>
    <row r="2866" spans="3:5" ht="15.75" customHeight="1" x14ac:dyDescent="0.4">
      <c r="C2866" s="24"/>
      <c r="E2866" s="24"/>
    </row>
    <row r="2867" spans="3:5" ht="15.75" customHeight="1" x14ac:dyDescent="0.4">
      <c r="C2867" s="24"/>
      <c r="E2867" s="24"/>
    </row>
    <row r="2868" spans="3:5" ht="15.75" customHeight="1" x14ac:dyDescent="0.4">
      <c r="C2868" s="24"/>
      <c r="E2868" s="24"/>
    </row>
    <row r="2869" spans="3:5" ht="15.75" customHeight="1" x14ac:dyDescent="0.4">
      <c r="C2869" s="24"/>
      <c r="E2869" s="24"/>
    </row>
    <row r="2870" spans="3:5" ht="15.75" customHeight="1" x14ac:dyDescent="0.4">
      <c r="C2870" s="24"/>
      <c r="E2870" s="24"/>
    </row>
    <row r="2871" spans="3:5" ht="15.75" customHeight="1" x14ac:dyDescent="0.4">
      <c r="C2871" s="24"/>
      <c r="E2871" s="24"/>
    </row>
    <row r="2872" spans="3:5" ht="15.75" customHeight="1" x14ac:dyDescent="0.4">
      <c r="C2872" s="24"/>
      <c r="E2872" s="24"/>
    </row>
    <row r="2873" spans="3:5" ht="15.75" customHeight="1" x14ac:dyDescent="0.4">
      <c r="C2873" s="24"/>
      <c r="E2873" s="24"/>
    </row>
    <row r="2874" spans="3:5" ht="15.75" customHeight="1" x14ac:dyDescent="0.4">
      <c r="C2874" s="24"/>
      <c r="E2874" s="24"/>
    </row>
    <row r="2875" spans="3:5" ht="15.75" customHeight="1" x14ac:dyDescent="0.4">
      <c r="C2875" s="24"/>
      <c r="E2875" s="24"/>
    </row>
    <row r="2876" spans="3:5" ht="15.75" customHeight="1" x14ac:dyDescent="0.4">
      <c r="C2876" s="24"/>
      <c r="E2876" s="24"/>
    </row>
    <row r="2877" spans="3:5" ht="15.75" customHeight="1" x14ac:dyDescent="0.4">
      <c r="C2877" s="24"/>
      <c r="E2877" s="24"/>
    </row>
    <row r="2878" spans="3:5" ht="15.75" customHeight="1" x14ac:dyDescent="0.4">
      <c r="C2878" s="24"/>
      <c r="E2878" s="24"/>
    </row>
    <row r="2879" spans="3:5" ht="15.75" customHeight="1" x14ac:dyDescent="0.4">
      <c r="C2879" s="24"/>
      <c r="E2879" s="24"/>
    </row>
    <row r="2880" spans="3:5" ht="15.75" customHeight="1" x14ac:dyDescent="0.4">
      <c r="C2880" s="24"/>
      <c r="E2880" s="24"/>
    </row>
    <row r="2881" spans="3:5" ht="15.75" customHeight="1" x14ac:dyDescent="0.4">
      <c r="C2881" s="24"/>
      <c r="E2881" s="24"/>
    </row>
    <row r="2882" spans="3:5" ht="15.75" customHeight="1" x14ac:dyDescent="0.4">
      <c r="C2882" s="24"/>
      <c r="E2882" s="24"/>
    </row>
    <row r="2883" spans="3:5" ht="15.75" customHeight="1" x14ac:dyDescent="0.4">
      <c r="C2883" s="24"/>
      <c r="E2883" s="24"/>
    </row>
    <row r="2884" spans="3:5" ht="15.75" customHeight="1" x14ac:dyDescent="0.4">
      <c r="C2884" s="24"/>
      <c r="E2884" s="24"/>
    </row>
    <row r="2885" spans="3:5" ht="15.75" customHeight="1" x14ac:dyDescent="0.4">
      <c r="C2885" s="24"/>
      <c r="E2885" s="24"/>
    </row>
    <row r="2886" spans="3:5" ht="15.75" customHeight="1" x14ac:dyDescent="0.4">
      <c r="C2886" s="24"/>
      <c r="E2886" s="24"/>
    </row>
    <row r="2887" spans="3:5" ht="15.75" customHeight="1" x14ac:dyDescent="0.4">
      <c r="C2887" s="24"/>
      <c r="E2887" s="24"/>
    </row>
    <row r="2888" spans="3:5" ht="15.75" customHeight="1" x14ac:dyDescent="0.4">
      <c r="C2888" s="24"/>
      <c r="E2888" s="24"/>
    </row>
    <row r="2889" spans="3:5" ht="15.75" customHeight="1" x14ac:dyDescent="0.4">
      <c r="C2889" s="24"/>
      <c r="E2889" s="24"/>
    </row>
    <row r="2890" spans="3:5" ht="15.75" customHeight="1" x14ac:dyDescent="0.4">
      <c r="C2890" s="24"/>
      <c r="E2890" s="24"/>
    </row>
    <row r="2891" spans="3:5" ht="15.75" customHeight="1" x14ac:dyDescent="0.4">
      <c r="C2891" s="24"/>
      <c r="E2891" s="24"/>
    </row>
    <row r="2892" spans="3:5" ht="15.75" customHeight="1" x14ac:dyDescent="0.4">
      <c r="C2892" s="24"/>
      <c r="E2892" s="24"/>
    </row>
    <row r="2893" spans="3:5" ht="15.75" customHeight="1" x14ac:dyDescent="0.4">
      <c r="C2893" s="24"/>
      <c r="E2893" s="24"/>
    </row>
    <row r="2894" spans="3:5" ht="15.75" customHeight="1" x14ac:dyDescent="0.4">
      <c r="C2894" s="24"/>
      <c r="E2894" s="24"/>
    </row>
    <row r="2895" spans="3:5" ht="15.75" customHeight="1" x14ac:dyDescent="0.4">
      <c r="C2895" s="24"/>
      <c r="E2895" s="24"/>
    </row>
    <row r="2896" spans="3:5" ht="15.75" customHeight="1" x14ac:dyDescent="0.4">
      <c r="C2896" s="24"/>
      <c r="E2896" s="24"/>
    </row>
    <row r="2897" spans="3:5" ht="15.75" customHeight="1" x14ac:dyDescent="0.4">
      <c r="C2897" s="24"/>
      <c r="E2897" s="24"/>
    </row>
    <row r="2898" spans="3:5" ht="15.75" customHeight="1" x14ac:dyDescent="0.4">
      <c r="C2898" s="24"/>
      <c r="E2898" s="24"/>
    </row>
    <row r="2899" spans="3:5" ht="15.75" customHeight="1" x14ac:dyDescent="0.4">
      <c r="C2899" s="24"/>
      <c r="E2899" s="24"/>
    </row>
    <row r="2900" spans="3:5" ht="15.75" customHeight="1" x14ac:dyDescent="0.4">
      <c r="C2900" s="24"/>
      <c r="E2900" s="24"/>
    </row>
    <row r="2901" spans="3:5" ht="15.75" customHeight="1" x14ac:dyDescent="0.4">
      <c r="C2901" s="24"/>
      <c r="E2901" s="24"/>
    </row>
    <row r="2902" spans="3:5" ht="15.75" customHeight="1" x14ac:dyDescent="0.4">
      <c r="C2902" s="24"/>
      <c r="E2902" s="24"/>
    </row>
    <row r="2903" spans="3:5" ht="15.75" customHeight="1" x14ac:dyDescent="0.4">
      <c r="C2903" s="24"/>
      <c r="E2903" s="24"/>
    </row>
    <row r="2904" spans="3:5" ht="15.75" customHeight="1" x14ac:dyDescent="0.4">
      <c r="C2904" s="24"/>
      <c r="E2904" s="24"/>
    </row>
    <row r="2905" spans="3:5" ht="15.75" customHeight="1" x14ac:dyDescent="0.4">
      <c r="C2905" s="24"/>
      <c r="E2905" s="24"/>
    </row>
    <row r="2906" spans="3:5" ht="15.75" customHeight="1" x14ac:dyDescent="0.4">
      <c r="C2906" s="24"/>
      <c r="E2906" s="24"/>
    </row>
    <row r="2907" spans="3:5" ht="15.75" customHeight="1" x14ac:dyDescent="0.4">
      <c r="C2907" s="24"/>
      <c r="E2907" s="24"/>
    </row>
    <row r="2908" spans="3:5" ht="15.75" customHeight="1" x14ac:dyDescent="0.4">
      <c r="C2908" s="24"/>
      <c r="E2908" s="24"/>
    </row>
    <row r="2909" spans="3:5" ht="15.75" customHeight="1" x14ac:dyDescent="0.4">
      <c r="C2909" s="24"/>
      <c r="E2909" s="24"/>
    </row>
    <row r="2910" spans="3:5" ht="15.75" customHeight="1" x14ac:dyDescent="0.4">
      <c r="C2910" s="24"/>
      <c r="E2910" s="24"/>
    </row>
    <row r="2911" spans="3:5" ht="15.75" customHeight="1" x14ac:dyDescent="0.4">
      <c r="C2911" s="24"/>
      <c r="E2911" s="24"/>
    </row>
    <row r="2912" spans="3:5" ht="15.75" customHeight="1" x14ac:dyDescent="0.4">
      <c r="C2912" s="24"/>
      <c r="E2912" s="24"/>
    </row>
    <row r="2913" spans="3:5" ht="15.75" customHeight="1" x14ac:dyDescent="0.4">
      <c r="C2913" s="24"/>
      <c r="E2913" s="24"/>
    </row>
    <row r="2914" spans="3:5" ht="15.75" customHeight="1" x14ac:dyDescent="0.4">
      <c r="C2914" s="24"/>
      <c r="E2914" s="24"/>
    </row>
    <row r="2915" spans="3:5" ht="15.75" customHeight="1" x14ac:dyDescent="0.4">
      <c r="C2915" s="24"/>
      <c r="E2915" s="24"/>
    </row>
    <row r="2916" spans="3:5" ht="15.75" customHeight="1" x14ac:dyDescent="0.4">
      <c r="C2916" s="24"/>
      <c r="E2916" s="24"/>
    </row>
    <row r="2917" spans="3:5" ht="15.75" customHeight="1" x14ac:dyDescent="0.4">
      <c r="C2917" s="24"/>
      <c r="E2917" s="24"/>
    </row>
    <row r="2918" spans="3:5" ht="15.75" customHeight="1" x14ac:dyDescent="0.4">
      <c r="C2918" s="24"/>
      <c r="E2918" s="24"/>
    </row>
    <row r="2919" spans="3:5" ht="15.75" customHeight="1" x14ac:dyDescent="0.4">
      <c r="C2919" s="24"/>
      <c r="E2919" s="24"/>
    </row>
    <row r="2920" spans="3:5" ht="15.75" customHeight="1" x14ac:dyDescent="0.4">
      <c r="C2920" s="24"/>
      <c r="E2920" s="24"/>
    </row>
    <row r="2921" spans="3:5" ht="15.75" customHeight="1" x14ac:dyDescent="0.4">
      <c r="C2921" s="24"/>
      <c r="E2921" s="24"/>
    </row>
    <row r="2922" spans="3:5" ht="15.75" customHeight="1" x14ac:dyDescent="0.4">
      <c r="C2922" s="24"/>
      <c r="E2922" s="24"/>
    </row>
    <row r="2923" spans="3:5" ht="15.75" customHeight="1" x14ac:dyDescent="0.4">
      <c r="C2923" s="24"/>
      <c r="E2923" s="24"/>
    </row>
    <row r="2924" spans="3:5" ht="15.75" customHeight="1" x14ac:dyDescent="0.4">
      <c r="C2924" s="24"/>
      <c r="E2924" s="24"/>
    </row>
    <row r="2925" spans="3:5" ht="15.75" customHeight="1" x14ac:dyDescent="0.4">
      <c r="C2925" s="24"/>
      <c r="E2925" s="24"/>
    </row>
    <row r="2926" spans="3:5" ht="15.75" customHeight="1" x14ac:dyDescent="0.4">
      <c r="C2926" s="24"/>
      <c r="E2926" s="24"/>
    </row>
    <row r="2927" spans="3:5" ht="15.75" customHeight="1" x14ac:dyDescent="0.4">
      <c r="C2927" s="24"/>
      <c r="E2927" s="24"/>
    </row>
    <row r="2928" spans="3:5" ht="15.75" customHeight="1" x14ac:dyDescent="0.4">
      <c r="C2928" s="24"/>
      <c r="E2928" s="24"/>
    </row>
    <row r="2929" spans="3:5" ht="15.75" customHeight="1" x14ac:dyDescent="0.4">
      <c r="C2929" s="24"/>
      <c r="E2929" s="24"/>
    </row>
    <row r="2930" spans="3:5" ht="15.75" customHeight="1" x14ac:dyDescent="0.4">
      <c r="C2930" s="24"/>
      <c r="E2930" s="24"/>
    </row>
    <row r="2931" spans="3:5" ht="15.75" customHeight="1" x14ac:dyDescent="0.4">
      <c r="C2931" s="24"/>
      <c r="E2931" s="24"/>
    </row>
    <row r="2932" spans="3:5" ht="15.75" customHeight="1" x14ac:dyDescent="0.4">
      <c r="C2932" s="24"/>
      <c r="E2932" s="24"/>
    </row>
    <row r="2933" spans="3:5" ht="15.75" customHeight="1" x14ac:dyDescent="0.4">
      <c r="C2933" s="24"/>
      <c r="E2933" s="24"/>
    </row>
    <row r="2934" spans="3:5" ht="15.75" customHeight="1" x14ac:dyDescent="0.4">
      <c r="C2934" s="24"/>
      <c r="E2934" s="24"/>
    </row>
    <row r="2935" spans="3:5" ht="15.75" customHeight="1" x14ac:dyDescent="0.4">
      <c r="C2935" s="24"/>
      <c r="E2935" s="24"/>
    </row>
    <row r="2936" spans="3:5" ht="15.75" customHeight="1" x14ac:dyDescent="0.4">
      <c r="C2936" s="24"/>
      <c r="E2936" s="24"/>
    </row>
    <row r="2937" spans="3:5" ht="15.75" customHeight="1" x14ac:dyDescent="0.4">
      <c r="C2937" s="24"/>
      <c r="E2937" s="24"/>
    </row>
    <row r="2938" spans="3:5" ht="15.75" customHeight="1" x14ac:dyDescent="0.4">
      <c r="C2938" s="24"/>
      <c r="E2938" s="24"/>
    </row>
    <row r="2939" spans="3:5" ht="15.75" customHeight="1" x14ac:dyDescent="0.4">
      <c r="C2939" s="24"/>
      <c r="E2939" s="24"/>
    </row>
    <row r="2940" spans="3:5" ht="15.75" customHeight="1" x14ac:dyDescent="0.4">
      <c r="C2940" s="24"/>
      <c r="E2940" s="24"/>
    </row>
    <row r="2941" spans="3:5" ht="15.75" customHeight="1" x14ac:dyDescent="0.4">
      <c r="C2941" s="24"/>
      <c r="E2941" s="24"/>
    </row>
    <row r="2942" spans="3:5" ht="15.75" customHeight="1" x14ac:dyDescent="0.4">
      <c r="C2942" s="24"/>
      <c r="E2942" s="24"/>
    </row>
    <row r="2943" spans="3:5" ht="15.75" customHeight="1" x14ac:dyDescent="0.4">
      <c r="C2943" s="24"/>
      <c r="E2943" s="24"/>
    </row>
    <row r="2944" spans="3:5" ht="15.75" customHeight="1" x14ac:dyDescent="0.4">
      <c r="C2944" s="24"/>
      <c r="E2944" s="24"/>
    </row>
    <row r="2945" spans="3:5" ht="15.75" customHeight="1" x14ac:dyDescent="0.4">
      <c r="C2945" s="24"/>
      <c r="E2945" s="24"/>
    </row>
    <row r="2946" spans="3:5" ht="15.75" customHeight="1" x14ac:dyDescent="0.4">
      <c r="C2946" s="24"/>
      <c r="E2946" s="24"/>
    </row>
    <row r="2947" spans="3:5" ht="15.75" customHeight="1" x14ac:dyDescent="0.4">
      <c r="C2947" s="24"/>
      <c r="E2947" s="24"/>
    </row>
    <row r="2948" spans="3:5" ht="15.75" customHeight="1" x14ac:dyDescent="0.4">
      <c r="C2948" s="24"/>
      <c r="E2948" s="24"/>
    </row>
    <row r="2949" spans="3:5" ht="15.75" customHeight="1" x14ac:dyDescent="0.4">
      <c r="C2949" s="24"/>
      <c r="E2949" s="24"/>
    </row>
    <row r="2950" spans="3:5" ht="15.75" customHeight="1" x14ac:dyDescent="0.4">
      <c r="C2950" s="24"/>
      <c r="E2950" s="24"/>
    </row>
    <row r="2951" spans="3:5" ht="15.75" customHeight="1" x14ac:dyDescent="0.4">
      <c r="C2951" s="24"/>
      <c r="E2951" s="24"/>
    </row>
    <row r="2952" spans="3:5" ht="15.75" customHeight="1" x14ac:dyDescent="0.4">
      <c r="C2952" s="24"/>
      <c r="E2952" s="24"/>
    </row>
    <row r="2953" spans="3:5" ht="15.75" customHeight="1" x14ac:dyDescent="0.4">
      <c r="C2953" s="24"/>
      <c r="E2953" s="24"/>
    </row>
    <row r="2954" spans="3:5" ht="15.75" customHeight="1" x14ac:dyDescent="0.4">
      <c r="C2954" s="24"/>
      <c r="E2954" s="24"/>
    </row>
    <row r="2955" spans="3:5" ht="15.75" customHeight="1" x14ac:dyDescent="0.4">
      <c r="C2955" s="24"/>
      <c r="E2955" s="24"/>
    </row>
    <row r="2956" spans="3:5" ht="15.75" customHeight="1" x14ac:dyDescent="0.4">
      <c r="C2956" s="24"/>
      <c r="E2956" s="24"/>
    </row>
    <row r="2957" spans="3:5" ht="15.75" customHeight="1" x14ac:dyDescent="0.4">
      <c r="C2957" s="24"/>
      <c r="E2957" s="24"/>
    </row>
    <row r="2958" spans="3:5" ht="15.75" customHeight="1" x14ac:dyDescent="0.4">
      <c r="C2958" s="24"/>
      <c r="E2958" s="24"/>
    </row>
    <row r="2959" spans="3:5" ht="15.75" customHeight="1" x14ac:dyDescent="0.4">
      <c r="C2959" s="24"/>
      <c r="E2959" s="24"/>
    </row>
    <row r="2960" spans="3:5" ht="15.75" customHeight="1" x14ac:dyDescent="0.4">
      <c r="C2960" s="24"/>
      <c r="E2960" s="24"/>
    </row>
    <row r="2961" spans="3:5" ht="15.75" customHeight="1" x14ac:dyDescent="0.4">
      <c r="C2961" s="24"/>
      <c r="E2961" s="24"/>
    </row>
    <row r="2962" spans="3:5" ht="15.75" customHeight="1" x14ac:dyDescent="0.4">
      <c r="C2962" s="24"/>
      <c r="E2962" s="24"/>
    </row>
    <row r="2963" spans="3:5" ht="15.75" customHeight="1" x14ac:dyDescent="0.4">
      <c r="C2963" s="24"/>
      <c r="E2963" s="24"/>
    </row>
    <row r="2964" spans="3:5" ht="15.75" customHeight="1" x14ac:dyDescent="0.4">
      <c r="C2964" s="24"/>
      <c r="E2964" s="24"/>
    </row>
    <row r="2965" spans="3:5" ht="15.75" customHeight="1" x14ac:dyDescent="0.4">
      <c r="C2965" s="24"/>
      <c r="E2965" s="24"/>
    </row>
    <row r="2966" spans="3:5" ht="15.75" customHeight="1" x14ac:dyDescent="0.4">
      <c r="C2966" s="24"/>
      <c r="E2966" s="24"/>
    </row>
    <row r="2967" spans="3:5" ht="15.75" customHeight="1" x14ac:dyDescent="0.4">
      <c r="C2967" s="24"/>
      <c r="E2967" s="24"/>
    </row>
    <row r="2968" spans="3:5" ht="15.75" customHeight="1" x14ac:dyDescent="0.4">
      <c r="C2968" s="24"/>
      <c r="E2968" s="24"/>
    </row>
    <row r="2969" spans="3:5" ht="15.75" customHeight="1" x14ac:dyDescent="0.4">
      <c r="C2969" s="24"/>
      <c r="E2969" s="24"/>
    </row>
    <row r="2970" spans="3:5" ht="15.75" customHeight="1" x14ac:dyDescent="0.4">
      <c r="C2970" s="24"/>
      <c r="E2970" s="24"/>
    </row>
    <row r="2971" spans="3:5" ht="15.75" customHeight="1" x14ac:dyDescent="0.4">
      <c r="C2971" s="24"/>
      <c r="E2971" s="24"/>
    </row>
    <row r="2972" spans="3:5" ht="15.75" customHeight="1" x14ac:dyDescent="0.4">
      <c r="C2972" s="24"/>
      <c r="E2972" s="24"/>
    </row>
    <row r="2973" spans="3:5" ht="15.75" customHeight="1" x14ac:dyDescent="0.4">
      <c r="C2973" s="24"/>
      <c r="E2973" s="24"/>
    </row>
    <row r="2974" spans="3:5" ht="15.75" customHeight="1" x14ac:dyDescent="0.4">
      <c r="C2974" s="24"/>
      <c r="E2974" s="24"/>
    </row>
    <row r="2975" spans="3:5" ht="15.75" customHeight="1" x14ac:dyDescent="0.4">
      <c r="C2975" s="24"/>
      <c r="E2975" s="24"/>
    </row>
    <row r="2976" spans="3:5" ht="15.75" customHeight="1" x14ac:dyDescent="0.4">
      <c r="C2976" s="24"/>
      <c r="E2976" s="24"/>
    </row>
    <row r="2977" spans="3:5" ht="15.75" customHeight="1" x14ac:dyDescent="0.4">
      <c r="C2977" s="24"/>
      <c r="E2977" s="24"/>
    </row>
    <row r="2978" spans="3:5" ht="15.75" customHeight="1" x14ac:dyDescent="0.4">
      <c r="C2978" s="24"/>
      <c r="E2978" s="24"/>
    </row>
    <row r="2979" spans="3:5" ht="15.75" customHeight="1" x14ac:dyDescent="0.4">
      <c r="C2979" s="24"/>
      <c r="E2979" s="24"/>
    </row>
    <row r="2980" spans="3:5" ht="15.75" customHeight="1" x14ac:dyDescent="0.4">
      <c r="C2980" s="24"/>
      <c r="E2980" s="24"/>
    </row>
    <row r="2981" spans="3:5" ht="15.75" customHeight="1" x14ac:dyDescent="0.4">
      <c r="C2981" s="24"/>
      <c r="E2981" s="24"/>
    </row>
    <row r="2982" spans="3:5" ht="15.75" customHeight="1" x14ac:dyDescent="0.4">
      <c r="C2982" s="24"/>
      <c r="E2982" s="24"/>
    </row>
    <row r="2983" spans="3:5" ht="15.75" customHeight="1" x14ac:dyDescent="0.4">
      <c r="C2983" s="24"/>
      <c r="E2983" s="24"/>
    </row>
    <row r="2984" spans="3:5" ht="15.75" customHeight="1" x14ac:dyDescent="0.4">
      <c r="C2984" s="24"/>
      <c r="E2984" s="24"/>
    </row>
    <row r="2985" spans="3:5" ht="15.75" customHeight="1" x14ac:dyDescent="0.4">
      <c r="C2985" s="24"/>
      <c r="E2985" s="24"/>
    </row>
    <row r="2986" spans="3:5" ht="15.75" customHeight="1" x14ac:dyDescent="0.4">
      <c r="C2986" s="24"/>
      <c r="E2986" s="24"/>
    </row>
    <row r="2987" spans="3:5" ht="15.75" customHeight="1" x14ac:dyDescent="0.4">
      <c r="C2987" s="24"/>
      <c r="E2987" s="24"/>
    </row>
    <row r="2988" spans="3:5" ht="15.75" customHeight="1" x14ac:dyDescent="0.4">
      <c r="C2988" s="24"/>
      <c r="E2988" s="24"/>
    </row>
    <row r="2989" spans="3:5" ht="15.75" customHeight="1" x14ac:dyDescent="0.4">
      <c r="C2989" s="24"/>
      <c r="E2989" s="24"/>
    </row>
    <row r="2990" spans="3:5" ht="15.75" customHeight="1" x14ac:dyDescent="0.4">
      <c r="C2990" s="24"/>
      <c r="E2990" s="24"/>
    </row>
    <row r="2991" spans="3:5" ht="15.75" customHeight="1" x14ac:dyDescent="0.4">
      <c r="C2991" s="24"/>
      <c r="E2991" s="24"/>
    </row>
    <row r="2992" spans="3:5" ht="15.75" customHeight="1" x14ac:dyDescent="0.4">
      <c r="C2992" s="24"/>
      <c r="E2992" s="24"/>
    </row>
    <row r="2993" spans="3:5" ht="15.75" customHeight="1" x14ac:dyDescent="0.4">
      <c r="C2993" s="24"/>
      <c r="E2993" s="24"/>
    </row>
    <row r="2994" spans="3:5" ht="15.75" customHeight="1" x14ac:dyDescent="0.4">
      <c r="C2994" s="24"/>
      <c r="E2994" s="24"/>
    </row>
    <row r="2995" spans="3:5" ht="15.75" customHeight="1" x14ac:dyDescent="0.4">
      <c r="C2995" s="24"/>
      <c r="E2995" s="24"/>
    </row>
    <row r="2996" spans="3:5" ht="15.75" customHeight="1" x14ac:dyDescent="0.4">
      <c r="C2996" s="24"/>
      <c r="E2996" s="24"/>
    </row>
    <row r="2997" spans="3:5" ht="15.75" customHeight="1" x14ac:dyDescent="0.4">
      <c r="C2997" s="24"/>
      <c r="E2997" s="24"/>
    </row>
    <row r="2998" spans="3:5" ht="15.75" customHeight="1" x14ac:dyDescent="0.4">
      <c r="C2998" s="24"/>
      <c r="E2998" s="24"/>
    </row>
    <row r="2999" spans="3:5" ht="15.75" customHeight="1" x14ac:dyDescent="0.4">
      <c r="C2999" s="24"/>
      <c r="E2999" s="24"/>
    </row>
    <row r="3000" spans="3:5" ht="15.75" customHeight="1" x14ac:dyDescent="0.4">
      <c r="C3000" s="24"/>
      <c r="E3000" s="24"/>
    </row>
    <row r="3001" spans="3:5" ht="15.75" customHeight="1" x14ac:dyDescent="0.4">
      <c r="C3001" s="24"/>
      <c r="E3001" s="24"/>
    </row>
    <row r="3002" spans="3:5" ht="15.75" customHeight="1" x14ac:dyDescent="0.4">
      <c r="C3002" s="24"/>
      <c r="E3002" s="24"/>
    </row>
    <row r="3003" spans="3:5" ht="15.75" customHeight="1" x14ac:dyDescent="0.4">
      <c r="C3003" s="24"/>
      <c r="E3003" s="24"/>
    </row>
    <row r="3004" spans="3:5" ht="15.75" customHeight="1" x14ac:dyDescent="0.4">
      <c r="C3004" s="24"/>
      <c r="E3004" s="24"/>
    </row>
    <row r="3005" spans="3:5" ht="15.75" customHeight="1" x14ac:dyDescent="0.4">
      <c r="C3005" s="24"/>
      <c r="E3005" s="24"/>
    </row>
    <row r="3006" spans="3:5" ht="15.75" customHeight="1" x14ac:dyDescent="0.4">
      <c r="C3006" s="24"/>
      <c r="E3006" s="24"/>
    </row>
    <row r="3007" spans="3:5" ht="15.75" customHeight="1" x14ac:dyDescent="0.4">
      <c r="C3007" s="24"/>
      <c r="E3007" s="24"/>
    </row>
    <row r="3008" spans="3:5" ht="15.75" customHeight="1" x14ac:dyDescent="0.4">
      <c r="C3008" s="24"/>
      <c r="E3008" s="24"/>
    </row>
    <row r="3009" spans="3:5" ht="15.75" customHeight="1" x14ac:dyDescent="0.4">
      <c r="C3009" s="24"/>
      <c r="E3009" s="24"/>
    </row>
    <row r="3010" spans="3:5" ht="15.75" customHeight="1" x14ac:dyDescent="0.4">
      <c r="C3010" s="24"/>
      <c r="E3010" s="24"/>
    </row>
    <row r="3011" spans="3:5" ht="15.75" customHeight="1" x14ac:dyDescent="0.4">
      <c r="C3011" s="24"/>
      <c r="E3011" s="24"/>
    </row>
    <row r="3012" spans="3:5" ht="15.75" customHeight="1" x14ac:dyDescent="0.4">
      <c r="C3012" s="24"/>
      <c r="E3012" s="24"/>
    </row>
    <row r="3013" spans="3:5" ht="15.75" customHeight="1" x14ac:dyDescent="0.4">
      <c r="C3013" s="24"/>
      <c r="E3013" s="24"/>
    </row>
    <row r="3014" spans="3:5" ht="15.75" customHeight="1" x14ac:dyDescent="0.4">
      <c r="C3014" s="24"/>
      <c r="E3014" s="24"/>
    </row>
    <row r="3015" spans="3:5" ht="15.75" customHeight="1" x14ac:dyDescent="0.4">
      <c r="C3015" s="24"/>
      <c r="E3015" s="24"/>
    </row>
    <row r="3016" spans="3:5" ht="15.75" customHeight="1" x14ac:dyDescent="0.4">
      <c r="C3016" s="24"/>
      <c r="E3016" s="24"/>
    </row>
    <row r="3017" spans="3:5" ht="15.75" customHeight="1" x14ac:dyDescent="0.4">
      <c r="C3017" s="24"/>
      <c r="E3017" s="24"/>
    </row>
    <row r="3018" spans="3:5" ht="15.75" customHeight="1" x14ac:dyDescent="0.4">
      <c r="C3018" s="24"/>
      <c r="E3018" s="24"/>
    </row>
    <row r="3019" spans="3:5" ht="15.75" customHeight="1" x14ac:dyDescent="0.4">
      <c r="C3019" s="24"/>
      <c r="E3019" s="24"/>
    </row>
    <row r="3020" spans="3:5" ht="15.75" customHeight="1" x14ac:dyDescent="0.4">
      <c r="C3020" s="24"/>
      <c r="E3020" s="24"/>
    </row>
    <row r="3021" spans="3:5" ht="15.75" customHeight="1" x14ac:dyDescent="0.4">
      <c r="C3021" s="24"/>
      <c r="E3021" s="24"/>
    </row>
    <row r="3022" spans="3:5" ht="15.75" customHeight="1" x14ac:dyDescent="0.4">
      <c r="C3022" s="24"/>
      <c r="E3022" s="24"/>
    </row>
    <row r="3023" spans="3:5" ht="15.75" customHeight="1" x14ac:dyDescent="0.4">
      <c r="C3023" s="24"/>
      <c r="E3023" s="24"/>
    </row>
    <row r="3024" spans="3:5" ht="15.75" customHeight="1" x14ac:dyDescent="0.4">
      <c r="C3024" s="24"/>
      <c r="E3024" s="24"/>
    </row>
    <row r="3025" spans="3:5" ht="15.75" customHeight="1" x14ac:dyDescent="0.4">
      <c r="C3025" s="24"/>
      <c r="E3025" s="24"/>
    </row>
    <row r="3026" spans="3:5" ht="15.75" customHeight="1" x14ac:dyDescent="0.4">
      <c r="C3026" s="24"/>
      <c r="E3026" s="24"/>
    </row>
    <row r="3027" spans="3:5" ht="15.75" customHeight="1" x14ac:dyDescent="0.4">
      <c r="C3027" s="24"/>
      <c r="E3027" s="24"/>
    </row>
    <row r="3028" spans="3:5" ht="15.75" customHeight="1" x14ac:dyDescent="0.4">
      <c r="C3028" s="24"/>
      <c r="E3028" s="24"/>
    </row>
    <row r="3029" spans="3:5" ht="15.75" customHeight="1" x14ac:dyDescent="0.4">
      <c r="C3029" s="24"/>
      <c r="E3029" s="24"/>
    </row>
    <row r="3030" spans="3:5" ht="15.75" customHeight="1" x14ac:dyDescent="0.4">
      <c r="C3030" s="24"/>
      <c r="E3030" s="24"/>
    </row>
    <row r="3031" spans="3:5" ht="15.75" customHeight="1" x14ac:dyDescent="0.4">
      <c r="C3031" s="24"/>
      <c r="E3031" s="24"/>
    </row>
    <row r="3032" spans="3:5" ht="15.75" customHeight="1" x14ac:dyDescent="0.4">
      <c r="C3032" s="24"/>
      <c r="E3032" s="24"/>
    </row>
    <row r="3033" spans="3:5" ht="15.75" customHeight="1" x14ac:dyDescent="0.4">
      <c r="C3033" s="24"/>
      <c r="E3033" s="24"/>
    </row>
    <row r="3034" spans="3:5" ht="15.75" customHeight="1" x14ac:dyDescent="0.4">
      <c r="C3034" s="24"/>
      <c r="E3034" s="24"/>
    </row>
    <row r="3035" spans="3:5" ht="15.75" customHeight="1" x14ac:dyDescent="0.4">
      <c r="C3035" s="24"/>
      <c r="E3035" s="24"/>
    </row>
    <row r="3036" spans="3:5" ht="15.75" customHeight="1" x14ac:dyDescent="0.4">
      <c r="C3036" s="24"/>
      <c r="E3036" s="24"/>
    </row>
    <row r="3037" spans="3:5" ht="15.75" customHeight="1" x14ac:dyDescent="0.4">
      <c r="C3037" s="24"/>
      <c r="E3037" s="24"/>
    </row>
    <row r="3038" spans="3:5" ht="15.75" customHeight="1" x14ac:dyDescent="0.4">
      <c r="C3038" s="24"/>
      <c r="E3038" s="24"/>
    </row>
    <row r="3039" spans="3:5" ht="15.75" customHeight="1" x14ac:dyDescent="0.4">
      <c r="C3039" s="24"/>
      <c r="E3039" s="24"/>
    </row>
    <row r="3040" spans="3:5" ht="15.75" customHeight="1" x14ac:dyDescent="0.4">
      <c r="C3040" s="24"/>
      <c r="E3040" s="24"/>
    </row>
    <row r="3041" spans="3:5" ht="15.75" customHeight="1" x14ac:dyDescent="0.4">
      <c r="C3041" s="24"/>
      <c r="E3041" s="24"/>
    </row>
    <row r="3042" spans="3:5" ht="15.75" customHeight="1" x14ac:dyDescent="0.4">
      <c r="C3042" s="24"/>
      <c r="E3042" s="24"/>
    </row>
    <row r="3043" spans="3:5" ht="15.75" customHeight="1" x14ac:dyDescent="0.4">
      <c r="C3043" s="24"/>
      <c r="E3043" s="24"/>
    </row>
    <row r="3044" spans="3:5" ht="15.75" customHeight="1" x14ac:dyDescent="0.4">
      <c r="C3044" s="24"/>
      <c r="E3044" s="24"/>
    </row>
    <row r="3045" spans="3:5" ht="15.75" customHeight="1" x14ac:dyDescent="0.4">
      <c r="C3045" s="24"/>
      <c r="E3045" s="24"/>
    </row>
    <row r="3046" spans="3:5" ht="15.75" customHeight="1" x14ac:dyDescent="0.4">
      <c r="C3046" s="24"/>
      <c r="E3046" s="24"/>
    </row>
    <row r="3047" spans="3:5" ht="15.75" customHeight="1" x14ac:dyDescent="0.4">
      <c r="C3047" s="24"/>
      <c r="E3047" s="24"/>
    </row>
    <row r="3048" spans="3:5" ht="15.75" customHeight="1" x14ac:dyDescent="0.4">
      <c r="C3048" s="24"/>
      <c r="E3048" s="24"/>
    </row>
    <row r="3049" spans="3:5" ht="15.75" customHeight="1" x14ac:dyDescent="0.4">
      <c r="C3049" s="24"/>
      <c r="E3049" s="24"/>
    </row>
    <row r="3050" spans="3:5" ht="15.75" customHeight="1" x14ac:dyDescent="0.4">
      <c r="C3050" s="24"/>
      <c r="E3050" s="24"/>
    </row>
    <row r="3051" spans="3:5" ht="15.75" customHeight="1" x14ac:dyDescent="0.4">
      <c r="C3051" s="24"/>
      <c r="E3051" s="24"/>
    </row>
    <row r="3052" spans="3:5" ht="15.75" customHeight="1" x14ac:dyDescent="0.4">
      <c r="C3052" s="24"/>
      <c r="E3052" s="24"/>
    </row>
    <row r="3053" spans="3:5" ht="15.75" customHeight="1" x14ac:dyDescent="0.4">
      <c r="C3053" s="24"/>
      <c r="E3053" s="24"/>
    </row>
    <row r="3054" spans="3:5" ht="15.75" customHeight="1" x14ac:dyDescent="0.4">
      <c r="C3054" s="24"/>
      <c r="E3054" s="24"/>
    </row>
    <row r="3055" spans="3:5" ht="15.75" customHeight="1" x14ac:dyDescent="0.4">
      <c r="C3055" s="24"/>
      <c r="E3055" s="24"/>
    </row>
    <row r="3056" spans="3:5" ht="15.75" customHeight="1" x14ac:dyDescent="0.4">
      <c r="C3056" s="24"/>
      <c r="E3056" s="24"/>
    </row>
    <row r="3057" spans="3:5" ht="15.75" customHeight="1" x14ac:dyDescent="0.4">
      <c r="C3057" s="24"/>
      <c r="E3057" s="24"/>
    </row>
    <row r="3058" spans="3:5" ht="15.75" customHeight="1" x14ac:dyDescent="0.4">
      <c r="C3058" s="24"/>
      <c r="E3058" s="24"/>
    </row>
    <row r="3059" spans="3:5" ht="15.75" customHeight="1" x14ac:dyDescent="0.4">
      <c r="C3059" s="24"/>
      <c r="E3059" s="24"/>
    </row>
    <row r="3060" spans="3:5" ht="15.75" customHeight="1" x14ac:dyDescent="0.4">
      <c r="C3060" s="24"/>
      <c r="E3060" s="24"/>
    </row>
    <row r="3061" spans="3:5" ht="15.75" customHeight="1" x14ac:dyDescent="0.4">
      <c r="C3061" s="24"/>
      <c r="E3061" s="24"/>
    </row>
    <row r="3062" spans="3:5" ht="15.75" customHeight="1" x14ac:dyDescent="0.4">
      <c r="C3062" s="24"/>
      <c r="E3062" s="24"/>
    </row>
    <row r="3063" spans="3:5" ht="15.75" customHeight="1" x14ac:dyDescent="0.4">
      <c r="C3063" s="24"/>
      <c r="E3063" s="24"/>
    </row>
    <row r="3064" spans="3:5" ht="15.75" customHeight="1" x14ac:dyDescent="0.4">
      <c r="C3064" s="24"/>
      <c r="E3064" s="24"/>
    </row>
    <row r="3065" spans="3:5" ht="15.75" customHeight="1" x14ac:dyDescent="0.4">
      <c r="C3065" s="24"/>
      <c r="E3065" s="24"/>
    </row>
    <row r="3066" spans="3:5" ht="15.75" customHeight="1" x14ac:dyDescent="0.4">
      <c r="C3066" s="24"/>
      <c r="E3066" s="24"/>
    </row>
    <row r="3067" spans="3:5" ht="15.75" customHeight="1" x14ac:dyDescent="0.4">
      <c r="C3067" s="24"/>
      <c r="E3067" s="24"/>
    </row>
    <row r="3068" spans="3:5" ht="15.75" customHeight="1" x14ac:dyDescent="0.4">
      <c r="C3068" s="24"/>
      <c r="E3068" s="24"/>
    </row>
    <row r="3069" spans="3:5" ht="15.75" customHeight="1" x14ac:dyDescent="0.4">
      <c r="C3069" s="24"/>
      <c r="E3069" s="24"/>
    </row>
    <row r="3070" spans="3:5" ht="15.75" customHeight="1" x14ac:dyDescent="0.4">
      <c r="C3070" s="24"/>
      <c r="E3070" s="24"/>
    </row>
    <row r="3071" spans="3:5" ht="15.75" customHeight="1" x14ac:dyDescent="0.4">
      <c r="C3071" s="24"/>
      <c r="E3071" s="24"/>
    </row>
    <row r="3072" spans="3:5" ht="15.75" customHeight="1" x14ac:dyDescent="0.4">
      <c r="C3072" s="24"/>
      <c r="E3072" s="24"/>
    </row>
    <row r="3073" spans="3:5" ht="15.75" customHeight="1" x14ac:dyDescent="0.4">
      <c r="C3073" s="24"/>
      <c r="E3073" s="24"/>
    </row>
    <row r="3074" spans="3:5" ht="15.75" customHeight="1" x14ac:dyDescent="0.4">
      <c r="C3074" s="24"/>
      <c r="E3074" s="24"/>
    </row>
    <row r="3075" spans="3:5" ht="15.75" customHeight="1" x14ac:dyDescent="0.4">
      <c r="C3075" s="24"/>
      <c r="E3075" s="24"/>
    </row>
    <row r="3076" spans="3:5" ht="15.75" customHeight="1" x14ac:dyDescent="0.4">
      <c r="C3076" s="24"/>
      <c r="E3076" s="24"/>
    </row>
    <row r="3077" spans="3:5" ht="15.75" customHeight="1" x14ac:dyDescent="0.4">
      <c r="C3077" s="24"/>
      <c r="E3077" s="24"/>
    </row>
    <row r="3078" spans="3:5" ht="15.75" customHeight="1" x14ac:dyDescent="0.4">
      <c r="C3078" s="24"/>
      <c r="E3078" s="24"/>
    </row>
    <row r="3079" spans="3:5" ht="15.75" customHeight="1" x14ac:dyDescent="0.4">
      <c r="C3079" s="24"/>
      <c r="E3079" s="24"/>
    </row>
    <row r="3080" spans="3:5" ht="15.75" customHeight="1" x14ac:dyDescent="0.4">
      <c r="C3080" s="24"/>
      <c r="E3080" s="24"/>
    </row>
    <row r="3081" spans="3:5" ht="15.75" customHeight="1" x14ac:dyDescent="0.4">
      <c r="C3081" s="24"/>
      <c r="E3081" s="24"/>
    </row>
    <row r="3082" spans="3:5" ht="15.75" customHeight="1" x14ac:dyDescent="0.4">
      <c r="C3082" s="24"/>
      <c r="E3082" s="24"/>
    </row>
    <row r="3083" spans="3:5" ht="15.75" customHeight="1" x14ac:dyDescent="0.4">
      <c r="C3083" s="24"/>
      <c r="E3083" s="24"/>
    </row>
    <row r="3084" spans="3:5" ht="15.75" customHeight="1" x14ac:dyDescent="0.4">
      <c r="C3084" s="24"/>
      <c r="E3084" s="24"/>
    </row>
    <row r="3085" spans="3:5" ht="15.75" customHeight="1" x14ac:dyDescent="0.4">
      <c r="C3085" s="24"/>
      <c r="E3085" s="24"/>
    </row>
    <row r="3086" spans="3:5" ht="15.75" customHeight="1" x14ac:dyDescent="0.4">
      <c r="C3086" s="24"/>
      <c r="E3086" s="24"/>
    </row>
    <row r="3087" spans="3:5" ht="15.75" customHeight="1" x14ac:dyDescent="0.4">
      <c r="C3087" s="24"/>
      <c r="E3087" s="24"/>
    </row>
    <row r="3088" spans="3:5" ht="15.75" customHeight="1" x14ac:dyDescent="0.4">
      <c r="C3088" s="24"/>
      <c r="E3088" s="24"/>
    </row>
    <row r="3089" spans="3:5" ht="15.75" customHeight="1" x14ac:dyDescent="0.4">
      <c r="C3089" s="24"/>
      <c r="E3089" s="24"/>
    </row>
    <row r="3090" spans="3:5" ht="15.75" customHeight="1" x14ac:dyDescent="0.4">
      <c r="C3090" s="24"/>
      <c r="E3090" s="24"/>
    </row>
    <row r="3091" spans="3:5" ht="15.75" customHeight="1" x14ac:dyDescent="0.4">
      <c r="C3091" s="24"/>
      <c r="E3091" s="24"/>
    </row>
    <row r="3092" spans="3:5" ht="15.75" customHeight="1" x14ac:dyDescent="0.4">
      <c r="C3092" s="24"/>
      <c r="E3092" s="24"/>
    </row>
    <row r="3093" spans="3:5" ht="15.75" customHeight="1" x14ac:dyDescent="0.4">
      <c r="C3093" s="24"/>
      <c r="E3093" s="24"/>
    </row>
    <row r="3094" spans="3:5" ht="15.75" customHeight="1" x14ac:dyDescent="0.4">
      <c r="C3094" s="24"/>
      <c r="E3094" s="24"/>
    </row>
    <row r="3095" spans="3:5" ht="15.75" customHeight="1" x14ac:dyDescent="0.4">
      <c r="C3095" s="24"/>
      <c r="E3095" s="24"/>
    </row>
    <row r="3096" spans="3:5" ht="15.75" customHeight="1" x14ac:dyDescent="0.4">
      <c r="C3096" s="24"/>
      <c r="E3096" s="24"/>
    </row>
    <row r="3097" spans="3:5" ht="15.75" customHeight="1" x14ac:dyDescent="0.4">
      <c r="C3097" s="24"/>
      <c r="E3097" s="24"/>
    </row>
    <row r="3098" spans="3:5" ht="15.75" customHeight="1" x14ac:dyDescent="0.4">
      <c r="C3098" s="24"/>
      <c r="E3098" s="24"/>
    </row>
    <row r="3099" spans="3:5" ht="15.75" customHeight="1" x14ac:dyDescent="0.4">
      <c r="C3099" s="24"/>
      <c r="E3099" s="24"/>
    </row>
    <row r="3100" spans="3:5" ht="15.75" customHeight="1" x14ac:dyDescent="0.4">
      <c r="C3100" s="24"/>
      <c r="E3100" s="24"/>
    </row>
    <row r="3101" spans="3:5" ht="15.75" customHeight="1" x14ac:dyDescent="0.4">
      <c r="C3101" s="24"/>
      <c r="E3101" s="24"/>
    </row>
    <row r="3102" spans="3:5" ht="15.75" customHeight="1" x14ac:dyDescent="0.4">
      <c r="C3102" s="24"/>
      <c r="E3102" s="24"/>
    </row>
    <row r="3103" spans="3:5" ht="15.75" customHeight="1" x14ac:dyDescent="0.4">
      <c r="C3103" s="24"/>
      <c r="E3103" s="24"/>
    </row>
    <row r="3104" spans="3:5" ht="15.75" customHeight="1" x14ac:dyDescent="0.4">
      <c r="C3104" s="24"/>
      <c r="E3104" s="24"/>
    </row>
    <row r="3105" spans="3:5" ht="15.75" customHeight="1" x14ac:dyDescent="0.4">
      <c r="C3105" s="24"/>
      <c r="E3105" s="24"/>
    </row>
    <row r="3106" spans="3:5" ht="15.75" customHeight="1" x14ac:dyDescent="0.4">
      <c r="C3106" s="24"/>
      <c r="E3106" s="24"/>
    </row>
    <row r="3107" spans="3:5" ht="15.75" customHeight="1" x14ac:dyDescent="0.4">
      <c r="C3107" s="24"/>
      <c r="E3107" s="24"/>
    </row>
    <row r="3108" spans="3:5" ht="15.75" customHeight="1" x14ac:dyDescent="0.4">
      <c r="C3108" s="24"/>
      <c r="E3108" s="24"/>
    </row>
    <row r="3109" spans="3:5" ht="15.75" customHeight="1" x14ac:dyDescent="0.4">
      <c r="C3109" s="24"/>
      <c r="E3109" s="24"/>
    </row>
    <row r="3110" spans="3:5" ht="15.75" customHeight="1" x14ac:dyDescent="0.4">
      <c r="C3110" s="24"/>
      <c r="E3110" s="24"/>
    </row>
    <row r="3111" spans="3:5" ht="15.75" customHeight="1" x14ac:dyDescent="0.4">
      <c r="C3111" s="24"/>
      <c r="E3111" s="24"/>
    </row>
    <row r="3112" spans="3:5" ht="15.75" customHeight="1" x14ac:dyDescent="0.4">
      <c r="C3112" s="24"/>
      <c r="E3112" s="24"/>
    </row>
    <row r="3113" spans="3:5" ht="15.75" customHeight="1" x14ac:dyDescent="0.4">
      <c r="C3113" s="24"/>
      <c r="E3113" s="24"/>
    </row>
    <row r="3114" spans="3:5" ht="15.75" customHeight="1" x14ac:dyDescent="0.4">
      <c r="C3114" s="24"/>
      <c r="E3114" s="24"/>
    </row>
    <row r="3115" spans="3:5" ht="15.75" customHeight="1" x14ac:dyDescent="0.4">
      <c r="C3115" s="24"/>
      <c r="E3115" s="24"/>
    </row>
    <row r="3116" spans="3:5" ht="15.75" customHeight="1" x14ac:dyDescent="0.4">
      <c r="C3116" s="24"/>
      <c r="E3116" s="24"/>
    </row>
    <row r="3117" spans="3:5" ht="15.75" customHeight="1" x14ac:dyDescent="0.4">
      <c r="C3117" s="24"/>
      <c r="E3117" s="24"/>
    </row>
    <row r="3118" spans="3:5" ht="15.75" customHeight="1" x14ac:dyDescent="0.4">
      <c r="C3118" s="24"/>
      <c r="E3118" s="24"/>
    </row>
    <row r="3119" spans="3:5" ht="15.75" customHeight="1" x14ac:dyDescent="0.4">
      <c r="C3119" s="24"/>
      <c r="E3119" s="24"/>
    </row>
    <row r="3120" spans="3:5" ht="15.75" customHeight="1" x14ac:dyDescent="0.4">
      <c r="C3120" s="24"/>
      <c r="E3120" s="24"/>
    </row>
    <row r="3121" spans="3:5" ht="15.75" customHeight="1" x14ac:dyDescent="0.4">
      <c r="C3121" s="24"/>
      <c r="E3121" s="24"/>
    </row>
    <row r="3122" spans="3:5" ht="15.75" customHeight="1" x14ac:dyDescent="0.4">
      <c r="C3122" s="24"/>
      <c r="E3122" s="24"/>
    </row>
    <row r="3123" spans="3:5" ht="15.75" customHeight="1" x14ac:dyDescent="0.4">
      <c r="C3123" s="24"/>
      <c r="E3123" s="24"/>
    </row>
    <row r="3124" spans="3:5" ht="15.75" customHeight="1" x14ac:dyDescent="0.4">
      <c r="C3124" s="24"/>
      <c r="E3124" s="24"/>
    </row>
    <row r="3125" spans="3:5" ht="15.75" customHeight="1" x14ac:dyDescent="0.4">
      <c r="C3125" s="24"/>
      <c r="E3125" s="24"/>
    </row>
    <row r="3126" spans="3:5" ht="15.75" customHeight="1" x14ac:dyDescent="0.4">
      <c r="C3126" s="24"/>
      <c r="E3126" s="24"/>
    </row>
    <row r="3127" spans="3:5" ht="15.75" customHeight="1" x14ac:dyDescent="0.4">
      <c r="C3127" s="24"/>
      <c r="E3127" s="24"/>
    </row>
    <row r="3128" spans="3:5" ht="15.75" customHeight="1" x14ac:dyDescent="0.4">
      <c r="C3128" s="24"/>
      <c r="E3128" s="24"/>
    </row>
    <row r="3129" spans="3:5" ht="15.75" customHeight="1" x14ac:dyDescent="0.4">
      <c r="C3129" s="24"/>
      <c r="E3129" s="24"/>
    </row>
    <row r="3130" spans="3:5" ht="15.75" customHeight="1" x14ac:dyDescent="0.4">
      <c r="C3130" s="24"/>
      <c r="E3130" s="24"/>
    </row>
    <row r="3131" spans="3:5" ht="15.75" customHeight="1" x14ac:dyDescent="0.4">
      <c r="C3131" s="24"/>
      <c r="E3131" s="24"/>
    </row>
    <row r="3132" spans="3:5" ht="15.75" customHeight="1" x14ac:dyDescent="0.4">
      <c r="C3132" s="24"/>
      <c r="E3132" s="24"/>
    </row>
    <row r="3133" spans="3:5" ht="15.75" customHeight="1" x14ac:dyDescent="0.4">
      <c r="C3133" s="24"/>
      <c r="E3133" s="24"/>
    </row>
    <row r="3134" spans="3:5" ht="15.75" customHeight="1" x14ac:dyDescent="0.4">
      <c r="C3134" s="24"/>
      <c r="E3134" s="24"/>
    </row>
    <row r="3135" spans="3:5" ht="15.75" customHeight="1" x14ac:dyDescent="0.4">
      <c r="C3135" s="24"/>
      <c r="E3135" s="24"/>
    </row>
    <row r="3136" spans="3:5" ht="15.75" customHeight="1" x14ac:dyDescent="0.4">
      <c r="C3136" s="24"/>
      <c r="E3136" s="24"/>
    </row>
    <row r="3137" spans="3:5" ht="15.75" customHeight="1" x14ac:dyDescent="0.4">
      <c r="C3137" s="24"/>
      <c r="E3137" s="24"/>
    </row>
    <row r="3138" spans="3:5" ht="15.75" customHeight="1" x14ac:dyDescent="0.4">
      <c r="C3138" s="24"/>
      <c r="E3138" s="24"/>
    </row>
    <row r="3139" spans="3:5" ht="15.75" customHeight="1" x14ac:dyDescent="0.4">
      <c r="C3139" s="24"/>
      <c r="E3139" s="24"/>
    </row>
    <row r="3140" spans="3:5" ht="15.75" customHeight="1" x14ac:dyDescent="0.4">
      <c r="C3140" s="24"/>
      <c r="E3140" s="24"/>
    </row>
    <row r="3141" spans="3:5" ht="15.75" customHeight="1" x14ac:dyDescent="0.4">
      <c r="C3141" s="24"/>
      <c r="E3141" s="24"/>
    </row>
    <row r="3142" spans="3:5" ht="15.75" customHeight="1" x14ac:dyDescent="0.4">
      <c r="C3142" s="24"/>
      <c r="E3142" s="24"/>
    </row>
    <row r="3143" spans="3:5" ht="15.75" customHeight="1" x14ac:dyDescent="0.4">
      <c r="C3143" s="24"/>
      <c r="E3143" s="24"/>
    </row>
    <row r="3144" spans="3:5" ht="15.75" customHeight="1" x14ac:dyDescent="0.4">
      <c r="C3144" s="24"/>
      <c r="E3144" s="24"/>
    </row>
    <row r="3145" spans="3:5" ht="15.75" customHeight="1" x14ac:dyDescent="0.4">
      <c r="C3145" s="24"/>
      <c r="E3145" s="24"/>
    </row>
    <row r="3146" spans="3:5" ht="15.75" customHeight="1" x14ac:dyDescent="0.4">
      <c r="C3146" s="24"/>
      <c r="E3146" s="24"/>
    </row>
    <row r="3147" spans="3:5" ht="15.75" customHeight="1" x14ac:dyDescent="0.4">
      <c r="C3147" s="24"/>
      <c r="E3147" s="24"/>
    </row>
    <row r="3148" spans="3:5" ht="15.75" customHeight="1" x14ac:dyDescent="0.4">
      <c r="C3148" s="24"/>
      <c r="E3148" s="24"/>
    </row>
    <row r="3149" spans="3:5" ht="15.75" customHeight="1" x14ac:dyDescent="0.4">
      <c r="C3149" s="24"/>
      <c r="E3149" s="24"/>
    </row>
    <row r="3150" spans="3:5" ht="15.75" customHeight="1" x14ac:dyDescent="0.4">
      <c r="C3150" s="24"/>
      <c r="E3150" s="24"/>
    </row>
    <row r="3151" spans="3:5" ht="15.75" customHeight="1" x14ac:dyDescent="0.4">
      <c r="C3151" s="24"/>
      <c r="E3151" s="24"/>
    </row>
    <row r="3152" spans="3:5" ht="15.75" customHeight="1" x14ac:dyDescent="0.4">
      <c r="C3152" s="24"/>
      <c r="E3152" s="24"/>
    </row>
    <row r="3153" spans="3:5" ht="15.75" customHeight="1" x14ac:dyDescent="0.4">
      <c r="C3153" s="24"/>
      <c r="E3153" s="24"/>
    </row>
    <row r="3154" spans="3:5" ht="15.75" customHeight="1" x14ac:dyDescent="0.4">
      <c r="C3154" s="24"/>
      <c r="E3154" s="24"/>
    </row>
    <row r="3155" spans="3:5" ht="15.75" customHeight="1" x14ac:dyDescent="0.4">
      <c r="C3155" s="24"/>
      <c r="E3155" s="24"/>
    </row>
    <row r="3156" spans="3:5" ht="15.75" customHeight="1" x14ac:dyDescent="0.4">
      <c r="C3156" s="24"/>
      <c r="E3156" s="24"/>
    </row>
    <row r="3157" spans="3:5" ht="15.75" customHeight="1" x14ac:dyDescent="0.4">
      <c r="C3157" s="24"/>
      <c r="E3157" s="24"/>
    </row>
    <row r="3158" spans="3:5" ht="15.75" customHeight="1" x14ac:dyDescent="0.4">
      <c r="C3158" s="24"/>
      <c r="E3158" s="24"/>
    </row>
    <row r="3159" spans="3:5" ht="15.75" customHeight="1" x14ac:dyDescent="0.4">
      <c r="C3159" s="24"/>
      <c r="E3159" s="24"/>
    </row>
    <row r="3160" spans="3:5" ht="15.75" customHeight="1" x14ac:dyDescent="0.4">
      <c r="C3160" s="24"/>
      <c r="E3160" s="24"/>
    </row>
    <row r="3161" spans="3:5" ht="15.75" customHeight="1" x14ac:dyDescent="0.4">
      <c r="C3161" s="24"/>
      <c r="E3161" s="24"/>
    </row>
    <row r="3162" spans="3:5" ht="15.75" customHeight="1" x14ac:dyDescent="0.4">
      <c r="C3162" s="24"/>
      <c r="E3162" s="24"/>
    </row>
    <row r="3163" spans="3:5" ht="15.75" customHeight="1" x14ac:dyDescent="0.4">
      <c r="C3163" s="24"/>
      <c r="E3163" s="24"/>
    </row>
    <row r="3164" spans="3:5" ht="15.75" customHeight="1" x14ac:dyDescent="0.4">
      <c r="C3164" s="24"/>
      <c r="E3164" s="24"/>
    </row>
    <row r="3165" spans="3:5" ht="15.75" customHeight="1" x14ac:dyDescent="0.4">
      <c r="C3165" s="24"/>
      <c r="E3165" s="24"/>
    </row>
    <row r="3166" spans="3:5" ht="15.75" customHeight="1" x14ac:dyDescent="0.4">
      <c r="C3166" s="24"/>
      <c r="E3166" s="24"/>
    </row>
    <row r="3167" spans="3:5" ht="15.75" customHeight="1" x14ac:dyDescent="0.4">
      <c r="C3167" s="24"/>
      <c r="E3167" s="24"/>
    </row>
    <row r="3168" spans="3:5" ht="15.75" customHeight="1" x14ac:dyDescent="0.4">
      <c r="C3168" s="24"/>
      <c r="E3168" s="24"/>
    </row>
    <row r="3169" spans="3:5" ht="15.75" customHeight="1" x14ac:dyDescent="0.4">
      <c r="C3169" s="24"/>
      <c r="E3169" s="24"/>
    </row>
    <row r="3170" spans="3:5" ht="15.75" customHeight="1" x14ac:dyDescent="0.4">
      <c r="C3170" s="24"/>
      <c r="E3170" s="24"/>
    </row>
    <row r="3171" spans="3:5" ht="15.75" customHeight="1" x14ac:dyDescent="0.4">
      <c r="C3171" s="24"/>
      <c r="E3171" s="24"/>
    </row>
    <row r="3172" spans="3:5" ht="15.75" customHeight="1" x14ac:dyDescent="0.4">
      <c r="C3172" s="24"/>
      <c r="E3172" s="24"/>
    </row>
    <row r="3173" spans="3:5" ht="15.75" customHeight="1" x14ac:dyDescent="0.4">
      <c r="C3173" s="24"/>
      <c r="E3173" s="24"/>
    </row>
    <row r="3174" spans="3:5" ht="15.75" customHeight="1" x14ac:dyDescent="0.4">
      <c r="C3174" s="24"/>
      <c r="E3174" s="24"/>
    </row>
    <row r="3175" spans="3:5" ht="15.75" customHeight="1" x14ac:dyDescent="0.4">
      <c r="C3175" s="24"/>
      <c r="E3175" s="24"/>
    </row>
    <row r="3176" spans="3:5" ht="15.75" customHeight="1" x14ac:dyDescent="0.4">
      <c r="C3176" s="24"/>
      <c r="E3176" s="24"/>
    </row>
    <row r="3177" spans="3:5" ht="15.75" customHeight="1" x14ac:dyDescent="0.4">
      <c r="C3177" s="24"/>
      <c r="E3177" s="24"/>
    </row>
    <row r="3178" spans="3:5" ht="15.75" customHeight="1" x14ac:dyDescent="0.4">
      <c r="C3178" s="24"/>
      <c r="E3178" s="24"/>
    </row>
    <row r="3179" spans="3:5" ht="15.75" customHeight="1" x14ac:dyDescent="0.4">
      <c r="C3179" s="24"/>
      <c r="E3179" s="24"/>
    </row>
    <row r="3180" spans="3:5" ht="15.75" customHeight="1" x14ac:dyDescent="0.4">
      <c r="C3180" s="24"/>
      <c r="E3180" s="24"/>
    </row>
    <row r="3181" spans="3:5" ht="15.75" customHeight="1" x14ac:dyDescent="0.4">
      <c r="C3181" s="24"/>
      <c r="E3181" s="24"/>
    </row>
    <row r="3182" spans="3:5" ht="15.75" customHeight="1" x14ac:dyDescent="0.4">
      <c r="C3182" s="24"/>
      <c r="E3182" s="24"/>
    </row>
    <row r="3183" spans="3:5" ht="15.75" customHeight="1" x14ac:dyDescent="0.4">
      <c r="C3183" s="24"/>
      <c r="E3183" s="24"/>
    </row>
    <row r="3184" spans="3:5" ht="15.75" customHeight="1" x14ac:dyDescent="0.4">
      <c r="C3184" s="24"/>
      <c r="E3184" s="24"/>
    </row>
    <row r="3185" spans="3:5" ht="15.75" customHeight="1" x14ac:dyDescent="0.4">
      <c r="C3185" s="24"/>
      <c r="E3185" s="24"/>
    </row>
    <row r="3186" spans="3:5" ht="15.75" customHeight="1" x14ac:dyDescent="0.4">
      <c r="C3186" s="24"/>
      <c r="E3186" s="24"/>
    </row>
    <row r="3187" spans="3:5" ht="15.75" customHeight="1" x14ac:dyDescent="0.4">
      <c r="C3187" s="24"/>
      <c r="E3187" s="24"/>
    </row>
    <row r="3188" spans="3:5" ht="15.75" customHeight="1" x14ac:dyDescent="0.4">
      <c r="C3188" s="24"/>
      <c r="E3188" s="24"/>
    </row>
    <row r="3189" spans="3:5" ht="15.75" customHeight="1" x14ac:dyDescent="0.4">
      <c r="C3189" s="24"/>
      <c r="E3189" s="24"/>
    </row>
    <row r="3190" spans="3:5" ht="15.75" customHeight="1" x14ac:dyDescent="0.4">
      <c r="C3190" s="24"/>
      <c r="E3190" s="24"/>
    </row>
    <row r="3191" spans="3:5" ht="15.75" customHeight="1" x14ac:dyDescent="0.4">
      <c r="C3191" s="24"/>
      <c r="E3191" s="24"/>
    </row>
    <row r="3192" spans="3:5" ht="15.75" customHeight="1" x14ac:dyDescent="0.4">
      <c r="C3192" s="24"/>
      <c r="E3192" s="24"/>
    </row>
    <row r="3193" spans="3:5" ht="15.75" customHeight="1" x14ac:dyDescent="0.4">
      <c r="C3193" s="24"/>
      <c r="E3193" s="24"/>
    </row>
    <row r="3194" spans="3:5" ht="15.75" customHeight="1" x14ac:dyDescent="0.4">
      <c r="C3194" s="24"/>
      <c r="E3194" s="24"/>
    </row>
    <row r="3195" spans="3:5" ht="15.75" customHeight="1" x14ac:dyDescent="0.4">
      <c r="C3195" s="24"/>
      <c r="E3195" s="24"/>
    </row>
    <row r="3196" spans="3:5" ht="15.75" customHeight="1" x14ac:dyDescent="0.4">
      <c r="C3196" s="24"/>
      <c r="E3196" s="24"/>
    </row>
    <row r="3197" spans="3:5" ht="15.75" customHeight="1" x14ac:dyDescent="0.4">
      <c r="C3197" s="24"/>
      <c r="E3197" s="24"/>
    </row>
    <row r="3198" spans="3:5" ht="15.75" customHeight="1" x14ac:dyDescent="0.4">
      <c r="C3198" s="24"/>
      <c r="E3198" s="24"/>
    </row>
    <row r="3199" spans="3:5" ht="15.75" customHeight="1" x14ac:dyDescent="0.4">
      <c r="C3199" s="24"/>
      <c r="E3199" s="24"/>
    </row>
    <row r="3200" spans="3:5" ht="15.75" customHeight="1" x14ac:dyDescent="0.4">
      <c r="C3200" s="24"/>
      <c r="E3200" s="24"/>
    </row>
    <row r="3201" spans="3:5" ht="15.75" customHeight="1" x14ac:dyDescent="0.4">
      <c r="C3201" s="24"/>
      <c r="E3201" s="24"/>
    </row>
    <row r="3202" spans="3:5" ht="15.75" customHeight="1" x14ac:dyDescent="0.4">
      <c r="C3202" s="24"/>
      <c r="E3202" s="24"/>
    </row>
    <row r="3203" spans="3:5" ht="15.75" customHeight="1" x14ac:dyDescent="0.4">
      <c r="C3203" s="24"/>
      <c r="E3203" s="24"/>
    </row>
    <row r="3204" spans="3:5" ht="15.75" customHeight="1" x14ac:dyDescent="0.4">
      <c r="C3204" s="24"/>
      <c r="E3204" s="24"/>
    </row>
    <row r="3205" spans="3:5" ht="15.75" customHeight="1" x14ac:dyDescent="0.4">
      <c r="C3205" s="24"/>
      <c r="E3205" s="24"/>
    </row>
    <row r="3206" spans="3:5" ht="15.75" customHeight="1" x14ac:dyDescent="0.4">
      <c r="C3206" s="24"/>
      <c r="E3206" s="24"/>
    </row>
    <row r="3207" spans="3:5" ht="15.75" customHeight="1" x14ac:dyDescent="0.4">
      <c r="C3207" s="24"/>
      <c r="E3207" s="24"/>
    </row>
    <row r="3208" spans="3:5" ht="15.75" customHeight="1" x14ac:dyDescent="0.4">
      <c r="C3208" s="24"/>
      <c r="E3208" s="24"/>
    </row>
    <row r="3209" spans="3:5" ht="15.75" customHeight="1" x14ac:dyDescent="0.4">
      <c r="C3209" s="24"/>
      <c r="E3209" s="24"/>
    </row>
    <row r="3210" spans="3:5" ht="15.75" customHeight="1" x14ac:dyDescent="0.4">
      <c r="C3210" s="24"/>
      <c r="E3210" s="24"/>
    </row>
    <row r="3211" spans="3:5" ht="15.75" customHeight="1" x14ac:dyDescent="0.4">
      <c r="C3211" s="24"/>
      <c r="E3211" s="24"/>
    </row>
    <row r="3212" spans="3:5" ht="15.75" customHeight="1" x14ac:dyDescent="0.4">
      <c r="C3212" s="24"/>
      <c r="E3212" s="24"/>
    </row>
    <row r="3213" spans="3:5" ht="15.75" customHeight="1" x14ac:dyDescent="0.4">
      <c r="C3213" s="24"/>
      <c r="E3213" s="24"/>
    </row>
    <row r="3214" spans="3:5" ht="15.75" customHeight="1" x14ac:dyDescent="0.4">
      <c r="C3214" s="24"/>
      <c r="E3214" s="24"/>
    </row>
    <row r="3215" spans="3:5" ht="15.75" customHeight="1" x14ac:dyDescent="0.4">
      <c r="C3215" s="24"/>
      <c r="E3215" s="24"/>
    </row>
    <row r="3216" spans="3:5" ht="15.75" customHeight="1" x14ac:dyDescent="0.4">
      <c r="C3216" s="24"/>
      <c r="E3216" s="24"/>
    </row>
    <row r="3217" spans="3:5" ht="15.75" customHeight="1" x14ac:dyDescent="0.4">
      <c r="C3217" s="24"/>
      <c r="E3217" s="24"/>
    </row>
    <row r="3218" spans="3:5" ht="15.75" customHeight="1" x14ac:dyDescent="0.4">
      <c r="C3218" s="24"/>
      <c r="E3218" s="24"/>
    </row>
    <row r="3219" spans="3:5" ht="15.75" customHeight="1" x14ac:dyDescent="0.4">
      <c r="C3219" s="24"/>
      <c r="E3219" s="24"/>
    </row>
    <row r="3220" spans="3:5" ht="15.75" customHeight="1" x14ac:dyDescent="0.4">
      <c r="C3220" s="24"/>
      <c r="E3220" s="24"/>
    </row>
    <row r="3221" spans="3:5" ht="15.75" customHeight="1" x14ac:dyDescent="0.4">
      <c r="C3221" s="24"/>
      <c r="E3221" s="24"/>
    </row>
    <row r="3222" spans="3:5" ht="15.75" customHeight="1" x14ac:dyDescent="0.4">
      <c r="C3222" s="24"/>
      <c r="E3222" s="24"/>
    </row>
    <row r="3223" spans="3:5" ht="15.75" customHeight="1" x14ac:dyDescent="0.4">
      <c r="C3223" s="24"/>
      <c r="E3223" s="24"/>
    </row>
    <row r="3224" spans="3:5" ht="15.75" customHeight="1" x14ac:dyDescent="0.4">
      <c r="C3224" s="24"/>
      <c r="E3224" s="24"/>
    </row>
    <row r="3225" spans="3:5" ht="15.75" customHeight="1" x14ac:dyDescent="0.4">
      <c r="C3225" s="24"/>
      <c r="E3225" s="24"/>
    </row>
    <row r="3226" spans="3:5" ht="15.75" customHeight="1" x14ac:dyDescent="0.4">
      <c r="C3226" s="24"/>
      <c r="E3226" s="24"/>
    </row>
    <row r="3227" spans="3:5" ht="15.75" customHeight="1" x14ac:dyDescent="0.4">
      <c r="C3227" s="24"/>
      <c r="E3227" s="24"/>
    </row>
    <row r="3228" spans="3:5" ht="15.75" customHeight="1" x14ac:dyDescent="0.4">
      <c r="C3228" s="24"/>
      <c r="E3228" s="24"/>
    </row>
    <row r="3229" spans="3:5" ht="15.75" customHeight="1" x14ac:dyDescent="0.4">
      <c r="C3229" s="24"/>
      <c r="E3229" s="24"/>
    </row>
    <row r="3230" spans="3:5" ht="15.75" customHeight="1" x14ac:dyDescent="0.4">
      <c r="C3230" s="24"/>
      <c r="E3230" s="24"/>
    </row>
    <row r="3231" spans="3:5" ht="15.75" customHeight="1" x14ac:dyDescent="0.4">
      <c r="C3231" s="24"/>
      <c r="E3231" s="24"/>
    </row>
    <row r="3232" spans="3:5" ht="15.75" customHeight="1" x14ac:dyDescent="0.4">
      <c r="C3232" s="24"/>
      <c r="E3232" s="24"/>
    </row>
    <row r="3233" spans="3:5" ht="15.75" customHeight="1" x14ac:dyDescent="0.4">
      <c r="C3233" s="24"/>
      <c r="E3233" s="24"/>
    </row>
    <row r="3234" spans="3:5" ht="15.75" customHeight="1" x14ac:dyDescent="0.4">
      <c r="C3234" s="24"/>
      <c r="E3234" s="24"/>
    </row>
    <row r="3235" spans="3:5" ht="15.75" customHeight="1" x14ac:dyDescent="0.4">
      <c r="C3235" s="24"/>
      <c r="E3235" s="24"/>
    </row>
    <row r="3236" spans="3:5" ht="15.75" customHeight="1" x14ac:dyDescent="0.4">
      <c r="C3236" s="24"/>
      <c r="E3236" s="24"/>
    </row>
    <row r="3237" spans="3:5" ht="15.75" customHeight="1" x14ac:dyDescent="0.4">
      <c r="C3237" s="24"/>
      <c r="E3237" s="24"/>
    </row>
    <row r="3238" spans="3:5" ht="15.75" customHeight="1" x14ac:dyDescent="0.4">
      <c r="C3238" s="24"/>
      <c r="E3238" s="24"/>
    </row>
    <row r="3239" spans="3:5" ht="15.75" customHeight="1" x14ac:dyDescent="0.4">
      <c r="C3239" s="24"/>
      <c r="E3239" s="24"/>
    </row>
    <row r="3240" spans="3:5" ht="15.75" customHeight="1" x14ac:dyDescent="0.4">
      <c r="C3240" s="24"/>
      <c r="E3240" s="24"/>
    </row>
    <row r="3241" spans="3:5" ht="15.75" customHeight="1" x14ac:dyDescent="0.4">
      <c r="C3241" s="24"/>
      <c r="E3241" s="24"/>
    </row>
    <row r="3242" spans="3:5" ht="15.75" customHeight="1" x14ac:dyDescent="0.4">
      <c r="C3242" s="24"/>
      <c r="E3242" s="24"/>
    </row>
    <row r="3243" spans="3:5" ht="15.75" customHeight="1" x14ac:dyDescent="0.4">
      <c r="C3243" s="24"/>
      <c r="E3243" s="24"/>
    </row>
    <row r="3244" spans="3:5" ht="15.75" customHeight="1" x14ac:dyDescent="0.4">
      <c r="C3244" s="24"/>
      <c r="E3244" s="24"/>
    </row>
    <row r="3245" spans="3:5" ht="15.75" customHeight="1" x14ac:dyDescent="0.4">
      <c r="C3245" s="24"/>
      <c r="E3245" s="24"/>
    </row>
    <row r="3246" spans="3:5" ht="15.75" customHeight="1" x14ac:dyDescent="0.4">
      <c r="C3246" s="24"/>
      <c r="E3246" s="24"/>
    </row>
    <row r="3247" spans="3:5" ht="15.75" customHeight="1" x14ac:dyDescent="0.4">
      <c r="C3247" s="24"/>
      <c r="E3247" s="24"/>
    </row>
    <row r="3248" spans="3:5" ht="15.75" customHeight="1" x14ac:dyDescent="0.4">
      <c r="C3248" s="24"/>
      <c r="E3248" s="24"/>
    </row>
    <row r="3249" spans="3:5" ht="15.75" customHeight="1" x14ac:dyDescent="0.4">
      <c r="C3249" s="24"/>
      <c r="E3249" s="24"/>
    </row>
    <row r="3250" spans="3:5" ht="15.75" customHeight="1" x14ac:dyDescent="0.4">
      <c r="C3250" s="24"/>
      <c r="E3250" s="24"/>
    </row>
    <row r="3251" spans="3:5" ht="15.75" customHeight="1" x14ac:dyDescent="0.4">
      <c r="C3251" s="24"/>
      <c r="E3251" s="24"/>
    </row>
    <row r="3252" spans="3:5" ht="15.75" customHeight="1" x14ac:dyDescent="0.4">
      <c r="C3252" s="24"/>
      <c r="E3252" s="24"/>
    </row>
    <row r="3253" spans="3:5" ht="15.75" customHeight="1" x14ac:dyDescent="0.4">
      <c r="C3253" s="24"/>
      <c r="E3253" s="24"/>
    </row>
    <row r="3254" spans="3:5" ht="15.75" customHeight="1" x14ac:dyDescent="0.4">
      <c r="C3254" s="24"/>
      <c r="E3254" s="24"/>
    </row>
    <row r="3255" spans="3:5" ht="15.75" customHeight="1" x14ac:dyDescent="0.4">
      <c r="C3255" s="24"/>
      <c r="E3255" s="24"/>
    </row>
    <row r="3256" spans="3:5" ht="15.75" customHeight="1" x14ac:dyDescent="0.4">
      <c r="C3256" s="24"/>
      <c r="E3256" s="24"/>
    </row>
    <row r="3257" spans="3:5" ht="15.75" customHeight="1" x14ac:dyDescent="0.4">
      <c r="C3257" s="24"/>
      <c r="E3257" s="24"/>
    </row>
    <row r="3258" spans="3:5" ht="15.75" customHeight="1" x14ac:dyDescent="0.4">
      <c r="C3258" s="24"/>
      <c r="E3258" s="24"/>
    </row>
    <row r="3259" spans="3:5" ht="15.75" customHeight="1" x14ac:dyDescent="0.4">
      <c r="C3259" s="24"/>
      <c r="E3259" s="24"/>
    </row>
    <row r="3260" spans="3:5" ht="15.75" customHeight="1" x14ac:dyDescent="0.4">
      <c r="C3260" s="24"/>
      <c r="E3260" s="24"/>
    </row>
    <row r="3261" spans="3:5" ht="15.75" customHeight="1" x14ac:dyDescent="0.4">
      <c r="C3261" s="24"/>
      <c r="E3261" s="24"/>
    </row>
    <row r="3262" spans="3:5" ht="15.75" customHeight="1" x14ac:dyDescent="0.4">
      <c r="C3262" s="24"/>
      <c r="E3262" s="24"/>
    </row>
    <row r="3263" spans="3:5" ht="15.75" customHeight="1" x14ac:dyDescent="0.4">
      <c r="C3263" s="24"/>
      <c r="E3263" s="24"/>
    </row>
    <row r="3264" spans="3:5" ht="15.75" customHeight="1" x14ac:dyDescent="0.4">
      <c r="C3264" s="24"/>
      <c r="E3264" s="24"/>
    </row>
    <row r="3265" spans="3:5" ht="15.75" customHeight="1" x14ac:dyDescent="0.4">
      <c r="C3265" s="24"/>
      <c r="E3265" s="24"/>
    </row>
    <row r="3266" spans="3:5" ht="15.75" customHeight="1" x14ac:dyDescent="0.4">
      <c r="C3266" s="24"/>
      <c r="E3266" s="24"/>
    </row>
    <row r="3267" spans="3:5" ht="15.75" customHeight="1" x14ac:dyDescent="0.4">
      <c r="C3267" s="24"/>
      <c r="E3267" s="24"/>
    </row>
    <row r="3268" spans="3:5" ht="15.75" customHeight="1" x14ac:dyDescent="0.4">
      <c r="C3268" s="24"/>
      <c r="E3268" s="24"/>
    </row>
    <row r="3269" spans="3:5" ht="15.75" customHeight="1" x14ac:dyDescent="0.4">
      <c r="C3269" s="24"/>
      <c r="E3269" s="24"/>
    </row>
    <row r="3270" spans="3:5" ht="15.75" customHeight="1" x14ac:dyDescent="0.4">
      <c r="C3270" s="24"/>
      <c r="E3270" s="24"/>
    </row>
    <row r="3271" spans="3:5" ht="15.75" customHeight="1" x14ac:dyDescent="0.4">
      <c r="C3271" s="24"/>
      <c r="E3271" s="24"/>
    </row>
    <row r="3272" spans="3:5" ht="15.75" customHeight="1" x14ac:dyDescent="0.4">
      <c r="C3272" s="24"/>
      <c r="E3272" s="24"/>
    </row>
    <row r="3273" spans="3:5" ht="15.75" customHeight="1" x14ac:dyDescent="0.4">
      <c r="C3273" s="24"/>
      <c r="E3273" s="24"/>
    </row>
    <row r="3274" spans="3:5" ht="15.75" customHeight="1" x14ac:dyDescent="0.4">
      <c r="C3274" s="24"/>
      <c r="E3274" s="24"/>
    </row>
    <row r="3275" spans="3:5" ht="15.75" customHeight="1" x14ac:dyDescent="0.4">
      <c r="C3275" s="24"/>
      <c r="E3275" s="24"/>
    </row>
    <row r="3276" spans="3:5" ht="15.75" customHeight="1" x14ac:dyDescent="0.4">
      <c r="C3276" s="24"/>
      <c r="E3276" s="24"/>
    </row>
    <row r="3277" spans="3:5" ht="15.75" customHeight="1" x14ac:dyDescent="0.4">
      <c r="C3277" s="24"/>
      <c r="E3277" s="24"/>
    </row>
    <row r="3278" spans="3:5" ht="15.75" customHeight="1" x14ac:dyDescent="0.4">
      <c r="C3278" s="24"/>
      <c r="E3278" s="24"/>
    </row>
    <row r="3279" spans="3:5" ht="15.75" customHeight="1" x14ac:dyDescent="0.4">
      <c r="C3279" s="24"/>
      <c r="E3279" s="24"/>
    </row>
    <row r="3280" spans="3:5" ht="15.75" customHeight="1" x14ac:dyDescent="0.4">
      <c r="C3280" s="24"/>
      <c r="E3280" s="24"/>
    </row>
    <row r="3281" spans="3:5" ht="15.75" customHeight="1" x14ac:dyDescent="0.4">
      <c r="C3281" s="24"/>
      <c r="E3281" s="24"/>
    </row>
    <row r="3282" spans="3:5" ht="15.75" customHeight="1" x14ac:dyDescent="0.4">
      <c r="C3282" s="24"/>
      <c r="E3282" s="24"/>
    </row>
    <row r="3283" spans="3:5" ht="15.75" customHeight="1" x14ac:dyDescent="0.4">
      <c r="C3283" s="24"/>
      <c r="E3283" s="24"/>
    </row>
    <row r="3284" spans="3:5" ht="15.75" customHeight="1" x14ac:dyDescent="0.4">
      <c r="C3284" s="24"/>
      <c r="E3284" s="24"/>
    </row>
    <row r="3285" spans="3:5" ht="15.75" customHeight="1" x14ac:dyDescent="0.4">
      <c r="C3285" s="24"/>
      <c r="E3285" s="24"/>
    </row>
    <row r="3286" spans="3:5" ht="15.75" customHeight="1" x14ac:dyDescent="0.4">
      <c r="C3286" s="24"/>
      <c r="E3286" s="24"/>
    </row>
    <row r="3287" spans="3:5" ht="15.75" customHeight="1" x14ac:dyDescent="0.4">
      <c r="C3287" s="24"/>
      <c r="E3287" s="24"/>
    </row>
    <row r="3288" spans="3:5" ht="15.75" customHeight="1" x14ac:dyDescent="0.4">
      <c r="C3288" s="24"/>
      <c r="E3288" s="24"/>
    </row>
    <row r="3289" spans="3:5" ht="15.75" customHeight="1" x14ac:dyDescent="0.4">
      <c r="C3289" s="24"/>
      <c r="E3289" s="24"/>
    </row>
    <row r="3290" spans="3:5" ht="15.75" customHeight="1" x14ac:dyDescent="0.4">
      <c r="C3290" s="24"/>
      <c r="E3290" s="24"/>
    </row>
    <row r="3291" spans="3:5" ht="15.75" customHeight="1" x14ac:dyDescent="0.4">
      <c r="C3291" s="24"/>
      <c r="E3291" s="24"/>
    </row>
    <row r="3292" spans="3:5" ht="15.75" customHeight="1" x14ac:dyDescent="0.4">
      <c r="C3292" s="24"/>
      <c r="E3292" s="24"/>
    </row>
    <row r="3293" spans="3:5" ht="15.75" customHeight="1" x14ac:dyDescent="0.4">
      <c r="C3293" s="24"/>
      <c r="E3293" s="24"/>
    </row>
    <row r="3294" spans="3:5" ht="15.75" customHeight="1" x14ac:dyDescent="0.4">
      <c r="C3294" s="24"/>
      <c r="E3294" s="24"/>
    </row>
    <row r="3295" spans="3:5" ht="15.75" customHeight="1" x14ac:dyDescent="0.4">
      <c r="C3295" s="24"/>
      <c r="E3295" s="24"/>
    </row>
    <row r="3296" spans="3:5" ht="15.75" customHeight="1" x14ac:dyDescent="0.4">
      <c r="C3296" s="24"/>
      <c r="E3296" s="24"/>
    </row>
    <row r="3297" spans="3:5" ht="15.75" customHeight="1" x14ac:dyDescent="0.4">
      <c r="C3297" s="24"/>
      <c r="E3297" s="24"/>
    </row>
    <row r="3298" spans="3:5" ht="15.75" customHeight="1" x14ac:dyDescent="0.4">
      <c r="C3298" s="24"/>
      <c r="E3298" s="24"/>
    </row>
    <row r="3299" spans="3:5" ht="15.75" customHeight="1" x14ac:dyDescent="0.4">
      <c r="C3299" s="24"/>
      <c r="E3299" s="24"/>
    </row>
    <row r="3300" spans="3:5" ht="15.75" customHeight="1" x14ac:dyDescent="0.4">
      <c r="C3300" s="24"/>
      <c r="E3300" s="24"/>
    </row>
    <row r="3301" spans="3:5" ht="15.75" customHeight="1" x14ac:dyDescent="0.4">
      <c r="C3301" s="24"/>
      <c r="E3301" s="24"/>
    </row>
    <row r="3302" spans="3:5" ht="15.75" customHeight="1" x14ac:dyDescent="0.4">
      <c r="C3302" s="24"/>
      <c r="E3302" s="24"/>
    </row>
    <row r="3303" spans="3:5" ht="15.75" customHeight="1" x14ac:dyDescent="0.4">
      <c r="C3303" s="24"/>
      <c r="E3303" s="24"/>
    </row>
    <row r="3304" spans="3:5" ht="15.75" customHeight="1" x14ac:dyDescent="0.4">
      <c r="C3304" s="24"/>
      <c r="E3304" s="24"/>
    </row>
    <row r="3305" spans="3:5" ht="15.75" customHeight="1" x14ac:dyDescent="0.4">
      <c r="C3305" s="24"/>
      <c r="E3305" s="24"/>
    </row>
    <row r="3306" spans="3:5" ht="15.75" customHeight="1" x14ac:dyDescent="0.4">
      <c r="C3306" s="24"/>
      <c r="E3306" s="24"/>
    </row>
    <row r="3307" spans="3:5" ht="15.75" customHeight="1" x14ac:dyDescent="0.4">
      <c r="C3307" s="24"/>
      <c r="E3307" s="24"/>
    </row>
    <row r="3308" spans="3:5" ht="15.75" customHeight="1" x14ac:dyDescent="0.4">
      <c r="C3308" s="24"/>
      <c r="E3308" s="24"/>
    </row>
    <row r="3309" spans="3:5" ht="15.75" customHeight="1" x14ac:dyDescent="0.4">
      <c r="C3309" s="24"/>
      <c r="E3309" s="24"/>
    </row>
    <row r="3310" spans="3:5" ht="15.75" customHeight="1" x14ac:dyDescent="0.4">
      <c r="C3310" s="24"/>
      <c r="E3310" s="24"/>
    </row>
    <row r="3311" spans="3:5" ht="15.75" customHeight="1" x14ac:dyDescent="0.4">
      <c r="C3311" s="24"/>
      <c r="E3311" s="24"/>
    </row>
    <row r="3312" spans="3:5" ht="15.75" customHeight="1" x14ac:dyDescent="0.4">
      <c r="C3312" s="24"/>
      <c r="E3312" s="24"/>
    </row>
    <row r="3313" spans="3:5" ht="15.75" customHeight="1" x14ac:dyDescent="0.4">
      <c r="C3313" s="24"/>
      <c r="E3313" s="24"/>
    </row>
    <row r="3314" spans="3:5" ht="15.75" customHeight="1" x14ac:dyDescent="0.4">
      <c r="C3314" s="24"/>
      <c r="E3314" s="24"/>
    </row>
    <row r="3315" spans="3:5" ht="15.75" customHeight="1" x14ac:dyDescent="0.4">
      <c r="C3315" s="24"/>
      <c r="E3315" s="24"/>
    </row>
    <row r="3316" spans="3:5" ht="15.75" customHeight="1" x14ac:dyDescent="0.4">
      <c r="C3316" s="24"/>
      <c r="E3316" s="24"/>
    </row>
    <row r="3317" spans="3:5" ht="15.75" customHeight="1" x14ac:dyDescent="0.4">
      <c r="C3317" s="24"/>
      <c r="E3317" s="24"/>
    </row>
    <row r="3318" spans="3:5" ht="15.75" customHeight="1" x14ac:dyDescent="0.4">
      <c r="C3318" s="24"/>
      <c r="E3318" s="24"/>
    </row>
    <row r="3319" spans="3:5" ht="15.75" customHeight="1" x14ac:dyDescent="0.4">
      <c r="C3319" s="24"/>
      <c r="E3319" s="24"/>
    </row>
    <row r="3320" spans="3:5" ht="15.75" customHeight="1" x14ac:dyDescent="0.4">
      <c r="C3320" s="24"/>
      <c r="E3320" s="24"/>
    </row>
    <row r="3321" spans="3:5" ht="15.75" customHeight="1" x14ac:dyDescent="0.4">
      <c r="C3321" s="24"/>
      <c r="E3321" s="24"/>
    </row>
    <row r="3322" spans="3:5" ht="15.75" customHeight="1" x14ac:dyDescent="0.4">
      <c r="C3322" s="24"/>
      <c r="E3322" s="24"/>
    </row>
    <row r="3323" spans="3:5" ht="15.75" customHeight="1" x14ac:dyDescent="0.4">
      <c r="C3323" s="24"/>
      <c r="E3323" s="24"/>
    </row>
    <row r="3324" spans="3:5" ht="15.75" customHeight="1" x14ac:dyDescent="0.4">
      <c r="C3324" s="24"/>
      <c r="E3324" s="24"/>
    </row>
    <row r="3325" spans="3:5" ht="15.75" customHeight="1" x14ac:dyDescent="0.4">
      <c r="C3325" s="24"/>
      <c r="E3325" s="24"/>
    </row>
    <row r="3326" spans="3:5" ht="15.75" customHeight="1" x14ac:dyDescent="0.4">
      <c r="C3326" s="24"/>
      <c r="E3326" s="24"/>
    </row>
    <row r="3327" spans="3:5" ht="15.75" customHeight="1" x14ac:dyDescent="0.4">
      <c r="C3327" s="24"/>
      <c r="E3327" s="24"/>
    </row>
    <row r="3328" spans="3:5" ht="15.75" customHeight="1" x14ac:dyDescent="0.4">
      <c r="C3328" s="24"/>
      <c r="E3328" s="24"/>
    </row>
    <row r="3329" spans="3:5" ht="15.75" customHeight="1" x14ac:dyDescent="0.4">
      <c r="C3329" s="24"/>
      <c r="E3329" s="24"/>
    </row>
    <row r="3330" spans="3:5" ht="15.75" customHeight="1" x14ac:dyDescent="0.4">
      <c r="C3330" s="24"/>
      <c r="E3330" s="24"/>
    </row>
    <row r="3331" spans="3:5" ht="15.75" customHeight="1" x14ac:dyDescent="0.4">
      <c r="C3331" s="24"/>
      <c r="E3331" s="24"/>
    </row>
    <row r="3332" spans="3:5" ht="15.75" customHeight="1" x14ac:dyDescent="0.4">
      <c r="C3332" s="24"/>
      <c r="E3332" s="24"/>
    </row>
    <row r="3333" spans="3:5" ht="15.75" customHeight="1" x14ac:dyDescent="0.4">
      <c r="C3333" s="24"/>
      <c r="E3333" s="24"/>
    </row>
    <row r="3334" spans="3:5" ht="15.75" customHeight="1" x14ac:dyDescent="0.4">
      <c r="C3334" s="24"/>
      <c r="E3334" s="24"/>
    </row>
    <row r="3335" spans="3:5" ht="15.75" customHeight="1" x14ac:dyDescent="0.4">
      <c r="C3335" s="24"/>
      <c r="E3335" s="24"/>
    </row>
    <row r="3336" spans="3:5" ht="15.75" customHeight="1" x14ac:dyDescent="0.4">
      <c r="C3336" s="24"/>
      <c r="E3336" s="24"/>
    </row>
    <row r="3337" spans="3:5" ht="15.75" customHeight="1" x14ac:dyDescent="0.4">
      <c r="C3337" s="24"/>
      <c r="E3337" s="24"/>
    </row>
    <row r="3338" spans="3:5" ht="15.75" customHeight="1" x14ac:dyDescent="0.4">
      <c r="C3338" s="24"/>
      <c r="E3338" s="24"/>
    </row>
    <row r="3339" spans="3:5" ht="15.75" customHeight="1" x14ac:dyDescent="0.4">
      <c r="C3339" s="24"/>
      <c r="E3339" s="24"/>
    </row>
    <row r="3340" spans="3:5" ht="15.75" customHeight="1" x14ac:dyDescent="0.4">
      <c r="C3340" s="24"/>
      <c r="E3340" s="24"/>
    </row>
    <row r="3341" spans="3:5" ht="15.75" customHeight="1" x14ac:dyDescent="0.4">
      <c r="C3341" s="24"/>
      <c r="E3341" s="24"/>
    </row>
    <row r="3342" spans="3:5" ht="15.75" customHeight="1" x14ac:dyDescent="0.4">
      <c r="C3342" s="24"/>
      <c r="E3342" s="24"/>
    </row>
    <row r="3343" spans="3:5" ht="15.75" customHeight="1" x14ac:dyDescent="0.4">
      <c r="C3343" s="24"/>
      <c r="E3343" s="24"/>
    </row>
    <row r="3344" spans="3:5" ht="15.75" customHeight="1" x14ac:dyDescent="0.4">
      <c r="C3344" s="24"/>
      <c r="E3344" s="24"/>
    </row>
    <row r="3345" spans="3:5" ht="15.75" customHeight="1" x14ac:dyDescent="0.4">
      <c r="C3345" s="24"/>
      <c r="E3345" s="24"/>
    </row>
    <row r="3346" spans="3:5" ht="15.75" customHeight="1" x14ac:dyDescent="0.4">
      <c r="C3346" s="24"/>
      <c r="E3346" s="24"/>
    </row>
    <row r="3347" spans="3:5" ht="15.75" customHeight="1" x14ac:dyDescent="0.4">
      <c r="C3347" s="24"/>
      <c r="E3347" s="24"/>
    </row>
    <row r="3348" spans="3:5" ht="15.75" customHeight="1" x14ac:dyDescent="0.4">
      <c r="C3348" s="24"/>
      <c r="E3348" s="24"/>
    </row>
    <row r="3349" spans="3:5" ht="15.75" customHeight="1" x14ac:dyDescent="0.4">
      <c r="C3349" s="24"/>
      <c r="E3349" s="24"/>
    </row>
    <row r="3350" spans="3:5" ht="15.75" customHeight="1" x14ac:dyDescent="0.4">
      <c r="C3350" s="24"/>
      <c r="E3350" s="24"/>
    </row>
    <row r="3351" spans="3:5" ht="15.75" customHeight="1" x14ac:dyDescent="0.4">
      <c r="C3351" s="24"/>
      <c r="E3351" s="24"/>
    </row>
    <row r="3352" spans="3:5" ht="15.75" customHeight="1" x14ac:dyDescent="0.4">
      <c r="C3352" s="24"/>
      <c r="E3352" s="24"/>
    </row>
    <row r="3353" spans="3:5" ht="15.75" customHeight="1" x14ac:dyDescent="0.4">
      <c r="C3353" s="24"/>
      <c r="E3353" s="24"/>
    </row>
    <row r="3354" spans="3:5" ht="15.75" customHeight="1" x14ac:dyDescent="0.4">
      <c r="C3354" s="24"/>
      <c r="E3354" s="24"/>
    </row>
    <row r="3355" spans="3:5" ht="15.75" customHeight="1" x14ac:dyDescent="0.4">
      <c r="C3355" s="24"/>
      <c r="E3355" s="24"/>
    </row>
    <row r="3356" spans="3:5" ht="15.75" customHeight="1" x14ac:dyDescent="0.4">
      <c r="C3356" s="24"/>
      <c r="E3356" s="24"/>
    </row>
    <row r="3357" spans="3:5" ht="15.75" customHeight="1" x14ac:dyDescent="0.4">
      <c r="C3357" s="24"/>
      <c r="E3357" s="24"/>
    </row>
    <row r="3358" spans="3:5" ht="15.75" customHeight="1" x14ac:dyDescent="0.4">
      <c r="C3358" s="24"/>
      <c r="E3358" s="24"/>
    </row>
    <row r="3359" spans="3:5" ht="15.75" customHeight="1" x14ac:dyDescent="0.4">
      <c r="C3359" s="24"/>
      <c r="E3359" s="24"/>
    </row>
    <row r="3360" spans="3:5" ht="15.75" customHeight="1" x14ac:dyDescent="0.4">
      <c r="C3360" s="24"/>
      <c r="E3360" s="24"/>
    </row>
    <row r="3361" spans="3:5" ht="15.75" customHeight="1" x14ac:dyDescent="0.4">
      <c r="C3361" s="24"/>
      <c r="E3361" s="24"/>
    </row>
    <row r="3362" spans="3:5" ht="15.75" customHeight="1" x14ac:dyDescent="0.4">
      <c r="C3362" s="24"/>
      <c r="E3362" s="24"/>
    </row>
    <row r="3363" spans="3:5" ht="15.75" customHeight="1" x14ac:dyDescent="0.4">
      <c r="C3363" s="24"/>
      <c r="E3363" s="24"/>
    </row>
    <row r="3364" spans="3:5" ht="15.75" customHeight="1" x14ac:dyDescent="0.4">
      <c r="C3364" s="24"/>
      <c r="E3364" s="24"/>
    </row>
    <row r="3365" spans="3:5" ht="15.75" customHeight="1" x14ac:dyDescent="0.4">
      <c r="C3365" s="24"/>
      <c r="E3365" s="24"/>
    </row>
    <row r="3366" spans="3:5" ht="15.75" customHeight="1" x14ac:dyDescent="0.4">
      <c r="C3366" s="24"/>
      <c r="E3366" s="24"/>
    </row>
    <row r="3367" spans="3:5" ht="15.75" customHeight="1" x14ac:dyDescent="0.4">
      <c r="C3367" s="24"/>
      <c r="E3367" s="24"/>
    </row>
    <row r="3368" spans="3:5" ht="15.75" customHeight="1" x14ac:dyDescent="0.4">
      <c r="C3368" s="24"/>
      <c r="E3368" s="24"/>
    </row>
    <row r="3369" spans="3:5" ht="15.75" customHeight="1" x14ac:dyDescent="0.4">
      <c r="C3369" s="24"/>
      <c r="E3369" s="24"/>
    </row>
    <row r="3370" spans="3:5" ht="15.75" customHeight="1" x14ac:dyDescent="0.4">
      <c r="C3370" s="24"/>
      <c r="E3370" s="24"/>
    </row>
    <row r="3371" spans="3:5" ht="15.75" customHeight="1" x14ac:dyDescent="0.4">
      <c r="C3371" s="24"/>
      <c r="E3371" s="24"/>
    </row>
    <row r="3372" spans="3:5" ht="15.75" customHeight="1" x14ac:dyDescent="0.4">
      <c r="C3372" s="24"/>
      <c r="E3372" s="24"/>
    </row>
    <row r="3373" spans="3:5" ht="15.75" customHeight="1" x14ac:dyDescent="0.4">
      <c r="C3373" s="24"/>
      <c r="E3373" s="24"/>
    </row>
    <row r="3374" spans="3:5" ht="15.75" customHeight="1" x14ac:dyDescent="0.4">
      <c r="C3374" s="24"/>
      <c r="E3374" s="24"/>
    </row>
    <row r="3375" spans="3:5" ht="15.75" customHeight="1" x14ac:dyDescent="0.4">
      <c r="C3375" s="24"/>
      <c r="E3375" s="24"/>
    </row>
    <row r="3376" spans="3:5" ht="15.75" customHeight="1" x14ac:dyDescent="0.4">
      <c r="C3376" s="24"/>
      <c r="E3376" s="24"/>
    </row>
    <row r="3377" spans="3:5" ht="15.75" customHeight="1" x14ac:dyDescent="0.4">
      <c r="C3377" s="24"/>
      <c r="E3377" s="24"/>
    </row>
    <row r="3378" spans="3:5" ht="15.75" customHeight="1" x14ac:dyDescent="0.4">
      <c r="C3378" s="24"/>
      <c r="E3378" s="24"/>
    </row>
    <row r="3379" spans="3:5" ht="15.75" customHeight="1" x14ac:dyDescent="0.4">
      <c r="C3379" s="24"/>
      <c r="E3379" s="24"/>
    </row>
    <row r="3380" spans="3:5" ht="15.75" customHeight="1" x14ac:dyDescent="0.4">
      <c r="C3380" s="24"/>
      <c r="E3380" s="24"/>
    </row>
    <row r="3381" spans="3:5" ht="15.75" customHeight="1" x14ac:dyDescent="0.4">
      <c r="C3381" s="24"/>
      <c r="E3381" s="24"/>
    </row>
    <row r="3382" spans="3:5" ht="15.75" customHeight="1" x14ac:dyDescent="0.4">
      <c r="C3382" s="24"/>
      <c r="E3382" s="24"/>
    </row>
    <row r="3383" spans="3:5" ht="15.75" customHeight="1" x14ac:dyDescent="0.4">
      <c r="C3383" s="24"/>
      <c r="E3383" s="24"/>
    </row>
    <row r="3384" spans="3:5" ht="15.75" customHeight="1" x14ac:dyDescent="0.4">
      <c r="C3384" s="24"/>
      <c r="E3384" s="24"/>
    </row>
    <row r="3385" spans="3:5" ht="15.75" customHeight="1" x14ac:dyDescent="0.4">
      <c r="C3385" s="24"/>
      <c r="E3385" s="24"/>
    </row>
    <row r="3386" spans="3:5" ht="15.75" customHeight="1" x14ac:dyDescent="0.4">
      <c r="C3386" s="24"/>
      <c r="E3386" s="24"/>
    </row>
    <row r="3387" spans="3:5" ht="15.75" customHeight="1" x14ac:dyDescent="0.4">
      <c r="C3387" s="24"/>
      <c r="E3387" s="24"/>
    </row>
    <row r="3388" spans="3:5" ht="15.75" customHeight="1" x14ac:dyDescent="0.4">
      <c r="C3388" s="24"/>
      <c r="E3388" s="24"/>
    </row>
    <row r="3389" spans="3:5" ht="15.75" customHeight="1" x14ac:dyDescent="0.4">
      <c r="C3389" s="24"/>
      <c r="E3389" s="24"/>
    </row>
    <row r="3390" spans="3:5" ht="15.75" customHeight="1" x14ac:dyDescent="0.4">
      <c r="C3390" s="24"/>
      <c r="E3390" s="24"/>
    </row>
    <row r="3391" spans="3:5" ht="15.75" customHeight="1" x14ac:dyDescent="0.4">
      <c r="C3391" s="24"/>
      <c r="E3391" s="24"/>
    </row>
    <row r="3392" spans="3:5" ht="15.75" customHeight="1" x14ac:dyDescent="0.4">
      <c r="C3392" s="24"/>
      <c r="E3392" s="24"/>
    </row>
    <row r="3393" spans="3:5" ht="15.75" customHeight="1" x14ac:dyDescent="0.4">
      <c r="C3393" s="24"/>
      <c r="E3393" s="24"/>
    </row>
    <row r="3394" spans="3:5" ht="15.75" customHeight="1" x14ac:dyDescent="0.4">
      <c r="C3394" s="24"/>
      <c r="E3394" s="24"/>
    </row>
    <row r="3395" spans="3:5" ht="15.75" customHeight="1" x14ac:dyDescent="0.4">
      <c r="C3395" s="24"/>
      <c r="E3395" s="24"/>
    </row>
    <row r="3396" spans="3:5" ht="15.75" customHeight="1" x14ac:dyDescent="0.4">
      <c r="C3396" s="24"/>
      <c r="E3396" s="24"/>
    </row>
    <row r="3397" spans="3:5" ht="15.75" customHeight="1" x14ac:dyDescent="0.4">
      <c r="C3397" s="24"/>
      <c r="E3397" s="24"/>
    </row>
    <row r="3398" spans="3:5" ht="15.75" customHeight="1" x14ac:dyDescent="0.4">
      <c r="C3398" s="24"/>
      <c r="E3398" s="24"/>
    </row>
    <row r="3399" spans="3:5" ht="15.75" customHeight="1" x14ac:dyDescent="0.4">
      <c r="C3399" s="24"/>
      <c r="E3399" s="24"/>
    </row>
    <row r="3400" spans="3:5" ht="15.75" customHeight="1" x14ac:dyDescent="0.4">
      <c r="C3400" s="24"/>
      <c r="E3400" s="24"/>
    </row>
    <row r="3401" spans="3:5" ht="15.75" customHeight="1" x14ac:dyDescent="0.4">
      <c r="C3401" s="24"/>
      <c r="E3401" s="24"/>
    </row>
    <row r="3402" spans="3:5" ht="15.75" customHeight="1" x14ac:dyDescent="0.4">
      <c r="C3402" s="24"/>
      <c r="E3402" s="24"/>
    </row>
    <row r="3403" spans="3:5" ht="15.75" customHeight="1" x14ac:dyDescent="0.4">
      <c r="C3403" s="24"/>
      <c r="E3403" s="24"/>
    </row>
    <row r="3404" spans="3:5" ht="15.75" customHeight="1" x14ac:dyDescent="0.4">
      <c r="C3404" s="24"/>
      <c r="E3404" s="24"/>
    </row>
    <row r="3405" spans="3:5" ht="15.75" customHeight="1" x14ac:dyDescent="0.4">
      <c r="C3405" s="24"/>
      <c r="E3405" s="24"/>
    </row>
    <row r="3406" spans="3:5" ht="15.75" customHeight="1" x14ac:dyDescent="0.4">
      <c r="C3406" s="24"/>
      <c r="E3406" s="24"/>
    </row>
    <row r="3407" spans="3:5" ht="15.75" customHeight="1" x14ac:dyDescent="0.4">
      <c r="C3407" s="24"/>
      <c r="E3407" s="24"/>
    </row>
    <row r="3408" spans="3:5" ht="15.75" customHeight="1" x14ac:dyDescent="0.4">
      <c r="C3408" s="24"/>
      <c r="E3408" s="24"/>
    </row>
    <row r="3409" spans="3:5" ht="15.75" customHeight="1" x14ac:dyDescent="0.4">
      <c r="C3409" s="24"/>
      <c r="E3409" s="24"/>
    </row>
    <row r="3410" spans="3:5" ht="15.75" customHeight="1" x14ac:dyDescent="0.4">
      <c r="C3410" s="24"/>
      <c r="E3410" s="24"/>
    </row>
    <row r="3411" spans="3:5" ht="15.75" customHeight="1" x14ac:dyDescent="0.4">
      <c r="C3411" s="24"/>
      <c r="E3411" s="24"/>
    </row>
    <row r="3412" spans="3:5" ht="15.75" customHeight="1" x14ac:dyDescent="0.4">
      <c r="C3412" s="24"/>
      <c r="E3412" s="24"/>
    </row>
    <row r="3413" spans="3:5" ht="15.75" customHeight="1" x14ac:dyDescent="0.4">
      <c r="C3413" s="24"/>
      <c r="E3413" s="24"/>
    </row>
    <row r="3414" spans="3:5" ht="15.75" customHeight="1" x14ac:dyDescent="0.4">
      <c r="C3414" s="24"/>
      <c r="E3414" s="24"/>
    </row>
    <row r="3415" spans="3:5" ht="15.75" customHeight="1" x14ac:dyDescent="0.4">
      <c r="C3415" s="24"/>
      <c r="E3415" s="24"/>
    </row>
    <row r="3416" spans="3:5" ht="15.75" customHeight="1" x14ac:dyDescent="0.4">
      <c r="C3416" s="24"/>
      <c r="E3416" s="24"/>
    </row>
    <row r="3417" spans="3:5" ht="15.75" customHeight="1" x14ac:dyDescent="0.4">
      <c r="C3417" s="24"/>
      <c r="E3417" s="24"/>
    </row>
    <row r="3418" spans="3:5" ht="15.75" customHeight="1" x14ac:dyDescent="0.4">
      <c r="C3418" s="24"/>
      <c r="E3418" s="24"/>
    </row>
    <row r="3419" spans="3:5" ht="15.75" customHeight="1" x14ac:dyDescent="0.4">
      <c r="C3419" s="24"/>
      <c r="E3419" s="24"/>
    </row>
    <row r="3420" spans="3:5" ht="15.75" customHeight="1" x14ac:dyDescent="0.4">
      <c r="C3420" s="24"/>
      <c r="E3420" s="24"/>
    </row>
    <row r="3421" spans="3:5" ht="15.75" customHeight="1" x14ac:dyDescent="0.4">
      <c r="C3421" s="24"/>
      <c r="E3421" s="24"/>
    </row>
    <row r="3422" spans="3:5" ht="15.75" customHeight="1" x14ac:dyDescent="0.4">
      <c r="C3422" s="24"/>
      <c r="E3422" s="24"/>
    </row>
    <row r="3423" spans="3:5" ht="15.75" customHeight="1" x14ac:dyDescent="0.4">
      <c r="C3423" s="24"/>
      <c r="E3423" s="24"/>
    </row>
    <row r="3424" spans="3:5" ht="15.75" customHeight="1" x14ac:dyDescent="0.4">
      <c r="C3424" s="24"/>
      <c r="E3424" s="24"/>
    </row>
    <row r="3425" spans="3:5" ht="15.75" customHeight="1" x14ac:dyDescent="0.4">
      <c r="C3425" s="24"/>
      <c r="E3425" s="24"/>
    </row>
    <row r="3426" spans="3:5" ht="15.75" customHeight="1" x14ac:dyDescent="0.4">
      <c r="C3426" s="24"/>
      <c r="E3426" s="24"/>
    </row>
    <row r="3427" spans="3:5" ht="15.75" customHeight="1" x14ac:dyDescent="0.4">
      <c r="C3427" s="24"/>
      <c r="E3427" s="24"/>
    </row>
    <row r="3428" spans="3:5" ht="15.75" customHeight="1" x14ac:dyDescent="0.4">
      <c r="C3428" s="24"/>
      <c r="E3428" s="24"/>
    </row>
    <row r="3429" spans="3:5" ht="15.75" customHeight="1" x14ac:dyDescent="0.4">
      <c r="C3429" s="24"/>
      <c r="E3429" s="24"/>
    </row>
    <row r="3430" spans="3:5" ht="15.75" customHeight="1" x14ac:dyDescent="0.4">
      <c r="C3430" s="24"/>
      <c r="E3430" s="24"/>
    </row>
    <row r="3431" spans="3:5" ht="15.75" customHeight="1" x14ac:dyDescent="0.4">
      <c r="C3431" s="24"/>
      <c r="E3431" s="24"/>
    </row>
    <row r="3432" spans="3:5" ht="15.75" customHeight="1" x14ac:dyDescent="0.4">
      <c r="C3432" s="24"/>
      <c r="E3432" s="24"/>
    </row>
    <row r="3433" spans="3:5" ht="15.75" customHeight="1" x14ac:dyDescent="0.4">
      <c r="C3433" s="24"/>
      <c r="E3433" s="24"/>
    </row>
    <row r="3434" spans="3:5" ht="15.75" customHeight="1" x14ac:dyDescent="0.4">
      <c r="C3434" s="24"/>
      <c r="E3434" s="24"/>
    </row>
    <row r="3435" spans="3:5" ht="15.75" customHeight="1" x14ac:dyDescent="0.4">
      <c r="C3435" s="24"/>
      <c r="E3435" s="24"/>
    </row>
    <row r="3436" spans="3:5" ht="15.75" customHeight="1" x14ac:dyDescent="0.4">
      <c r="C3436" s="24"/>
      <c r="E3436" s="24"/>
    </row>
    <row r="3437" spans="3:5" ht="15.75" customHeight="1" x14ac:dyDescent="0.4">
      <c r="C3437" s="24"/>
      <c r="E3437" s="24"/>
    </row>
    <row r="3438" spans="3:5" ht="15.75" customHeight="1" x14ac:dyDescent="0.4">
      <c r="C3438" s="24"/>
      <c r="E3438" s="24"/>
    </row>
    <row r="3439" spans="3:5" ht="15.75" customHeight="1" x14ac:dyDescent="0.4">
      <c r="C3439" s="24"/>
      <c r="E3439" s="24"/>
    </row>
    <row r="3440" spans="3:5" ht="15.75" customHeight="1" x14ac:dyDescent="0.4">
      <c r="C3440" s="24"/>
      <c r="E3440" s="24"/>
    </row>
    <row r="3441" spans="3:5" ht="15.75" customHeight="1" x14ac:dyDescent="0.4">
      <c r="C3441" s="24"/>
      <c r="E3441" s="24"/>
    </row>
    <row r="3442" spans="3:5" ht="15.75" customHeight="1" x14ac:dyDescent="0.4">
      <c r="C3442" s="24"/>
      <c r="E3442" s="24"/>
    </row>
    <row r="3443" spans="3:5" ht="15.75" customHeight="1" x14ac:dyDescent="0.4">
      <c r="C3443" s="24"/>
      <c r="E3443" s="24"/>
    </row>
    <row r="3444" spans="3:5" ht="15.75" customHeight="1" x14ac:dyDescent="0.4">
      <c r="C3444" s="24"/>
      <c r="E3444" s="24"/>
    </row>
    <row r="3445" spans="3:5" ht="15.75" customHeight="1" x14ac:dyDescent="0.4">
      <c r="C3445" s="24"/>
      <c r="E3445" s="24"/>
    </row>
    <row r="3446" spans="3:5" ht="15.75" customHeight="1" x14ac:dyDescent="0.4">
      <c r="C3446" s="24"/>
      <c r="E3446" s="24"/>
    </row>
    <row r="3447" spans="3:5" ht="15.75" customHeight="1" x14ac:dyDescent="0.4">
      <c r="C3447" s="24"/>
      <c r="E3447" s="24"/>
    </row>
    <row r="3448" spans="3:5" ht="15.75" customHeight="1" x14ac:dyDescent="0.4">
      <c r="C3448" s="24"/>
      <c r="E3448" s="24"/>
    </row>
    <row r="3449" spans="3:5" ht="15.75" customHeight="1" x14ac:dyDescent="0.4">
      <c r="C3449" s="24"/>
      <c r="E3449" s="24"/>
    </row>
    <row r="3450" spans="3:5" ht="15.75" customHeight="1" x14ac:dyDescent="0.4">
      <c r="C3450" s="24"/>
      <c r="E3450" s="24"/>
    </row>
    <row r="3451" spans="3:5" ht="15.75" customHeight="1" x14ac:dyDescent="0.4">
      <c r="C3451" s="24"/>
      <c r="E3451" s="24"/>
    </row>
    <row r="3452" spans="3:5" ht="15.75" customHeight="1" x14ac:dyDescent="0.4">
      <c r="C3452" s="24"/>
      <c r="E3452" s="24"/>
    </row>
    <row r="3453" spans="3:5" ht="15.75" customHeight="1" x14ac:dyDescent="0.4">
      <c r="C3453" s="24"/>
      <c r="E3453" s="24"/>
    </row>
    <row r="3454" spans="3:5" ht="15.75" customHeight="1" x14ac:dyDescent="0.4">
      <c r="C3454" s="24"/>
      <c r="E3454" s="24"/>
    </row>
    <row r="3455" spans="3:5" ht="15.75" customHeight="1" x14ac:dyDescent="0.4">
      <c r="C3455" s="24"/>
      <c r="E3455" s="24"/>
    </row>
    <row r="3456" spans="3:5" ht="15.75" customHeight="1" x14ac:dyDescent="0.4">
      <c r="C3456" s="24"/>
      <c r="E3456" s="24"/>
    </row>
    <row r="3457" spans="3:5" ht="15.75" customHeight="1" x14ac:dyDescent="0.4">
      <c r="C3457" s="24"/>
      <c r="E3457" s="24"/>
    </row>
    <row r="3458" spans="3:5" ht="15.75" customHeight="1" x14ac:dyDescent="0.4">
      <c r="C3458" s="24"/>
      <c r="E3458" s="24"/>
    </row>
    <row r="3459" spans="3:5" ht="15.75" customHeight="1" x14ac:dyDescent="0.4">
      <c r="C3459" s="24"/>
      <c r="E3459" s="24"/>
    </row>
    <row r="3460" spans="3:5" ht="15.75" customHeight="1" x14ac:dyDescent="0.4">
      <c r="C3460" s="24"/>
      <c r="E3460" s="24"/>
    </row>
    <row r="3461" spans="3:5" ht="15.75" customHeight="1" x14ac:dyDescent="0.4">
      <c r="C3461" s="24"/>
      <c r="E3461" s="24"/>
    </row>
    <row r="3462" spans="3:5" ht="15.75" customHeight="1" x14ac:dyDescent="0.4">
      <c r="C3462" s="24"/>
      <c r="E3462" s="24"/>
    </row>
    <row r="3463" spans="3:5" ht="15.75" customHeight="1" x14ac:dyDescent="0.4">
      <c r="C3463" s="24"/>
      <c r="E3463" s="24"/>
    </row>
    <row r="3464" spans="3:5" ht="15.75" customHeight="1" x14ac:dyDescent="0.4">
      <c r="C3464" s="24"/>
      <c r="E3464" s="24"/>
    </row>
    <row r="3465" spans="3:5" ht="15.75" customHeight="1" x14ac:dyDescent="0.4">
      <c r="C3465" s="24"/>
      <c r="E3465" s="24"/>
    </row>
    <row r="3466" spans="3:5" ht="15.75" customHeight="1" x14ac:dyDescent="0.4">
      <c r="C3466" s="24"/>
      <c r="E3466" s="24"/>
    </row>
    <row r="3467" spans="3:5" ht="15.75" customHeight="1" x14ac:dyDescent="0.4">
      <c r="C3467" s="24"/>
      <c r="E3467" s="24"/>
    </row>
    <row r="3468" spans="3:5" ht="15.75" customHeight="1" x14ac:dyDescent="0.4">
      <c r="C3468" s="24"/>
      <c r="E3468" s="24"/>
    </row>
    <row r="3469" spans="3:5" ht="15.75" customHeight="1" x14ac:dyDescent="0.4">
      <c r="C3469" s="24"/>
      <c r="E3469" s="24"/>
    </row>
    <row r="3470" spans="3:5" ht="15.75" customHeight="1" x14ac:dyDescent="0.4">
      <c r="C3470" s="24"/>
      <c r="E3470" s="24"/>
    </row>
    <row r="3471" spans="3:5" ht="15.75" customHeight="1" x14ac:dyDescent="0.4">
      <c r="C3471" s="24"/>
      <c r="E3471" s="24"/>
    </row>
    <row r="3472" spans="3:5" ht="15.75" customHeight="1" x14ac:dyDescent="0.4">
      <c r="C3472" s="24"/>
      <c r="E3472" s="24"/>
    </row>
    <row r="3473" spans="3:5" ht="15.75" customHeight="1" x14ac:dyDescent="0.4">
      <c r="C3473" s="24"/>
      <c r="E3473" s="24"/>
    </row>
    <row r="3474" spans="3:5" ht="15.75" customHeight="1" x14ac:dyDescent="0.4">
      <c r="C3474" s="24"/>
      <c r="E3474" s="24"/>
    </row>
    <row r="3475" spans="3:5" ht="15.75" customHeight="1" x14ac:dyDescent="0.4">
      <c r="C3475" s="24"/>
      <c r="E3475" s="24"/>
    </row>
    <row r="3476" spans="3:5" ht="15.75" customHeight="1" x14ac:dyDescent="0.4">
      <c r="C3476" s="24"/>
      <c r="E3476" s="24"/>
    </row>
    <row r="3477" spans="3:5" ht="15.75" customHeight="1" x14ac:dyDescent="0.4">
      <c r="C3477" s="24"/>
      <c r="E3477" s="24"/>
    </row>
    <row r="3478" spans="3:5" ht="15.75" customHeight="1" x14ac:dyDescent="0.4">
      <c r="C3478" s="24"/>
      <c r="E3478" s="24"/>
    </row>
    <row r="3479" spans="3:5" ht="15.75" customHeight="1" x14ac:dyDescent="0.4">
      <c r="C3479" s="24"/>
      <c r="E3479" s="24"/>
    </row>
    <row r="3480" spans="3:5" ht="15.75" customHeight="1" x14ac:dyDescent="0.4">
      <c r="C3480" s="24"/>
      <c r="E3480" s="24"/>
    </row>
    <row r="3481" spans="3:5" ht="15.75" customHeight="1" x14ac:dyDescent="0.4">
      <c r="C3481" s="24"/>
      <c r="E3481" s="24"/>
    </row>
    <row r="3482" spans="3:5" ht="15.75" customHeight="1" x14ac:dyDescent="0.4">
      <c r="C3482" s="24"/>
      <c r="E3482" s="24"/>
    </row>
    <row r="3483" spans="3:5" ht="15.75" customHeight="1" x14ac:dyDescent="0.4">
      <c r="C3483" s="24"/>
      <c r="E3483" s="24"/>
    </row>
    <row r="3484" spans="3:5" ht="15.75" customHeight="1" x14ac:dyDescent="0.4">
      <c r="C3484" s="24"/>
      <c r="E3484" s="24"/>
    </row>
    <row r="3485" spans="3:5" ht="15.75" customHeight="1" x14ac:dyDescent="0.4">
      <c r="C3485" s="24"/>
      <c r="E3485" s="24"/>
    </row>
    <row r="3486" spans="3:5" ht="15.75" customHeight="1" x14ac:dyDescent="0.4">
      <c r="C3486" s="24"/>
      <c r="E3486" s="24"/>
    </row>
    <row r="3487" spans="3:5" ht="15.75" customHeight="1" x14ac:dyDescent="0.4">
      <c r="C3487" s="24"/>
      <c r="E3487" s="24"/>
    </row>
    <row r="3488" spans="3:5" ht="15.75" customHeight="1" x14ac:dyDescent="0.4">
      <c r="C3488" s="24"/>
      <c r="E3488" s="24"/>
    </row>
    <row r="3489" spans="3:5" ht="15.75" customHeight="1" x14ac:dyDescent="0.4">
      <c r="C3489" s="24"/>
      <c r="E3489" s="24"/>
    </row>
    <row r="3490" spans="3:5" ht="15.75" customHeight="1" x14ac:dyDescent="0.4">
      <c r="C3490" s="24"/>
      <c r="E3490" s="24"/>
    </row>
    <row r="3491" spans="3:5" ht="15.75" customHeight="1" x14ac:dyDescent="0.4">
      <c r="C3491" s="24"/>
      <c r="E3491" s="24"/>
    </row>
    <row r="3492" spans="3:5" ht="15.75" customHeight="1" x14ac:dyDescent="0.4">
      <c r="C3492" s="24"/>
      <c r="E3492" s="24"/>
    </row>
    <row r="3493" spans="3:5" ht="15.75" customHeight="1" x14ac:dyDescent="0.4">
      <c r="C3493" s="24"/>
      <c r="E3493" s="24"/>
    </row>
    <row r="3494" spans="3:5" ht="15.75" customHeight="1" x14ac:dyDescent="0.4">
      <c r="C3494" s="24"/>
      <c r="E3494" s="24"/>
    </row>
    <row r="3495" spans="3:5" ht="15.75" customHeight="1" x14ac:dyDescent="0.4">
      <c r="C3495" s="24"/>
      <c r="E3495" s="24"/>
    </row>
    <row r="3496" spans="3:5" ht="15.75" customHeight="1" x14ac:dyDescent="0.4">
      <c r="C3496" s="24"/>
      <c r="E3496" s="24"/>
    </row>
    <row r="3497" spans="3:5" ht="15.75" customHeight="1" x14ac:dyDescent="0.4">
      <c r="C3497" s="24"/>
      <c r="E3497" s="24"/>
    </row>
    <row r="3498" spans="3:5" ht="15.75" customHeight="1" x14ac:dyDescent="0.4">
      <c r="C3498" s="24"/>
      <c r="E3498" s="24"/>
    </row>
    <row r="3499" spans="3:5" ht="15.75" customHeight="1" x14ac:dyDescent="0.4">
      <c r="C3499" s="24"/>
      <c r="E3499" s="24"/>
    </row>
    <row r="3500" spans="3:5" ht="15.75" customHeight="1" x14ac:dyDescent="0.4">
      <c r="C3500" s="24"/>
      <c r="E3500" s="24"/>
    </row>
    <row r="3501" spans="3:5" ht="15.75" customHeight="1" x14ac:dyDescent="0.4">
      <c r="C3501" s="24"/>
      <c r="E3501" s="24"/>
    </row>
    <row r="3502" spans="3:5" ht="15.75" customHeight="1" x14ac:dyDescent="0.4">
      <c r="C3502" s="24"/>
      <c r="E3502" s="24"/>
    </row>
    <row r="3503" spans="3:5" ht="15.75" customHeight="1" x14ac:dyDescent="0.4">
      <c r="C3503" s="24"/>
      <c r="E3503" s="24"/>
    </row>
    <row r="3504" spans="3:5" ht="15.75" customHeight="1" x14ac:dyDescent="0.4">
      <c r="C3504" s="24"/>
      <c r="E3504" s="24"/>
    </row>
    <row r="3505" spans="3:5" ht="15.75" customHeight="1" x14ac:dyDescent="0.4">
      <c r="C3505" s="24"/>
      <c r="E3505" s="24"/>
    </row>
    <row r="3506" spans="3:5" ht="15.75" customHeight="1" x14ac:dyDescent="0.4">
      <c r="C3506" s="24"/>
      <c r="E3506" s="24"/>
    </row>
    <row r="3507" spans="3:5" ht="15.75" customHeight="1" x14ac:dyDescent="0.4">
      <c r="C3507" s="24"/>
      <c r="E3507" s="24"/>
    </row>
    <row r="3508" spans="3:5" ht="15.75" customHeight="1" x14ac:dyDescent="0.4">
      <c r="C3508" s="24"/>
      <c r="E3508" s="24"/>
    </row>
    <row r="3509" spans="3:5" ht="15.75" customHeight="1" x14ac:dyDescent="0.4">
      <c r="C3509" s="24"/>
      <c r="E3509" s="24"/>
    </row>
    <row r="3510" spans="3:5" ht="15.75" customHeight="1" x14ac:dyDescent="0.4">
      <c r="C3510" s="24"/>
      <c r="E3510" s="24"/>
    </row>
    <row r="3511" spans="3:5" ht="15.75" customHeight="1" x14ac:dyDescent="0.4">
      <c r="C3511" s="24"/>
      <c r="E3511" s="24"/>
    </row>
    <row r="3512" spans="3:5" ht="15.75" customHeight="1" x14ac:dyDescent="0.4">
      <c r="C3512" s="24"/>
      <c r="E3512" s="24"/>
    </row>
    <row r="3513" spans="3:5" ht="15.75" customHeight="1" x14ac:dyDescent="0.4">
      <c r="C3513" s="24"/>
      <c r="E3513" s="24"/>
    </row>
    <row r="3514" spans="3:5" ht="15.75" customHeight="1" x14ac:dyDescent="0.4">
      <c r="C3514" s="24"/>
      <c r="E3514" s="24"/>
    </row>
    <row r="3515" spans="3:5" ht="15.75" customHeight="1" x14ac:dyDescent="0.4">
      <c r="C3515" s="24"/>
      <c r="E3515" s="24"/>
    </row>
    <row r="3516" spans="3:5" ht="15.75" customHeight="1" x14ac:dyDescent="0.4">
      <c r="C3516" s="24"/>
      <c r="E3516" s="24"/>
    </row>
    <row r="3517" spans="3:5" ht="15.75" customHeight="1" x14ac:dyDescent="0.4">
      <c r="C3517" s="24"/>
      <c r="E3517" s="24"/>
    </row>
    <row r="3518" spans="3:5" ht="15.75" customHeight="1" x14ac:dyDescent="0.4">
      <c r="C3518" s="24"/>
      <c r="E3518" s="24"/>
    </row>
    <row r="3519" spans="3:5" ht="15.75" customHeight="1" x14ac:dyDescent="0.4">
      <c r="C3519" s="24"/>
      <c r="E3519" s="24"/>
    </row>
    <row r="3520" spans="3:5" ht="15.75" customHeight="1" x14ac:dyDescent="0.4">
      <c r="C3520" s="24"/>
      <c r="E3520" s="24"/>
    </row>
    <row r="3521" spans="3:5" ht="15.75" customHeight="1" x14ac:dyDescent="0.4">
      <c r="C3521" s="24"/>
      <c r="E3521" s="24"/>
    </row>
    <row r="3522" spans="3:5" ht="15.75" customHeight="1" x14ac:dyDescent="0.4">
      <c r="C3522" s="24"/>
      <c r="E3522" s="24"/>
    </row>
    <row r="3523" spans="3:5" ht="15.75" customHeight="1" x14ac:dyDescent="0.4">
      <c r="C3523" s="24"/>
      <c r="E3523" s="24"/>
    </row>
    <row r="3524" spans="3:5" ht="15.75" customHeight="1" x14ac:dyDescent="0.4">
      <c r="C3524" s="24"/>
      <c r="E3524" s="24"/>
    </row>
    <row r="3525" spans="3:5" ht="15.75" customHeight="1" x14ac:dyDescent="0.4">
      <c r="C3525" s="24"/>
      <c r="E3525" s="24"/>
    </row>
    <row r="3526" spans="3:5" ht="15.75" customHeight="1" x14ac:dyDescent="0.4">
      <c r="C3526" s="24"/>
      <c r="E3526" s="24"/>
    </row>
    <row r="3527" spans="3:5" ht="15.75" customHeight="1" x14ac:dyDescent="0.4">
      <c r="C3527" s="24"/>
      <c r="E3527" s="24"/>
    </row>
    <row r="3528" spans="3:5" ht="15.75" customHeight="1" x14ac:dyDescent="0.4">
      <c r="C3528" s="24"/>
      <c r="E3528" s="24"/>
    </row>
    <row r="3529" spans="3:5" ht="15.75" customHeight="1" x14ac:dyDescent="0.4">
      <c r="C3529" s="24"/>
      <c r="E3529" s="24"/>
    </row>
    <row r="3530" spans="3:5" ht="15.75" customHeight="1" x14ac:dyDescent="0.4">
      <c r="C3530" s="24"/>
      <c r="E3530" s="24"/>
    </row>
    <row r="3531" spans="3:5" ht="15.75" customHeight="1" x14ac:dyDescent="0.4">
      <c r="C3531" s="24"/>
      <c r="E3531" s="24"/>
    </row>
    <row r="3532" spans="3:5" ht="15.75" customHeight="1" x14ac:dyDescent="0.4">
      <c r="C3532" s="24"/>
      <c r="E3532" s="24"/>
    </row>
    <row r="3533" spans="3:5" ht="15.75" customHeight="1" x14ac:dyDescent="0.4">
      <c r="C3533" s="24"/>
      <c r="E3533" s="24"/>
    </row>
    <row r="3534" spans="3:5" ht="15.75" customHeight="1" x14ac:dyDescent="0.4">
      <c r="C3534" s="24"/>
      <c r="E3534" s="24"/>
    </row>
    <row r="3535" spans="3:5" ht="15.75" customHeight="1" x14ac:dyDescent="0.4">
      <c r="C3535" s="24"/>
      <c r="E3535" s="24"/>
    </row>
    <row r="3536" spans="3:5" ht="15.75" customHeight="1" x14ac:dyDescent="0.4">
      <c r="C3536" s="24"/>
      <c r="E3536" s="24"/>
    </row>
    <row r="3537" spans="3:5" ht="15.75" customHeight="1" x14ac:dyDescent="0.4">
      <c r="C3537" s="24"/>
      <c r="E3537" s="24"/>
    </row>
    <row r="3538" spans="3:5" ht="15.75" customHeight="1" x14ac:dyDescent="0.4">
      <c r="C3538" s="24"/>
      <c r="E3538" s="24"/>
    </row>
    <row r="3539" spans="3:5" ht="15.75" customHeight="1" x14ac:dyDescent="0.4">
      <c r="C3539" s="24"/>
      <c r="E3539" s="24"/>
    </row>
    <row r="3540" spans="3:5" ht="15.75" customHeight="1" x14ac:dyDescent="0.4">
      <c r="C3540" s="24"/>
      <c r="E3540" s="24"/>
    </row>
    <row r="3541" spans="3:5" ht="15.75" customHeight="1" x14ac:dyDescent="0.4">
      <c r="C3541" s="24"/>
      <c r="E3541" s="24"/>
    </row>
    <row r="3542" spans="3:5" ht="15.75" customHeight="1" x14ac:dyDescent="0.4">
      <c r="C3542" s="24"/>
      <c r="E3542" s="24"/>
    </row>
    <row r="3543" spans="3:5" ht="15.75" customHeight="1" x14ac:dyDescent="0.4">
      <c r="C3543" s="24"/>
      <c r="E3543" s="24"/>
    </row>
    <row r="3544" spans="3:5" ht="15.75" customHeight="1" x14ac:dyDescent="0.4">
      <c r="C3544" s="24"/>
      <c r="E3544" s="24"/>
    </row>
    <row r="3545" spans="3:5" ht="15.75" customHeight="1" x14ac:dyDescent="0.4">
      <c r="C3545" s="24"/>
      <c r="E3545" s="24"/>
    </row>
    <row r="3546" spans="3:5" ht="15.75" customHeight="1" x14ac:dyDescent="0.4">
      <c r="C3546" s="24"/>
      <c r="E3546" s="24"/>
    </row>
    <row r="3547" spans="3:5" ht="15.75" customHeight="1" x14ac:dyDescent="0.4">
      <c r="C3547" s="24"/>
      <c r="E3547" s="24"/>
    </row>
    <row r="3548" spans="3:5" ht="15.75" customHeight="1" x14ac:dyDescent="0.4">
      <c r="C3548" s="24"/>
      <c r="E3548" s="24"/>
    </row>
    <row r="3549" spans="3:5" ht="15.75" customHeight="1" x14ac:dyDescent="0.4">
      <c r="C3549" s="24"/>
      <c r="E3549" s="24"/>
    </row>
    <row r="3550" spans="3:5" ht="15.75" customHeight="1" x14ac:dyDescent="0.4">
      <c r="C3550" s="24"/>
      <c r="E3550" s="24"/>
    </row>
    <row r="3551" spans="3:5" ht="15.75" customHeight="1" x14ac:dyDescent="0.4">
      <c r="C3551" s="24"/>
      <c r="E3551" s="24"/>
    </row>
    <row r="3552" spans="3:5" ht="15.75" customHeight="1" x14ac:dyDescent="0.4">
      <c r="C3552" s="24"/>
      <c r="E3552" s="24"/>
    </row>
    <row r="3553" spans="3:5" ht="15.75" customHeight="1" x14ac:dyDescent="0.4">
      <c r="C3553" s="24"/>
      <c r="E3553" s="24"/>
    </row>
    <row r="3554" spans="3:5" ht="15.75" customHeight="1" x14ac:dyDescent="0.4">
      <c r="C3554" s="24"/>
      <c r="E3554" s="24"/>
    </row>
    <row r="3555" spans="3:5" ht="15.75" customHeight="1" x14ac:dyDescent="0.4">
      <c r="C3555" s="24"/>
      <c r="E3555" s="24"/>
    </row>
    <row r="3556" spans="3:5" ht="15.75" customHeight="1" x14ac:dyDescent="0.4">
      <c r="C3556" s="24"/>
      <c r="E3556" s="24"/>
    </row>
    <row r="3557" spans="3:5" ht="15.75" customHeight="1" x14ac:dyDescent="0.4">
      <c r="C3557" s="24"/>
      <c r="E3557" s="24"/>
    </row>
    <row r="3558" spans="3:5" ht="15.75" customHeight="1" x14ac:dyDescent="0.4">
      <c r="C3558" s="24"/>
      <c r="E3558" s="24"/>
    </row>
    <row r="3559" spans="3:5" ht="15.75" customHeight="1" x14ac:dyDescent="0.4">
      <c r="C3559" s="24"/>
      <c r="E3559" s="24"/>
    </row>
    <row r="3560" spans="3:5" ht="15.75" customHeight="1" x14ac:dyDescent="0.4">
      <c r="C3560" s="24"/>
      <c r="E3560" s="24"/>
    </row>
    <row r="3561" spans="3:5" ht="15.75" customHeight="1" x14ac:dyDescent="0.4">
      <c r="C3561" s="24"/>
      <c r="E3561" s="24"/>
    </row>
    <row r="3562" spans="3:5" ht="15.75" customHeight="1" x14ac:dyDescent="0.4">
      <c r="C3562" s="24"/>
      <c r="E3562" s="24"/>
    </row>
    <row r="3563" spans="3:5" ht="15.75" customHeight="1" x14ac:dyDescent="0.4">
      <c r="C3563" s="24"/>
      <c r="E3563" s="24"/>
    </row>
    <row r="3564" spans="3:5" ht="15.75" customHeight="1" x14ac:dyDescent="0.4">
      <c r="C3564" s="24"/>
      <c r="E3564" s="24"/>
    </row>
    <row r="3565" spans="3:5" ht="15.75" customHeight="1" x14ac:dyDescent="0.4">
      <c r="C3565" s="24"/>
      <c r="E3565" s="24"/>
    </row>
    <row r="3566" spans="3:5" ht="15.75" customHeight="1" x14ac:dyDescent="0.4">
      <c r="C3566" s="24"/>
      <c r="E3566" s="24"/>
    </row>
    <row r="3567" spans="3:5" ht="15.75" customHeight="1" x14ac:dyDescent="0.4">
      <c r="C3567" s="24"/>
      <c r="E3567" s="24"/>
    </row>
    <row r="3568" spans="3:5" ht="15.75" customHeight="1" x14ac:dyDescent="0.4">
      <c r="C3568" s="24"/>
      <c r="E3568" s="24"/>
    </row>
    <row r="3569" spans="3:5" ht="15.75" customHeight="1" x14ac:dyDescent="0.4">
      <c r="C3569" s="24"/>
      <c r="E3569" s="24"/>
    </row>
    <row r="3570" spans="3:5" ht="15.75" customHeight="1" x14ac:dyDescent="0.4">
      <c r="C3570" s="24"/>
      <c r="E3570" s="24"/>
    </row>
    <row r="3571" spans="3:5" ht="15.75" customHeight="1" x14ac:dyDescent="0.4">
      <c r="C3571" s="24"/>
      <c r="E3571" s="24"/>
    </row>
    <row r="3572" spans="3:5" ht="15.75" customHeight="1" x14ac:dyDescent="0.4">
      <c r="C3572" s="24"/>
      <c r="E3572" s="24"/>
    </row>
    <row r="3573" spans="3:5" ht="15.75" customHeight="1" x14ac:dyDescent="0.4">
      <c r="C3573" s="24"/>
      <c r="E3573" s="24"/>
    </row>
    <row r="3574" spans="3:5" ht="15.75" customHeight="1" x14ac:dyDescent="0.4">
      <c r="C3574" s="24"/>
      <c r="E3574" s="24"/>
    </row>
    <row r="3575" spans="3:5" ht="15.75" customHeight="1" x14ac:dyDescent="0.4">
      <c r="C3575" s="24"/>
      <c r="E3575" s="24"/>
    </row>
    <row r="3576" spans="3:5" ht="15.75" customHeight="1" x14ac:dyDescent="0.4">
      <c r="C3576" s="24"/>
      <c r="E3576" s="24"/>
    </row>
    <row r="3577" spans="3:5" ht="15.75" customHeight="1" x14ac:dyDescent="0.4">
      <c r="C3577" s="24"/>
      <c r="E3577" s="24"/>
    </row>
    <row r="3578" spans="3:5" ht="15.75" customHeight="1" x14ac:dyDescent="0.4">
      <c r="C3578" s="24"/>
      <c r="E3578" s="24"/>
    </row>
    <row r="3579" spans="3:5" ht="15.75" customHeight="1" x14ac:dyDescent="0.4">
      <c r="C3579" s="24"/>
      <c r="E3579" s="24"/>
    </row>
    <row r="3580" spans="3:5" ht="15.75" customHeight="1" x14ac:dyDescent="0.4">
      <c r="C3580" s="24"/>
      <c r="E3580" s="24"/>
    </row>
    <row r="3581" spans="3:5" ht="15.75" customHeight="1" x14ac:dyDescent="0.4">
      <c r="C3581" s="24"/>
      <c r="E3581" s="24"/>
    </row>
    <row r="3582" spans="3:5" ht="15.75" customHeight="1" x14ac:dyDescent="0.4">
      <c r="C3582" s="24"/>
      <c r="E3582" s="24"/>
    </row>
    <row r="3583" spans="3:5" ht="15.75" customHeight="1" x14ac:dyDescent="0.4">
      <c r="C3583" s="24"/>
      <c r="E3583" s="24"/>
    </row>
    <row r="3584" spans="3:5" ht="15.75" customHeight="1" x14ac:dyDescent="0.4">
      <c r="C3584" s="24"/>
      <c r="E3584" s="24"/>
    </row>
    <row r="3585" spans="3:5" ht="15.75" customHeight="1" x14ac:dyDescent="0.4">
      <c r="C3585" s="24"/>
      <c r="E3585" s="24"/>
    </row>
    <row r="3586" spans="3:5" ht="15.75" customHeight="1" x14ac:dyDescent="0.4">
      <c r="C3586" s="24"/>
      <c r="E3586" s="24"/>
    </row>
    <row r="3587" spans="3:5" ht="15.75" customHeight="1" x14ac:dyDescent="0.4">
      <c r="C3587" s="24"/>
      <c r="E3587" s="24"/>
    </row>
    <row r="3588" spans="3:5" ht="15.75" customHeight="1" x14ac:dyDescent="0.4">
      <c r="C3588" s="24"/>
      <c r="E3588" s="24"/>
    </row>
    <row r="3589" spans="3:5" ht="15.75" customHeight="1" x14ac:dyDescent="0.4">
      <c r="C3589" s="24"/>
      <c r="E3589" s="24"/>
    </row>
    <row r="3590" spans="3:5" ht="15.75" customHeight="1" x14ac:dyDescent="0.4">
      <c r="C3590" s="24"/>
      <c r="E3590" s="24"/>
    </row>
    <row r="3591" spans="3:5" ht="15.75" customHeight="1" x14ac:dyDescent="0.4">
      <c r="C3591" s="24"/>
      <c r="E3591" s="24"/>
    </row>
    <row r="3592" spans="3:5" ht="15.75" customHeight="1" x14ac:dyDescent="0.4">
      <c r="C3592" s="24"/>
      <c r="E3592" s="24"/>
    </row>
    <row r="3593" spans="3:5" ht="15.75" customHeight="1" x14ac:dyDescent="0.4">
      <c r="C3593" s="24"/>
      <c r="E3593" s="24"/>
    </row>
    <row r="3594" spans="3:5" ht="15.75" customHeight="1" x14ac:dyDescent="0.4">
      <c r="C3594" s="24"/>
      <c r="E3594" s="24"/>
    </row>
    <row r="3595" spans="3:5" ht="15.75" customHeight="1" x14ac:dyDescent="0.4">
      <c r="C3595" s="24"/>
      <c r="E3595" s="24"/>
    </row>
    <row r="3596" spans="3:5" ht="15.75" customHeight="1" x14ac:dyDescent="0.4">
      <c r="C3596" s="24"/>
      <c r="E3596" s="24"/>
    </row>
    <row r="3597" spans="3:5" ht="15.75" customHeight="1" x14ac:dyDescent="0.4">
      <c r="C3597" s="24"/>
      <c r="E3597" s="24"/>
    </row>
    <row r="3598" spans="3:5" ht="15.75" customHeight="1" x14ac:dyDescent="0.4">
      <c r="C3598" s="24"/>
      <c r="E3598" s="24"/>
    </row>
    <row r="3599" spans="3:5" ht="15.75" customHeight="1" x14ac:dyDescent="0.4">
      <c r="C3599" s="24"/>
      <c r="E3599" s="24"/>
    </row>
    <row r="3600" spans="3:5" ht="15.75" customHeight="1" x14ac:dyDescent="0.4">
      <c r="C3600" s="24"/>
      <c r="E3600" s="24"/>
    </row>
    <row r="3601" spans="3:5" ht="15.75" customHeight="1" x14ac:dyDescent="0.4">
      <c r="C3601" s="24"/>
      <c r="E3601" s="24"/>
    </row>
    <row r="3602" spans="3:5" ht="15.75" customHeight="1" x14ac:dyDescent="0.4">
      <c r="C3602" s="24"/>
      <c r="E3602" s="24"/>
    </row>
    <row r="3603" spans="3:5" ht="15.75" customHeight="1" x14ac:dyDescent="0.4">
      <c r="C3603" s="24"/>
      <c r="E3603" s="24"/>
    </row>
    <row r="3604" spans="3:5" ht="15.75" customHeight="1" x14ac:dyDescent="0.4">
      <c r="C3604" s="24"/>
      <c r="E3604" s="24"/>
    </row>
    <row r="3605" spans="3:5" ht="15.75" customHeight="1" x14ac:dyDescent="0.4">
      <c r="C3605" s="24"/>
      <c r="E3605" s="24"/>
    </row>
    <row r="3606" spans="3:5" ht="15.75" customHeight="1" x14ac:dyDescent="0.4">
      <c r="C3606" s="24"/>
      <c r="E3606" s="24"/>
    </row>
    <row r="3607" spans="3:5" ht="15.75" customHeight="1" x14ac:dyDescent="0.4">
      <c r="C3607" s="24"/>
      <c r="E3607" s="24"/>
    </row>
    <row r="3608" spans="3:5" ht="15.75" customHeight="1" x14ac:dyDescent="0.4">
      <c r="C3608" s="24"/>
      <c r="E3608" s="24"/>
    </row>
    <row r="3609" spans="3:5" ht="15.75" customHeight="1" x14ac:dyDescent="0.4">
      <c r="C3609" s="24"/>
      <c r="E3609" s="24"/>
    </row>
    <row r="3610" spans="3:5" ht="15.75" customHeight="1" x14ac:dyDescent="0.4">
      <c r="C3610" s="24"/>
      <c r="E3610" s="24"/>
    </row>
    <row r="3611" spans="3:5" ht="15.75" customHeight="1" x14ac:dyDescent="0.4">
      <c r="C3611" s="24"/>
      <c r="E3611" s="24"/>
    </row>
    <row r="3612" spans="3:5" ht="15.75" customHeight="1" x14ac:dyDescent="0.4">
      <c r="C3612" s="24"/>
      <c r="E3612" s="24"/>
    </row>
    <row r="3613" spans="3:5" ht="15.75" customHeight="1" x14ac:dyDescent="0.4">
      <c r="C3613" s="24"/>
      <c r="E3613" s="24"/>
    </row>
    <row r="3614" spans="3:5" ht="15.75" customHeight="1" x14ac:dyDescent="0.4">
      <c r="C3614" s="24"/>
      <c r="E3614" s="24"/>
    </row>
    <row r="3615" spans="3:5" ht="15.75" customHeight="1" x14ac:dyDescent="0.4">
      <c r="C3615" s="24"/>
      <c r="E3615" s="24"/>
    </row>
    <row r="3616" spans="3:5" ht="15.75" customHeight="1" x14ac:dyDescent="0.4">
      <c r="C3616" s="24"/>
      <c r="E3616" s="24"/>
    </row>
    <row r="3617" spans="3:5" ht="15.75" customHeight="1" x14ac:dyDescent="0.4">
      <c r="C3617" s="24"/>
      <c r="E3617" s="24"/>
    </row>
    <row r="3618" spans="3:5" ht="15.75" customHeight="1" x14ac:dyDescent="0.4">
      <c r="C3618" s="24"/>
      <c r="E3618" s="24"/>
    </row>
    <row r="3619" spans="3:5" ht="15.75" customHeight="1" x14ac:dyDescent="0.4">
      <c r="C3619" s="24"/>
      <c r="E3619" s="24"/>
    </row>
    <row r="3620" spans="3:5" ht="15.75" customHeight="1" x14ac:dyDescent="0.4">
      <c r="C3620" s="24"/>
      <c r="E3620" s="24"/>
    </row>
    <row r="3621" spans="3:5" ht="15.75" customHeight="1" x14ac:dyDescent="0.4">
      <c r="C3621" s="24"/>
      <c r="E3621" s="24"/>
    </row>
    <row r="3622" spans="3:5" ht="15.75" customHeight="1" x14ac:dyDescent="0.4">
      <c r="C3622" s="24"/>
      <c r="E3622" s="24"/>
    </row>
    <row r="3623" spans="3:5" ht="15.75" customHeight="1" x14ac:dyDescent="0.4">
      <c r="C3623" s="24"/>
      <c r="E3623" s="24"/>
    </row>
    <row r="3624" spans="3:5" ht="15.75" customHeight="1" x14ac:dyDescent="0.4">
      <c r="C3624" s="24"/>
      <c r="E3624" s="24"/>
    </row>
    <row r="3625" spans="3:5" ht="15.75" customHeight="1" x14ac:dyDescent="0.4">
      <c r="C3625" s="24"/>
      <c r="E3625" s="24"/>
    </row>
    <row r="3626" spans="3:5" ht="15.75" customHeight="1" x14ac:dyDescent="0.4">
      <c r="C3626" s="24"/>
      <c r="E3626" s="24"/>
    </row>
    <row r="3627" spans="3:5" ht="15.75" customHeight="1" x14ac:dyDescent="0.4">
      <c r="C3627" s="24"/>
      <c r="E3627" s="24"/>
    </row>
    <row r="3628" spans="3:5" ht="15.75" customHeight="1" x14ac:dyDescent="0.4">
      <c r="C3628" s="24"/>
      <c r="E3628" s="24"/>
    </row>
    <row r="3629" spans="3:5" ht="15.75" customHeight="1" x14ac:dyDescent="0.4">
      <c r="C3629" s="24"/>
      <c r="E3629" s="24"/>
    </row>
    <row r="3630" spans="3:5" ht="15.75" customHeight="1" x14ac:dyDescent="0.4">
      <c r="C3630" s="24"/>
      <c r="E3630" s="24"/>
    </row>
    <row r="3631" spans="3:5" ht="15.75" customHeight="1" x14ac:dyDescent="0.4">
      <c r="C3631" s="24"/>
      <c r="E3631" s="24"/>
    </row>
    <row r="3632" spans="3:5" ht="15.75" customHeight="1" x14ac:dyDescent="0.4">
      <c r="C3632" s="24"/>
      <c r="E3632" s="24"/>
    </row>
    <row r="3633" spans="3:5" ht="15.75" customHeight="1" x14ac:dyDescent="0.4">
      <c r="C3633" s="24"/>
      <c r="E3633" s="24"/>
    </row>
    <row r="3634" spans="3:5" ht="15.75" customHeight="1" x14ac:dyDescent="0.4">
      <c r="C3634" s="24"/>
      <c r="E3634" s="24"/>
    </row>
    <row r="3635" spans="3:5" ht="15.75" customHeight="1" x14ac:dyDescent="0.4">
      <c r="C3635" s="24"/>
      <c r="E3635" s="24"/>
    </row>
    <row r="3636" spans="3:5" ht="15.75" customHeight="1" x14ac:dyDescent="0.4">
      <c r="C3636" s="24"/>
      <c r="E3636" s="24"/>
    </row>
    <row r="3637" spans="3:5" ht="15.75" customHeight="1" x14ac:dyDescent="0.4">
      <c r="C3637" s="24"/>
      <c r="E3637" s="24"/>
    </row>
    <row r="3638" spans="3:5" ht="15.75" customHeight="1" x14ac:dyDescent="0.4">
      <c r="C3638" s="24"/>
      <c r="E3638" s="24"/>
    </row>
    <row r="3639" spans="3:5" ht="15.75" customHeight="1" x14ac:dyDescent="0.4">
      <c r="C3639" s="24"/>
      <c r="E3639" s="24"/>
    </row>
    <row r="3640" spans="3:5" ht="15.75" customHeight="1" x14ac:dyDescent="0.4">
      <c r="C3640" s="24"/>
      <c r="E3640" s="24"/>
    </row>
    <row r="3641" spans="3:5" ht="15.75" customHeight="1" x14ac:dyDescent="0.4">
      <c r="C3641" s="24"/>
      <c r="E3641" s="24"/>
    </row>
    <row r="3642" spans="3:5" ht="15.75" customHeight="1" x14ac:dyDescent="0.4">
      <c r="C3642" s="24"/>
      <c r="E3642" s="24"/>
    </row>
    <row r="3643" spans="3:5" ht="15.75" customHeight="1" x14ac:dyDescent="0.4">
      <c r="C3643" s="24"/>
      <c r="E3643" s="24"/>
    </row>
    <row r="3644" spans="3:5" ht="15.75" customHeight="1" x14ac:dyDescent="0.4">
      <c r="C3644" s="24"/>
      <c r="E3644" s="24"/>
    </row>
    <row r="3645" spans="3:5" ht="15.75" customHeight="1" x14ac:dyDescent="0.4">
      <c r="C3645" s="24"/>
      <c r="E3645" s="24"/>
    </row>
    <row r="3646" spans="3:5" ht="15.75" customHeight="1" x14ac:dyDescent="0.4">
      <c r="C3646" s="24"/>
      <c r="E3646" s="24"/>
    </row>
    <row r="3647" spans="3:5" ht="15.75" customHeight="1" x14ac:dyDescent="0.4">
      <c r="C3647" s="24"/>
      <c r="E3647" s="24"/>
    </row>
    <row r="3648" spans="3:5" ht="15.75" customHeight="1" x14ac:dyDescent="0.4">
      <c r="C3648" s="24"/>
      <c r="E3648" s="24"/>
    </row>
    <row r="3649" spans="3:5" ht="15.75" customHeight="1" x14ac:dyDescent="0.4">
      <c r="C3649" s="24"/>
      <c r="E3649" s="24"/>
    </row>
    <row r="3650" spans="3:5" ht="15.75" customHeight="1" x14ac:dyDescent="0.4">
      <c r="C3650" s="24"/>
      <c r="E3650" s="24"/>
    </row>
    <row r="3651" spans="3:5" ht="15.75" customHeight="1" x14ac:dyDescent="0.4">
      <c r="C3651" s="24"/>
      <c r="E3651" s="24"/>
    </row>
    <row r="3652" spans="3:5" ht="15.75" customHeight="1" x14ac:dyDescent="0.4">
      <c r="C3652" s="24"/>
      <c r="E3652" s="24"/>
    </row>
    <row r="3653" spans="3:5" ht="15.75" customHeight="1" x14ac:dyDescent="0.4">
      <c r="C3653" s="24"/>
      <c r="E3653" s="24"/>
    </row>
    <row r="3654" spans="3:5" ht="15.75" customHeight="1" x14ac:dyDescent="0.4">
      <c r="C3654" s="24"/>
      <c r="E3654" s="24"/>
    </row>
    <row r="3655" spans="3:5" ht="15.75" customHeight="1" x14ac:dyDescent="0.4">
      <c r="C3655" s="24"/>
      <c r="E3655" s="24"/>
    </row>
    <row r="3656" spans="3:5" ht="15.75" customHeight="1" x14ac:dyDescent="0.4">
      <c r="C3656" s="24"/>
      <c r="E3656" s="24"/>
    </row>
    <row r="3657" spans="3:5" ht="15.75" customHeight="1" x14ac:dyDescent="0.4">
      <c r="C3657" s="24"/>
      <c r="E3657" s="24"/>
    </row>
    <row r="3658" spans="3:5" ht="15.75" customHeight="1" x14ac:dyDescent="0.4">
      <c r="C3658" s="24"/>
      <c r="E3658" s="24"/>
    </row>
    <row r="3659" spans="3:5" ht="15.75" customHeight="1" x14ac:dyDescent="0.4">
      <c r="C3659" s="24"/>
      <c r="E3659" s="24"/>
    </row>
    <row r="3660" spans="3:5" ht="15.75" customHeight="1" x14ac:dyDescent="0.4">
      <c r="C3660" s="24"/>
      <c r="E3660" s="24"/>
    </row>
    <row r="3661" spans="3:5" ht="15.75" customHeight="1" x14ac:dyDescent="0.4">
      <c r="C3661" s="24"/>
      <c r="E3661" s="24"/>
    </row>
    <row r="3662" spans="3:5" ht="15.75" customHeight="1" x14ac:dyDescent="0.4">
      <c r="C3662" s="24"/>
      <c r="E3662" s="24"/>
    </row>
    <row r="3663" spans="3:5" ht="15.75" customHeight="1" x14ac:dyDescent="0.4">
      <c r="C3663" s="24"/>
      <c r="E3663" s="24"/>
    </row>
    <row r="3664" spans="3:5" ht="15.75" customHeight="1" x14ac:dyDescent="0.4">
      <c r="C3664" s="24"/>
      <c r="E3664" s="24"/>
    </row>
    <row r="3665" spans="3:5" ht="15.75" customHeight="1" x14ac:dyDescent="0.4">
      <c r="C3665" s="24"/>
      <c r="E3665" s="24"/>
    </row>
    <row r="3666" spans="3:5" ht="15.75" customHeight="1" x14ac:dyDescent="0.4">
      <c r="C3666" s="24"/>
      <c r="E3666" s="24"/>
    </row>
    <row r="3667" spans="3:5" ht="15.75" customHeight="1" x14ac:dyDescent="0.4">
      <c r="C3667" s="24"/>
      <c r="E3667" s="24"/>
    </row>
    <row r="3668" spans="3:5" ht="15.75" customHeight="1" x14ac:dyDescent="0.4">
      <c r="C3668" s="24"/>
      <c r="E3668" s="24"/>
    </row>
    <row r="3669" spans="3:5" ht="15.75" customHeight="1" x14ac:dyDescent="0.4">
      <c r="C3669" s="24"/>
      <c r="E3669" s="24"/>
    </row>
    <row r="3670" spans="3:5" ht="15.75" customHeight="1" x14ac:dyDescent="0.4">
      <c r="C3670" s="24"/>
      <c r="E3670" s="24"/>
    </row>
    <row r="3671" spans="3:5" ht="15.75" customHeight="1" x14ac:dyDescent="0.4">
      <c r="C3671" s="24"/>
      <c r="E3671" s="24"/>
    </row>
    <row r="3672" spans="3:5" ht="15.75" customHeight="1" x14ac:dyDescent="0.4">
      <c r="C3672" s="24"/>
      <c r="E3672" s="24"/>
    </row>
    <row r="3673" spans="3:5" ht="15.75" customHeight="1" x14ac:dyDescent="0.4">
      <c r="C3673" s="24"/>
      <c r="E3673" s="24"/>
    </row>
    <row r="3674" spans="3:5" ht="15.75" customHeight="1" x14ac:dyDescent="0.4">
      <c r="C3674" s="24"/>
      <c r="E3674" s="24"/>
    </row>
    <row r="3675" spans="3:5" ht="15.75" customHeight="1" x14ac:dyDescent="0.4">
      <c r="C3675" s="24"/>
      <c r="E3675" s="24"/>
    </row>
    <row r="3676" spans="3:5" ht="15.75" customHeight="1" x14ac:dyDescent="0.4">
      <c r="C3676" s="24"/>
      <c r="E3676" s="24"/>
    </row>
    <row r="3677" spans="3:5" ht="15.75" customHeight="1" x14ac:dyDescent="0.4">
      <c r="C3677" s="24"/>
      <c r="E3677" s="24"/>
    </row>
    <row r="3678" spans="3:5" ht="15.75" customHeight="1" x14ac:dyDescent="0.4">
      <c r="C3678" s="24"/>
      <c r="E3678" s="24"/>
    </row>
    <row r="3679" spans="3:5" ht="15.75" customHeight="1" x14ac:dyDescent="0.4">
      <c r="C3679" s="24"/>
      <c r="E3679" s="24"/>
    </row>
    <row r="3680" spans="3:5" ht="15.75" customHeight="1" x14ac:dyDescent="0.4">
      <c r="C3680" s="24"/>
      <c r="E3680" s="24"/>
    </row>
    <row r="3681" spans="3:5" ht="15.75" customHeight="1" x14ac:dyDescent="0.4">
      <c r="C3681" s="24"/>
      <c r="E3681" s="24"/>
    </row>
    <row r="3682" spans="3:5" ht="15.75" customHeight="1" x14ac:dyDescent="0.4">
      <c r="C3682" s="24"/>
      <c r="E3682" s="24"/>
    </row>
    <row r="3683" spans="3:5" ht="15.75" customHeight="1" x14ac:dyDescent="0.4">
      <c r="C3683" s="24"/>
      <c r="E3683" s="24"/>
    </row>
    <row r="3684" spans="3:5" ht="15.75" customHeight="1" x14ac:dyDescent="0.4">
      <c r="C3684" s="24"/>
      <c r="E3684" s="24"/>
    </row>
    <row r="3685" spans="3:5" ht="15.75" customHeight="1" x14ac:dyDescent="0.4">
      <c r="C3685" s="24"/>
      <c r="E3685" s="24"/>
    </row>
    <row r="3686" spans="3:5" ht="15.75" customHeight="1" x14ac:dyDescent="0.4">
      <c r="C3686" s="24"/>
      <c r="E3686" s="24"/>
    </row>
    <row r="3687" spans="3:5" ht="15.75" customHeight="1" x14ac:dyDescent="0.4">
      <c r="C3687" s="24"/>
      <c r="E3687" s="24"/>
    </row>
    <row r="3688" spans="3:5" ht="15.75" customHeight="1" x14ac:dyDescent="0.4">
      <c r="C3688" s="24"/>
      <c r="E3688" s="24"/>
    </row>
    <row r="3689" spans="3:5" ht="15.75" customHeight="1" x14ac:dyDescent="0.4">
      <c r="C3689" s="24"/>
      <c r="E3689" s="24"/>
    </row>
    <row r="3690" spans="3:5" ht="15.75" customHeight="1" x14ac:dyDescent="0.4">
      <c r="C3690" s="24"/>
      <c r="E3690" s="24"/>
    </row>
    <row r="3691" spans="3:5" ht="15.75" customHeight="1" x14ac:dyDescent="0.4">
      <c r="C3691" s="24"/>
      <c r="E3691" s="24"/>
    </row>
    <row r="3692" spans="3:5" ht="15.75" customHeight="1" x14ac:dyDescent="0.4">
      <c r="C3692" s="24"/>
      <c r="E3692" s="24"/>
    </row>
    <row r="3693" spans="3:5" ht="15.75" customHeight="1" x14ac:dyDescent="0.4">
      <c r="C3693" s="24"/>
      <c r="E3693" s="24"/>
    </row>
    <row r="3694" spans="3:5" ht="15.75" customHeight="1" x14ac:dyDescent="0.4">
      <c r="C3694" s="24"/>
      <c r="E3694" s="24"/>
    </row>
    <row r="3695" spans="3:5" ht="15.75" customHeight="1" x14ac:dyDescent="0.4">
      <c r="C3695" s="24"/>
      <c r="E3695" s="24"/>
    </row>
    <row r="3696" spans="3:5" ht="15.75" customHeight="1" x14ac:dyDescent="0.4">
      <c r="C3696" s="24"/>
      <c r="E3696" s="24"/>
    </row>
    <row r="3697" spans="3:5" ht="15.75" customHeight="1" x14ac:dyDescent="0.4">
      <c r="C3697" s="24"/>
      <c r="E3697" s="24"/>
    </row>
    <row r="3698" spans="3:5" ht="15.75" customHeight="1" x14ac:dyDescent="0.4">
      <c r="C3698" s="24"/>
      <c r="E3698" s="24"/>
    </row>
    <row r="3699" spans="3:5" ht="15.75" customHeight="1" x14ac:dyDescent="0.4">
      <c r="C3699" s="24"/>
      <c r="E3699" s="24"/>
    </row>
    <row r="3700" spans="3:5" ht="15.75" customHeight="1" x14ac:dyDescent="0.4">
      <c r="C3700" s="24"/>
      <c r="E3700" s="24"/>
    </row>
    <row r="3701" spans="3:5" ht="15.75" customHeight="1" x14ac:dyDescent="0.4">
      <c r="C3701" s="24"/>
      <c r="E3701" s="24"/>
    </row>
    <row r="3702" spans="3:5" ht="15.75" customHeight="1" x14ac:dyDescent="0.4">
      <c r="C3702" s="24"/>
      <c r="E3702" s="24"/>
    </row>
    <row r="3703" spans="3:5" ht="15.75" customHeight="1" x14ac:dyDescent="0.4">
      <c r="C3703" s="24"/>
      <c r="E3703" s="24"/>
    </row>
    <row r="3704" spans="3:5" ht="15.75" customHeight="1" x14ac:dyDescent="0.4">
      <c r="C3704" s="24"/>
      <c r="E3704" s="24"/>
    </row>
    <row r="3705" spans="3:5" ht="15.75" customHeight="1" x14ac:dyDescent="0.4">
      <c r="C3705" s="24"/>
      <c r="E3705" s="24"/>
    </row>
    <row r="3706" spans="3:5" ht="15.75" customHeight="1" x14ac:dyDescent="0.4">
      <c r="C3706" s="24"/>
      <c r="E3706" s="24"/>
    </row>
    <row r="3707" spans="3:5" ht="15.75" customHeight="1" x14ac:dyDescent="0.4">
      <c r="C3707" s="24"/>
      <c r="E3707" s="24"/>
    </row>
    <row r="3708" spans="3:5" ht="15.75" customHeight="1" x14ac:dyDescent="0.4">
      <c r="C3708" s="24"/>
      <c r="E3708" s="24"/>
    </row>
    <row r="3709" spans="3:5" ht="15.75" customHeight="1" x14ac:dyDescent="0.4">
      <c r="C3709" s="24"/>
      <c r="E3709" s="24"/>
    </row>
    <row r="3710" spans="3:5" ht="15.75" customHeight="1" x14ac:dyDescent="0.4">
      <c r="C3710" s="24"/>
      <c r="E3710" s="24"/>
    </row>
    <row r="3711" spans="3:5" ht="15.75" customHeight="1" x14ac:dyDescent="0.4">
      <c r="C3711" s="24"/>
      <c r="E3711" s="24"/>
    </row>
    <row r="3712" spans="3:5" ht="15.75" customHeight="1" x14ac:dyDescent="0.4">
      <c r="C3712" s="24"/>
      <c r="E3712" s="24"/>
    </row>
    <row r="3713" spans="3:5" ht="15.75" customHeight="1" x14ac:dyDescent="0.4">
      <c r="C3713" s="24"/>
      <c r="E3713" s="24"/>
    </row>
    <row r="3714" spans="3:5" ht="15.75" customHeight="1" x14ac:dyDescent="0.4">
      <c r="C3714" s="24"/>
      <c r="E3714" s="24"/>
    </row>
    <row r="3715" spans="3:5" ht="15.75" customHeight="1" x14ac:dyDescent="0.4">
      <c r="C3715" s="24"/>
      <c r="E3715" s="24"/>
    </row>
    <row r="3716" spans="3:5" ht="15.75" customHeight="1" x14ac:dyDescent="0.4">
      <c r="C3716" s="24"/>
      <c r="E3716" s="24"/>
    </row>
    <row r="3717" spans="3:5" ht="15.75" customHeight="1" x14ac:dyDescent="0.4">
      <c r="C3717" s="24"/>
      <c r="E3717" s="24"/>
    </row>
    <row r="3718" spans="3:5" ht="15.75" customHeight="1" x14ac:dyDescent="0.4">
      <c r="C3718" s="24"/>
      <c r="E3718" s="24"/>
    </row>
    <row r="3719" spans="3:5" ht="15.75" customHeight="1" x14ac:dyDescent="0.4">
      <c r="C3719" s="24"/>
      <c r="E3719" s="24"/>
    </row>
    <row r="3720" spans="3:5" ht="15.75" customHeight="1" x14ac:dyDescent="0.4">
      <c r="C3720" s="24"/>
      <c r="E3720" s="24"/>
    </row>
    <row r="3721" spans="3:5" ht="15.75" customHeight="1" x14ac:dyDescent="0.4">
      <c r="C3721" s="24"/>
      <c r="E3721" s="24"/>
    </row>
    <row r="3722" spans="3:5" ht="15.75" customHeight="1" x14ac:dyDescent="0.4">
      <c r="C3722" s="24"/>
      <c r="E3722" s="24"/>
    </row>
    <row r="3723" spans="3:5" ht="15.75" customHeight="1" x14ac:dyDescent="0.4">
      <c r="C3723" s="24"/>
      <c r="E3723" s="24"/>
    </row>
    <row r="1048576" ht="15.75" customHeight="1" x14ac:dyDescent="0.4"/>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649"/>
  <sheetViews>
    <sheetView zoomScaleNormal="100" workbookViewId="0"/>
  </sheetViews>
  <sheetFormatPr defaultColWidth="12.6328125" defaultRowHeight="14.5" x14ac:dyDescent="0.4"/>
  <cols>
    <col min="1" max="1" width="8.90625" customWidth="1"/>
    <col min="2" max="2" width="15.08984375" customWidth="1"/>
  </cols>
  <sheetData>
    <row r="1" spans="1:2" ht="15.75" customHeight="1" x14ac:dyDescent="0.4">
      <c r="A1" s="24" t="s">
        <v>213</v>
      </c>
      <c r="B1" s="24" t="s">
        <v>2198</v>
      </c>
    </row>
    <row r="2" spans="1:2" ht="15.75" customHeight="1" x14ac:dyDescent="0.4">
      <c r="A2" s="24" t="s">
        <v>244</v>
      </c>
      <c r="B2" s="24">
        <v>20</v>
      </c>
    </row>
    <row r="3" spans="1:2" ht="15.75" customHeight="1" x14ac:dyDescent="0.4">
      <c r="A3" s="24" t="s">
        <v>2152</v>
      </c>
      <c r="B3" s="24">
        <v>93.73</v>
      </c>
    </row>
    <row r="4" spans="1:2" ht="15.75" customHeight="1" x14ac:dyDescent="0.4">
      <c r="A4" s="24" t="s">
        <v>2153</v>
      </c>
      <c r="B4" s="24">
        <v>100</v>
      </c>
    </row>
    <row r="5" spans="1:2" ht="15.75" customHeight="1" x14ac:dyDescent="0.4">
      <c r="A5" s="24" t="s">
        <v>667</v>
      </c>
      <c r="B5" s="24">
        <v>26.02</v>
      </c>
    </row>
    <row r="6" spans="1:2" ht="15.75" customHeight="1" x14ac:dyDescent="0.4">
      <c r="A6" s="24" t="s">
        <v>2166</v>
      </c>
      <c r="B6" s="24">
        <v>99.61</v>
      </c>
    </row>
    <row r="7" spans="1:2" ht="15.75" customHeight="1" x14ac:dyDescent="0.4">
      <c r="A7" s="24" t="s">
        <v>2162</v>
      </c>
      <c r="B7" s="24">
        <v>15.57</v>
      </c>
    </row>
    <row r="8" spans="1:2" ht="15.75" customHeight="1" x14ac:dyDescent="0.4">
      <c r="A8" s="24" t="s">
        <v>2150</v>
      </c>
      <c r="B8" s="24">
        <v>100</v>
      </c>
    </row>
    <row r="9" spans="1:2" ht="15.75" customHeight="1" x14ac:dyDescent="0.4">
      <c r="A9" s="24" t="s">
        <v>2147</v>
      </c>
      <c r="B9" s="24">
        <v>100</v>
      </c>
    </row>
    <row r="10" spans="1:2" ht="15.75" customHeight="1" x14ac:dyDescent="0.4">
      <c r="A10" s="24" t="s">
        <v>2138</v>
      </c>
      <c r="B10" s="24">
        <v>22.22</v>
      </c>
    </row>
    <row r="11" spans="1:2" ht="15.75" customHeight="1" x14ac:dyDescent="0.4">
      <c r="A11" s="24" t="s">
        <v>772</v>
      </c>
      <c r="B11" s="24">
        <v>22.41</v>
      </c>
    </row>
    <row r="12" spans="1:2" ht="15.75" customHeight="1" x14ac:dyDescent="0.4">
      <c r="A12" s="24" t="s">
        <v>2158</v>
      </c>
      <c r="B12" s="24">
        <v>95.77</v>
      </c>
    </row>
    <row r="13" spans="1:2" ht="15.75" customHeight="1" x14ac:dyDescent="0.4">
      <c r="A13" s="24" t="s">
        <v>2146</v>
      </c>
      <c r="B13" s="24">
        <v>16.97</v>
      </c>
    </row>
    <row r="14" spans="1:2" ht="15.75" customHeight="1" x14ac:dyDescent="0.4">
      <c r="A14" s="24" t="s">
        <v>2141</v>
      </c>
      <c r="B14" s="24">
        <v>100</v>
      </c>
    </row>
    <row r="15" spans="1:2" ht="15.75" customHeight="1" x14ac:dyDescent="0.4">
      <c r="A15" s="24" t="s">
        <v>2140</v>
      </c>
      <c r="B15" s="24">
        <v>100</v>
      </c>
    </row>
    <row r="16" spans="1:2" ht="15.75" customHeight="1" x14ac:dyDescent="0.4">
      <c r="A16" s="24" t="s">
        <v>2157</v>
      </c>
      <c r="B16" s="24">
        <v>87.64</v>
      </c>
    </row>
    <row r="17" spans="1:2" ht="15.75" customHeight="1" x14ac:dyDescent="0.4">
      <c r="A17" s="24" t="s">
        <v>2155</v>
      </c>
      <c r="B17" s="24">
        <v>100</v>
      </c>
    </row>
    <row r="18" spans="1:2" ht="15.75" customHeight="1" x14ac:dyDescent="0.4">
      <c r="A18" s="24" t="s">
        <v>2173</v>
      </c>
      <c r="B18" s="24">
        <v>100</v>
      </c>
    </row>
    <row r="19" spans="1:2" ht="15.75" customHeight="1" x14ac:dyDescent="0.4">
      <c r="A19" s="24" t="s">
        <v>774</v>
      </c>
      <c r="B19" s="24">
        <v>53.65</v>
      </c>
    </row>
    <row r="20" spans="1:2" ht="15.75" customHeight="1" x14ac:dyDescent="0.4">
      <c r="A20" s="24" t="s">
        <v>629</v>
      </c>
      <c r="B20" s="24">
        <v>0.63</v>
      </c>
    </row>
    <row r="21" spans="1:2" ht="15.75" customHeight="1" x14ac:dyDescent="0.4">
      <c r="A21" s="24" t="s">
        <v>2148</v>
      </c>
      <c r="B21" s="24">
        <v>100</v>
      </c>
    </row>
    <row r="22" spans="1:2" ht="15.75" customHeight="1" x14ac:dyDescent="0.4">
      <c r="A22" s="24" t="s">
        <v>2145</v>
      </c>
      <c r="B22" s="24">
        <v>62.56</v>
      </c>
    </row>
    <row r="23" spans="1:2" ht="15.75" customHeight="1" x14ac:dyDescent="0.4">
      <c r="A23" s="24" t="s">
        <v>252</v>
      </c>
      <c r="B23" s="24">
        <v>0</v>
      </c>
    </row>
    <row r="24" spans="1:2" ht="15.75" customHeight="1" x14ac:dyDescent="0.4">
      <c r="A24" s="24" t="s">
        <v>2171</v>
      </c>
      <c r="B24" s="24">
        <v>100</v>
      </c>
    </row>
    <row r="25" spans="1:2" ht="15.75" customHeight="1" x14ac:dyDescent="0.4">
      <c r="A25" s="24" t="s">
        <v>2169</v>
      </c>
      <c r="B25" s="24">
        <v>100</v>
      </c>
    </row>
    <row r="26" spans="1:2" ht="15.75" customHeight="1" x14ac:dyDescent="0.4">
      <c r="A26" s="24" t="s">
        <v>2144</v>
      </c>
      <c r="B26" s="24">
        <v>94.48</v>
      </c>
    </row>
    <row r="27" spans="1:2" ht="15.75" customHeight="1" x14ac:dyDescent="0.4">
      <c r="A27" s="24" t="s">
        <v>2156</v>
      </c>
      <c r="B27" s="24">
        <v>87.18</v>
      </c>
    </row>
    <row r="28" spans="1:2" ht="15.75" customHeight="1" x14ac:dyDescent="0.4">
      <c r="A28" s="24" t="s">
        <v>2161</v>
      </c>
      <c r="B28" s="24">
        <v>71.55</v>
      </c>
    </row>
    <row r="29" spans="1:2" ht="15.75" customHeight="1" x14ac:dyDescent="0.4">
      <c r="A29" s="24" t="s">
        <v>2154</v>
      </c>
      <c r="B29" s="24">
        <v>94.07</v>
      </c>
    </row>
    <row r="30" spans="1:2" ht="15.75" customHeight="1" x14ac:dyDescent="0.4">
      <c r="A30" s="24" t="s">
        <v>796</v>
      </c>
      <c r="B30" s="24">
        <v>0.05</v>
      </c>
    </row>
    <row r="31" spans="1:2" ht="15.75" customHeight="1" x14ac:dyDescent="0.4">
      <c r="A31" s="24" t="s">
        <v>2172</v>
      </c>
      <c r="B31" s="24">
        <v>100</v>
      </c>
    </row>
    <row r="32" spans="1:2" ht="15.75" customHeight="1" x14ac:dyDescent="0.4">
      <c r="A32" s="24" t="s">
        <v>2165</v>
      </c>
      <c r="B32" s="24">
        <v>100</v>
      </c>
    </row>
    <row r="33" spans="1:2" ht="15.75" customHeight="1" x14ac:dyDescent="0.4">
      <c r="A33" s="24" t="s">
        <v>2168</v>
      </c>
      <c r="B33" s="24">
        <v>100</v>
      </c>
    </row>
    <row r="34" spans="1:2" ht="15.75" customHeight="1" x14ac:dyDescent="0.4">
      <c r="A34" s="24" t="s">
        <v>2163</v>
      </c>
      <c r="B34" s="24">
        <v>100</v>
      </c>
    </row>
    <row r="35" spans="1:2" ht="15.75" customHeight="1" x14ac:dyDescent="0.4">
      <c r="A35" s="24" t="s">
        <v>2164</v>
      </c>
      <c r="B35" s="24">
        <v>85.53</v>
      </c>
    </row>
    <row r="36" spans="1:2" ht="15.75" customHeight="1" x14ac:dyDescent="0.4">
      <c r="A36" s="24" t="s">
        <v>2151</v>
      </c>
      <c r="B36" s="24">
        <v>86.04</v>
      </c>
    </row>
    <row r="37" spans="1:2" ht="15.75" customHeight="1" x14ac:dyDescent="0.4">
      <c r="A37" s="24" t="s">
        <v>2159</v>
      </c>
      <c r="B37" s="24">
        <v>95.44</v>
      </c>
    </row>
    <row r="38" spans="1:2" ht="15.75" customHeight="1" x14ac:dyDescent="0.4">
      <c r="A38" s="24" t="s">
        <v>2167</v>
      </c>
      <c r="B38" s="24">
        <v>100</v>
      </c>
    </row>
    <row r="39" spans="1:2" ht="15.75" customHeight="1" x14ac:dyDescent="0.4">
      <c r="A39" s="24" t="s">
        <v>2149</v>
      </c>
      <c r="B39" s="24">
        <v>100</v>
      </c>
    </row>
    <row r="40" spans="1:2" ht="15.75" customHeight="1" x14ac:dyDescent="0.4">
      <c r="A40" s="24" t="s">
        <v>2160</v>
      </c>
      <c r="B40" s="24">
        <v>100</v>
      </c>
    </row>
    <row r="41" spans="1:2" ht="15.75" customHeight="1" x14ac:dyDescent="0.4">
      <c r="A41" s="24" t="s">
        <v>2143</v>
      </c>
      <c r="B41" s="24">
        <v>99.69</v>
      </c>
    </row>
    <row r="42" spans="1:2" ht="15.75" customHeight="1" x14ac:dyDescent="0.4">
      <c r="A42" s="24" t="s">
        <v>2139</v>
      </c>
      <c r="B42" s="24">
        <v>100</v>
      </c>
    </row>
    <row r="43" spans="1:2" ht="15.75" customHeight="1" x14ac:dyDescent="0.4">
      <c r="A43" s="24" t="s">
        <v>234</v>
      </c>
      <c r="B43" s="24">
        <v>100</v>
      </c>
    </row>
    <row r="44" spans="1:2" ht="15.75" customHeight="1" x14ac:dyDescent="0.4">
      <c r="A44" s="24" t="s">
        <v>2142</v>
      </c>
      <c r="B44" s="24">
        <v>100</v>
      </c>
    </row>
    <row r="45" spans="1:2" ht="15.75" customHeight="1" x14ac:dyDescent="0.4">
      <c r="A45" s="24" t="s">
        <v>2170</v>
      </c>
      <c r="B45" s="24">
        <v>97.22</v>
      </c>
    </row>
    <row r="46" spans="1:2" ht="15.75" customHeight="1" x14ac:dyDescent="0.4">
      <c r="A46" s="24" t="s">
        <v>2097</v>
      </c>
      <c r="B46" s="24">
        <v>96.39</v>
      </c>
    </row>
    <row r="47" spans="1:2" ht="15.75" customHeight="1" x14ac:dyDescent="0.4">
      <c r="A47" s="24" t="s">
        <v>2090</v>
      </c>
      <c r="B47" s="24">
        <v>17.22</v>
      </c>
    </row>
    <row r="48" spans="1:2" ht="15.75" customHeight="1" x14ac:dyDescent="0.4">
      <c r="A48" s="24" t="s">
        <v>2083</v>
      </c>
      <c r="B48" s="24">
        <v>11.75</v>
      </c>
    </row>
    <row r="49" spans="1:2" ht="15.75" customHeight="1" x14ac:dyDescent="0.4">
      <c r="A49" s="24" t="s">
        <v>2087</v>
      </c>
      <c r="B49" s="24">
        <v>53.47</v>
      </c>
    </row>
    <row r="50" spans="1:2" ht="15.75" customHeight="1" x14ac:dyDescent="0.4">
      <c r="A50" s="24" t="s">
        <v>2050</v>
      </c>
      <c r="B50" s="24">
        <v>52.15</v>
      </c>
    </row>
    <row r="51" spans="1:2" ht="15.75" customHeight="1" x14ac:dyDescent="0.4">
      <c r="A51" s="24" t="s">
        <v>2091</v>
      </c>
      <c r="B51" s="24">
        <v>81.96</v>
      </c>
    </row>
    <row r="52" spans="1:2" ht="15.75" customHeight="1" x14ac:dyDescent="0.4">
      <c r="A52" s="24" t="s">
        <v>2117</v>
      </c>
      <c r="B52" s="24">
        <v>79.87</v>
      </c>
    </row>
    <row r="53" spans="1:2" ht="15.75" customHeight="1" x14ac:dyDescent="0.4">
      <c r="A53" s="24" t="s">
        <v>2044</v>
      </c>
      <c r="B53" s="24">
        <v>11.76</v>
      </c>
    </row>
    <row r="54" spans="1:2" ht="15.75" customHeight="1" x14ac:dyDescent="0.4">
      <c r="A54" s="24" t="s">
        <v>2108</v>
      </c>
      <c r="B54" s="24">
        <v>100</v>
      </c>
    </row>
    <row r="55" spans="1:2" ht="15.75" customHeight="1" x14ac:dyDescent="0.4">
      <c r="A55" s="24" t="s">
        <v>2049</v>
      </c>
      <c r="B55" s="24">
        <v>98.36</v>
      </c>
    </row>
    <row r="56" spans="1:2" ht="15.75" customHeight="1" x14ac:dyDescent="0.4">
      <c r="A56" s="24" t="s">
        <v>2126</v>
      </c>
      <c r="B56" s="24">
        <v>92.58</v>
      </c>
    </row>
    <row r="57" spans="1:2" ht="15.75" customHeight="1" x14ac:dyDescent="0.4">
      <c r="A57" s="24" t="s">
        <v>2109</v>
      </c>
      <c r="B57" s="24">
        <v>97.44</v>
      </c>
    </row>
    <row r="58" spans="1:2" ht="15.75" customHeight="1" x14ac:dyDescent="0.4">
      <c r="A58" s="24" t="s">
        <v>2080</v>
      </c>
      <c r="B58" s="24">
        <v>73.11</v>
      </c>
    </row>
    <row r="59" spans="1:2" ht="15.75" customHeight="1" x14ac:dyDescent="0.4">
      <c r="A59" s="24" t="s">
        <v>2114</v>
      </c>
      <c r="B59" s="24">
        <v>0</v>
      </c>
    </row>
    <row r="60" spans="1:2" ht="15.75" customHeight="1" x14ac:dyDescent="0.4">
      <c r="A60" s="24" t="s">
        <v>2104</v>
      </c>
      <c r="B60" s="24">
        <v>100</v>
      </c>
    </row>
    <row r="61" spans="1:2" ht="15.75" customHeight="1" x14ac:dyDescent="0.4">
      <c r="A61" s="24" t="s">
        <v>2057</v>
      </c>
      <c r="B61" s="24">
        <v>44.46</v>
      </c>
    </row>
    <row r="62" spans="1:2" ht="15.75" customHeight="1" x14ac:dyDescent="0.4">
      <c r="A62" s="24" t="s">
        <v>2062</v>
      </c>
      <c r="B62" s="24">
        <v>100</v>
      </c>
    </row>
    <row r="63" spans="1:2" ht="15.75" customHeight="1" x14ac:dyDescent="0.4">
      <c r="A63" s="24" t="s">
        <v>2081</v>
      </c>
      <c r="B63" s="24">
        <v>59.48</v>
      </c>
    </row>
    <row r="64" spans="1:2" ht="15.75" customHeight="1" x14ac:dyDescent="0.4">
      <c r="A64" s="24" t="s">
        <v>2100</v>
      </c>
      <c r="B64" s="24">
        <v>100</v>
      </c>
    </row>
    <row r="65" spans="1:2" ht="15.75" customHeight="1" x14ac:dyDescent="0.4">
      <c r="A65" s="24" t="s">
        <v>2136</v>
      </c>
      <c r="B65" s="24">
        <v>89.21</v>
      </c>
    </row>
    <row r="66" spans="1:2" ht="15.75" customHeight="1" x14ac:dyDescent="0.4">
      <c r="A66" s="24" t="s">
        <v>2094</v>
      </c>
      <c r="B66" s="24">
        <v>100</v>
      </c>
    </row>
    <row r="67" spans="1:2" ht="15.75" customHeight="1" x14ac:dyDescent="0.4">
      <c r="A67" s="24" t="s">
        <v>2119</v>
      </c>
      <c r="B67" s="24">
        <v>100</v>
      </c>
    </row>
    <row r="68" spans="1:2" ht="15.75" customHeight="1" x14ac:dyDescent="0.4">
      <c r="A68" s="24" t="s">
        <v>2065</v>
      </c>
      <c r="B68" s="24">
        <v>93.48</v>
      </c>
    </row>
    <row r="69" spans="1:2" ht="15.75" customHeight="1" x14ac:dyDescent="0.4">
      <c r="A69" s="24" t="s">
        <v>2054</v>
      </c>
      <c r="B69" s="24">
        <v>93.88</v>
      </c>
    </row>
    <row r="70" spans="1:2" ht="15.75" customHeight="1" x14ac:dyDescent="0.4">
      <c r="A70" s="24" t="s">
        <v>248</v>
      </c>
      <c r="B70" s="24">
        <v>86.97</v>
      </c>
    </row>
    <row r="71" spans="1:2" ht="15.75" customHeight="1" x14ac:dyDescent="0.4">
      <c r="A71" s="24" t="s">
        <v>2102</v>
      </c>
      <c r="B71" s="24">
        <v>88.89</v>
      </c>
    </row>
    <row r="72" spans="1:2" ht="15.75" customHeight="1" x14ac:dyDescent="0.4">
      <c r="A72" s="24" t="s">
        <v>2107</v>
      </c>
      <c r="B72" s="24">
        <v>53.8</v>
      </c>
    </row>
    <row r="73" spans="1:2" ht="15.75" customHeight="1" x14ac:dyDescent="0.4">
      <c r="A73" s="24" t="s">
        <v>249</v>
      </c>
      <c r="B73" s="24">
        <v>33.25</v>
      </c>
    </row>
    <row r="74" spans="1:2" ht="15.75" customHeight="1" x14ac:dyDescent="0.4">
      <c r="A74" s="24" t="s">
        <v>2135</v>
      </c>
      <c r="B74" s="24">
        <v>100</v>
      </c>
    </row>
    <row r="75" spans="1:2" ht="15.75" customHeight="1" x14ac:dyDescent="0.4">
      <c r="A75" s="24" t="s">
        <v>2103</v>
      </c>
      <c r="B75" s="24">
        <v>15.51</v>
      </c>
    </row>
    <row r="76" spans="1:2" ht="15.75" customHeight="1" x14ac:dyDescent="0.4">
      <c r="A76" s="24" t="s">
        <v>2058</v>
      </c>
      <c r="B76" s="24">
        <v>89.08</v>
      </c>
    </row>
    <row r="77" spans="1:2" ht="15.75" customHeight="1" x14ac:dyDescent="0.4">
      <c r="A77" s="24" t="s">
        <v>2127</v>
      </c>
      <c r="B77" s="24">
        <v>100</v>
      </c>
    </row>
    <row r="78" spans="1:2" ht="15.75" customHeight="1" x14ac:dyDescent="0.4">
      <c r="A78" s="24" t="s">
        <v>696</v>
      </c>
      <c r="B78" s="24">
        <v>62.39</v>
      </c>
    </row>
    <row r="79" spans="1:2" ht="15.75" customHeight="1" x14ac:dyDescent="0.4">
      <c r="A79" s="24" t="s">
        <v>231</v>
      </c>
      <c r="B79" s="24">
        <v>60.32</v>
      </c>
    </row>
    <row r="80" spans="1:2" ht="15.75" customHeight="1" x14ac:dyDescent="0.4">
      <c r="A80" s="24" t="s">
        <v>2123</v>
      </c>
      <c r="B80" s="24">
        <v>41.49</v>
      </c>
    </row>
    <row r="81" spans="1:2" ht="15.75" customHeight="1" x14ac:dyDescent="0.4">
      <c r="A81" s="24" t="s">
        <v>2134</v>
      </c>
      <c r="B81" s="24">
        <v>98.86</v>
      </c>
    </row>
    <row r="82" spans="1:2" ht="15.75" customHeight="1" x14ac:dyDescent="0.4">
      <c r="A82" s="24" t="s">
        <v>2116</v>
      </c>
      <c r="B82" s="24">
        <v>85.32</v>
      </c>
    </row>
    <row r="83" spans="1:2" ht="15.75" customHeight="1" x14ac:dyDescent="0.4">
      <c r="A83" s="24" t="s">
        <v>563</v>
      </c>
      <c r="B83" s="24">
        <v>26.83</v>
      </c>
    </row>
    <row r="84" spans="1:2" ht="15.75" customHeight="1" x14ac:dyDescent="0.4">
      <c r="A84" s="24" t="s">
        <v>2089</v>
      </c>
      <c r="B84" s="24">
        <v>92.68</v>
      </c>
    </row>
    <row r="85" spans="1:2" ht="15.75" customHeight="1" x14ac:dyDescent="0.4">
      <c r="A85" s="24" t="s">
        <v>2115</v>
      </c>
      <c r="B85" s="24">
        <v>100</v>
      </c>
    </row>
    <row r="86" spans="1:2" ht="15.75" customHeight="1" x14ac:dyDescent="0.4">
      <c r="A86" s="24" t="s">
        <v>2093</v>
      </c>
      <c r="B86" s="24">
        <v>100</v>
      </c>
    </row>
    <row r="87" spans="1:2" ht="15.75" customHeight="1" x14ac:dyDescent="0.4">
      <c r="A87" s="24" t="s">
        <v>2129</v>
      </c>
      <c r="B87" s="24">
        <v>82.1</v>
      </c>
    </row>
    <row r="88" spans="1:2" ht="15.75" customHeight="1" x14ac:dyDescent="0.4">
      <c r="A88" s="24" t="s">
        <v>2130</v>
      </c>
      <c r="B88" s="24">
        <v>100</v>
      </c>
    </row>
    <row r="89" spans="1:2" ht="15.75" customHeight="1" x14ac:dyDescent="0.4">
      <c r="A89" s="24" t="s">
        <v>2070</v>
      </c>
      <c r="B89" s="24">
        <v>87.44</v>
      </c>
    </row>
    <row r="90" spans="1:2" ht="15.75" customHeight="1" x14ac:dyDescent="0.4">
      <c r="A90" s="24" t="s">
        <v>2060</v>
      </c>
      <c r="B90" s="24">
        <v>100</v>
      </c>
    </row>
    <row r="91" spans="1:2" ht="15.75" customHeight="1" x14ac:dyDescent="0.4">
      <c r="A91" s="24" t="s">
        <v>272</v>
      </c>
      <c r="B91" s="24">
        <v>42.42</v>
      </c>
    </row>
    <row r="92" spans="1:2" ht="15.75" customHeight="1" x14ac:dyDescent="0.4">
      <c r="A92" s="24" t="s">
        <v>2073</v>
      </c>
      <c r="B92" s="24">
        <v>88.08</v>
      </c>
    </row>
    <row r="93" spans="1:2" ht="15.75" customHeight="1" x14ac:dyDescent="0.4">
      <c r="A93" s="24" t="s">
        <v>2047</v>
      </c>
      <c r="B93" s="24">
        <v>100</v>
      </c>
    </row>
    <row r="94" spans="1:2" ht="15.75" customHeight="1" x14ac:dyDescent="0.4">
      <c r="A94" s="24" t="s">
        <v>2061</v>
      </c>
      <c r="B94" s="24">
        <v>99.25</v>
      </c>
    </row>
    <row r="95" spans="1:2" ht="15.75" customHeight="1" x14ac:dyDescent="0.4">
      <c r="A95" s="24" t="s">
        <v>2052</v>
      </c>
      <c r="B95" s="24">
        <v>95.95</v>
      </c>
    </row>
    <row r="96" spans="1:2" ht="15.75" customHeight="1" x14ac:dyDescent="0.4">
      <c r="A96" s="24" t="s">
        <v>2118</v>
      </c>
      <c r="B96" s="24">
        <v>100</v>
      </c>
    </row>
    <row r="97" spans="1:2" ht="15.75" customHeight="1" x14ac:dyDescent="0.4">
      <c r="A97" s="24" t="s">
        <v>2063</v>
      </c>
      <c r="B97" s="24">
        <v>92.21</v>
      </c>
    </row>
    <row r="98" spans="1:2" ht="15.75" customHeight="1" x14ac:dyDescent="0.4">
      <c r="A98" s="24" t="s">
        <v>2072</v>
      </c>
      <c r="B98" s="24">
        <v>96.07</v>
      </c>
    </row>
    <row r="99" spans="1:2" ht="15.75" customHeight="1" x14ac:dyDescent="0.4">
      <c r="A99" s="24" t="s">
        <v>2077</v>
      </c>
      <c r="B99" s="24">
        <v>88.89</v>
      </c>
    </row>
    <row r="100" spans="1:2" ht="15.75" customHeight="1" x14ac:dyDescent="0.4">
      <c r="A100" s="24" t="s">
        <v>487</v>
      </c>
      <c r="B100" s="24">
        <v>17.920000000000002</v>
      </c>
    </row>
    <row r="101" spans="1:2" ht="15.75" customHeight="1" x14ac:dyDescent="0.4">
      <c r="A101" s="24" t="s">
        <v>2088</v>
      </c>
      <c r="B101" s="24">
        <v>100</v>
      </c>
    </row>
    <row r="102" spans="1:2" ht="15.75" customHeight="1" x14ac:dyDescent="0.4">
      <c r="A102" s="24" t="s">
        <v>2056</v>
      </c>
      <c r="B102" s="24">
        <v>92.44</v>
      </c>
    </row>
    <row r="103" spans="1:2" ht="15.75" customHeight="1" x14ac:dyDescent="0.4">
      <c r="A103" s="24" t="s">
        <v>2051</v>
      </c>
      <c r="B103" s="24">
        <v>85.04</v>
      </c>
    </row>
    <row r="104" spans="1:2" ht="15.75" customHeight="1" x14ac:dyDescent="0.4">
      <c r="A104" s="24" t="s">
        <v>2078</v>
      </c>
      <c r="B104" s="24">
        <v>100</v>
      </c>
    </row>
    <row r="105" spans="1:2" ht="15.75" customHeight="1" x14ac:dyDescent="0.4">
      <c r="A105" s="24" t="s">
        <v>2079</v>
      </c>
      <c r="B105" s="24">
        <v>100</v>
      </c>
    </row>
    <row r="106" spans="1:2" ht="15.75" customHeight="1" x14ac:dyDescent="0.4">
      <c r="A106" s="24" t="s">
        <v>2099</v>
      </c>
      <c r="B106" s="24">
        <v>100</v>
      </c>
    </row>
    <row r="107" spans="1:2" ht="15.75" customHeight="1" x14ac:dyDescent="0.4">
      <c r="A107" s="24" t="s">
        <v>2121</v>
      </c>
      <c r="B107" s="24">
        <v>94.41</v>
      </c>
    </row>
    <row r="108" spans="1:2" ht="15.75" customHeight="1" x14ac:dyDescent="0.4">
      <c r="A108" s="24" t="s">
        <v>343</v>
      </c>
      <c r="B108" s="24">
        <v>37.9</v>
      </c>
    </row>
    <row r="109" spans="1:2" ht="15.75" customHeight="1" x14ac:dyDescent="0.4">
      <c r="A109" s="24" t="s">
        <v>2048</v>
      </c>
      <c r="B109" s="24">
        <v>77.8</v>
      </c>
    </row>
    <row r="110" spans="1:2" ht="15.75" customHeight="1" x14ac:dyDescent="0.4">
      <c r="A110" s="24" t="s">
        <v>2064</v>
      </c>
      <c r="B110" s="24">
        <v>94.17</v>
      </c>
    </row>
    <row r="111" spans="1:2" ht="15.75" customHeight="1" x14ac:dyDescent="0.4">
      <c r="A111" s="24" t="s">
        <v>2122</v>
      </c>
      <c r="B111" s="24">
        <v>96.63</v>
      </c>
    </row>
    <row r="112" spans="1:2" ht="15.75" customHeight="1" x14ac:dyDescent="0.4">
      <c r="A112" s="24" t="s">
        <v>2137</v>
      </c>
      <c r="B112" s="24">
        <v>99.62</v>
      </c>
    </row>
    <row r="113" spans="1:2" ht="15.75" customHeight="1" x14ac:dyDescent="0.4">
      <c r="A113" s="24" t="s">
        <v>2053</v>
      </c>
      <c r="B113" s="24">
        <v>95.65</v>
      </c>
    </row>
    <row r="114" spans="1:2" ht="15.75" customHeight="1" x14ac:dyDescent="0.4">
      <c r="A114" s="24" t="s">
        <v>2055</v>
      </c>
      <c r="B114" s="24">
        <v>100</v>
      </c>
    </row>
    <row r="115" spans="1:2" ht="15.75" customHeight="1" x14ac:dyDescent="0.4">
      <c r="A115" s="24" t="s">
        <v>2067</v>
      </c>
      <c r="B115" s="24">
        <v>100</v>
      </c>
    </row>
    <row r="116" spans="1:2" ht="15.75" customHeight="1" x14ac:dyDescent="0.4">
      <c r="A116" s="24" t="s">
        <v>2066</v>
      </c>
      <c r="B116" s="24">
        <v>20.420000000000002</v>
      </c>
    </row>
    <row r="117" spans="1:2" ht="15.75" customHeight="1" x14ac:dyDescent="0.4">
      <c r="A117" s="24" t="s">
        <v>2069</v>
      </c>
      <c r="B117" s="24">
        <v>88.07</v>
      </c>
    </row>
    <row r="118" spans="1:2" ht="15.75" customHeight="1" x14ac:dyDescent="0.4">
      <c r="A118" s="24" t="s">
        <v>2046</v>
      </c>
      <c r="B118" s="24">
        <v>44.44</v>
      </c>
    </row>
    <row r="119" spans="1:2" ht="15.75" customHeight="1" x14ac:dyDescent="0.4">
      <c r="A119" s="24" t="s">
        <v>2074</v>
      </c>
      <c r="B119" s="24">
        <v>92.99</v>
      </c>
    </row>
    <row r="120" spans="1:2" ht="15.75" customHeight="1" x14ac:dyDescent="0.4">
      <c r="A120" s="24" t="s">
        <v>2084</v>
      </c>
      <c r="B120" s="24">
        <v>88.89</v>
      </c>
    </row>
    <row r="121" spans="1:2" ht="15.75" customHeight="1" x14ac:dyDescent="0.4">
      <c r="A121" s="24" t="s">
        <v>2076</v>
      </c>
      <c r="B121" s="24">
        <v>100</v>
      </c>
    </row>
    <row r="122" spans="1:2" ht="15.75" customHeight="1" x14ac:dyDescent="0.4">
      <c r="A122" s="24" t="s">
        <v>2124</v>
      </c>
      <c r="B122" s="24">
        <v>100</v>
      </c>
    </row>
    <row r="123" spans="1:2" ht="15.75" customHeight="1" x14ac:dyDescent="0.4">
      <c r="A123" s="24" t="s">
        <v>2112</v>
      </c>
      <c r="B123" s="24">
        <v>100</v>
      </c>
    </row>
    <row r="124" spans="1:2" ht="15.75" customHeight="1" x14ac:dyDescent="0.4">
      <c r="A124" s="24" t="s">
        <v>2098</v>
      </c>
      <c r="B124" s="24">
        <v>58.79</v>
      </c>
    </row>
    <row r="125" spans="1:2" ht="15.75" customHeight="1" x14ac:dyDescent="0.4">
      <c r="A125" s="24" t="s">
        <v>2113</v>
      </c>
      <c r="B125" s="24">
        <v>100</v>
      </c>
    </row>
    <row r="126" spans="1:2" ht="15.75" customHeight="1" x14ac:dyDescent="0.4">
      <c r="A126" s="24" t="s">
        <v>2085</v>
      </c>
      <c r="B126" s="24">
        <v>99.08</v>
      </c>
    </row>
    <row r="127" spans="1:2" ht="15.75" customHeight="1" x14ac:dyDescent="0.4">
      <c r="A127" s="24" t="s">
        <v>2131</v>
      </c>
      <c r="B127" s="24">
        <v>99.12</v>
      </c>
    </row>
    <row r="128" spans="1:2" ht="15.75" customHeight="1" x14ac:dyDescent="0.4">
      <c r="A128" s="24" t="s">
        <v>361</v>
      </c>
      <c r="B128" s="24">
        <v>0</v>
      </c>
    </row>
    <row r="129" spans="1:2" ht="15.75" customHeight="1" x14ac:dyDescent="0.4">
      <c r="A129" s="24" t="s">
        <v>2071</v>
      </c>
      <c r="B129" s="24">
        <v>100</v>
      </c>
    </row>
    <row r="130" spans="1:2" ht="15.75" customHeight="1" x14ac:dyDescent="0.4">
      <c r="A130" s="24" t="s">
        <v>2075</v>
      </c>
      <c r="B130" s="24">
        <v>97.39</v>
      </c>
    </row>
    <row r="131" spans="1:2" ht="15.75" customHeight="1" x14ac:dyDescent="0.4">
      <c r="A131" s="24" t="s">
        <v>2059</v>
      </c>
      <c r="B131" s="24">
        <v>91.94</v>
      </c>
    </row>
    <row r="132" spans="1:2" ht="15.75" customHeight="1" x14ac:dyDescent="0.4">
      <c r="A132" s="24" t="s">
        <v>2128</v>
      </c>
      <c r="B132" s="24">
        <v>100</v>
      </c>
    </row>
    <row r="133" spans="1:2" ht="15.75" customHeight="1" x14ac:dyDescent="0.4">
      <c r="A133" s="24" t="s">
        <v>2101</v>
      </c>
      <c r="B133" s="24">
        <v>100</v>
      </c>
    </row>
    <row r="134" spans="1:2" ht="15.75" customHeight="1" x14ac:dyDescent="0.4">
      <c r="A134" s="24" t="s">
        <v>2120</v>
      </c>
      <c r="B134" s="24">
        <v>52.42</v>
      </c>
    </row>
    <row r="135" spans="1:2" ht="15.75" customHeight="1" x14ac:dyDescent="0.4">
      <c r="A135" s="24" t="s">
        <v>2082</v>
      </c>
      <c r="B135" s="24">
        <v>82.18</v>
      </c>
    </row>
    <row r="136" spans="1:2" ht="15.75" customHeight="1" x14ac:dyDescent="0.4">
      <c r="A136" s="24" t="s">
        <v>2133</v>
      </c>
      <c r="B136" s="24">
        <v>92.04</v>
      </c>
    </row>
    <row r="137" spans="1:2" ht="15.75" customHeight="1" x14ac:dyDescent="0.4">
      <c r="A137" s="24" t="s">
        <v>519</v>
      </c>
      <c r="B137" s="24">
        <v>89.73</v>
      </c>
    </row>
    <row r="138" spans="1:2" ht="15.75" customHeight="1" x14ac:dyDescent="0.4">
      <c r="A138" s="24" t="s">
        <v>2095</v>
      </c>
      <c r="B138" s="24">
        <v>71.150000000000006</v>
      </c>
    </row>
    <row r="139" spans="1:2" ht="15.75" customHeight="1" x14ac:dyDescent="0.4">
      <c r="A139" s="24" t="s">
        <v>2110</v>
      </c>
      <c r="B139" s="24">
        <v>100</v>
      </c>
    </row>
    <row r="140" spans="1:2" ht="15.75" customHeight="1" x14ac:dyDescent="0.4">
      <c r="A140" s="24" t="s">
        <v>2096</v>
      </c>
      <c r="B140" s="24">
        <v>99.02</v>
      </c>
    </row>
    <row r="141" spans="1:2" ht="15.75" customHeight="1" x14ac:dyDescent="0.4">
      <c r="A141" s="24" t="s">
        <v>2092</v>
      </c>
      <c r="B141" s="24">
        <v>67.87</v>
      </c>
    </row>
    <row r="142" spans="1:2" ht="15.75" customHeight="1" x14ac:dyDescent="0.4">
      <c r="A142" s="24" t="s">
        <v>2111</v>
      </c>
      <c r="B142" s="24">
        <v>71.98</v>
      </c>
    </row>
    <row r="143" spans="1:2" ht="15.75" customHeight="1" x14ac:dyDescent="0.4">
      <c r="A143" s="24" t="s">
        <v>2106</v>
      </c>
      <c r="B143" s="24">
        <v>93.12</v>
      </c>
    </row>
    <row r="144" spans="1:2" ht="15.75" customHeight="1" x14ac:dyDescent="0.4">
      <c r="A144" s="24" t="s">
        <v>2045</v>
      </c>
      <c r="B144" s="24">
        <v>41.3</v>
      </c>
    </row>
    <row r="145" spans="1:2" ht="15.75" customHeight="1" x14ac:dyDescent="0.4">
      <c r="A145" s="24" t="s">
        <v>2086</v>
      </c>
      <c r="B145" s="24">
        <v>100</v>
      </c>
    </row>
    <row r="146" spans="1:2" ht="15.75" customHeight="1" x14ac:dyDescent="0.4">
      <c r="A146" s="24" t="s">
        <v>220</v>
      </c>
      <c r="B146" s="24">
        <v>77.78</v>
      </c>
    </row>
    <row r="147" spans="1:2" ht="15.75" customHeight="1" x14ac:dyDescent="0.4">
      <c r="A147" s="24" t="s">
        <v>2105</v>
      </c>
      <c r="B147" s="24">
        <v>29.13</v>
      </c>
    </row>
    <row r="148" spans="1:2" ht="15.75" customHeight="1" x14ac:dyDescent="0.4">
      <c r="A148" s="24" t="s">
        <v>2132</v>
      </c>
      <c r="B148" s="24">
        <v>100</v>
      </c>
    </row>
    <row r="149" spans="1:2" ht="15.75" customHeight="1" x14ac:dyDescent="0.4">
      <c r="A149" s="24" t="s">
        <v>2068</v>
      </c>
      <c r="B149" s="24">
        <v>88.89</v>
      </c>
    </row>
    <row r="150" spans="1:2" ht="15.75" customHeight="1" x14ac:dyDescent="0.4">
      <c r="A150" s="24" t="s">
        <v>2125</v>
      </c>
      <c r="B150" s="24">
        <v>58.86</v>
      </c>
    </row>
    <row r="151" spans="1:2" ht="15.75" customHeight="1" x14ac:dyDescent="0.4">
      <c r="A151" s="24" t="s">
        <v>1934</v>
      </c>
      <c r="B151" s="24">
        <v>85.71</v>
      </c>
    </row>
    <row r="152" spans="1:2" ht="15.75" customHeight="1" x14ac:dyDescent="0.4">
      <c r="A152" s="24" t="s">
        <v>1884</v>
      </c>
      <c r="B152" s="24">
        <v>76.75</v>
      </c>
    </row>
    <row r="153" spans="1:2" ht="15.75" customHeight="1" x14ac:dyDescent="0.4">
      <c r="A153" s="24" t="s">
        <v>1892</v>
      </c>
      <c r="B153" s="24">
        <v>61.09</v>
      </c>
    </row>
    <row r="154" spans="1:2" ht="15.75" customHeight="1" x14ac:dyDescent="0.4">
      <c r="A154" s="24" t="s">
        <v>2000</v>
      </c>
      <c r="B154" s="24">
        <v>100</v>
      </c>
    </row>
    <row r="155" spans="1:2" ht="15.75" customHeight="1" x14ac:dyDescent="0.4">
      <c r="A155" s="24" t="s">
        <v>1952</v>
      </c>
      <c r="B155" s="24">
        <v>90.55</v>
      </c>
    </row>
    <row r="156" spans="1:2" ht="15.75" customHeight="1" x14ac:dyDescent="0.4">
      <c r="A156" s="24" t="s">
        <v>1919</v>
      </c>
      <c r="B156" s="24">
        <v>59.46</v>
      </c>
    </row>
    <row r="157" spans="1:2" ht="15.75" customHeight="1" x14ac:dyDescent="0.4">
      <c r="A157" s="24" t="s">
        <v>1941</v>
      </c>
      <c r="B157" s="24">
        <v>100</v>
      </c>
    </row>
    <row r="158" spans="1:2" ht="15.75" customHeight="1" x14ac:dyDescent="0.4">
      <c r="A158" s="24" t="s">
        <v>1948</v>
      </c>
      <c r="B158" s="24">
        <v>100</v>
      </c>
    </row>
    <row r="159" spans="1:2" ht="15.75" customHeight="1" x14ac:dyDescent="0.4">
      <c r="A159" s="24" t="s">
        <v>2013</v>
      </c>
      <c r="B159" s="24">
        <v>100</v>
      </c>
    </row>
    <row r="160" spans="1:2" ht="15.75" customHeight="1" x14ac:dyDescent="0.4">
      <c r="A160" s="24" t="s">
        <v>1901</v>
      </c>
      <c r="B160" s="24">
        <v>99.26</v>
      </c>
    </row>
    <row r="161" spans="1:2" ht="15.75" customHeight="1" x14ac:dyDescent="0.4">
      <c r="A161" s="24" t="s">
        <v>2007</v>
      </c>
      <c r="B161" s="24">
        <v>100</v>
      </c>
    </row>
    <row r="162" spans="1:2" ht="15.75" customHeight="1" x14ac:dyDescent="0.4">
      <c r="A162" s="24" t="s">
        <v>792</v>
      </c>
      <c r="B162" s="24">
        <v>85.93</v>
      </c>
    </row>
    <row r="163" spans="1:2" ht="15.75" customHeight="1" x14ac:dyDescent="0.4">
      <c r="A163" s="24" t="s">
        <v>1964</v>
      </c>
      <c r="B163" s="24">
        <v>100</v>
      </c>
    </row>
    <row r="164" spans="1:2" ht="15.75" customHeight="1" x14ac:dyDescent="0.4">
      <c r="A164" s="24" t="s">
        <v>1935</v>
      </c>
      <c r="B164" s="24">
        <v>100</v>
      </c>
    </row>
    <row r="165" spans="1:2" ht="15.75" customHeight="1" x14ac:dyDescent="0.4">
      <c r="A165" s="24" t="s">
        <v>1931</v>
      </c>
      <c r="B165" s="24">
        <v>87.5</v>
      </c>
    </row>
    <row r="166" spans="1:2" ht="15.75" customHeight="1" x14ac:dyDescent="0.4">
      <c r="A166" s="24" t="s">
        <v>1910</v>
      </c>
      <c r="B166" s="24">
        <v>99.93</v>
      </c>
    </row>
    <row r="167" spans="1:2" ht="15.75" customHeight="1" x14ac:dyDescent="0.4">
      <c r="A167" s="24" t="s">
        <v>2001</v>
      </c>
      <c r="B167" s="24">
        <v>95.32</v>
      </c>
    </row>
    <row r="168" spans="1:2" ht="15.75" customHeight="1" x14ac:dyDescent="0.4">
      <c r="A168" s="24" t="s">
        <v>1954</v>
      </c>
      <c r="B168" s="24">
        <v>77.36</v>
      </c>
    </row>
    <row r="169" spans="1:2" ht="15.75" customHeight="1" x14ac:dyDescent="0.4">
      <c r="A169" s="24" t="s">
        <v>1885</v>
      </c>
      <c r="B169" s="24">
        <v>100</v>
      </c>
    </row>
    <row r="170" spans="1:2" ht="15.75" customHeight="1" x14ac:dyDescent="0.4">
      <c r="A170" s="24" t="s">
        <v>2005</v>
      </c>
      <c r="B170" s="24">
        <v>96.12</v>
      </c>
    </row>
    <row r="171" spans="1:2" ht="15.75" customHeight="1" x14ac:dyDescent="0.4">
      <c r="A171" s="24" t="s">
        <v>1932</v>
      </c>
      <c r="B171" s="24">
        <v>40.270000000000003</v>
      </c>
    </row>
    <row r="172" spans="1:2" ht="15.75" customHeight="1" x14ac:dyDescent="0.4">
      <c r="A172" s="24" t="s">
        <v>2016</v>
      </c>
      <c r="B172" s="24">
        <v>7.44</v>
      </c>
    </row>
    <row r="173" spans="1:2" ht="15.75" customHeight="1" x14ac:dyDescent="0.4">
      <c r="A173" s="24" t="s">
        <v>1937</v>
      </c>
      <c r="B173" s="24">
        <v>97.67</v>
      </c>
    </row>
    <row r="174" spans="1:2" ht="15.75" customHeight="1" x14ac:dyDescent="0.4">
      <c r="A174" s="24" t="s">
        <v>1995</v>
      </c>
      <c r="B174" s="24">
        <v>100</v>
      </c>
    </row>
    <row r="175" spans="1:2" ht="15.75" customHeight="1" x14ac:dyDescent="0.4">
      <c r="A175" s="24" t="s">
        <v>1942</v>
      </c>
      <c r="B175" s="24">
        <v>100</v>
      </c>
    </row>
    <row r="176" spans="1:2" ht="15.75" customHeight="1" x14ac:dyDescent="0.4">
      <c r="A176" s="24" t="s">
        <v>1946</v>
      </c>
      <c r="B176" s="24">
        <v>100</v>
      </c>
    </row>
    <row r="177" spans="1:2" ht="15.75" customHeight="1" x14ac:dyDescent="0.4">
      <c r="A177" s="24" t="s">
        <v>1918</v>
      </c>
      <c r="B177" s="24">
        <v>100</v>
      </c>
    </row>
    <row r="178" spans="1:2" ht="15.75" customHeight="1" x14ac:dyDescent="0.4">
      <c r="A178" s="24" t="s">
        <v>1882</v>
      </c>
      <c r="B178" s="24">
        <v>40.18</v>
      </c>
    </row>
    <row r="179" spans="1:2" ht="15.75" customHeight="1" x14ac:dyDescent="0.4">
      <c r="A179" s="24" t="s">
        <v>1915</v>
      </c>
      <c r="B179" s="24">
        <v>100</v>
      </c>
    </row>
    <row r="180" spans="1:2" ht="15.75" customHeight="1" x14ac:dyDescent="0.4">
      <c r="A180" s="24" t="s">
        <v>2031</v>
      </c>
      <c r="B180" s="24">
        <v>100</v>
      </c>
    </row>
    <row r="181" spans="1:2" ht="15.75" customHeight="1" x14ac:dyDescent="0.4">
      <c r="A181" s="24" t="s">
        <v>405</v>
      </c>
      <c r="B181" s="24">
        <v>0.28000000000000003</v>
      </c>
    </row>
    <row r="182" spans="1:2" ht="15.75" customHeight="1" x14ac:dyDescent="0.4">
      <c r="A182" s="24" t="s">
        <v>1876</v>
      </c>
      <c r="B182" s="24">
        <v>84.46</v>
      </c>
    </row>
    <row r="183" spans="1:2" ht="15.75" customHeight="1" x14ac:dyDescent="0.4">
      <c r="A183" s="24" t="s">
        <v>2029</v>
      </c>
      <c r="B183" s="24">
        <v>100</v>
      </c>
    </row>
    <row r="184" spans="1:2" ht="15.75" customHeight="1" x14ac:dyDescent="0.4">
      <c r="A184" s="24" t="s">
        <v>2026</v>
      </c>
      <c r="B184" s="24">
        <v>93.73</v>
      </c>
    </row>
    <row r="185" spans="1:2" ht="15.75" customHeight="1" x14ac:dyDescent="0.4">
      <c r="A185" s="24" t="s">
        <v>1953</v>
      </c>
      <c r="B185" s="24">
        <v>87.5</v>
      </c>
    </row>
    <row r="186" spans="1:2" ht="15.75" customHeight="1" x14ac:dyDescent="0.4">
      <c r="A186" s="24" t="s">
        <v>1929</v>
      </c>
      <c r="B186" s="24">
        <v>100</v>
      </c>
    </row>
    <row r="187" spans="1:2" ht="15.75" customHeight="1" x14ac:dyDescent="0.4">
      <c r="A187" s="24" t="s">
        <v>1894</v>
      </c>
      <c r="B187" s="24">
        <v>47.2</v>
      </c>
    </row>
    <row r="188" spans="1:2" ht="15.75" customHeight="1" x14ac:dyDescent="0.4">
      <c r="A188" s="24" t="s">
        <v>1927</v>
      </c>
      <c r="B188" s="24">
        <v>100</v>
      </c>
    </row>
    <row r="189" spans="1:2" ht="15.75" customHeight="1" x14ac:dyDescent="0.4">
      <c r="A189" s="24" t="s">
        <v>1957</v>
      </c>
      <c r="B189" s="24">
        <v>87.78</v>
      </c>
    </row>
    <row r="190" spans="1:2" ht="15.75" customHeight="1" x14ac:dyDescent="0.4">
      <c r="A190" s="24" t="s">
        <v>1891</v>
      </c>
      <c r="B190" s="24">
        <v>98.87</v>
      </c>
    </row>
    <row r="191" spans="1:2" ht="15.75" customHeight="1" x14ac:dyDescent="0.4">
      <c r="A191" s="24" t="s">
        <v>2018</v>
      </c>
      <c r="B191" s="24">
        <v>40.06</v>
      </c>
    </row>
    <row r="192" spans="1:2" ht="15.75" customHeight="1" x14ac:dyDescent="0.4">
      <c r="A192" s="24" t="s">
        <v>1933</v>
      </c>
      <c r="B192" s="24">
        <v>100</v>
      </c>
    </row>
    <row r="193" spans="1:2" ht="15.75" customHeight="1" x14ac:dyDescent="0.4">
      <c r="A193" s="24" t="s">
        <v>1879</v>
      </c>
      <c r="B193" s="24">
        <v>87.5</v>
      </c>
    </row>
    <row r="194" spans="1:2" ht="15.75" customHeight="1" x14ac:dyDescent="0.4">
      <c r="A194" s="24" t="s">
        <v>1899</v>
      </c>
      <c r="B194" s="24">
        <v>0.23</v>
      </c>
    </row>
    <row r="195" spans="1:2" ht="15.75" customHeight="1" x14ac:dyDescent="0.4">
      <c r="A195" s="24" t="s">
        <v>2032</v>
      </c>
      <c r="B195" s="24">
        <v>99.9</v>
      </c>
    </row>
    <row r="196" spans="1:2" ht="15.75" customHeight="1" x14ac:dyDescent="0.4">
      <c r="A196" s="24" t="s">
        <v>1883</v>
      </c>
      <c r="B196" s="24">
        <v>100</v>
      </c>
    </row>
    <row r="197" spans="1:2" ht="15.75" customHeight="1" x14ac:dyDescent="0.4">
      <c r="A197" s="24" t="s">
        <v>1893</v>
      </c>
      <c r="B197" s="24">
        <v>100</v>
      </c>
    </row>
    <row r="198" spans="1:2" ht="15.75" customHeight="1" x14ac:dyDescent="0.4">
      <c r="A198" s="24" t="s">
        <v>1900</v>
      </c>
      <c r="B198" s="24">
        <v>75</v>
      </c>
    </row>
    <row r="199" spans="1:2" ht="15.75" customHeight="1" x14ac:dyDescent="0.4">
      <c r="A199" s="24" t="s">
        <v>1981</v>
      </c>
      <c r="B199" s="24">
        <v>100</v>
      </c>
    </row>
    <row r="200" spans="1:2" ht="15.75" customHeight="1" x14ac:dyDescent="0.4">
      <c r="A200" s="24" t="s">
        <v>589</v>
      </c>
      <c r="B200" s="24">
        <v>0</v>
      </c>
    </row>
    <row r="201" spans="1:2" ht="15.75" customHeight="1" x14ac:dyDescent="0.4">
      <c r="A201" s="24" t="s">
        <v>1958</v>
      </c>
      <c r="B201" s="24">
        <v>99.1</v>
      </c>
    </row>
    <row r="202" spans="1:2" ht="15.75" customHeight="1" x14ac:dyDescent="0.4">
      <c r="A202" s="24" t="s">
        <v>2040</v>
      </c>
      <c r="B202" s="24">
        <v>69.650000000000006</v>
      </c>
    </row>
    <row r="203" spans="1:2" ht="15.75" customHeight="1" x14ac:dyDescent="0.4">
      <c r="A203" s="24" t="s">
        <v>2043</v>
      </c>
      <c r="B203" s="24">
        <v>97.96</v>
      </c>
    </row>
    <row r="204" spans="1:2" ht="15.75" customHeight="1" x14ac:dyDescent="0.4">
      <c r="A204" s="24" t="s">
        <v>803</v>
      </c>
      <c r="B204" s="24">
        <v>7.88</v>
      </c>
    </row>
    <row r="205" spans="1:2" ht="15.75" customHeight="1" x14ac:dyDescent="0.4">
      <c r="A205" s="24" t="s">
        <v>2030</v>
      </c>
      <c r="B205" s="24">
        <v>99.35</v>
      </c>
    </row>
    <row r="206" spans="1:2" ht="15.75" customHeight="1" x14ac:dyDescent="0.4">
      <c r="A206" s="24" t="s">
        <v>1887</v>
      </c>
      <c r="B206" s="24">
        <v>100</v>
      </c>
    </row>
    <row r="207" spans="1:2" ht="15.75" customHeight="1" x14ac:dyDescent="0.4">
      <c r="A207" s="24" t="s">
        <v>1978</v>
      </c>
      <c r="B207" s="24">
        <v>87.96</v>
      </c>
    </row>
    <row r="208" spans="1:2" ht="15.75" customHeight="1" x14ac:dyDescent="0.4">
      <c r="A208" s="24" t="s">
        <v>341</v>
      </c>
      <c r="B208" s="24">
        <v>0</v>
      </c>
    </row>
    <row r="209" spans="1:2" ht="15.75" customHeight="1" x14ac:dyDescent="0.4">
      <c r="A209" s="24" t="s">
        <v>2041</v>
      </c>
      <c r="B209" s="24">
        <v>100</v>
      </c>
    </row>
    <row r="210" spans="1:2" ht="15.75" customHeight="1" x14ac:dyDescent="0.4">
      <c r="A210" s="24" t="s">
        <v>1950</v>
      </c>
      <c r="B210" s="24">
        <v>21.66</v>
      </c>
    </row>
    <row r="211" spans="1:2" ht="15.75" customHeight="1" x14ac:dyDescent="0.4">
      <c r="A211" s="24" t="s">
        <v>780</v>
      </c>
      <c r="B211" s="24">
        <v>37.5</v>
      </c>
    </row>
    <row r="212" spans="1:2" ht="15.75" customHeight="1" x14ac:dyDescent="0.4">
      <c r="A212" s="24" t="s">
        <v>585</v>
      </c>
      <c r="B212" s="24">
        <v>28.89</v>
      </c>
    </row>
    <row r="213" spans="1:2" ht="15.75" customHeight="1" x14ac:dyDescent="0.4">
      <c r="A213" s="24" t="s">
        <v>1936</v>
      </c>
      <c r="B213" s="24">
        <v>100</v>
      </c>
    </row>
    <row r="214" spans="1:2" ht="15.75" customHeight="1" x14ac:dyDescent="0.4">
      <c r="A214" s="24" t="s">
        <v>2002</v>
      </c>
      <c r="B214" s="24">
        <v>100</v>
      </c>
    </row>
    <row r="215" spans="1:2" ht="15.75" customHeight="1" x14ac:dyDescent="0.4">
      <c r="A215" s="24" t="s">
        <v>1963</v>
      </c>
      <c r="B215" s="24">
        <v>100</v>
      </c>
    </row>
    <row r="216" spans="1:2" ht="15.75" customHeight="1" x14ac:dyDescent="0.4">
      <c r="A216" s="24" t="s">
        <v>1968</v>
      </c>
      <c r="B216" s="24">
        <v>100</v>
      </c>
    </row>
    <row r="217" spans="1:2" ht="15.75" customHeight="1" x14ac:dyDescent="0.4">
      <c r="A217" s="24" t="s">
        <v>2024</v>
      </c>
      <c r="B217" s="24">
        <v>100</v>
      </c>
    </row>
    <row r="218" spans="1:2" ht="15.75" customHeight="1" x14ac:dyDescent="0.4">
      <c r="A218" s="24" t="s">
        <v>1940</v>
      </c>
      <c r="B218" s="24">
        <v>100</v>
      </c>
    </row>
    <row r="219" spans="1:2" ht="15.75" customHeight="1" x14ac:dyDescent="0.4">
      <c r="A219" s="24" t="s">
        <v>2009</v>
      </c>
      <c r="B219" s="24">
        <v>92.67</v>
      </c>
    </row>
    <row r="220" spans="1:2" ht="15.75" customHeight="1" x14ac:dyDescent="0.4">
      <c r="A220" s="24" t="s">
        <v>1960</v>
      </c>
      <c r="B220" s="24">
        <v>64.319999999999993</v>
      </c>
    </row>
    <row r="221" spans="1:2" ht="15.75" customHeight="1" x14ac:dyDescent="0.4">
      <c r="A221" s="24" t="s">
        <v>1881</v>
      </c>
      <c r="B221" s="24">
        <v>78.3</v>
      </c>
    </row>
    <row r="222" spans="1:2" ht="15.75" customHeight="1" x14ac:dyDescent="0.4">
      <c r="A222" s="24" t="s">
        <v>377</v>
      </c>
      <c r="B222" s="24">
        <v>16.670000000000002</v>
      </c>
    </row>
    <row r="223" spans="1:2" ht="15.75" customHeight="1" x14ac:dyDescent="0.4">
      <c r="A223" s="24" t="s">
        <v>1989</v>
      </c>
      <c r="B223" s="24">
        <v>54.61</v>
      </c>
    </row>
    <row r="224" spans="1:2" ht="15.75" customHeight="1" x14ac:dyDescent="0.4">
      <c r="A224" s="24" t="s">
        <v>2023</v>
      </c>
      <c r="B224" s="24">
        <v>44.92</v>
      </c>
    </row>
    <row r="225" spans="1:2" ht="15.75" customHeight="1" x14ac:dyDescent="0.4">
      <c r="A225" s="24" t="s">
        <v>479</v>
      </c>
      <c r="B225" s="24">
        <v>14.29</v>
      </c>
    </row>
    <row r="226" spans="1:2" ht="15.75" customHeight="1" x14ac:dyDescent="0.4">
      <c r="A226" s="24" t="s">
        <v>657</v>
      </c>
      <c r="B226" s="24">
        <v>42.86</v>
      </c>
    </row>
    <row r="227" spans="1:2" ht="15.75" customHeight="1" x14ac:dyDescent="0.4">
      <c r="A227" s="24" t="s">
        <v>1973</v>
      </c>
      <c r="B227" s="24">
        <v>100</v>
      </c>
    </row>
    <row r="228" spans="1:2" ht="15.75" customHeight="1" x14ac:dyDescent="0.4">
      <c r="A228" s="24" t="s">
        <v>1945</v>
      </c>
      <c r="B228" s="24">
        <v>82.88</v>
      </c>
    </row>
    <row r="229" spans="1:2" ht="15.75" customHeight="1" x14ac:dyDescent="0.4">
      <c r="A229" s="24" t="s">
        <v>1909</v>
      </c>
      <c r="B229" s="24">
        <v>100</v>
      </c>
    </row>
    <row r="230" spans="1:2" ht="15.75" customHeight="1" x14ac:dyDescent="0.4">
      <c r="A230" s="24" t="s">
        <v>2011</v>
      </c>
      <c r="B230" s="24">
        <v>96</v>
      </c>
    </row>
    <row r="231" spans="1:2" ht="15.75" customHeight="1" x14ac:dyDescent="0.4">
      <c r="A231" s="24" t="s">
        <v>1947</v>
      </c>
      <c r="B231" s="24">
        <v>45.9</v>
      </c>
    </row>
    <row r="232" spans="1:2" ht="15.75" customHeight="1" x14ac:dyDescent="0.4">
      <c r="A232" s="24" t="s">
        <v>1938</v>
      </c>
      <c r="B232" s="24">
        <v>100</v>
      </c>
    </row>
    <row r="233" spans="1:2" ht="15.75" customHeight="1" x14ac:dyDescent="0.4">
      <c r="A233" s="24" t="s">
        <v>1877</v>
      </c>
      <c r="B233" s="24">
        <v>77.33</v>
      </c>
    </row>
    <row r="234" spans="1:2" ht="15.75" customHeight="1" x14ac:dyDescent="0.4">
      <c r="A234" s="24" t="s">
        <v>1996</v>
      </c>
      <c r="B234" s="24">
        <v>87.5</v>
      </c>
    </row>
    <row r="235" spans="1:2" ht="15.75" customHeight="1" x14ac:dyDescent="0.4">
      <c r="A235" s="24" t="s">
        <v>1982</v>
      </c>
      <c r="B235" s="24">
        <v>100</v>
      </c>
    </row>
    <row r="236" spans="1:2" ht="15.75" customHeight="1" x14ac:dyDescent="0.4">
      <c r="A236" s="24" t="s">
        <v>2020</v>
      </c>
      <c r="B236" s="24">
        <v>87.5</v>
      </c>
    </row>
    <row r="237" spans="1:2" ht="15.75" customHeight="1" x14ac:dyDescent="0.4">
      <c r="A237" s="24" t="s">
        <v>2025</v>
      </c>
      <c r="B237" s="24">
        <v>100</v>
      </c>
    </row>
    <row r="238" spans="1:2" ht="15.75" customHeight="1" x14ac:dyDescent="0.4">
      <c r="A238" s="24" t="s">
        <v>1920</v>
      </c>
      <c r="B238" s="24">
        <v>100</v>
      </c>
    </row>
    <row r="239" spans="1:2" ht="15.75" customHeight="1" x14ac:dyDescent="0.4">
      <c r="A239" s="24" t="s">
        <v>1912</v>
      </c>
      <c r="B239" s="24">
        <v>100</v>
      </c>
    </row>
    <row r="240" spans="1:2" ht="15.75" customHeight="1" x14ac:dyDescent="0.4">
      <c r="A240" s="24" t="s">
        <v>1939</v>
      </c>
      <c r="B240" s="24">
        <v>100</v>
      </c>
    </row>
    <row r="241" spans="1:2" ht="15.75" customHeight="1" x14ac:dyDescent="0.4">
      <c r="A241" s="24" t="s">
        <v>1886</v>
      </c>
      <c r="B241" s="24">
        <v>100</v>
      </c>
    </row>
    <row r="242" spans="1:2" ht="15.75" customHeight="1" x14ac:dyDescent="0.4">
      <c r="A242" s="24" t="s">
        <v>1873</v>
      </c>
      <c r="B242" s="24">
        <v>87.31</v>
      </c>
    </row>
    <row r="243" spans="1:2" ht="15.75" customHeight="1" x14ac:dyDescent="0.4">
      <c r="A243" s="24" t="s">
        <v>1907</v>
      </c>
      <c r="B243" s="24">
        <v>100</v>
      </c>
    </row>
    <row r="244" spans="1:2" ht="15.75" customHeight="1" x14ac:dyDescent="0.4">
      <c r="A244" s="24" t="s">
        <v>801</v>
      </c>
      <c r="B244" s="24">
        <v>10.51</v>
      </c>
    </row>
    <row r="245" spans="1:2" ht="15.75" customHeight="1" x14ac:dyDescent="0.4">
      <c r="A245" s="24" t="s">
        <v>1994</v>
      </c>
      <c r="B245" s="24">
        <v>93.39</v>
      </c>
    </row>
    <row r="246" spans="1:2" ht="15.75" customHeight="1" x14ac:dyDescent="0.4">
      <c r="A246" s="24" t="s">
        <v>1913</v>
      </c>
      <c r="B246" s="24">
        <v>100</v>
      </c>
    </row>
    <row r="247" spans="1:2" ht="15.75" customHeight="1" x14ac:dyDescent="0.4">
      <c r="A247" s="24" t="s">
        <v>1990</v>
      </c>
      <c r="B247" s="24">
        <v>100</v>
      </c>
    </row>
    <row r="248" spans="1:2" ht="15.75" customHeight="1" x14ac:dyDescent="0.4">
      <c r="A248" s="24" t="s">
        <v>1911</v>
      </c>
      <c r="B248" s="24">
        <v>100</v>
      </c>
    </row>
    <row r="249" spans="1:2" ht="15.75" customHeight="1" x14ac:dyDescent="0.4">
      <c r="A249" s="24" t="s">
        <v>1888</v>
      </c>
      <c r="B249" s="24">
        <v>46.12</v>
      </c>
    </row>
    <row r="250" spans="1:2" ht="15.75" customHeight="1" x14ac:dyDescent="0.4">
      <c r="A250" s="24" t="s">
        <v>2027</v>
      </c>
      <c r="B250" s="24">
        <v>100</v>
      </c>
    </row>
    <row r="251" spans="1:2" ht="15.75" customHeight="1" x14ac:dyDescent="0.4">
      <c r="A251" s="24" t="s">
        <v>805</v>
      </c>
      <c r="B251" s="24">
        <v>8.39</v>
      </c>
    </row>
    <row r="252" spans="1:2" ht="15.75" customHeight="1" x14ac:dyDescent="0.4">
      <c r="A252" s="24" t="s">
        <v>2035</v>
      </c>
      <c r="B252" s="24">
        <v>69.349999999999994</v>
      </c>
    </row>
    <row r="253" spans="1:2" ht="15.75" customHeight="1" x14ac:dyDescent="0.4">
      <c r="A253" s="24" t="s">
        <v>1980</v>
      </c>
      <c r="B253" s="24">
        <v>100</v>
      </c>
    </row>
    <row r="254" spans="1:2" ht="15.75" customHeight="1" x14ac:dyDescent="0.4">
      <c r="A254" s="24" t="s">
        <v>1979</v>
      </c>
      <c r="B254" s="24">
        <v>46.4</v>
      </c>
    </row>
    <row r="255" spans="1:2" ht="15.75" customHeight="1" x14ac:dyDescent="0.4">
      <c r="A255" s="24" t="s">
        <v>655</v>
      </c>
      <c r="B255" s="24">
        <v>72.95</v>
      </c>
    </row>
    <row r="256" spans="1:2" ht="15.75" customHeight="1" x14ac:dyDescent="0.4">
      <c r="A256" s="24" t="s">
        <v>285</v>
      </c>
      <c r="B256" s="24">
        <v>40.299999999999997</v>
      </c>
    </row>
    <row r="257" spans="1:2" ht="15.75" customHeight="1" x14ac:dyDescent="0.4">
      <c r="A257" s="24" t="s">
        <v>1930</v>
      </c>
      <c r="B257" s="24">
        <v>85.71</v>
      </c>
    </row>
    <row r="258" spans="1:2" ht="15.75" customHeight="1" x14ac:dyDescent="0.4">
      <c r="A258" s="24" t="s">
        <v>353</v>
      </c>
      <c r="B258" s="24">
        <v>25</v>
      </c>
    </row>
    <row r="259" spans="1:2" ht="15.75" customHeight="1" x14ac:dyDescent="0.4">
      <c r="A259" s="24" t="s">
        <v>1874</v>
      </c>
      <c r="B259" s="24">
        <v>28.34</v>
      </c>
    </row>
    <row r="260" spans="1:2" ht="15.75" customHeight="1" x14ac:dyDescent="0.4">
      <c r="A260" s="24" t="s">
        <v>1928</v>
      </c>
      <c r="B260" s="24">
        <v>97.54</v>
      </c>
    </row>
    <row r="261" spans="1:2" ht="15.75" customHeight="1" x14ac:dyDescent="0.4">
      <c r="A261" s="24" t="s">
        <v>313</v>
      </c>
      <c r="B261" s="24">
        <v>4.91</v>
      </c>
    </row>
    <row r="262" spans="1:2" ht="15.75" customHeight="1" x14ac:dyDescent="0.4">
      <c r="A262" s="24" t="s">
        <v>1983</v>
      </c>
      <c r="B262" s="24">
        <v>100</v>
      </c>
    </row>
    <row r="263" spans="1:2" ht="15.75" customHeight="1" x14ac:dyDescent="0.4">
      <c r="A263" s="24" t="s">
        <v>1949</v>
      </c>
      <c r="B263" s="24">
        <v>61.82</v>
      </c>
    </row>
    <row r="264" spans="1:2" ht="15.75" customHeight="1" x14ac:dyDescent="0.4">
      <c r="A264" s="24" t="s">
        <v>1923</v>
      </c>
      <c r="B264" s="24">
        <v>98.98</v>
      </c>
    </row>
    <row r="265" spans="1:2" ht="15.75" customHeight="1" x14ac:dyDescent="0.4">
      <c r="A265" s="24" t="s">
        <v>1916</v>
      </c>
      <c r="B265" s="24">
        <v>86.23</v>
      </c>
    </row>
    <row r="266" spans="1:2" ht="15.75" customHeight="1" x14ac:dyDescent="0.4">
      <c r="A266" s="24" t="s">
        <v>1905</v>
      </c>
      <c r="B266" s="24">
        <v>99.32</v>
      </c>
    </row>
    <row r="267" spans="1:2" ht="15.75" customHeight="1" x14ac:dyDescent="0.4">
      <c r="A267" s="24" t="s">
        <v>2037</v>
      </c>
      <c r="B267" s="24">
        <v>100</v>
      </c>
    </row>
    <row r="268" spans="1:2" ht="15.75" customHeight="1" x14ac:dyDescent="0.4">
      <c r="A268" s="24" t="s">
        <v>2008</v>
      </c>
      <c r="B268" s="24">
        <v>89.69</v>
      </c>
    </row>
    <row r="269" spans="1:2" ht="15.75" customHeight="1" x14ac:dyDescent="0.4">
      <c r="A269" s="24" t="s">
        <v>1965</v>
      </c>
      <c r="B269" s="24">
        <v>100</v>
      </c>
    </row>
    <row r="270" spans="1:2" ht="15.75" customHeight="1" x14ac:dyDescent="0.4">
      <c r="A270" s="24" t="s">
        <v>1984</v>
      </c>
      <c r="B270" s="24">
        <v>99.26</v>
      </c>
    </row>
    <row r="271" spans="1:2" ht="15.75" customHeight="1" x14ac:dyDescent="0.4">
      <c r="A271" s="24" t="s">
        <v>1967</v>
      </c>
      <c r="B271" s="24">
        <v>100</v>
      </c>
    </row>
    <row r="272" spans="1:2" ht="15.75" customHeight="1" x14ac:dyDescent="0.4">
      <c r="A272" s="24" t="s">
        <v>1998</v>
      </c>
      <c r="B272" s="24">
        <v>100</v>
      </c>
    </row>
    <row r="273" spans="1:2" ht="15.75" customHeight="1" x14ac:dyDescent="0.4">
      <c r="A273" s="24" t="s">
        <v>1997</v>
      </c>
      <c r="B273" s="24">
        <v>99.88</v>
      </c>
    </row>
    <row r="274" spans="1:2" ht="15.75" customHeight="1" x14ac:dyDescent="0.4">
      <c r="A274" s="24" t="s">
        <v>491</v>
      </c>
      <c r="B274" s="24">
        <v>28.64</v>
      </c>
    </row>
    <row r="275" spans="1:2" ht="15.75" customHeight="1" x14ac:dyDescent="0.4">
      <c r="A275" s="24" t="s">
        <v>1903</v>
      </c>
      <c r="B275" s="24">
        <v>89.21</v>
      </c>
    </row>
    <row r="276" spans="1:2" ht="15.75" customHeight="1" x14ac:dyDescent="0.4">
      <c r="A276" s="24" t="s">
        <v>1961</v>
      </c>
      <c r="B276" s="24">
        <v>100</v>
      </c>
    </row>
    <row r="277" spans="1:2" ht="15.75" customHeight="1" x14ac:dyDescent="0.4">
      <c r="A277" s="24" t="s">
        <v>2004</v>
      </c>
      <c r="B277" s="24">
        <v>26.13</v>
      </c>
    </row>
    <row r="278" spans="1:2" ht="15.75" customHeight="1" x14ac:dyDescent="0.4">
      <c r="A278" s="24" t="s">
        <v>1896</v>
      </c>
      <c r="B278" s="24">
        <v>99.81</v>
      </c>
    </row>
    <row r="279" spans="1:2" ht="15.75" customHeight="1" x14ac:dyDescent="0.4">
      <c r="A279" s="24" t="s">
        <v>403</v>
      </c>
      <c r="B279" s="24">
        <v>0</v>
      </c>
    </row>
    <row r="280" spans="1:2" ht="15.75" customHeight="1" x14ac:dyDescent="0.4">
      <c r="A280" s="24" t="s">
        <v>1992</v>
      </c>
      <c r="B280" s="24">
        <v>100</v>
      </c>
    </row>
    <row r="281" spans="1:2" ht="15.75" customHeight="1" x14ac:dyDescent="0.4">
      <c r="A281" s="24" t="s">
        <v>1878</v>
      </c>
      <c r="B281" s="24">
        <v>95.2</v>
      </c>
    </row>
    <row r="282" spans="1:2" ht="15.75" customHeight="1" x14ac:dyDescent="0.4">
      <c r="A282" s="24" t="s">
        <v>1977</v>
      </c>
      <c r="B282" s="24">
        <v>66.58</v>
      </c>
    </row>
    <row r="283" spans="1:2" ht="15.75" customHeight="1" x14ac:dyDescent="0.4">
      <c r="A283" s="24" t="s">
        <v>2038</v>
      </c>
      <c r="B283" s="24">
        <v>99.83</v>
      </c>
    </row>
    <row r="284" spans="1:2" ht="15.75" customHeight="1" x14ac:dyDescent="0.4">
      <c r="A284" s="24" t="s">
        <v>1955</v>
      </c>
      <c r="B284" s="24">
        <v>89.02</v>
      </c>
    </row>
    <row r="285" spans="1:2" ht="15.75" customHeight="1" x14ac:dyDescent="0.4">
      <c r="A285" s="24" t="s">
        <v>2028</v>
      </c>
      <c r="B285" s="24">
        <v>100</v>
      </c>
    </row>
    <row r="286" spans="1:2" ht="15.75" customHeight="1" x14ac:dyDescent="0.4">
      <c r="A286" s="24" t="s">
        <v>1895</v>
      </c>
      <c r="B286" s="24">
        <v>100</v>
      </c>
    </row>
    <row r="287" spans="1:2" ht="15.75" customHeight="1" x14ac:dyDescent="0.4">
      <c r="A287" s="24" t="s">
        <v>2019</v>
      </c>
      <c r="B287" s="24">
        <v>99.55</v>
      </c>
    </row>
    <row r="288" spans="1:2" ht="15.75" customHeight="1" x14ac:dyDescent="0.4">
      <c r="A288" s="24" t="s">
        <v>2017</v>
      </c>
      <c r="B288" s="24">
        <v>100</v>
      </c>
    </row>
    <row r="289" spans="1:2" ht="15.75" customHeight="1" x14ac:dyDescent="0.4">
      <c r="A289" s="24" t="s">
        <v>319</v>
      </c>
      <c r="B289" s="24">
        <v>13.55</v>
      </c>
    </row>
    <row r="290" spans="1:2" ht="15.75" customHeight="1" x14ac:dyDescent="0.4">
      <c r="A290" s="24" t="s">
        <v>1975</v>
      </c>
      <c r="B290" s="24">
        <v>58.56</v>
      </c>
    </row>
    <row r="291" spans="1:2" ht="15.75" customHeight="1" x14ac:dyDescent="0.4">
      <c r="A291" s="24" t="s">
        <v>809</v>
      </c>
      <c r="B291" s="24">
        <v>46.22</v>
      </c>
    </row>
    <row r="292" spans="1:2" ht="15.75" customHeight="1" x14ac:dyDescent="0.4">
      <c r="A292" s="24" t="s">
        <v>1959</v>
      </c>
      <c r="B292" s="24">
        <v>100</v>
      </c>
    </row>
    <row r="293" spans="1:2" ht="15.75" customHeight="1" x14ac:dyDescent="0.4">
      <c r="A293" s="24" t="s">
        <v>2003</v>
      </c>
      <c r="B293" s="24">
        <v>27.19</v>
      </c>
    </row>
    <row r="294" spans="1:2" ht="15.75" customHeight="1" x14ac:dyDescent="0.4">
      <c r="A294" s="24" t="s">
        <v>1914</v>
      </c>
      <c r="B294" s="24">
        <v>100</v>
      </c>
    </row>
    <row r="295" spans="1:2" ht="15.75" customHeight="1" x14ac:dyDescent="0.4">
      <c r="A295" s="24" t="s">
        <v>2036</v>
      </c>
      <c r="B295" s="24">
        <v>75</v>
      </c>
    </row>
    <row r="296" spans="1:2" ht="15.75" customHeight="1" x14ac:dyDescent="0.4">
      <c r="A296" s="24" t="s">
        <v>1875</v>
      </c>
      <c r="B296" s="24">
        <v>100</v>
      </c>
    </row>
    <row r="297" spans="1:2" ht="15.75" customHeight="1" x14ac:dyDescent="0.4">
      <c r="A297" s="24" t="s">
        <v>1971</v>
      </c>
      <c r="B297" s="24">
        <v>89.71</v>
      </c>
    </row>
    <row r="298" spans="1:2" ht="15.75" customHeight="1" x14ac:dyDescent="0.4">
      <c r="A298" s="24" t="s">
        <v>1922</v>
      </c>
      <c r="B298" s="24">
        <v>0.85</v>
      </c>
    </row>
    <row r="299" spans="1:2" ht="15.75" customHeight="1" x14ac:dyDescent="0.4">
      <c r="A299" s="24" t="s">
        <v>1880</v>
      </c>
      <c r="B299" s="24">
        <v>100</v>
      </c>
    </row>
    <row r="300" spans="1:2" ht="15.75" customHeight="1" x14ac:dyDescent="0.4">
      <c r="A300" s="24" t="s">
        <v>1976</v>
      </c>
      <c r="B300" s="24">
        <v>97.44</v>
      </c>
    </row>
    <row r="301" spans="1:2" ht="15.75" customHeight="1" x14ac:dyDescent="0.4">
      <c r="A301" s="24" t="s">
        <v>1925</v>
      </c>
      <c r="B301" s="24">
        <v>100</v>
      </c>
    </row>
    <row r="302" spans="1:2" ht="15.75" customHeight="1" x14ac:dyDescent="0.4">
      <c r="A302" s="24" t="s">
        <v>599</v>
      </c>
      <c r="B302" s="24">
        <v>33.56</v>
      </c>
    </row>
    <row r="303" spans="1:2" ht="15.75" customHeight="1" x14ac:dyDescent="0.4">
      <c r="A303" s="24" t="s">
        <v>1987</v>
      </c>
      <c r="B303" s="24">
        <v>100</v>
      </c>
    </row>
    <row r="304" spans="1:2" ht="15.75" customHeight="1" x14ac:dyDescent="0.4">
      <c r="A304" s="24" t="s">
        <v>2014</v>
      </c>
      <c r="B304" s="24">
        <v>93.88</v>
      </c>
    </row>
    <row r="305" spans="1:2" ht="15.75" customHeight="1" x14ac:dyDescent="0.4">
      <c r="A305" s="24" t="s">
        <v>2022</v>
      </c>
      <c r="B305" s="24">
        <v>100</v>
      </c>
    </row>
    <row r="306" spans="1:2" ht="15.75" customHeight="1" x14ac:dyDescent="0.4">
      <c r="A306" s="24" t="s">
        <v>2015</v>
      </c>
      <c r="B306" s="24">
        <v>100</v>
      </c>
    </row>
    <row r="307" spans="1:2" ht="15.75" customHeight="1" x14ac:dyDescent="0.4">
      <c r="A307" s="24" t="s">
        <v>1970</v>
      </c>
      <c r="B307" s="24">
        <v>100</v>
      </c>
    </row>
    <row r="308" spans="1:2" ht="15.75" customHeight="1" x14ac:dyDescent="0.4">
      <c r="A308" s="24" t="s">
        <v>1926</v>
      </c>
      <c r="B308" s="24">
        <v>98.66</v>
      </c>
    </row>
    <row r="309" spans="1:2" ht="15.75" customHeight="1" x14ac:dyDescent="0.4">
      <c r="A309" s="24" t="s">
        <v>1917</v>
      </c>
      <c r="B309" s="24">
        <v>100</v>
      </c>
    </row>
    <row r="310" spans="1:2" ht="15.75" customHeight="1" x14ac:dyDescent="0.4">
      <c r="A310" s="24" t="s">
        <v>1951</v>
      </c>
      <c r="B310" s="24">
        <v>100</v>
      </c>
    </row>
    <row r="311" spans="1:2" ht="15.75" customHeight="1" x14ac:dyDescent="0.4">
      <c r="A311" s="24" t="s">
        <v>1991</v>
      </c>
      <c r="B311" s="24">
        <v>100</v>
      </c>
    </row>
    <row r="312" spans="1:2" ht="15.75" customHeight="1" x14ac:dyDescent="0.4">
      <c r="A312" s="24" t="s">
        <v>2033</v>
      </c>
      <c r="B312" s="24">
        <v>100</v>
      </c>
    </row>
    <row r="313" spans="1:2" ht="15.75" customHeight="1" x14ac:dyDescent="0.4">
      <c r="A313" s="24" t="s">
        <v>2010</v>
      </c>
      <c r="B313" s="24">
        <v>90.68</v>
      </c>
    </row>
    <row r="314" spans="1:2" ht="15.75" customHeight="1" x14ac:dyDescent="0.4">
      <c r="A314" s="24" t="s">
        <v>1906</v>
      </c>
      <c r="B314" s="24">
        <v>100</v>
      </c>
    </row>
    <row r="315" spans="1:2" ht="15.75" customHeight="1" x14ac:dyDescent="0.4">
      <c r="A315" s="24" t="s">
        <v>1988</v>
      </c>
      <c r="B315" s="24">
        <v>87.64</v>
      </c>
    </row>
    <row r="316" spans="1:2" ht="15.75" customHeight="1" x14ac:dyDescent="0.4">
      <c r="A316" s="24" t="s">
        <v>1999</v>
      </c>
      <c r="B316" s="24">
        <v>100</v>
      </c>
    </row>
    <row r="317" spans="1:2" ht="15.75" customHeight="1" x14ac:dyDescent="0.4">
      <c r="A317" s="24" t="s">
        <v>1956</v>
      </c>
      <c r="B317" s="24">
        <v>100</v>
      </c>
    </row>
    <row r="318" spans="1:2" ht="15.75" customHeight="1" x14ac:dyDescent="0.4">
      <c r="A318" s="24" t="s">
        <v>2006</v>
      </c>
      <c r="B318" s="24">
        <v>100</v>
      </c>
    </row>
    <row r="319" spans="1:2" ht="15.75" customHeight="1" x14ac:dyDescent="0.4">
      <c r="A319" s="24" t="s">
        <v>1890</v>
      </c>
      <c r="B319" s="24">
        <v>75.11</v>
      </c>
    </row>
    <row r="320" spans="1:2" ht="15.75" customHeight="1" x14ac:dyDescent="0.4">
      <c r="A320" s="24" t="s">
        <v>685</v>
      </c>
      <c r="B320" s="24">
        <v>68.709999999999994</v>
      </c>
    </row>
    <row r="321" spans="1:2" ht="15.75" customHeight="1" x14ac:dyDescent="0.4">
      <c r="A321" s="24" t="s">
        <v>1974</v>
      </c>
      <c r="B321" s="24">
        <v>100</v>
      </c>
    </row>
    <row r="322" spans="1:2" ht="15.75" customHeight="1" x14ac:dyDescent="0.4">
      <c r="A322" s="24" t="s">
        <v>2042</v>
      </c>
      <c r="B322" s="24">
        <v>99.71</v>
      </c>
    </row>
    <row r="323" spans="1:2" ht="15.75" customHeight="1" x14ac:dyDescent="0.4">
      <c r="A323" s="24" t="s">
        <v>223</v>
      </c>
      <c r="B323" s="24">
        <v>87.28</v>
      </c>
    </row>
    <row r="324" spans="1:2" ht="15.75" customHeight="1" x14ac:dyDescent="0.4">
      <c r="A324" s="24" t="s">
        <v>1902</v>
      </c>
      <c r="B324" s="24">
        <v>100</v>
      </c>
    </row>
    <row r="325" spans="1:2" ht="15.75" customHeight="1" x14ac:dyDescent="0.4">
      <c r="A325" s="24" t="s">
        <v>1943</v>
      </c>
      <c r="B325" s="24">
        <v>100</v>
      </c>
    </row>
    <row r="326" spans="1:2" ht="15.75" customHeight="1" x14ac:dyDescent="0.4">
      <c r="A326" s="24" t="s">
        <v>1969</v>
      </c>
      <c r="B326" s="24">
        <v>100</v>
      </c>
    </row>
    <row r="327" spans="1:2" ht="15.75" customHeight="1" x14ac:dyDescent="0.4">
      <c r="A327" s="24" t="s">
        <v>1904</v>
      </c>
      <c r="B327" s="24">
        <v>100</v>
      </c>
    </row>
    <row r="328" spans="1:2" ht="15.75" customHeight="1" x14ac:dyDescent="0.4">
      <c r="A328" s="24" t="s">
        <v>1898</v>
      </c>
      <c r="B328" s="24">
        <v>100</v>
      </c>
    </row>
    <row r="329" spans="1:2" ht="15.75" customHeight="1" x14ac:dyDescent="0.4">
      <c r="A329" s="24" t="s">
        <v>1908</v>
      </c>
      <c r="B329" s="24">
        <v>80.88</v>
      </c>
    </row>
    <row r="330" spans="1:2" ht="15.75" customHeight="1" x14ac:dyDescent="0.4">
      <c r="A330" s="24" t="s">
        <v>1993</v>
      </c>
      <c r="B330" s="24">
        <v>77.569999999999993</v>
      </c>
    </row>
    <row r="331" spans="1:2" ht="15.75" customHeight="1" x14ac:dyDescent="0.4">
      <c r="A331" s="24" t="s">
        <v>2039</v>
      </c>
      <c r="B331" s="24">
        <v>99.88</v>
      </c>
    </row>
    <row r="332" spans="1:2" ht="15.75" customHeight="1" x14ac:dyDescent="0.4">
      <c r="A332" s="24" t="s">
        <v>1962</v>
      </c>
      <c r="B332" s="24">
        <v>98.14</v>
      </c>
    </row>
    <row r="333" spans="1:2" ht="15.75" customHeight="1" x14ac:dyDescent="0.4">
      <c r="A333" s="24" t="s">
        <v>659</v>
      </c>
      <c r="B333" s="24">
        <v>79.36</v>
      </c>
    </row>
    <row r="334" spans="1:2" ht="15.75" customHeight="1" x14ac:dyDescent="0.4">
      <c r="A334" s="24" t="s">
        <v>1986</v>
      </c>
      <c r="B334" s="24">
        <v>98.61</v>
      </c>
    </row>
    <row r="335" spans="1:2" ht="15.75" customHeight="1" x14ac:dyDescent="0.4">
      <c r="A335" s="24" t="s">
        <v>782</v>
      </c>
      <c r="B335" s="24">
        <v>47.54</v>
      </c>
    </row>
    <row r="336" spans="1:2" ht="15.75" customHeight="1" x14ac:dyDescent="0.4">
      <c r="A336" s="24" t="s">
        <v>2012</v>
      </c>
      <c r="B336" s="24">
        <v>100</v>
      </c>
    </row>
    <row r="337" spans="1:2" ht="15.75" customHeight="1" x14ac:dyDescent="0.4">
      <c r="A337" s="24" t="s">
        <v>1921</v>
      </c>
      <c r="B337" s="24">
        <v>99.97</v>
      </c>
    </row>
    <row r="338" spans="1:2" ht="15.75" customHeight="1" x14ac:dyDescent="0.4">
      <c r="A338" s="24" t="s">
        <v>1889</v>
      </c>
      <c r="B338" s="24">
        <v>92.91</v>
      </c>
    </row>
    <row r="339" spans="1:2" ht="15.75" customHeight="1" x14ac:dyDescent="0.4">
      <c r="A339" s="24" t="s">
        <v>2034</v>
      </c>
      <c r="B339" s="24">
        <v>87.5</v>
      </c>
    </row>
    <row r="340" spans="1:2" ht="15.75" customHeight="1" x14ac:dyDescent="0.4">
      <c r="A340" s="24" t="s">
        <v>2021</v>
      </c>
      <c r="B340" s="24">
        <v>100</v>
      </c>
    </row>
    <row r="341" spans="1:2" ht="15.75" customHeight="1" x14ac:dyDescent="0.4">
      <c r="A341" s="24" t="s">
        <v>1985</v>
      </c>
      <c r="B341" s="24">
        <v>100</v>
      </c>
    </row>
    <row r="342" spans="1:2" ht="15.75" customHeight="1" x14ac:dyDescent="0.4">
      <c r="A342" s="24" t="s">
        <v>1972</v>
      </c>
      <c r="B342" s="24">
        <v>100</v>
      </c>
    </row>
    <row r="343" spans="1:2" ht="15.75" customHeight="1" x14ac:dyDescent="0.4">
      <c r="A343" s="24" t="s">
        <v>1966</v>
      </c>
      <c r="B343" s="24">
        <v>100</v>
      </c>
    </row>
    <row r="344" spans="1:2" ht="15.75" customHeight="1" x14ac:dyDescent="0.4">
      <c r="A344" s="24" t="s">
        <v>1944</v>
      </c>
      <c r="B344" s="24">
        <v>100</v>
      </c>
    </row>
    <row r="345" spans="1:2" ht="15.75" customHeight="1" x14ac:dyDescent="0.4">
      <c r="A345" s="24" t="s">
        <v>1897</v>
      </c>
      <c r="B345" s="24">
        <v>100</v>
      </c>
    </row>
    <row r="346" spans="1:2" ht="15.75" customHeight="1" x14ac:dyDescent="0.4">
      <c r="A346" s="24" t="s">
        <v>1924</v>
      </c>
      <c r="B346" s="24">
        <v>100</v>
      </c>
    </row>
    <row r="347" spans="1:2" ht="15.75" customHeight="1" x14ac:dyDescent="0.4">
      <c r="A347" s="24" t="s">
        <v>1861</v>
      </c>
      <c r="B347" s="24">
        <v>68.709999999999994</v>
      </c>
    </row>
    <row r="348" spans="1:2" ht="15.75" customHeight="1" x14ac:dyDescent="0.4">
      <c r="A348" s="24" t="s">
        <v>1872</v>
      </c>
      <c r="B348" s="24">
        <v>96.6</v>
      </c>
    </row>
    <row r="349" spans="1:2" ht="15.75" customHeight="1" x14ac:dyDescent="0.4">
      <c r="A349" s="24" t="s">
        <v>1869</v>
      </c>
      <c r="B349" s="24">
        <v>93.38</v>
      </c>
    </row>
    <row r="350" spans="1:2" ht="15.75" customHeight="1" x14ac:dyDescent="0.4">
      <c r="A350" s="24" t="s">
        <v>1871</v>
      </c>
      <c r="B350" s="24">
        <v>95.27</v>
      </c>
    </row>
    <row r="351" spans="1:2" ht="15.75" customHeight="1" x14ac:dyDescent="0.4">
      <c r="A351" s="24" t="s">
        <v>702</v>
      </c>
      <c r="B351" s="24">
        <v>66.34</v>
      </c>
    </row>
    <row r="352" spans="1:2" ht="15.75" customHeight="1" x14ac:dyDescent="0.4">
      <c r="A352" s="24" t="s">
        <v>1864</v>
      </c>
      <c r="B352" s="24">
        <v>100</v>
      </c>
    </row>
    <row r="353" spans="1:2" ht="15.75" customHeight="1" x14ac:dyDescent="0.4">
      <c r="A353" s="24" t="s">
        <v>1867</v>
      </c>
      <c r="B353" s="24">
        <v>94.62</v>
      </c>
    </row>
    <row r="354" spans="1:2" ht="15.75" customHeight="1" x14ac:dyDescent="0.4">
      <c r="A354" s="24" t="s">
        <v>1865</v>
      </c>
      <c r="B354" s="24">
        <v>100</v>
      </c>
    </row>
    <row r="355" spans="1:2" ht="15.75" customHeight="1" x14ac:dyDescent="0.4">
      <c r="A355" s="24" t="s">
        <v>1870</v>
      </c>
      <c r="B355" s="24">
        <v>91.58</v>
      </c>
    </row>
    <row r="356" spans="1:2" ht="15.75" customHeight="1" x14ac:dyDescent="0.4">
      <c r="A356" s="24" t="s">
        <v>1866</v>
      </c>
      <c r="B356" s="24">
        <v>76.739999999999995</v>
      </c>
    </row>
    <row r="357" spans="1:2" ht="15.75" customHeight="1" x14ac:dyDescent="0.4">
      <c r="A357" s="24" t="s">
        <v>1862</v>
      </c>
      <c r="B357" s="24">
        <v>100</v>
      </c>
    </row>
    <row r="358" spans="1:2" ht="15.75" customHeight="1" x14ac:dyDescent="0.4">
      <c r="A358" s="24" t="s">
        <v>1863</v>
      </c>
      <c r="B358" s="24">
        <v>98.86</v>
      </c>
    </row>
    <row r="359" spans="1:2" ht="15.75" customHeight="1" x14ac:dyDescent="0.4">
      <c r="A359" s="24" t="s">
        <v>1868</v>
      </c>
      <c r="B359" s="24">
        <v>78.62</v>
      </c>
    </row>
    <row r="360" spans="1:2" ht="15.75" customHeight="1" x14ac:dyDescent="0.4">
      <c r="A360" s="24" t="s">
        <v>525</v>
      </c>
      <c r="B360" s="24">
        <v>0.24</v>
      </c>
    </row>
    <row r="361" spans="1:2" ht="15.75" customHeight="1" x14ac:dyDescent="0.4">
      <c r="A361" s="24" t="s">
        <v>1846</v>
      </c>
      <c r="B361" s="24">
        <v>100</v>
      </c>
    </row>
    <row r="362" spans="1:2" ht="15.75" customHeight="1" x14ac:dyDescent="0.4">
      <c r="A362" s="24" t="s">
        <v>1850</v>
      </c>
      <c r="B362" s="24">
        <v>100</v>
      </c>
    </row>
    <row r="363" spans="1:2" ht="15.75" customHeight="1" x14ac:dyDescent="0.4">
      <c r="A363" s="24" t="s">
        <v>1856</v>
      </c>
      <c r="B363" s="24">
        <v>100</v>
      </c>
    </row>
    <row r="364" spans="1:2" ht="15.75" customHeight="1" x14ac:dyDescent="0.4">
      <c r="A364" s="24" t="s">
        <v>1808</v>
      </c>
      <c r="B364" s="24">
        <v>99.78</v>
      </c>
    </row>
    <row r="365" spans="1:2" ht="15.75" customHeight="1" x14ac:dyDescent="0.4">
      <c r="A365" s="24" t="s">
        <v>1828</v>
      </c>
      <c r="B365" s="24">
        <v>100</v>
      </c>
    </row>
    <row r="366" spans="1:2" ht="15.75" customHeight="1" x14ac:dyDescent="0.4">
      <c r="A366" s="24" t="s">
        <v>1791</v>
      </c>
      <c r="B366" s="24">
        <v>12.5</v>
      </c>
    </row>
    <row r="367" spans="1:2" ht="15.75" customHeight="1" x14ac:dyDescent="0.4">
      <c r="A367" s="24" t="s">
        <v>1852</v>
      </c>
      <c r="B367" s="24">
        <v>77.34</v>
      </c>
    </row>
    <row r="368" spans="1:2" ht="15.75" customHeight="1" x14ac:dyDescent="0.4">
      <c r="A368" s="24" t="s">
        <v>1851</v>
      </c>
      <c r="B368" s="24">
        <v>62.5</v>
      </c>
    </row>
    <row r="369" spans="1:2" ht="15.75" customHeight="1" x14ac:dyDescent="0.4">
      <c r="A369" s="24" t="s">
        <v>1813</v>
      </c>
      <c r="B369" s="24">
        <v>32.299999999999997</v>
      </c>
    </row>
    <row r="370" spans="1:2" ht="15.75" customHeight="1" x14ac:dyDescent="0.4">
      <c r="A370" s="24" t="s">
        <v>1847</v>
      </c>
      <c r="B370" s="24">
        <v>100</v>
      </c>
    </row>
    <row r="371" spans="1:2" ht="15.75" customHeight="1" x14ac:dyDescent="0.4">
      <c r="A371" s="24" t="s">
        <v>1858</v>
      </c>
      <c r="B371" s="24">
        <v>67.58</v>
      </c>
    </row>
    <row r="372" spans="1:2" ht="15.75" customHeight="1" x14ac:dyDescent="0.4">
      <c r="A372" s="24" t="s">
        <v>1836</v>
      </c>
      <c r="B372" s="24">
        <v>98.84</v>
      </c>
    </row>
    <row r="373" spans="1:2" ht="15.75" customHeight="1" x14ac:dyDescent="0.4">
      <c r="A373" s="24" t="s">
        <v>1792</v>
      </c>
      <c r="B373" s="24">
        <v>11.44</v>
      </c>
    </row>
    <row r="374" spans="1:2" ht="15.75" customHeight="1" x14ac:dyDescent="0.4">
      <c r="A374" s="24" t="s">
        <v>1849</v>
      </c>
      <c r="B374" s="24">
        <v>91.63</v>
      </c>
    </row>
    <row r="375" spans="1:2" ht="15.75" customHeight="1" x14ac:dyDescent="0.4">
      <c r="A375" s="24" t="s">
        <v>1796</v>
      </c>
      <c r="B375" s="24">
        <v>48.38</v>
      </c>
    </row>
    <row r="376" spans="1:2" ht="15.75" customHeight="1" x14ac:dyDescent="0.4">
      <c r="A376" s="24" t="s">
        <v>1855</v>
      </c>
      <c r="B376" s="24">
        <v>100</v>
      </c>
    </row>
    <row r="377" spans="1:2" ht="15.75" customHeight="1" x14ac:dyDescent="0.4">
      <c r="A377" s="24" t="s">
        <v>1833</v>
      </c>
      <c r="B377" s="24">
        <v>72.349999999999994</v>
      </c>
    </row>
    <row r="378" spans="1:2" ht="15.75" customHeight="1" x14ac:dyDescent="0.4">
      <c r="A378" s="24" t="s">
        <v>1826</v>
      </c>
      <c r="B378" s="24">
        <v>100</v>
      </c>
    </row>
    <row r="379" spans="1:2" ht="15.75" customHeight="1" x14ac:dyDescent="0.4">
      <c r="A379" s="24" t="s">
        <v>1811</v>
      </c>
      <c r="B379" s="24">
        <v>100</v>
      </c>
    </row>
    <row r="380" spans="1:2" ht="15.75" customHeight="1" x14ac:dyDescent="0.4">
      <c r="A380" s="24" t="s">
        <v>1795</v>
      </c>
      <c r="B380" s="24">
        <v>100</v>
      </c>
    </row>
    <row r="381" spans="1:2" ht="15.75" customHeight="1" x14ac:dyDescent="0.4">
      <c r="A381" s="24" t="s">
        <v>1845</v>
      </c>
      <c r="B381" s="24">
        <v>84.41</v>
      </c>
    </row>
    <row r="382" spans="1:2" ht="15.75" customHeight="1" x14ac:dyDescent="0.4">
      <c r="A382" s="24" t="s">
        <v>1788</v>
      </c>
      <c r="B382" s="24">
        <v>100</v>
      </c>
    </row>
    <row r="383" spans="1:2" ht="15.75" customHeight="1" x14ac:dyDescent="0.4">
      <c r="A383" s="24" t="s">
        <v>1859</v>
      </c>
      <c r="B383" s="24">
        <v>83.56</v>
      </c>
    </row>
    <row r="384" spans="1:2" ht="15.75" customHeight="1" x14ac:dyDescent="0.4">
      <c r="A384" s="24" t="s">
        <v>1794</v>
      </c>
      <c r="B384" s="24">
        <v>1.87</v>
      </c>
    </row>
    <row r="385" spans="1:2" ht="15.75" customHeight="1" x14ac:dyDescent="0.4">
      <c r="A385" s="24" t="s">
        <v>1800</v>
      </c>
      <c r="B385" s="24">
        <v>5.79</v>
      </c>
    </row>
    <row r="386" spans="1:2" ht="15.75" customHeight="1" x14ac:dyDescent="0.4">
      <c r="A386" s="24" t="s">
        <v>1829</v>
      </c>
      <c r="B386" s="24">
        <v>93.03</v>
      </c>
    </row>
    <row r="387" spans="1:2" ht="15.75" customHeight="1" x14ac:dyDescent="0.4">
      <c r="A387" s="24" t="s">
        <v>237</v>
      </c>
      <c r="B387" s="24">
        <v>80.16</v>
      </c>
    </row>
    <row r="388" spans="1:2" ht="15.75" customHeight="1" x14ac:dyDescent="0.4">
      <c r="A388" s="24" t="s">
        <v>1824</v>
      </c>
      <c r="B388" s="24">
        <v>100</v>
      </c>
    </row>
    <row r="389" spans="1:2" ht="15.75" customHeight="1" x14ac:dyDescent="0.4">
      <c r="A389" s="24" t="s">
        <v>1827</v>
      </c>
      <c r="B389" s="24">
        <v>84.93</v>
      </c>
    </row>
    <row r="390" spans="1:2" ht="15.75" customHeight="1" x14ac:dyDescent="0.4">
      <c r="A390" s="24" t="s">
        <v>1831</v>
      </c>
      <c r="B390" s="24">
        <v>100</v>
      </c>
    </row>
    <row r="391" spans="1:2" ht="15.75" customHeight="1" x14ac:dyDescent="0.4">
      <c r="A391" s="24" t="s">
        <v>1798</v>
      </c>
      <c r="B391" s="24">
        <v>94.75</v>
      </c>
    </row>
    <row r="392" spans="1:2" ht="15.75" customHeight="1" x14ac:dyDescent="0.4">
      <c r="A392" s="24" t="s">
        <v>1803</v>
      </c>
      <c r="B392" s="24">
        <v>100</v>
      </c>
    </row>
    <row r="393" spans="1:2" ht="15.75" customHeight="1" x14ac:dyDescent="0.4">
      <c r="A393" s="24" t="s">
        <v>1860</v>
      </c>
      <c r="B393" s="24">
        <v>92.64</v>
      </c>
    </row>
    <row r="394" spans="1:2" ht="15.75" customHeight="1" x14ac:dyDescent="0.4">
      <c r="A394" s="24" t="s">
        <v>1780</v>
      </c>
      <c r="B394" s="24">
        <v>100</v>
      </c>
    </row>
    <row r="395" spans="1:2" ht="15.75" customHeight="1" x14ac:dyDescent="0.4">
      <c r="A395" s="24" t="s">
        <v>1782</v>
      </c>
      <c r="B395" s="24">
        <v>100</v>
      </c>
    </row>
    <row r="396" spans="1:2" ht="15.75" customHeight="1" x14ac:dyDescent="0.4">
      <c r="A396" s="24" t="s">
        <v>1783</v>
      </c>
      <c r="B396" s="24">
        <v>81.05</v>
      </c>
    </row>
    <row r="397" spans="1:2" ht="15.75" customHeight="1" x14ac:dyDescent="0.4">
      <c r="A397" s="24" t="s">
        <v>1823</v>
      </c>
      <c r="B397" s="24">
        <v>99.49</v>
      </c>
    </row>
    <row r="398" spans="1:2" ht="15.75" customHeight="1" x14ac:dyDescent="0.4">
      <c r="A398" s="24" t="s">
        <v>1857</v>
      </c>
      <c r="B398" s="24">
        <v>100</v>
      </c>
    </row>
    <row r="399" spans="1:2" ht="15.75" customHeight="1" x14ac:dyDescent="0.4">
      <c r="A399" s="24" t="s">
        <v>1814</v>
      </c>
      <c r="B399" s="24">
        <v>100</v>
      </c>
    </row>
    <row r="400" spans="1:2" ht="15.75" customHeight="1" x14ac:dyDescent="0.4">
      <c r="A400" s="24" t="s">
        <v>1840</v>
      </c>
      <c r="B400" s="24">
        <v>100</v>
      </c>
    </row>
    <row r="401" spans="1:2" ht="15.75" customHeight="1" x14ac:dyDescent="0.4">
      <c r="A401" s="24" t="s">
        <v>1818</v>
      </c>
      <c r="B401" s="24">
        <v>95.94</v>
      </c>
    </row>
    <row r="402" spans="1:2" ht="15.75" customHeight="1" x14ac:dyDescent="0.4">
      <c r="A402" s="24" t="s">
        <v>1786</v>
      </c>
      <c r="B402" s="24">
        <v>100</v>
      </c>
    </row>
    <row r="403" spans="1:2" ht="15.75" customHeight="1" x14ac:dyDescent="0.4">
      <c r="A403" s="24" t="s">
        <v>1843</v>
      </c>
      <c r="B403" s="24">
        <v>64.849999999999994</v>
      </c>
    </row>
    <row r="404" spans="1:2" ht="15.75" customHeight="1" x14ac:dyDescent="0.4">
      <c r="A404" s="24" t="s">
        <v>1797</v>
      </c>
      <c r="B404" s="24">
        <v>87.5</v>
      </c>
    </row>
    <row r="405" spans="1:2" ht="15.75" customHeight="1" x14ac:dyDescent="0.4">
      <c r="A405" s="24" t="s">
        <v>1839</v>
      </c>
      <c r="B405" s="24">
        <v>62.22</v>
      </c>
    </row>
    <row r="406" spans="1:2" ht="15.75" customHeight="1" x14ac:dyDescent="0.4">
      <c r="A406" s="24" t="s">
        <v>1825</v>
      </c>
      <c r="B406" s="24">
        <v>100</v>
      </c>
    </row>
    <row r="407" spans="1:2" ht="15.75" customHeight="1" x14ac:dyDescent="0.4">
      <c r="A407" s="24" t="s">
        <v>1834</v>
      </c>
      <c r="B407" s="24">
        <v>81.239999999999995</v>
      </c>
    </row>
    <row r="408" spans="1:2" ht="15.75" customHeight="1" x14ac:dyDescent="0.4">
      <c r="A408" s="24" t="s">
        <v>1810</v>
      </c>
      <c r="B408" s="24">
        <v>100</v>
      </c>
    </row>
    <row r="409" spans="1:2" ht="15.75" customHeight="1" x14ac:dyDescent="0.4">
      <c r="A409" s="24" t="s">
        <v>1806</v>
      </c>
      <c r="B409" s="24">
        <v>99.83</v>
      </c>
    </row>
    <row r="410" spans="1:2" ht="15.75" customHeight="1" x14ac:dyDescent="0.4">
      <c r="A410" s="24" t="s">
        <v>1837</v>
      </c>
      <c r="B410" s="24">
        <v>42.65</v>
      </c>
    </row>
    <row r="411" spans="1:2" ht="15.75" customHeight="1" x14ac:dyDescent="0.4">
      <c r="A411" s="24" t="s">
        <v>1804</v>
      </c>
      <c r="B411" s="24">
        <v>100</v>
      </c>
    </row>
    <row r="412" spans="1:2" ht="15.75" customHeight="1" x14ac:dyDescent="0.4">
      <c r="A412" s="24" t="s">
        <v>1790</v>
      </c>
      <c r="B412" s="24">
        <v>100</v>
      </c>
    </row>
    <row r="413" spans="1:2" ht="15.75" customHeight="1" x14ac:dyDescent="0.4">
      <c r="A413" s="24" t="s">
        <v>661</v>
      </c>
      <c r="B413" s="24">
        <v>19.489999999999998</v>
      </c>
    </row>
    <row r="414" spans="1:2" ht="15.75" customHeight="1" x14ac:dyDescent="0.4">
      <c r="A414" s="24" t="s">
        <v>1799</v>
      </c>
      <c r="B414" s="24">
        <v>92.88</v>
      </c>
    </row>
    <row r="415" spans="1:2" ht="15.75" customHeight="1" x14ac:dyDescent="0.4">
      <c r="A415" s="24" t="s">
        <v>1801</v>
      </c>
      <c r="B415" s="24">
        <v>100</v>
      </c>
    </row>
    <row r="416" spans="1:2" ht="15.75" customHeight="1" x14ac:dyDescent="0.4">
      <c r="A416" s="24" t="s">
        <v>1848</v>
      </c>
      <c r="B416" s="24">
        <v>14.59</v>
      </c>
    </row>
    <row r="417" spans="1:2" ht="15.75" customHeight="1" x14ac:dyDescent="0.4">
      <c r="A417" s="24" t="s">
        <v>1812</v>
      </c>
      <c r="B417" s="24">
        <v>100</v>
      </c>
    </row>
    <row r="418" spans="1:2" ht="15.75" customHeight="1" x14ac:dyDescent="0.4">
      <c r="A418" s="24" t="s">
        <v>1822</v>
      </c>
      <c r="B418" s="24">
        <v>100</v>
      </c>
    </row>
    <row r="419" spans="1:2" ht="15.75" customHeight="1" x14ac:dyDescent="0.4">
      <c r="A419" s="24" t="s">
        <v>1805</v>
      </c>
      <c r="B419" s="24">
        <v>100</v>
      </c>
    </row>
    <row r="420" spans="1:2" ht="15.75" customHeight="1" x14ac:dyDescent="0.4">
      <c r="A420" s="24" t="s">
        <v>710</v>
      </c>
      <c r="B420" s="24">
        <v>48.42</v>
      </c>
    </row>
    <row r="421" spans="1:2" ht="15.75" customHeight="1" x14ac:dyDescent="0.4">
      <c r="A421" s="24" t="s">
        <v>1830</v>
      </c>
      <c r="B421" s="24">
        <v>75.06</v>
      </c>
    </row>
    <row r="422" spans="1:2" ht="15.75" customHeight="1" x14ac:dyDescent="0.4">
      <c r="A422" s="24" t="s">
        <v>1793</v>
      </c>
      <c r="B422" s="24">
        <v>67.099999999999994</v>
      </c>
    </row>
    <row r="423" spans="1:2" ht="15.75" customHeight="1" x14ac:dyDescent="0.4">
      <c r="A423" s="24" t="s">
        <v>1821</v>
      </c>
      <c r="B423" s="24">
        <v>99.99</v>
      </c>
    </row>
    <row r="424" spans="1:2" ht="15.75" customHeight="1" x14ac:dyDescent="0.4">
      <c r="A424" s="24" t="s">
        <v>1781</v>
      </c>
      <c r="B424" s="24">
        <v>87.5</v>
      </c>
    </row>
    <row r="425" spans="1:2" ht="15.75" customHeight="1" x14ac:dyDescent="0.4">
      <c r="A425" s="24" t="s">
        <v>1816</v>
      </c>
      <c r="B425" s="24">
        <v>87.97</v>
      </c>
    </row>
    <row r="426" spans="1:2" ht="15.75" customHeight="1" x14ac:dyDescent="0.4">
      <c r="A426" s="24" t="s">
        <v>1819</v>
      </c>
      <c r="B426" s="24">
        <v>86.63</v>
      </c>
    </row>
    <row r="427" spans="1:2" ht="15.75" customHeight="1" x14ac:dyDescent="0.4">
      <c r="A427" s="24" t="s">
        <v>1817</v>
      </c>
      <c r="B427" s="24">
        <v>99.05</v>
      </c>
    </row>
    <row r="428" spans="1:2" ht="15.75" customHeight="1" x14ac:dyDescent="0.4">
      <c r="A428" s="24" t="s">
        <v>1807</v>
      </c>
      <c r="B428" s="24">
        <v>90.21</v>
      </c>
    </row>
    <row r="429" spans="1:2" ht="15.75" customHeight="1" x14ac:dyDescent="0.4">
      <c r="A429" s="24" t="s">
        <v>1835</v>
      </c>
      <c r="B429" s="24">
        <v>100</v>
      </c>
    </row>
    <row r="430" spans="1:2" ht="15.75" customHeight="1" x14ac:dyDescent="0.4">
      <c r="A430" s="24" t="s">
        <v>1854</v>
      </c>
      <c r="B430" s="24">
        <v>100</v>
      </c>
    </row>
    <row r="431" spans="1:2" ht="15.75" customHeight="1" x14ac:dyDescent="0.4">
      <c r="A431" s="24" t="s">
        <v>1809</v>
      </c>
      <c r="B431" s="24">
        <v>85.98</v>
      </c>
    </row>
    <row r="432" spans="1:2" ht="15.75" customHeight="1" x14ac:dyDescent="0.4">
      <c r="A432" s="24" t="s">
        <v>1842</v>
      </c>
      <c r="B432" s="24">
        <v>100</v>
      </c>
    </row>
    <row r="433" spans="1:2" ht="15.75" customHeight="1" x14ac:dyDescent="0.4">
      <c r="A433" s="24" t="s">
        <v>1785</v>
      </c>
      <c r="B433" s="24">
        <v>100</v>
      </c>
    </row>
    <row r="434" spans="1:2" ht="15.75" customHeight="1" x14ac:dyDescent="0.4">
      <c r="A434" s="24" t="s">
        <v>1815</v>
      </c>
      <c r="B434" s="24">
        <v>93.89</v>
      </c>
    </row>
    <row r="435" spans="1:2" ht="15.75" customHeight="1" x14ac:dyDescent="0.4">
      <c r="A435" s="24" t="s">
        <v>675</v>
      </c>
      <c r="B435" s="24">
        <v>30.54</v>
      </c>
    </row>
    <row r="436" spans="1:2" ht="15.75" customHeight="1" x14ac:dyDescent="0.4">
      <c r="A436" s="24" t="s">
        <v>1789</v>
      </c>
      <c r="B436" s="24">
        <v>100</v>
      </c>
    </row>
    <row r="437" spans="1:2" ht="15.75" customHeight="1" x14ac:dyDescent="0.4">
      <c r="A437" s="24" t="s">
        <v>1802</v>
      </c>
      <c r="B437" s="24">
        <v>53.6</v>
      </c>
    </row>
    <row r="438" spans="1:2" ht="15.75" customHeight="1" x14ac:dyDescent="0.4">
      <c r="A438" s="24" t="s">
        <v>1853</v>
      </c>
      <c r="B438" s="24">
        <v>100</v>
      </c>
    </row>
    <row r="439" spans="1:2" ht="15.75" customHeight="1" x14ac:dyDescent="0.4">
      <c r="A439" s="24" t="s">
        <v>1820</v>
      </c>
      <c r="B439" s="24">
        <v>92.35</v>
      </c>
    </row>
    <row r="440" spans="1:2" ht="15.75" customHeight="1" x14ac:dyDescent="0.4">
      <c r="A440" s="24" t="s">
        <v>1787</v>
      </c>
      <c r="B440" s="24">
        <v>100</v>
      </c>
    </row>
    <row r="441" spans="1:2" ht="15.75" customHeight="1" x14ac:dyDescent="0.4">
      <c r="A441" s="24" t="s">
        <v>1832</v>
      </c>
      <c r="B441" s="24">
        <v>100</v>
      </c>
    </row>
    <row r="442" spans="1:2" ht="15.75" customHeight="1" x14ac:dyDescent="0.4">
      <c r="A442" s="24" t="s">
        <v>1784</v>
      </c>
      <c r="B442" s="24">
        <v>91.28</v>
      </c>
    </row>
    <row r="443" spans="1:2" ht="15.75" customHeight="1" x14ac:dyDescent="0.4">
      <c r="A443" s="24" t="s">
        <v>1844</v>
      </c>
      <c r="B443" s="24">
        <v>100</v>
      </c>
    </row>
    <row r="444" spans="1:2" ht="15.75" customHeight="1" x14ac:dyDescent="0.4">
      <c r="A444" s="24" t="s">
        <v>1841</v>
      </c>
      <c r="B444" s="24">
        <v>100</v>
      </c>
    </row>
    <row r="445" spans="1:2" ht="15.75" customHeight="1" x14ac:dyDescent="0.4">
      <c r="A445" s="24" t="s">
        <v>1838</v>
      </c>
      <c r="B445" s="24">
        <v>38.119999999999997</v>
      </c>
    </row>
    <row r="446" spans="1:2" ht="15.75" customHeight="1" x14ac:dyDescent="0.4">
      <c r="A446" s="24" t="s">
        <v>238</v>
      </c>
      <c r="B446" s="24">
        <v>61.13</v>
      </c>
    </row>
    <row r="447" spans="1:2" ht="15.75" customHeight="1" x14ac:dyDescent="0.4">
      <c r="A447" s="24" t="s">
        <v>1741</v>
      </c>
      <c r="B447" s="24">
        <v>64.7</v>
      </c>
    </row>
    <row r="448" spans="1:2" ht="15.75" customHeight="1" x14ac:dyDescent="0.4">
      <c r="A448" s="24" t="s">
        <v>230</v>
      </c>
      <c r="B448" s="24">
        <v>81.2</v>
      </c>
    </row>
    <row r="449" spans="1:2" ht="15.75" customHeight="1" x14ac:dyDescent="0.4">
      <c r="A449" s="24" t="s">
        <v>1701</v>
      </c>
      <c r="B449" s="24">
        <v>98.24</v>
      </c>
    </row>
    <row r="450" spans="1:2" ht="15.75" customHeight="1" x14ac:dyDescent="0.4">
      <c r="A450" s="24" t="s">
        <v>1748</v>
      </c>
      <c r="B450" s="24">
        <v>100</v>
      </c>
    </row>
    <row r="451" spans="1:2" ht="15.75" customHeight="1" x14ac:dyDescent="0.4">
      <c r="A451" s="24" t="s">
        <v>1773</v>
      </c>
      <c r="B451" s="24">
        <v>42.33</v>
      </c>
    </row>
    <row r="452" spans="1:2" ht="15.75" customHeight="1" x14ac:dyDescent="0.4">
      <c r="A452" s="24" t="s">
        <v>1660</v>
      </c>
      <c r="B452" s="24">
        <v>100</v>
      </c>
    </row>
    <row r="453" spans="1:2" ht="15.75" customHeight="1" x14ac:dyDescent="0.4">
      <c r="A453" s="24" t="s">
        <v>413</v>
      </c>
      <c r="B453" s="24">
        <v>15.5</v>
      </c>
    </row>
    <row r="454" spans="1:2" ht="15.75" customHeight="1" x14ac:dyDescent="0.4">
      <c r="A454" s="24" t="s">
        <v>1717</v>
      </c>
      <c r="B454" s="24">
        <v>83.68</v>
      </c>
    </row>
    <row r="455" spans="1:2" ht="15.75" customHeight="1" x14ac:dyDescent="0.4">
      <c r="A455" s="24" t="s">
        <v>1667</v>
      </c>
      <c r="B455" s="24">
        <v>56.59</v>
      </c>
    </row>
    <row r="456" spans="1:2" ht="15.75" customHeight="1" x14ac:dyDescent="0.4">
      <c r="A456" s="24" t="s">
        <v>1776</v>
      </c>
      <c r="B456" s="24">
        <v>100</v>
      </c>
    </row>
    <row r="457" spans="1:2" ht="15.75" customHeight="1" x14ac:dyDescent="0.4">
      <c r="A457" s="24" t="s">
        <v>1728</v>
      </c>
      <c r="B457" s="24">
        <v>9.67</v>
      </c>
    </row>
    <row r="458" spans="1:2" ht="15.75" customHeight="1" x14ac:dyDescent="0.4">
      <c r="A458" s="24" t="s">
        <v>1682</v>
      </c>
      <c r="B458" s="24">
        <v>100</v>
      </c>
    </row>
    <row r="459" spans="1:2" ht="15.75" customHeight="1" x14ac:dyDescent="0.4">
      <c r="A459" s="24" t="s">
        <v>1734</v>
      </c>
      <c r="B459" s="24">
        <v>100</v>
      </c>
    </row>
    <row r="460" spans="1:2" ht="15.75" customHeight="1" x14ac:dyDescent="0.4">
      <c r="A460" s="24" t="s">
        <v>1702</v>
      </c>
      <c r="B460" s="24">
        <v>100</v>
      </c>
    </row>
    <row r="461" spans="1:2" ht="15.75" customHeight="1" x14ac:dyDescent="0.4">
      <c r="A461" s="24" t="s">
        <v>1681</v>
      </c>
      <c r="B461" s="24">
        <v>87.17</v>
      </c>
    </row>
    <row r="462" spans="1:2" ht="15.75" customHeight="1" x14ac:dyDescent="0.4">
      <c r="A462" s="24" t="s">
        <v>1755</v>
      </c>
      <c r="B462" s="24">
        <v>66.56</v>
      </c>
    </row>
    <row r="463" spans="1:2" ht="15.75" customHeight="1" x14ac:dyDescent="0.4">
      <c r="A463" s="24" t="s">
        <v>1696</v>
      </c>
      <c r="B463" s="24">
        <v>100</v>
      </c>
    </row>
    <row r="464" spans="1:2" ht="15.75" customHeight="1" x14ac:dyDescent="0.4">
      <c r="A464" s="24" t="s">
        <v>1671</v>
      </c>
      <c r="B464" s="24">
        <v>24.17</v>
      </c>
    </row>
    <row r="465" spans="1:2" ht="15.75" customHeight="1" x14ac:dyDescent="0.4">
      <c r="A465" s="24" t="s">
        <v>1771</v>
      </c>
      <c r="B465" s="24">
        <v>100</v>
      </c>
    </row>
    <row r="466" spans="1:2" ht="15.75" customHeight="1" x14ac:dyDescent="0.4">
      <c r="A466" s="24" t="s">
        <v>1658</v>
      </c>
      <c r="B466" s="24">
        <v>77.540000000000006</v>
      </c>
    </row>
    <row r="467" spans="1:2" ht="15.75" customHeight="1" x14ac:dyDescent="0.4">
      <c r="A467" s="24" t="s">
        <v>1697</v>
      </c>
      <c r="B467" s="24">
        <v>100</v>
      </c>
    </row>
    <row r="468" spans="1:2" ht="15.75" customHeight="1" x14ac:dyDescent="0.4">
      <c r="A468" s="24" t="s">
        <v>1673</v>
      </c>
      <c r="B468" s="24">
        <v>61.09</v>
      </c>
    </row>
    <row r="469" spans="1:2" ht="15.75" customHeight="1" x14ac:dyDescent="0.4">
      <c r="A469" s="24" t="s">
        <v>1690</v>
      </c>
      <c r="B469" s="24">
        <v>1.1599999999999999</v>
      </c>
    </row>
    <row r="470" spans="1:2" ht="15.75" customHeight="1" x14ac:dyDescent="0.4">
      <c r="A470" s="24" t="s">
        <v>1726</v>
      </c>
      <c r="B470" s="24">
        <v>17.43</v>
      </c>
    </row>
    <row r="471" spans="1:2" ht="15.75" customHeight="1" x14ac:dyDescent="0.4">
      <c r="A471" s="24" t="s">
        <v>1744</v>
      </c>
      <c r="B471" s="24">
        <v>16.04</v>
      </c>
    </row>
    <row r="472" spans="1:2" ht="15.75" customHeight="1" x14ac:dyDescent="0.4">
      <c r="A472" s="24" t="s">
        <v>1732</v>
      </c>
      <c r="B472" s="24">
        <v>16.5</v>
      </c>
    </row>
    <row r="473" spans="1:2" ht="15.75" customHeight="1" x14ac:dyDescent="0.4">
      <c r="A473" s="24" t="s">
        <v>635</v>
      </c>
      <c r="B473" s="24">
        <v>50</v>
      </c>
    </row>
    <row r="474" spans="1:2" ht="15.75" customHeight="1" x14ac:dyDescent="0.4">
      <c r="A474" s="24" t="s">
        <v>1686</v>
      </c>
      <c r="B474" s="24">
        <v>69.03</v>
      </c>
    </row>
    <row r="475" spans="1:2" ht="15.75" customHeight="1" x14ac:dyDescent="0.4">
      <c r="A475" s="24" t="s">
        <v>1730</v>
      </c>
      <c r="B475" s="24">
        <v>8.52</v>
      </c>
    </row>
    <row r="476" spans="1:2" ht="15.75" customHeight="1" x14ac:dyDescent="0.4">
      <c r="A476" s="24" t="s">
        <v>1666</v>
      </c>
      <c r="B476" s="24">
        <v>100</v>
      </c>
    </row>
    <row r="477" spans="1:2" ht="15.75" customHeight="1" x14ac:dyDescent="0.4">
      <c r="A477" s="24" t="s">
        <v>1719</v>
      </c>
      <c r="B477" s="24">
        <v>14.29</v>
      </c>
    </row>
    <row r="478" spans="1:2" ht="15.75" customHeight="1" x14ac:dyDescent="0.4">
      <c r="A478" s="24" t="s">
        <v>1725</v>
      </c>
      <c r="B478" s="24">
        <v>95.36</v>
      </c>
    </row>
    <row r="479" spans="1:2" ht="15.75" customHeight="1" x14ac:dyDescent="0.4">
      <c r="A479" s="24" t="s">
        <v>1759</v>
      </c>
      <c r="B479" s="24">
        <v>100</v>
      </c>
    </row>
    <row r="480" spans="1:2" ht="15.75" customHeight="1" x14ac:dyDescent="0.4">
      <c r="A480" s="24" t="s">
        <v>1714</v>
      </c>
      <c r="B480" s="24">
        <v>100</v>
      </c>
    </row>
    <row r="481" spans="1:2" ht="15.75" customHeight="1" x14ac:dyDescent="0.4">
      <c r="A481" s="24" t="s">
        <v>1694</v>
      </c>
      <c r="B481" s="24">
        <v>94.4</v>
      </c>
    </row>
    <row r="482" spans="1:2" ht="15.75" customHeight="1" x14ac:dyDescent="0.4">
      <c r="A482" s="24" t="s">
        <v>1742</v>
      </c>
      <c r="B482" s="24">
        <v>77.78</v>
      </c>
    </row>
    <row r="483" spans="1:2" ht="15.75" customHeight="1" x14ac:dyDescent="0.4">
      <c r="A483" s="24" t="s">
        <v>417</v>
      </c>
      <c r="B483" s="24">
        <v>14.66</v>
      </c>
    </row>
    <row r="484" spans="1:2" ht="15.75" customHeight="1" x14ac:dyDescent="0.4">
      <c r="A484" s="24" t="s">
        <v>1745</v>
      </c>
      <c r="B484" s="24">
        <v>77.78</v>
      </c>
    </row>
    <row r="485" spans="1:2" ht="15.75" customHeight="1" x14ac:dyDescent="0.4">
      <c r="A485" s="24" t="s">
        <v>1754</v>
      </c>
      <c r="B485" s="24">
        <v>100</v>
      </c>
    </row>
    <row r="486" spans="1:2" ht="15.75" customHeight="1" x14ac:dyDescent="0.4">
      <c r="A486" s="24" t="s">
        <v>1727</v>
      </c>
      <c r="B486" s="24">
        <v>98</v>
      </c>
    </row>
    <row r="487" spans="1:2" ht="15.75" customHeight="1" x14ac:dyDescent="0.4">
      <c r="A487" s="24" t="s">
        <v>527</v>
      </c>
      <c r="B487" s="24">
        <v>22.22</v>
      </c>
    </row>
    <row r="488" spans="1:2" ht="15.75" customHeight="1" x14ac:dyDescent="0.4">
      <c r="A488" s="24" t="s">
        <v>1677</v>
      </c>
      <c r="B488" s="24">
        <v>98.28</v>
      </c>
    </row>
    <row r="489" spans="1:2" ht="15.75" customHeight="1" x14ac:dyDescent="0.4">
      <c r="A489" s="24" t="s">
        <v>1664</v>
      </c>
      <c r="B489" s="24">
        <v>100</v>
      </c>
    </row>
    <row r="490" spans="1:2" ht="15.75" customHeight="1" x14ac:dyDescent="0.4">
      <c r="A490" s="24" t="s">
        <v>1699</v>
      </c>
      <c r="B490" s="24">
        <v>87.9</v>
      </c>
    </row>
    <row r="491" spans="1:2" ht="15.75" customHeight="1" x14ac:dyDescent="0.4">
      <c r="A491" s="24" t="s">
        <v>1753</v>
      </c>
      <c r="B491" s="24">
        <v>56.79</v>
      </c>
    </row>
    <row r="492" spans="1:2" ht="15.75" customHeight="1" x14ac:dyDescent="0.4">
      <c r="A492" s="24" t="s">
        <v>1777</v>
      </c>
      <c r="B492" s="24">
        <v>100</v>
      </c>
    </row>
    <row r="493" spans="1:2" ht="15.75" customHeight="1" x14ac:dyDescent="0.4">
      <c r="A493" s="24" t="s">
        <v>1679</v>
      </c>
      <c r="B493" s="24">
        <v>53.4</v>
      </c>
    </row>
    <row r="494" spans="1:2" ht="15.75" customHeight="1" x14ac:dyDescent="0.4">
      <c r="A494" s="24" t="s">
        <v>1756</v>
      </c>
      <c r="B494" s="24">
        <v>100</v>
      </c>
    </row>
    <row r="495" spans="1:2" ht="15.75" customHeight="1" x14ac:dyDescent="0.4">
      <c r="A495" s="24" t="s">
        <v>1672</v>
      </c>
      <c r="B495" s="24">
        <v>94.59</v>
      </c>
    </row>
    <row r="496" spans="1:2" ht="15.75" customHeight="1" x14ac:dyDescent="0.4">
      <c r="A496" s="24" t="s">
        <v>1775</v>
      </c>
      <c r="B496" s="24">
        <v>99.47</v>
      </c>
    </row>
    <row r="497" spans="1:2" ht="15.75" customHeight="1" x14ac:dyDescent="0.4">
      <c r="A497" s="24" t="s">
        <v>515</v>
      </c>
      <c r="B497" s="24">
        <v>21.51</v>
      </c>
    </row>
    <row r="498" spans="1:2" ht="15.75" customHeight="1" x14ac:dyDescent="0.4">
      <c r="A498" s="24" t="s">
        <v>1735</v>
      </c>
      <c r="B498" s="24">
        <v>100</v>
      </c>
    </row>
    <row r="499" spans="1:2" ht="15.75" customHeight="1" x14ac:dyDescent="0.4">
      <c r="A499" s="24" t="s">
        <v>1729</v>
      </c>
      <c r="B499" s="24">
        <v>88.92</v>
      </c>
    </row>
    <row r="500" spans="1:2" ht="15.75" customHeight="1" x14ac:dyDescent="0.4">
      <c r="A500" s="24" t="s">
        <v>754</v>
      </c>
      <c r="B500" s="24">
        <v>3.91</v>
      </c>
    </row>
    <row r="501" spans="1:2" ht="15.75" customHeight="1" x14ac:dyDescent="0.4">
      <c r="A501" s="24" t="s">
        <v>1665</v>
      </c>
      <c r="B501" s="24">
        <v>100</v>
      </c>
    </row>
    <row r="502" spans="1:2" ht="15.75" customHeight="1" x14ac:dyDescent="0.4">
      <c r="A502" s="24" t="s">
        <v>1746</v>
      </c>
      <c r="B502" s="24">
        <v>19.82</v>
      </c>
    </row>
    <row r="503" spans="1:2" ht="15.75" customHeight="1" x14ac:dyDescent="0.4">
      <c r="A503" s="24" t="s">
        <v>1683</v>
      </c>
      <c r="B503" s="24">
        <v>90.13</v>
      </c>
    </row>
    <row r="504" spans="1:2" ht="15.75" customHeight="1" x14ac:dyDescent="0.4">
      <c r="A504" s="24" t="s">
        <v>1662</v>
      </c>
      <c r="B504" s="24">
        <v>99.95</v>
      </c>
    </row>
    <row r="505" spans="1:2" ht="15.75" customHeight="1" x14ac:dyDescent="0.4">
      <c r="A505" s="24" t="s">
        <v>1738</v>
      </c>
      <c r="B505" s="24">
        <v>25.86</v>
      </c>
    </row>
    <row r="506" spans="1:2" ht="15.75" customHeight="1" x14ac:dyDescent="0.4">
      <c r="A506" s="24" t="s">
        <v>1675</v>
      </c>
      <c r="B506" s="24">
        <v>97.21</v>
      </c>
    </row>
    <row r="507" spans="1:2" ht="15.75" customHeight="1" x14ac:dyDescent="0.4">
      <c r="A507" s="24" t="s">
        <v>236</v>
      </c>
      <c r="B507" s="24">
        <v>100</v>
      </c>
    </row>
    <row r="508" spans="1:2" ht="15.75" customHeight="1" x14ac:dyDescent="0.4">
      <c r="A508" s="24" t="s">
        <v>1740</v>
      </c>
      <c r="B508" s="24">
        <v>100</v>
      </c>
    </row>
    <row r="509" spans="1:2" ht="15.75" customHeight="1" x14ac:dyDescent="0.4">
      <c r="A509" s="24" t="s">
        <v>1700</v>
      </c>
      <c r="B509" s="24">
        <v>98.55</v>
      </c>
    </row>
    <row r="510" spans="1:2" ht="15.75" customHeight="1" x14ac:dyDescent="0.4">
      <c r="A510" s="24" t="s">
        <v>1706</v>
      </c>
      <c r="B510" s="24">
        <v>98.03</v>
      </c>
    </row>
    <row r="511" spans="1:2" ht="15.75" customHeight="1" x14ac:dyDescent="0.4">
      <c r="A511" s="24" t="s">
        <v>241</v>
      </c>
      <c r="B511" s="24">
        <v>94.05</v>
      </c>
    </row>
    <row r="512" spans="1:2" ht="15.75" customHeight="1" x14ac:dyDescent="0.4">
      <c r="A512" s="24" t="s">
        <v>1723</v>
      </c>
      <c r="B512" s="24">
        <v>99.67</v>
      </c>
    </row>
    <row r="513" spans="1:2" ht="15.75" customHeight="1" x14ac:dyDescent="0.4">
      <c r="A513" s="24" t="s">
        <v>581</v>
      </c>
      <c r="B513" s="24">
        <v>19.71</v>
      </c>
    </row>
    <row r="514" spans="1:2" ht="15.75" customHeight="1" x14ac:dyDescent="0.4">
      <c r="A514" s="24" t="s">
        <v>1751</v>
      </c>
      <c r="B514" s="24">
        <v>100</v>
      </c>
    </row>
    <row r="515" spans="1:2" ht="15.75" customHeight="1" x14ac:dyDescent="0.4">
      <c r="A515" s="24" t="s">
        <v>1668</v>
      </c>
      <c r="B515" s="24">
        <v>100</v>
      </c>
    </row>
    <row r="516" spans="1:2" ht="15.75" customHeight="1" x14ac:dyDescent="0.4">
      <c r="A516" s="24" t="s">
        <v>1750</v>
      </c>
      <c r="B516" s="24">
        <v>86.6</v>
      </c>
    </row>
    <row r="517" spans="1:2" ht="15.75" customHeight="1" x14ac:dyDescent="0.4">
      <c r="A517" s="24" t="s">
        <v>1698</v>
      </c>
      <c r="B517" s="24">
        <v>100</v>
      </c>
    </row>
    <row r="518" spans="1:2" ht="15.75" customHeight="1" x14ac:dyDescent="0.4">
      <c r="A518" s="24" t="s">
        <v>1739</v>
      </c>
      <c r="B518" s="24">
        <v>100</v>
      </c>
    </row>
    <row r="519" spans="1:2" ht="15.75" customHeight="1" x14ac:dyDescent="0.4">
      <c r="A519" s="24" t="s">
        <v>1715</v>
      </c>
      <c r="B519" s="24">
        <v>96.55</v>
      </c>
    </row>
    <row r="520" spans="1:2" ht="15.75" customHeight="1" x14ac:dyDescent="0.4">
      <c r="A520" s="24" t="s">
        <v>1692</v>
      </c>
      <c r="B520" s="24">
        <v>97.28</v>
      </c>
    </row>
    <row r="521" spans="1:2" ht="15.75" customHeight="1" x14ac:dyDescent="0.4">
      <c r="A521" s="24" t="s">
        <v>1733</v>
      </c>
      <c r="B521" s="24">
        <v>99.37</v>
      </c>
    </row>
    <row r="522" spans="1:2" ht="15.75" customHeight="1" x14ac:dyDescent="0.4">
      <c r="A522" s="24" t="s">
        <v>1770</v>
      </c>
      <c r="B522" s="24">
        <v>78.12</v>
      </c>
    </row>
    <row r="523" spans="1:2" ht="15.75" customHeight="1" x14ac:dyDescent="0.4">
      <c r="A523" s="24" t="s">
        <v>1761</v>
      </c>
      <c r="B523" s="24">
        <v>97.51</v>
      </c>
    </row>
    <row r="524" spans="1:2" ht="15.75" customHeight="1" x14ac:dyDescent="0.4">
      <c r="A524" s="24" t="s">
        <v>1736</v>
      </c>
      <c r="B524" s="24">
        <v>0.69</v>
      </c>
    </row>
    <row r="525" spans="1:2" ht="15.75" customHeight="1" x14ac:dyDescent="0.4">
      <c r="A525" s="24" t="s">
        <v>1720</v>
      </c>
      <c r="B525" s="24">
        <v>100</v>
      </c>
    </row>
    <row r="526" spans="1:2" ht="15.75" customHeight="1" x14ac:dyDescent="0.4">
      <c r="A526" s="24" t="s">
        <v>239</v>
      </c>
      <c r="B526" s="24">
        <v>86.87</v>
      </c>
    </row>
    <row r="527" spans="1:2" ht="15.75" customHeight="1" x14ac:dyDescent="0.4">
      <c r="A527" s="24" t="s">
        <v>1661</v>
      </c>
      <c r="B527" s="24">
        <v>88.89</v>
      </c>
    </row>
    <row r="528" spans="1:2" ht="15.75" customHeight="1" x14ac:dyDescent="0.4">
      <c r="A528" s="24" t="s">
        <v>1779</v>
      </c>
      <c r="B528" s="24">
        <v>100</v>
      </c>
    </row>
    <row r="529" spans="1:2" ht="15.75" customHeight="1" x14ac:dyDescent="0.4">
      <c r="A529" s="24" t="s">
        <v>385</v>
      </c>
      <c r="B529" s="24">
        <v>12.99</v>
      </c>
    </row>
    <row r="530" spans="1:2" ht="15.75" customHeight="1" x14ac:dyDescent="0.4">
      <c r="A530" s="24" t="s">
        <v>688</v>
      </c>
      <c r="B530" s="24">
        <v>44.44</v>
      </c>
    </row>
    <row r="531" spans="1:2" ht="15.75" customHeight="1" x14ac:dyDescent="0.4">
      <c r="A531" s="24" t="s">
        <v>1711</v>
      </c>
      <c r="B531" s="24">
        <v>100</v>
      </c>
    </row>
    <row r="532" spans="1:2" ht="15.75" customHeight="1" x14ac:dyDescent="0.4">
      <c r="A532" s="24" t="s">
        <v>1721</v>
      </c>
      <c r="B532" s="24">
        <v>58.23</v>
      </c>
    </row>
    <row r="533" spans="1:2" ht="15.75" customHeight="1" x14ac:dyDescent="0.4">
      <c r="A533" s="24" t="s">
        <v>1768</v>
      </c>
      <c r="B533" s="24">
        <v>63.2</v>
      </c>
    </row>
    <row r="534" spans="1:2" ht="15.75" customHeight="1" x14ac:dyDescent="0.4">
      <c r="A534" s="24" t="s">
        <v>1693</v>
      </c>
      <c r="B534" s="24">
        <v>91.9</v>
      </c>
    </row>
    <row r="535" spans="1:2" ht="15.75" customHeight="1" x14ac:dyDescent="0.4">
      <c r="A535" s="24" t="s">
        <v>1678</v>
      </c>
      <c r="B535" s="24">
        <v>98.53</v>
      </c>
    </row>
    <row r="536" spans="1:2" ht="15.75" customHeight="1" x14ac:dyDescent="0.4">
      <c r="A536" s="24" t="s">
        <v>1713</v>
      </c>
      <c r="B536" s="24">
        <v>100</v>
      </c>
    </row>
    <row r="537" spans="1:2" ht="15.75" customHeight="1" x14ac:dyDescent="0.4">
      <c r="A537" s="24" t="s">
        <v>1718</v>
      </c>
      <c r="B537" s="24">
        <v>83.7</v>
      </c>
    </row>
    <row r="538" spans="1:2" ht="15.75" customHeight="1" x14ac:dyDescent="0.4">
      <c r="A538" s="24" t="s">
        <v>1680</v>
      </c>
      <c r="B538" s="24">
        <v>77.510000000000005</v>
      </c>
    </row>
    <row r="539" spans="1:2" ht="15.75" customHeight="1" x14ac:dyDescent="0.4">
      <c r="A539" s="24" t="s">
        <v>1703</v>
      </c>
      <c r="B539" s="24">
        <v>100</v>
      </c>
    </row>
    <row r="540" spans="1:2" ht="15.75" customHeight="1" x14ac:dyDescent="0.4">
      <c r="A540" s="24" t="s">
        <v>617</v>
      </c>
      <c r="B540" s="24">
        <v>55.35</v>
      </c>
    </row>
    <row r="541" spans="1:2" ht="15.75" customHeight="1" x14ac:dyDescent="0.4">
      <c r="A541" s="24" t="s">
        <v>1724</v>
      </c>
      <c r="B541" s="24">
        <v>100</v>
      </c>
    </row>
    <row r="542" spans="1:2" ht="15.75" customHeight="1" x14ac:dyDescent="0.4">
      <c r="A542" s="24" t="s">
        <v>1695</v>
      </c>
      <c r="B542" s="24">
        <v>100</v>
      </c>
    </row>
    <row r="543" spans="1:2" ht="15.75" customHeight="1" x14ac:dyDescent="0.4">
      <c r="A543" s="24" t="s">
        <v>1687</v>
      </c>
      <c r="B543" s="24">
        <v>100</v>
      </c>
    </row>
    <row r="544" spans="1:2" ht="15.75" customHeight="1" x14ac:dyDescent="0.4">
      <c r="A544" s="24" t="s">
        <v>1708</v>
      </c>
      <c r="B544" s="24">
        <v>100</v>
      </c>
    </row>
    <row r="545" spans="1:2" ht="15.75" customHeight="1" x14ac:dyDescent="0.4">
      <c r="A545" s="24" t="s">
        <v>1688</v>
      </c>
      <c r="B545" s="24">
        <v>78.27</v>
      </c>
    </row>
    <row r="546" spans="1:2" ht="15.75" customHeight="1" x14ac:dyDescent="0.4">
      <c r="A546" s="24" t="s">
        <v>1704</v>
      </c>
      <c r="B546" s="24">
        <v>88.89</v>
      </c>
    </row>
    <row r="547" spans="1:2" ht="15.75" customHeight="1" x14ac:dyDescent="0.4">
      <c r="A547" s="24" t="s">
        <v>1772</v>
      </c>
      <c r="B547" s="24">
        <v>99.85</v>
      </c>
    </row>
    <row r="548" spans="1:2" ht="15.75" customHeight="1" x14ac:dyDescent="0.4">
      <c r="A548" s="24" t="s">
        <v>619</v>
      </c>
      <c r="B548" s="24">
        <v>36.53</v>
      </c>
    </row>
    <row r="549" spans="1:2" ht="15.75" customHeight="1" x14ac:dyDescent="0.4">
      <c r="A549" s="24" t="s">
        <v>575</v>
      </c>
      <c r="B549" s="24">
        <v>42.7</v>
      </c>
    </row>
    <row r="550" spans="1:2" ht="15.75" customHeight="1" x14ac:dyDescent="0.4">
      <c r="A550" s="24" t="s">
        <v>1743</v>
      </c>
      <c r="B550" s="24">
        <v>100</v>
      </c>
    </row>
    <row r="551" spans="1:2" ht="15.75" customHeight="1" x14ac:dyDescent="0.4">
      <c r="A551" s="24" t="s">
        <v>1763</v>
      </c>
      <c r="B551" s="24">
        <v>100</v>
      </c>
    </row>
    <row r="552" spans="1:2" ht="15.75" customHeight="1" x14ac:dyDescent="0.4">
      <c r="A552" s="24" t="s">
        <v>716</v>
      </c>
      <c r="B552" s="24">
        <v>63.08</v>
      </c>
    </row>
    <row r="553" spans="1:2" ht="15.75" customHeight="1" x14ac:dyDescent="0.4">
      <c r="A553" s="24" t="s">
        <v>1659</v>
      </c>
      <c r="B553" s="24">
        <v>88.89</v>
      </c>
    </row>
    <row r="554" spans="1:2" ht="15.75" customHeight="1" x14ac:dyDescent="0.4">
      <c r="A554" s="24" t="s">
        <v>1709</v>
      </c>
      <c r="B554" s="24">
        <v>94.41</v>
      </c>
    </row>
    <row r="555" spans="1:2" ht="15.75" customHeight="1" x14ac:dyDescent="0.4">
      <c r="A555" s="24" t="s">
        <v>1747</v>
      </c>
      <c r="B555" s="24">
        <v>100</v>
      </c>
    </row>
    <row r="556" spans="1:2" ht="15.75" customHeight="1" x14ac:dyDescent="0.4">
      <c r="A556" s="24" t="s">
        <v>1731</v>
      </c>
      <c r="B556" s="24">
        <v>95.73</v>
      </c>
    </row>
    <row r="557" spans="1:2" ht="15.75" customHeight="1" x14ac:dyDescent="0.4">
      <c r="A557" s="24" t="s">
        <v>1765</v>
      </c>
      <c r="B557" s="24">
        <v>97.23</v>
      </c>
    </row>
    <row r="558" spans="1:2" ht="15.75" customHeight="1" x14ac:dyDescent="0.4">
      <c r="A558" s="24" t="s">
        <v>1670</v>
      </c>
      <c r="B558" s="24">
        <v>100</v>
      </c>
    </row>
    <row r="559" spans="1:2" ht="15.75" customHeight="1" x14ac:dyDescent="0.4">
      <c r="A559" s="24" t="s">
        <v>1663</v>
      </c>
      <c r="B559" s="24">
        <v>100</v>
      </c>
    </row>
    <row r="560" spans="1:2" ht="15.75" customHeight="1" x14ac:dyDescent="0.4">
      <c r="A560" s="24" t="s">
        <v>1710</v>
      </c>
      <c r="B560" s="24">
        <v>100</v>
      </c>
    </row>
    <row r="561" spans="1:2" ht="15.75" customHeight="1" x14ac:dyDescent="0.4">
      <c r="A561" s="24" t="s">
        <v>704</v>
      </c>
      <c r="B561" s="24">
        <v>46.14</v>
      </c>
    </row>
    <row r="562" spans="1:2" ht="15.75" customHeight="1" x14ac:dyDescent="0.4">
      <c r="A562" s="24" t="s">
        <v>240</v>
      </c>
      <c r="B562" s="24">
        <v>99.81</v>
      </c>
    </row>
    <row r="563" spans="1:2" ht="15.75" customHeight="1" x14ac:dyDescent="0.4">
      <c r="A563" s="24" t="s">
        <v>587</v>
      </c>
      <c r="B563" s="24">
        <v>16.45</v>
      </c>
    </row>
    <row r="564" spans="1:2" ht="15.75" customHeight="1" x14ac:dyDescent="0.4">
      <c r="A564" s="24" t="s">
        <v>1769</v>
      </c>
      <c r="B564" s="24">
        <v>47.11</v>
      </c>
    </row>
    <row r="565" spans="1:2" ht="15.75" customHeight="1" x14ac:dyDescent="0.4">
      <c r="A565" s="24" t="s">
        <v>461</v>
      </c>
      <c r="B565" s="24">
        <v>20</v>
      </c>
    </row>
    <row r="566" spans="1:2" ht="15.75" customHeight="1" x14ac:dyDescent="0.4">
      <c r="A566" s="24" t="s">
        <v>1707</v>
      </c>
      <c r="B566" s="24">
        <v>88.89</v>
      </c>
    </row>
    <row r="567" spans="1:2" ht="15.75" customHeight="1" x14ac:dyDescent="0.4">
      <c r="A567" s="24" t="s">
        <v>1657</v>
      </c>
      <c r="B567" s="24">
        <v>92.45</v>
      </c>
    </row>
    <row r="568" spans="1:2" ht="15.75" customHeight="1" x14ac:dyDescent="0.4">
      <c r="A568" s="24" t="s">
        <v>1705</v>
      </c>
      <c r="B568" s="24">
        <v>18.89</v>
      </c>
    </row>
    <row r="569" spans="1:2" ht="15.75" customHeight="1" x14ac:dyDescent="0.4">
      <c r="A569" s="24" t="s">
        <v>1737</v>
      </c>
      <c r="B569" s="24">
        <v>94.19</v>
      </c>
    </row>
    <row r="570" spans="1:2" ht="15.75" customHeight="1" x14ac:dyDescent="0.4">
      <c r="A570" s="24" t="s">
        <v>1716</v>
      </c>
      <c r="B570" s="24">
        <v>89.46</v>
      </c>
    </row>
    <row r="571" spans="1:2" ht="15.75" customHeight="1" x14ac:dyDescent="0.4">
      <c r="A571" s="24" t="s">
        <v>1689</v>
      </c>
      <c r="B571" s="24">
        <v>73.98</v>
      </c>
    </row>
    <row r="572" spans="1:2" ht="15.75" customHeight="1" x14ac:dyDescent="0.4">
      <c r="A572" s="24" t="s">
        <v>1774</v>
      </c>
      <c r="B572" s="24">
        <v>85.51</v>
      </c>
    </row>
    <row r="573" spans="1:2" ht="15.75" customHeight="1" x14ac:dyDescent="0.4">
      <c r="A573" s="24" t="s">
        <v>1691</v>
      </c>
      <c r="B573" s="24">
        <v>95.6</v>
      </c>
    </row>
    <row r="574" spans="1:2" ht="15.75" customHeight="1" x14ac:dyDescent="0.4">
      <c r="A574" s="24" t="s">
        <v>1674</v>
      </c>
      <c r="B574" s="24">
        <v>87.49</v>
      </c>
    </row>
    <row r="575" spans="1:2" ht="15.75" customHeight="1" x14ac:dyDescent="0.4">
      <c r="A575" s="24" t="s">
        <v>1676</v>
      </c>
      <c r="B575" s="24">
        <v>100</v>
      </c>
    </row>
    <row r="576" spans="1:2" ht="15.75" customHeight="1" x14ac:dyDescent="0.4">
      <c r="A576" s="24" t="s">
        <v>1764</v>
      </c>
      <c r="B576" s="24">
        <v>94.74</v>
      </c>
    </row>
    <row r="577" spans="1:2" ht="15.75" customHeight="1" x14ac:dyDescent="0.4">
      <c r="A577" s="24" t="s">
        <v>1669</v>
      </c>
      <c r="B577" s="24">
        <v>100</v>
      </c>
    </row>
    <row r="578" spans="1:2" ht="15.75" customHeight="1" x14ac:dyDescent="0.4">
      <c r="A578" s="24" t="s">
        <v>807</v>
      </c>
      <c r="B578" s="24">
        <v>39.729999999999997</v>
      </c>
    </row>
    <row r="579" spans="1:2" ht="15.75" customHeight="1" x14ac:dyDescent="0.4">
      <c r="A579" s="24" t="s">
        <v>1712</v>
      </c>
      <c r="B579" s="24">
        <v>99.56</v>
      </c>
    </row>
    <row r="580" spans="1:2" ht="15.75" customHeight="1" x14ac:dyDescent="0.4">
      <c r="A580" s="24" t="s">
        <v>1757</v>
      </c>
      <c r="B580" s="24">
        <v>89.08</v>
      </c>
    </row>
    <row r="581" spans="1:2" ht="15.75" customHeight="1" x14ac:dyDescent="0.4">
      <c r="A581" s="24" t="s">
        <v>1760</v>
      </c>
      <c r="B581" s="24">
        <v>11.11</v>
      </c>
    </row>
    <row r="582" spans="1:2" ht="15.75" customHeight="1" x14ac:dyDescent="0.4">
      <c r="A582" s="24" t="s">
        <v>1767</v>
      </c>
      <c r="B582" s="24">
        <v>97.07</v>
      </c>
    </row>
    <row r="583" spans="1:2" ht="15.75" customHeight="1" x14ac:dyDescent="0.4">
      <c r="A583" s="24" t="s">
        <v>1778</v>
      </c>
      <c r="B583" s="24">
        <v>95.57</v>
      </c>
    </row>
    <row r="584" spans="1:2" ht="15.75" customHeight="1" x14ac:dyDescent="0.4">
      <c r="A584" s="24" t="s">
        <v>1684</v>
      </c>
      <c r="B584" s="24">
        <v>89.11</v>
      </c>
    </row>
    <row r="585" spans="1:2" ht="15.75" customHeight="1" x14ac:dyDescent="0.4">
      <c r="A585" s="24" t="s">
        <v>1766</v>
      </c>
      <c r="B585" s="24">
        <v>77.319999999999993</v>
      </c>
    </row>
    <row r="586" spans="1:2" ht="15.75" customHeight="1" x14ac:dyDescent="0.4">
      <c r="A586" s="24" t="s">
        <v>1749</v>
      </c>
      <c r="B586" s="24">
        <v>88.89</v>
      </c>
    </row>
    <row r="587" spans="1:2" ht="15.75" customHeight="1" x14ac:dyDescent="0.4">
      <c r="A587" s="24" t="s">
        <v>1752</v>
      </c>
      <c r="B587" s="24">
        <v>100</v>
      </c>
    </row>
    <row r="588" spans="1:2" ht="15.75" customHeight="1" x14ac:dyDescent="0.4">
      <c r="A588" s="24" t="s">
        <v>1762</v>
      </c>
      <c r="B588" s="24">
        <v>100</v>
      </c>
    </row>
    <row r="589" spans="1:2" ht="15.75" customHeight="1" x14ac:dyDescent="0.4">
      <c r="A589" s="24" t="s">
        <v>1722</v>
      </c>
      <c r="B589" s="24">
        <v>90.38</v>
      </c>
    </row>
    <row r="590" spans="1:2" ht="15.75" customHeight="1" x14ac:dyDescent="0.4">
      <c r="A590" s="24" t="s">
        <v>1685</v>
      </c>
      <c r="B590" s="24">
        <v>100</v>
      </c>
    </row>
    <row r="591" spans="1:2" ht="15.75" customHeight="1" x14ac:dyDescent="0.4">
      <c r="A591" s="24" t="s">
        <v>1758</v>
      </c>
      <c r="B591" s="24">
        <v>98.74</v>
      </c>
    </row>
    <row r="592" spans="1:2" ht="15.75" customHeight="1" x14ac:dyDescent="0.4">
      <c r="A592" s="24" t="s">
        <v>1555</v>
      </c>
      <c r="B592" s="24">
        <v>100</v>
      </c>
    </row>
    <row r="593" spans="1:2" ht="15.75" customHeight="1" x14ac:dyDescent="0.4">
      <c r="A593" s="24" t="s">
        <v>1474</v>
      </c>
      <c r="B593" s="24">
        <v>100</v>
      </c>
    </row>
    <row r="594" spans="1:2" ht="15.75" customHeight="1" x14ac:dyDescent="0.4">
      <c r="A594" s="24" t="s">
        <v>1567</v>
      </c>
      <c r="B594" s="24">
        <v>83.33</v>
      </c>
    </row>
    <row r="595" spans="1:2" ht="15.75" customHeight="1" x14ac:dyDescent="0.4">
      <c r="A595" s="24" t="s">
        <v>1522</v>
      </c>
      <c r="B595" s="24">
        <v>16.670000000000002</v>
      </c>
    </row>
    <row r="596" spans="1:2" ht="15.75" customHeight="1" x14ac:dyDescent="0.4">
      <c r="A596" s="24" t="s">
        <v>1514</v>
      </c>
      <c r="B596" s="24">
        <v>88.71</v>
      </c>
    </row>
    <row r="597" spans="1:2" ht="15.75" customHeight="1" x14ac:dyDescent="0.4">
      <c r="A597" s="24" t="s">
        <v>1561</v>
      </c>
      <c r="B597" s="24">
        <v>33.229999999999997</v>
      </c>
    </row>
    <row r="598" spans="1:2" ht="15.75" customHeight="1" x14ac:dyDescent="0.4">
      <c r="A598" s="24" t="s">
        <v>1562</v>
      </c>
      <c r="B598" s="24">
        <v>81.83</v>
      </c>
    </row>
    <row r="599" spans="1:2" ht="15.75" customHeight="1" x14ac:dyDescent="0.4">
      <c r="A599" s="24" t="s">
        <v>1488</v>
      </c>
      <c r="B599" s="24">
        <v>100</v>
      </c>
    </row>
    <row r="600" spans="1:2" ht="15.75" customHeight="1" x14ac:dyDescent="0.4">
      <c r="A600" s="24" t="s">
        <v>1549</v>
      </c>
      <c r="B600" s="24">
        <v>72.62</v>
      </c>
    </row>
    <row r="601" spans="1:2" ht="15.75" customHeight="1" x14ac:dyDescent="0.4">
      <c r="A601" s="24" t="s">
        <v>1554</v>
      </c>
      <c r="B601" s="24">
        <v>93.61</v>
      </c>
    </row>
    <row r="602" spans="1:2" ht="15.75" customHeight="1" x14ac:dyDescent="0.4">
      <c r="A602" s="24" t="s">
        <v>758</v>
      </c>
      <c r="B602" s="24">
        <v>97</v>
      </c>
    </row>
    <row r="603" spans="1:2" ht="15.75" customHeight="1" x14ac:dyDescent="0.4">
      <c r="A603" s="24" t="s">
        <v>1612</v>
      </c>
      <c r="B603" s="24">
        <v>91.06</v>
      </c>
    </row>
    <row r="604" spans="1:2" ht="15.75" customHeight="1" x14ac:dyDescent="0.4">
      <c r="A604" s="24" t="s">
        <v>1519</v>
      </c>
      <c r="B604" s="24">
        <v>0</v>
      </c>
    </row>
    <row r="605" spans="1:2" ht="15.75" customHeight="1" x14ac:dyDescent="0.4">
      <c r="A605" s="24" t="s">
        <v>1566</v>
      </c>
      <c r="B605" s="24">
        <v>94.11</v>
      </c>
    </row>
    <row r="606" spans="1:2" ht="15.75" customHeight="1" x14ac:dyDescent="0.4">
      <c r="A606" s="24" t="s">
        <v>1599</v>
      </c>
      <c r="B606" s="24">
        <v>67.23</v>
      </c>
    </row>
    <row r="607" spans="1:2" ht="15.75" customHeight="1" x14ac:dyDescent="0.4">
      <c r="A607" s="24" t="s">
        <v>1498</v>
      </c>
      <c r="B607" s="24">
        <v>41.63</v>
      </c>
    </row>
    <row r="608" spans="1:2" ht="15.75" customHeight="1" x14ac:dyDescent="0.4">
      <c r="A608" s="24" t="s">
        <v>1560</v>
      </c>
      <c r="B608" s="24">
        <v>99.77</v>
      </c>
    </row>
    <row r="609" spans="1:2" ht="15.75" customHeight="1" x14ac:dyDescent="0.4">
      <c r="A609" s="24" t="s">
        <v>1542</v>
      </c>
      <c r="B609" s="24">
        <v>72.66</v>
      </c>
    </row>
    <row r="610" spans="1:2" ht="15.75" customHeight="1" x14ac:dyDescent="0.4">
      <c r="A610" s="24" t="s">
        <v>1253</v>
      </c>
      <c r="B610" s="24">
        <v>87.85</v>
      </c>
    </row>
    <row r="611" spans="1:2" ht="15.75" customHeight="1" x14ac:dyDescent="0.4">
      <c r="A611" s="24" t="s">
        <v>1606</v>
      </c>
      <c r="B611" s="24">
        <v>73.58</v>
      </c>
    </row>
    <row r="612" spans="1:2" ht="15.75" customHeight="1" x14ac:dyDescent="0.4">
      <c r="A612" s="24" t="s">
        <v>1493</v>
      </c>
      <c r="B612" s="24">
        <v>100</v>
      </c>
    </row>
    <row r="613" spans="1:2" ht="15.75" customHeight="1" x14ac:dyDescent="0.4">
      <c r="A613" s="24" t="s">
        <v>1601</v>
      </c>
      <c r="B613" s="24">
        <v>85.98</v>
      </c>
    </row>
    <row r="614" spans="1:2" ht="15.75" customHeight="1" x14ac:dyDescent="0.4">
      <c r="A614" s="24" t="s">
        <v>681</v>
      </c>
      <c r="B614" s="24">
        <v>12.89</v>
      </c>
    </row>
    <row r="615" spans="1:2" ht="15.75" customHeight="1" x14ac:dyDescent="0.4">
      <c r="A615" s="24" t="s">
        <v>1650</v>
      </c>
      <c r="B615" s="24">
        <v>99.21</v>
      </c>
    </row>
    <row r="616" spans="1:2" ht="15.75" customHeight="1" x14ac:dyDescent="0.4">
      <c r="A616" s="24" t="s">
        <v>1616</v>
      </c>
      <c r="B616" s="24">
        <v>47.39</v>
      </c>
    </row>
    <row r="617" spans="1:2" ht="15.75" customHeight="1" x14ac:dyDescent="0.4">
      <c r="A617" s="24" t="s">
        <v>1524</v>
      </c>
      <c r="B617" s="24">
        <v>77.760000000000005</v>
      </c>
    </row>
    <row r="618" spans="1:2" ht="15.75" customHeight="1" x14ac:dyDescent="0.4">
      <c r="A618" s="24" t="s">
        <v>1581</v>
      </c>
      <c r="B618" s="24">
        <v>98.23</v>
      </c>
    </row>
    <row r="619" spans="1:2" ht="15.75" customHeight="1" x14ac:dyDescent="0.4">
      <c r="A619" s="24" t="s">
        <v>1489</v>
      </c>
      <c r="B619" s="24">
        <v>33.33</v>
      </c>
    </row>
    <row r="620" spans="1:2" ht="15.75" customHeight="1" x14ac:dyDescent="0.4">
      <c r="A620" s="24" t="s">
        <v>1635</v>
      </c>
      <c r="B620" s="24">
        <v>99.73</v>
      </c>
    </row>
    <row r="621" spans="1:2" ht="15.75" customHeight="1" x14ac:dyDescent="0.4">
      <c r="A621" s="24" t="s">
        <v>1500</v>
      </c>
      <c r="B621" s="24">
        <v>61.11</v>
      </c>
    </row>
    <row r="622" spans="1:2" ht="15.75" customHeight="1" x14ac:dyDescent="0.4">
      <c r="A622" s="24" t="s">
        <v>1534</v>
      </c>
      <c r="B622" s="24">
        <v>100</v>
      </c>
    </row>
    <row r="623" spans="1:2" ht="15.75" customHeight="1" x14ac:dyDescent="0.4">
      <c r="A623" s="24" t="s">
        <v>1595</v>
      </c>
      <c r="B623" s="24">
        <v>4.6900000000000004</v>
      </c>
    </row>
    <row r="624" spans="1:2" ht="15.75" customHeight="1" x14ac:dyDescent="0.4">
      <c r="A624" s="24" t="s">
        <v>1614</v>
      </c>
      <c r="B624" s="24">
        <v>85.48</v>
      </c>
    </row>
    <row r="625" spans="1:2" ht="15.75" customHeight="1" x14ac:dyDescent="0.4">
      <c r="A625" s="24" t="s">
        <v>1544</v>
      </c>
      <c r="B625" s="24">
        <v>100</v>
      </c>
    </row>
    <row r="626" spans="1:2" ht="15.75" customHeight="1" x14ac:dyDescent="0.4">
      <c r="A626" s="24" t="s">
        <v>1644</v>
      </c>
      <c r="B626" s="24">
        <v>100</v>
      </c>
    </row>
    <row r="627" spans="1:2" ht="15.75" customHeight="1" x14ac:dyDescent="0.4">
      <c r="A627" s="24" t="s">
        <v>1645</v>
      </c>
      <c r="B627" s="24">
        <v>100</v>
      </c>
    </row>
    <row r="628" spans="1:2" ht="15.75" customHeight="1" x14ac:dyDescent="0.4">
      <c r="A628" s="24" t="s">
        <v>1556</v>
      </c>
      <c r="B628" s="24">
        <v>83.33</v>
      </c>
    </row>
    <row r="629" spans="1:2" ht="15.75" customHeight="1" x14ac:dyDescent="0.4">
      <c r="A629" s="24" t="s">
        <v>714</v>
      </c>
      <c r="B629" s="24">
        <v>53.63</v>
      </c>
    </row>
    <row r="630" spans="1:2" ht="15.75" customHeight="1" x14ac:dyDescent="0.4">
      <c r="A630" s="24" t="s">
        <v>760</v>
      </c>
      <c r="B630" s="24">
        <v>29.21</v>
      </c>
    </row>
    <row r="631" spans="1:2" ht="15.75" customHeight="1" x14ac:dyDescent="0.4">
      <c r="A631" s="24" t="s">
        <v>1597</v>
      </c>
      <c r="B631" s="24">
        <v>77.05</v>
      </c>
    </row>
    <row r="632" spans="1:2" ht="15.75" customHeight="1" x14ac:dyDescent="0.4">
      <c r="A632" s="24" t="s">
        <v>1590</v>
      </c>
      <c r="B632" s="24">
        <v>100</v>
      </c>
    </row>
    <row r="633" spans="1:2" ht="15.75" customHeight="1" x14ac:dyDescent="0.4">
      <c r="A633" s="24" t="s">
        <v>1475</v>
      </c>
      <c r="B633" s="24">
        <v>100</v>
      </c>
    </row>
    <row r="634" spans="1:2" ht="15.75" customHeight="1" x14ac:dyDescent="0.4">
      <c r="A634" s="24" t="s">
        <v>1521</v>
      </c>
      <c r="B634" s="24">
        <v>0.11</v>
      </c>
    </row>
    <row r="635" spans="1:2" ht="15.75" customHeight="1" x14ac:dyDescent="0.4">
      <c r="A635" s="24" t="s">
        <v>1655</v>
      </c>
      <c r="B635" s="24">
        <v>100</v>
      </c>
    </row>
    <row r="636" spans="1:2" ht="15.75" customHeight="1" x14ac:dyDescent="0.4">
      <c r="A636" s="24" t="s">
        <v>1491</v>
      </c>
      <c r="B636" s="24">
        <v>100</v>
      </c>
    </row>
    <row r="637" spans="1:2" ht="15.75" customHeight="1" x14ac:dyDescent="0.4">
      <c r="A637" s="24" t="s">
        <v>1512</v>
      </c>
      <c r="B637" s="24">
        <v>12.74</v>
      </c>
    </row>
    <row r="638" spans="1:2" ht="15.75" customHeight="1" x14ac:dyDescent="0.4">
      <c r="A638" s="24" t="s">
        <v>1570</v>
      </c>
      <c r="B638" s="24">
        <v>100</v>
      </c>
    </row>
    <row r="639" spans="1:2" ht="15.75" customHeight="1" x14ac:dyDescent="0.4">
      <c r="A639" s="24" t="s">
        <v>1541</v>
      </c>
      <c r="B639" s="24">
        <v>98.87</v>
      </c>
    </row>
    <row r="640" spans="1:2" ht="15.75" customHeight="1" x14ac:dyDescent="0.4">
      <c r="A640" s="24" t="s">
        <v>1638</v>
      </c>
      <c r="B640" s="24">
        <v>8.33</v>
      </c>
    </row>
    <row r="641" spans="1:2" ht="15.75" customHeight="1" x14ac:dyDescent="0.4">
      <c r="A641" s="24" t="s">
        <v>1646</v>
      </c>
      <c r="B641" s="24">
        <v>76.12</v>
      </c>
    </row>
    <row r="642" spans="1:2" ht="15.75" customHeight="1" x14ac:dyDescent="0.4">
      <c r="A642" s="24" t="s">
        <v>1484</v>
      </c>
      <c r="B642" s="24">
        <v>91.24</v>
      </c>
    </row>
    <row r="643" spans="1:2" ht="15.75" customHeight="1" x14ac:dyDescent="0.4">
      <c r="A643" s="24" t="s">
        <v>1611</v>
      </c>
      <c r="B643" s="24">
        <v>87.5</v>
      </c>
    </row>
    <row r="644" spans="1:2" ht="15.75" customHeight="1" x14ac:dyDescent="0.4">
      <c r="A644" s="24" t="s">
        <v>1608</v>
      </c>
      <c r="B644" s="24">
        <v>90.31</v>
      </c>
    </row>
    <row r="645" spans="1:2" ht="15.75" customHeight="1" x14ac:dyDescent="0.4">
      <c r="A645" s="24" t="s">
        <v>1568</v>
      </c>
      <c r="B645" s="24">
        <v>99.79</v>
      </c>
    </row>
    <row r="646" spans="1:2" ht="15.75" customHeight="1" x14ac:dyDescent="0.4">
      <c r="A646" s="24" t="s">
        <v>1636</v>
      </c>
      <c r="B646" s="24">
        <v>80.39</v>
      </c>
    </row>
    <row r="647" spans="1:2" ht="15.75" customHeight="1" x14ac:dyDescent="0.4">
      <c r="A647" s="24" t="s">
        <v>1525</v>
      </c>
      <c r="B647" s="24">
        <v>59.73</v>
      </c>
    </row>
    <row r="648" spans="1:2" ht="15.75" customHeight="1" x14ac:dyDescent="0.4">
      <c r="A648" s="24" t="s">
        <v>786</v>
      </c>
      <c r="B648" s="24">
        <v>35.53</v>
      </c>
    </row>
    <row r="649" spans="1:2" ht="15.75" customHeight="1" x14ac:dyDescent="0.4">
      <c r="A649" s="24" t="s">
        <v>1582</v>
      </c>
      <c r="B649" s="24">
        <v>33.33</v>
      </c>
    </row>
    <row r="650" spans="1:2" ht="15.75" customHeight="1" x14ac:dyDescent="0.4">
      <c r="A650" s="24" t="s">
        <v>1552</v>
      </c>
      <c r="B650" s="24">
        <v>100</v>
      </c>
    </row>
    <row r="651" spans="1:2" ht="15.75" customHeight="1" x14ac:dyDescent="0.4">
      <c r="A651" s="24" t="s">
        <v>1602</v>
      </c>
      <c r="B651" s="24">
        <v>90.24</v>
      </c>
    </row>
    <row r="652" spans="1:2" ht="15.75" customHeight="1" x14ac:dyDescent="0.4">
      <c r="A652" s="24" t="s">
        <v>712</v>
      </c>
      <c r="B652" s="24">
        <v>45.07</v>
      </c>
    </row>
    <row r="653" spans="1:2" ht="15.75" customHeight="1" x14ac:dyDescent="0.4">
      <c r="A653" s="24" t="s">
        <v>1470</v>
      </c>
      <c r="B653" s="24">
        <v>90.73</v>
      </c>
    </row>
    <row r="654" spans="1:2" ht="15.75" customHeight="1" x14ac:dyDescent="0.4">
      <c r="A654" s="24" t="s">
        <v>1637</v>
      </c>
      <c r="B654" s="24">
        <v>100</v>
      </c>
    </row>
    <row r="655" spans="1:2" ht="15.75" customHeight="1" x14ac:dyDescent="0.4">
      <c r="A655" s="24" t="s">
        <v>1532</v>
      </c>
      <c r="B655" s="24">
        <v>63.98</v>
      </c>
    </row>
    <row r="656" spans="1:2" ht="15.75" customHeight="1" x14ac:dyDescent="0.4">
      <c r="A656" s="24" t="s">
        <v>1620</v>
      </c>
      <c r="B656" s="24">
        <v>58.16</v>
      </c>
    </row>
    <row r="657" spans="1:2" ht="15.75" customHeight="1" x14ac:dyDescent="0.4">
      <c r="A657" s="24" t="s">
        <v>1598</v>
      </c>
      <c r="B657" s="24">
        <v>18.079999999999998</v>
      </c>
    </row>
    <row r="658" spans="1:2" ht="15.75" customHeight="1" x14ac:dyDescent="0.4">
      <c r="A658" s="24" t="s">
        <v>1513</v>
      </c>
      <c r="B658" s="24">
        <v>100</v>
      </c>
    </row>
    <row r="659" spans="1:2" ht="15.75" customHeight="1" x14ac:dyDescent="0.4">
      <c r="A659" s="24" t="s">
        <v>1624</v>
      </c>
      <c r="B659" s="24">
        <v>94.41</v>
      </c>
    </row>
    <row r="660" spans="1:2" ht="15.75" customHeight="1" x14ac:dyDescent="0.4">
      <c r="A660" s="24" t="s">
        <v>740</v>
      </c>
      <c r="B660" s="24">
        <v>31.05</v>
      </c>
    </row>
    <row r="661" spans="1:2" ht="15.75" customHeight="1" x14ac:dyDescent="0.4">
      <c r="A661" s="24" t="s">
        <v>1652</v>
      </c>
      <c r="B661" s="24">
        <v>100</v>
      </c>
    </row>
    <row r="662" spans="1:2" ht="15.75" customHeight="1" x14ac:dyDescent="0.4">
      <c r="A662" s="24" t="s">
        <v>1469</v>
      </c>
      <c r="B662" s="24">
        <v>99.42</v>
      </c>
    </row>
    <row r="663" spans="1:2" ht="15.75" customHeight="1" x14ac:dyDescent="0.4">
      <c r="A663" s="24" t="s">
        <v>1496</v>
      </c>
      <c r="B663" s="24">
        <v>100</v>
      </c>
    </row>
    <row r="664" spans="1:2" ht="15.75" customHeight="1" x14ac:dyDescent="0.4">
      <c r="A664" s="24" t="s">
        <v>1477</v>
      </c>
      <c r="B664" s="24">
        <v>100</v>
      </c>
    </row>
    <row r="665" spans="1:2" ht="15.75" customHeight="1" x14ac:dyDescent="0.4">
      <c r="A665" s="24" t="s">
        <v>671</v>
      </c>
      <c r="B665" s="24">
        <v>48.82</v>
      </c>
    </row>
    <row r="666" spans="1:2" ht="15.75" customHeight="1" x14ac:dyDescent="0.4">
      <c r="A666" s="24" t="s">
        <v>762</v>
      </c>
      <c r="B666" s="24">
        <v>79.709999999999994</v>
      </c>
    </row>
    <row r="667" spans="1:2" ht="15.75" customHeight="1" x14ac:dyDescent="0.4">
      <c r="A667" s="24" t="s">
        <v>1472</v>
      </c>
      <c r="B667" s="24">
        <v>100</v>
      </c>
    </row>
    <row r="668" spans="1:2" ht="15.75" customHeight="1" x14ac:dyDescent="0.4">
      <c r="A668" s="24" t="s">
        <v>1593</v>
      </c>
      <c r="B668" s="24">
        <v>100</v>
      </c>
    </row>
    <row r="669" spans="1:2" ht="15.75" customHeight="1" x14ac:dyDescent="0.4">
      <c r="A669" s="24" t="s">
        <v>1613</v>
      </c>
      <c r="B669" s="24">
        <v>97.15</v>
      </c>
    </row>
    <row r="670" spans="1:2" ht="15.75" customHeight="1" x14ac:dyDescent="0.4">
      <c r="A670" s="24" t="s">
        <v>1651</v>
      </c>
      <c r="B670" s="24">
        <v>100</v>
      </c>
    </row>
    <row r="671" spans="1:2" ht="15.75" customHeight="1" x14ac:dyDescent="0.4">
      <c r="A671" s="24" t="s">
        <v>1577</v>
      </c>
      <c r="B671" s="24">
        <v>47.3</v>
      </c>
    </row>
    <row r="672" spans="1:2" ht="15.75" customHeight="1" x14ac:dyDescent="0.4">
      <c r="A672" s="24" t="s">
        <v>1586</v>
      </c>
      <c r="B672" s="24">
        <v>72.709999999999994</v>
      </c>
    </row>
    <row r="673" spans="1:2" ht="15.75" customHeight="1" x14ac:dyDescent="0.4">
      <c r="A673" s="24" t="s">
        <v>1533</v>
      </c>
      <c r="B673" s="24">
        <v>100</v>
      </c>
    </row>
    <row r="674" spans="1:2" ht="15.75" customHeight="1" x14ac:dyDescent="0.4">
      <c r="A674" s="24" t="s">
        <v>1523</v>
      </c>
      <c r="B674" s="24">
        <v>36.86</v>
      </c>
    </row>
    <row r="675" spans="1:2" ht="15.75" customHeight="1" x14ac:dyDescent="0.4">
      <c r="A675" s="24" t="s">
        <v>788</v>
      </c>
      <c r="B675" s="24">
        <v>93.2</v>
      </c>
    </row>
    <row r="676" spans="1:2" ht="15.75" customHeight="1" x14ac:dyDescent="0.4">
      <c r="A676" s="24" t="s">
        <v>1625</v>
      </c>
      <c r="B676" s="24">
        <v>82.27</v>
      </c>
    </row>
    <row r="677" spans="1:2" ht="15.75" customHeight="1" x14ac:dyDescent="0.4">
      <c r="A677" s="24" t="s">
        <v>1510</v>
      </c>
      <c r="B677" s="24">
        <v>67.25</v>
      </c>
    </row>
    <row r="678" spans="1:2" ht="15.75" customHeight="1" x14ac:dyDescent="0.4">
      <c r="A678" s="24" t="s">
        <v>1610</v>
      </c>
      <c r="B678" s="24">
        <v>98</v>
      </c>
    </row>
    <row r="679" spans="1:2" ht="15.75" customHeight="1" x14ac:dyDescent="0.4">
      <c r="A679" s="24" t="s">
        <v>242</v>
      </c>
      <c r="B679" s="24">
        <v>90.94</v>
      </c>
    </row>
    <row r="680" spans="1:2" ht="15.75" customHeight="1" x14ac:dyDescent="0.4">
      <c r="A680" s="24" t="s">
        <v>700</v>
      </c>
      <c r="B680" s="24">
        <v>35.1</v>
      </c>
    </row>
    <row r="681" spans="1:2" ht="15.75" customHeight="1" x14ac:dyDescent="0.4">
      <c r="A681" s="24" t="s">
        <v>1492</v>
      </c>
      <c r="B681" s="24">
        <v>100</v>
      </c>
    </row>
    <row r="682" spans="1:2" ht="15.75" customHeight="1" x14ac:dyDescent="0.4">
      <c r="A682" s="24" t="s">
        <v>1539</v>
      </c>
      <c r="B682" s="24">
        <v>98.9</v>
      </c>
    </row>
    <row r="683" spans="1:2" ht="15.75" customHeight="1" x14ac:dyDescent="0.4">
      <c r="A683" s="24" t="s">
        <v>1630</v>
      </c>
      <c r="B683" s="24">
        <v>75</v>
      </c>
    </row>
    <row r="684" spans="1:2" ht="15.75" customHeight="1" x14ac:dyDescent="0.4">
      <c r="A684" s="24" t="s">
        <v>1594</v>
      </c>
      <c r="B684" s="24">
        <v>36.39</v>
      </c>
    </row>
    <row r="685" spans="1:2" ht="15.75" customHeight="1" x14ac:dyDescent="0.4">
      <c r="A685" s="24" t="s">
        <v>229</v>
      </c>
      <c r="B685" s="24">
        <v>95.1</v>
      </c>
    </row>
    <row r="686" spans="1:2" ht="15.75" customHeight="1" x14ac:dyDescent="0.4">
      <c r="A686" s="24" t="s">
        <v>1587</v>
      </c>
      <c r="B686" s="24">
        <v>100</v>
      </c>
    </row>
    <row r="687" spans="1:2" ht="15.75" customHeight="1" x14ac:dyDescent="0.4">
      <c r="A687" s="24" t="s">
        <v>1574</v>
      </c>
      <c r="B687" s="24">
        <v>100</v>
      </c>
    </row>
    <row r="688" spans="1:2" ht="15.75" customHeight="1" x14ac:dyDescent="0.4">
      <c r="A688" s="24" t="s">
        <v>445</v>
      </c>
      <c r="B688" s="24">
        <v>3.34</v>
      </c>
    </row>
    <row r="689" spans="1:2" ht="15.75" customHeight="1" x14ac:dyDescent="0.4">
      <c r="A689" s="24" t="s">
        <v>1639</v>
      </c>
      <c r="B689" s="24">
        <v>100</v>
      </c>
    </row>
    <row r="690" spans="1:2" ht="15.75" customHeight="1" x14ac:dyDescent="0.4">
      <c r="A690" s="24" t="s">
        <v>1482</v>
      </c>
      <c r="B690" s="24">
        <v>85.38</v>
      </c>
    </row>
    <row r="691" spans="1:2" ht="15.75" customHeight="1" x14ac:dyDescent="0.4">
      <c r="A691" s="24" t="s">
        <v>1478</v>
      </c>
      <c r="B691" s="24">
        <v>100</v>
      </c>
    </row>
    <row r="692" spans="1:2" ht="15.75" customHeight="1" x14ac:dyDescent="0.4">
      <c r="A692" s="24" t="s">
        <v>1643</v>
      </c>
      <c r="B692" s="24">
        <v>98.62</v>
      </c>
    </row>
    <row r="693" spans="1:2" ht="15.75" customHeight="1" x14ac:dyDescent="0.4">
      <c r="A693" s="24" t="s">
        <v>1543</v>
      </c>
      <c r="B693" s="24">
        <v>23.47</v>
      </c>
    </row>
    <row r="694" spans="1:2" ht="15.75" customHeight="1" x14ac:dyDescent="0.4">
      <c r="A694" s="24" t="s">
        <v>1600</v>
      </c>
      <c r="B694" s="24">
        <v>0</v>
      </c>
    </row>
    <row r="695" spans="1:2" ht="15.75" customHeight="1" x14ac:dyDescent="0.4">
      <c r="A695" s="24" t="s">
        <v>1507</v>
      </c>
      <c r="B695" s="24">
        <v>100</v>
      </c>
    </row>
    <row r="696" spans="1:2" ht="15.75" customHeight="1" x14ac:dyDescent="0.4">
      <c r="A696" s="24" t="s">
        <v>228</v>
      </c>
      <c r="B696" s="24">
        <v>100</v>
      </c>
    </row>
    <row r="697" spans="1:2" ht="15.75" customHeight="1" x14ac:dyDescent="0.4">
      <c r="A697" s="24" t="s">
        <v>1497</v>
      </c>
      <c r="B697" s="24">
        <v>100</v>
      </c>
    </row>
    <row r="698" spans="1:2" ht="15.75" customHeight="1" x14ac:dyDescent="0.4">
      <c r="A698" s="24" t="s">
        <v>1571</v>
      </c>
      <c r="B698" s="24">
        <v>47.41</v>
      </c>
    </row>
    <row r="699" spans="1:2" ht="15.75" customHeight="1" x14ac:dyDescent="0.4">
      <c r="A699" s="24" t="s">
        <v>1634</v>
      </c>
      <c r="B699" s="24">
        <v>53.74</v>
      </c>
    </row>
    <row r="700" spans="1:2" ht="15.75" customHeight="1" x14ac:dyDescent="0.4">
      <c r="A700" s="24" t="s">
        <v>1476</v>
      </c>
      <c r="B700" s="24">
        <v>100</v>
      </c>
    </row>
    <row r="701" spans="1:2" ht="15.75" customHeight="1" x14ac:dyDescent="0.4">
      <c r="A701" s="24" t="s">
        <v>1545</v>
      </c>
      <c r="B701" s="24">
        <v>75.010000000000005</v>
      </c>
    </row>
    <row r="702" spans="1:2" ht="15.75" customHeight="1" x14ac:dyDescent="0.4">
      <c r="A702" s="24" t="s">
        <v>1580</v>
      </c>
      <c r="B702" s="24">
        <v>47.68</v>
      </c>
    </row>
    <row r="703" spans="1:2" ht="15.75" customHeight="1" x14ac:dyDescent="0.4">
      <c r="A703" s="24" t="s">
        <v>1516</v>
      </c>
      <c r="B703" s="24">
        <v>100</v>
      </c>
    </row>
    <row r="704" spans="1:2" ht="15.75" customHeight="1" x14ac:dyDescent="0.4">
      <c r="A704" s="24" t="s">
        <v>1480</v>
      </c>
      <c r="B704" s="24">
        <v>100</v>
      </c>
    </row>
    <row r="705" spans="1:2" ht="15.75" customHeight="1" x14ac:dyDescent="0.4">
      <c r="A705" s="24" t="s">
        <v>1618</v>
      </c>
      <c r="B705" s="24">
        <v>70.349999999999994</v>
      </c>
    </row>
    <row r="706" spans="1:2" ht="15.75" customHeight="1" x14ac:dyDescent="0.4">
      <c r="A706" s="24" t="s">
        <v>1495</v>
      </c>
      <c r="B706" s="24">
        <v>89.77</v>
      </c>
    </row>
    <row r="707" spans="1:2" ht="15.75" customHeight="1" x14ac:dyDescent="0.4">
      <c r="A707" s="24" t="s">
        <v>1648</v>
      </c>
      <c r="B707" s="24">
        <v>100</v>
      </c>
    </row>
    <row r="708" spans="1:2" ht="15.75" customHeight="1" x14ac:dyDescent="0.4">
      <c r="A708" s="24" t="s">
        <v>1466</v>
      </c>
      <c r="B708" s="24">
        <v>68.42</v>
      </c>
    </row>
    <row r="709" spans="1:2" ht="15.75" customHeight="1" x14ac:dyDescent="0.4">
      <c r="A709" s="24" t="s">
        <v>1550</v>
      </c>
      <c r="B709" s="24">
        <v>80.64</v>
      </c>
    </row>
    <row r="710" spans="1:2" ht="15.75" customHeight="1" x14ac:dyDescent="0.4">
      <c r="A710" s="24" t="s">
        <v>1531</v>
      </c>
      <c r="B710" s="24">
        <v>100</v>
      </c>
    </row>
    <row r="711" spans="1:2" ht="15.75" customHeight="1" x14ac:dyDescent="0.4">
      <c r="A711" s="24" t="s">
        <v>1629</v>
      </c>
      <c r="B711" s="24">
        <v>100</v>
      </c>
    </row>
    <row r="712" spans="1:2" ht="15.75" customHeight="1" x14ac:dyDescent="0.4">
      <c r="A712" s="24" t="s">
        <v>1504</v>
      </c>
      <c r="B712" s="24">
        <v>100</v>
      </c>
    </row>
    <row r="713" spans="1:2" ht="15.75" customHeight="1" x14ac:dyDescent="0.4">
      <c r="A713" s="24" t="s">
        <v>1573</v>
      </c>
      <c r="B713" s="24">
        <v>95.95</v>
      </c>
    </row>
    <row r="714" spans="1:2" ht="15.75" customHeight="1" x14ac:dyDescent="0.4">
      <c r="A714" s="24" t="s">
        <v>1585</v>
      </c>
      <c r="B714" s="24">
        <v>100</v>
      </c>
    </row>
    <row r="715" spans="1:2" ht="15.75" customHeight="1" x14ac:dyDescent="0.4">
      <c r="A715" s="24" t="s">
        <v>1579</v>
      </c>
      <c r="B715" s="24">
        <v>100</v>
      </c>
    </row>
    <row r="716" spans="1:2" ht="15.75" customHeight="1" x14ac:dyDescent="0.4">
      <c r="A716" s="24" t="s">
        <v>1467</v>
      </c>
      <c r="B716" s="24">
        <v>43.16</v>
      </c>
    </row>
    <row r="717" spans="1:2" ht="15.75" customHeight="1" x14ac:dyDescent="0.4">
      <c r="A717" s="24" t="s">
        <v>1520</v>
      </c>
      <c r="B717" s="24">
        <v>100</v>
      </c>
    </row>
    <row r="718" spans="1:2" ht="15.75" customHeight="1" x14ac:dyDescent="0.4">
      <c r="A718" s="24" t="s">
        <v>1609</v>
      </c>
      <c r="B718" s="24">
        <v>100</v>
      </c>
    </row>
    <row r="719" spans="1:2" ht="15.75" customHeight="1" x14ac:dyDescent="0.4">
      <c r="A719" s="24" t="s">
        <v>1527</v>
      </c>
      <c r="B719" s="24">
        <v>95.56</v>
      </c>
    </row>
    <row r="720" spans="1:2" ht="15.75" customHeight="1" x14ac:dyDescent="0.4">
      <c r="A720" s="24" t="s">
        <v>1626</v>
      </c>
      <c r="B720" s="24">
        <v>100</v>
      </c>
    </row>
    <row r="721" spans="1:2" ht="15.75" customHeight="1" x14ac:dyDescent="0.4">
      <c r="A721" s="24" t="s">
        <v>1575</v>
      </c>
      <c r="B721" s="24">
        <v>98.8</v>
      </c>
    </row>
    <row r="722" spans="1:2" ht="15.75" customHeight="1" x14ac:dyDescent="0.4">
      <c r="A722" s="24" t="s">
        <v>1503</v>
      </c>
      <c r="B722" s="24">
        <v>60.63</v>
      </c>
    </row>
    <row r="723" spans="1:2" ht="15.75" customHeight="1" x14ac:dyDescent="0.4">
      <c r="A723" s="24" t="s">
        <v>1490</v>
      </c>
      <c r="B723" s="24">
        <v>90.76</v>
      </c>
    </row>
    <row r="724" spans="1:2" ht="15.75" customHeight="1" x14ac:dyDescent="0.4">
      <c r="A724" s="24" t="s">
        <v>1551</v>
      </c>
      <c r="B724" s="24">
        <v>100</v>
      </c>
    </row>
    <row r="725" spans="1:2" ht="15.75" customHeight="1" x14ac:dyDescent="0.4">
      <c r="A725" s="24" t="s">
        <v>1559</v>
      </c>
      <c r="B725" s="24">
        <v>100</v>
      </c>
    </row>
    <row r="726" spans="1:2" ht="15.75" customHeight="1" x14ac:dyDescent="0.4">
      <c r="A726" s="24" t="s">
        <v>1494</v>
      </c>
      <c r="B726" s="24">
        <v>100</v>
      </c>
    </row>
    <row r="727" spans="1:2" ht="15.75" customHeight="1" x14ac:dyDescent="0.4">
      <c r="A727" s="24" t="s">
        <v>1628</v>
      </c>
      <c r="B727" s="24">
        <v>100</v>
      </c>
    </row>
    <row r="728" spans="1:2" ht="15.75" customHeight="1" x14ac:dyDescent="0.4">
      <c r="A728" s="24" t="s">
        <v>1506</v>
      </c>
      <c r="B728" s="24">
        <v>100</v>
      </c>
    </row>
    <row r="729" spans="1:2" ht="15.75" customHeight="1" x14ac:dyDescent="0.4">
      <c r="A729" s="24" t="s">
        <v>1621</v>
      </c>
      <c r="B729" s="24">
        <v>12.5</v>
      </c>
    </row>
    <row r="730" spans="1:2" ht="15.75" customHeight="1" x14ac:dyDescent="0.4">
      <c r="A730" s="24" t="s">
        <v>280</v>
      </c>
      <c r="B730" s="24">
        <v>22.53</v>
      </c>
    </row>
    <row r="731" spans="1:2" ht="15.75" customHeight="1" x14ac:dyDescent="0.4">
      <c r="A731" s="24" t="s">
        <v>1536</v>
      </c>
      <c r="B731" s="24">
        <v>10.119999999999999</v>
      </c>
    </row>
    <row r="732" spans="1:2" ht="15.75" customHeight="1" x14ac:dyDescent="0.4">
      <c r="A732" s="24" t="s">
        <v>1642</v>
      </c>
      <c r="B732" s="24">
        <v>100</v>
      </c>
    </row>
    <row r="733" spans="1:2" ht="15.75" customHeight="1" x14ac:dyDescent="0.4">
      <c r="A733" s="24" t="s">
        <v>1558</v>
      </c>
      <c r="B733" s="24">
        <v>96.36</v>
      </c>
    </row>
    <row r="734" spans="1:2" ht="15.75" customHeight="1" x14ac:dyDescent="0.4">
      <c r="A734" s="24" t="s">
        <v>1641</v>
      </c>
      <c r="B734" s="24">
        <v>100</v>
      </c>
    </row>
    <row r="735" spans="1:2" ht="15.75" customHeight="1" x14ac:dyDescent="0.4">
      <c r="A735" s="24" t="s">
        <v>720</v>
      </c>
      <c r="B735" s="24">
        <v>55.69</v>
      </c>
    </row>
    <row r="736" spans="1:2" ht="15.75" customHeight="1" x14ac:dyDescent="0.4">
      <c r="A736" s="24" t="s">
        <v>1596</v>
      </c>
      <c r="B736" s="24">
        <v>21.9</v>
      </c>
    </row>
    <row r="737" spans="1:2" ht="15.75" customHeight="1" x14ac:dyDescent="0.4">
      <c r="A737" s="24" t="s">
        <v>1509</v>
      </c>
      <c r="B737" s="24">
        <v>83.59</v>
      </c>
    </row>
    <row r="738" spans="1:2" ht="15.75" customHeight="1" x14ac:dyDescent="0.4">
      <c r="A738" s="24" t="s">
        <v>1649</v>
      </c>
      <c r="B738" s="24">
        <v>73.7</v>
      </c>
    </row>
    <row r="739" spans="1:2" ht="15.75" customHeight="1" x14ac:dyDescent="0.4">
      <c r="A739" s="24" t="s">
        <v>1505</v>
      </c>
      <c r="B739" s="24">
        <v>89.28</v>
      </c>
    </row>
    <row r="740" spans="1:2" ht="15.75" customHeight="1" x14ac:dyDescent="0.4">
      <c r="A740" s="24" t="s">
        <v>1557</v>
      </c>
      <c r="B740" s="24">
        <v>100</v>
      </c>
    </row>
    <row r="741" spans="1:2" ht="15.75" customHeight="1" x14ac:dyDescent="0.4">
      <c r="A741" s="24" t="s">
        <v>1584</v>
      </c>
      <c r="B741" s="24">
        <v>100</v>
      </c>
    </row>
    <row r="742" spans="1:2" ht="15.75" customHeight="1" x14ac:dyDescent="0.4">
      <c r="A742" s="24" t="s">
        <v>1485</v>
      </c>
      <c r="B742" s="24">
        <v>90.89</v>
      </c>
    </row>
    <row r="743" spans="1:2" ht="15.75" customHeight="1" x14ac:dyDescent="0.4">
      <c r="A743" s="24" t="s">
        <v>1631</v>
      </c>
      <c r="B743" s="24">
        <v>100</v>
      </c>
    </row>
    <row r="744" spans="1:2" ht="15.75" customHeight="1" x14ac:dyDescent="0.4">
      <c r="A744" s="24" t="s">
        <v>1589</v>
      </c>
      <c r="B744" s="24">
        <v>100</v>
      </c>
    </row>
    <row r="745" spans="1:2" ht="15.75" customHeight="1" x14ac:dyDescent="0.4">
      <c r="A745" s="24" t="s">
        <v>643</v>
      </c>
      <c r="B745" s="24">
        <v>69.08</v>
      </c>
    </row>
    <row r="746" spans="1:2" ht="15.75" customHeight="1" x14ac:dyDescent="0.4">
      <c r="A746" s="24" t="s">
        <v>1502</v>
      </c>
      <c r="B746" s="24">
        <v>92.61</v>
      </c>
    </row>
    <row r="747" spans="1:2" ht="15.75" customHeight="1" x14ac:dyDescent="0.4">
      <c r="A747" s="24" t="s">
        <v>1603</v>
      </c>
      <c r="B747" s="24">
        <v>90.11</v>
      </c>
    </row>
    <row r="748" spans="1:2" ht="15.75" customHeight="1" x14ac:dyDescent="0.4">
      <c r="A748" s="24" t="s">
        <v>1605</v>
      </c>
      <c r="B748" s="24">
        <v>100</v>
      </c>
    </row>
    <row r="749" spans="1:2" ht="15.75" customHeight="1" x14ac:dyDescent="0.4">
      <c r="A749" s="24" t="s">
        <v>1576</v>
      </c>
      <c r="B749" s="24">
        <v>100</v>
      </c>
    </row>
    <row r="750" spans="1:2" ht="15.75" customHeight="1" x14ac:dyDescent="0.4">
      <c r="A750" s="24" t="s">
        <v>1617</v>
      </c>
      <c r="B750" s="24">
        <v>67.47</v>
      </c>
    </row>
    <row r="751" spans="1:2" ht="15.75" customHeight="1" x14ac:dyDescent="0.4">
      <c r="A751" s="24" t="s">
        <v>1547</v>
      </c>
      <c r="B751" s="24">
        <v>100</v>
      </c>
    </row>
    <row r="752" spans="1:2" ht="15.75" customHeight="1" x14ac:dyDescent="0.4">
      <c r="A752" s="24" t="s">
        <v>1653</v>
      </c>
      <c r="B752" s="24">
        <v>87.5</v>
      </c>
    </row>
    <row r="753" spans="1:2" ht="15.75" customHeight="1" x14ac:dyDescent="0.4">
      <c r="A753" s="24" t="s">
        <v>1565</v>
      </c>
      <c r="B753" s="24">
        <v>100</v>
      </c>
    </row>
    <row r="754" spans="1:2" ht="15.75" customHeight="1" x14ac:dyDescent="0.4">
      <c r="A754" s="24" t="s">
        <v>1615</v>
      </c>
      <c r="B754" s="24">
        <v>85.41</v>
      </c>
    </row>
    <row r="755" spans="1:2" ht="15.75" customHeight="1" x14ac:dyDescent="0.4">
      <c r="A755" s="24" t="s">
        <v>573</v>
      </c>
      <c r="B755" s="24">
        <v>0</v>
      </c>
    </row>
    <row r="756" spans="1:2" ht="15.75" customHeight="1" x14ac:dyDescent="0.4">
      <c r="A756" s="24" t="s">
        <v>1530</v>
      </c>
      <c r="B756" s="24">
        <v>100</v>
      </c>
    </row>
    <row r="757" spans="1:2" ht="15.75" customHeight="1" x14ac:dyDescent="0.4">
      <c r="A757" s="24" t="s">
        <v>1627</v>
      </c>
      <c r="B757" s="24">
        <v>100</v>
      </c>
    </row>
    <row r="758" spans="1:2" ht="15.75" customHeight="1" x14ac:dyDescent="0.4">
      <c r="A758" s="24" t="s">
        <v>1501</v>
      </c>
      <c r="B758" s="24">
        <v>27.21</v>
      </c>
    </row>
    <row r="759" spans="1:2" ht="15.75" customHeight="1" x14ac:dyDescent="0.4">
      <c r="A759" s="24" t="s">
        <v>1619</v>
      </c>
      <c r="B759" s="24">
        <v>100</v>
      </c>
    </row>
    <row r="760" spans="1:2" ht="15.75" customHeight="1" x14ac:dyDescent="0.4">
      <c r="A760" s="24" t="s">
        <v>1529</v>
      </c>
      <c r="B760" s="24">
        <v>100</v>
      </c>
    </row>
    <row r="761" spans="1:2" ht="15.75" customHeight="1" x14ac:dyDescent="0.4">
      <c r="A761" s="24" t="s">
        <v>1526</v>
      </c>
      <c r="B761" s="24">
        <v>100</v>
      </c>
    </row>
    <row r="762" spans="1:2" ht="15.75" customHeight="1" x14ac:dyDescent="0.4">
      <c r="A762" s="24" t="s">
        <v>1640</v>
      </c>
      <c r="B762" s="24">
        <v>100</v>
      </c>
    </row>
    <row r="763" spans="1:2" ht="15.75" customHeight="1" x14ac:dyDescent="0.4">
      <c r="A763" s="24" t="s">
        <v>1515</v>
      </c>
      <c r="B763" s="24">
        <v>100</v>
      </c>
    </row>
    <row r="764" spans="1:2" ht="15.75" customHeight="1" x14ac:dyDescent="0.4">
      <c r="A764" s="24" t="s">
        <v>1535</v>
      </c>
      <c r="B764" s="24">
        <v>98.9</v>
      </c>
    </row>
    <row r="765" spans="1:2" ht="15.75" customHeight="1" x14ac:dyDescent="0.4">
      <c r="A765" s="24" t="s">
        <v>1518</v>
      </c>
      <c r="B765" s="24">
        <v>100</v>
      </c>
    </row>
    <row r="766" spans="1:2" ht="15.75" customHeight="1" x14ac:dyDescent="0.4">
      <c r="A766" s="24" t="s">
        <v>1538</v>
      </c>
      <c r="B766" s="24">
        <v>99.73</v>
      </c>
    </row>
    <row r="767" spans="1:2" ht="15.75" customHeight="1" x14ac:dyDescent="0.4">
      <c r="A767" s="24" t="s">
        <v>1633</v>
      </c>
      <c r="B767" s="24">
        <v>65.84</v>
      </c>
    </row>
    <row r="768" spans="1:2" ht="15.75" customHeight="1" x14ac:dyDescent="0.4">
      <c r="A768" s="24" t="s">
        <v>778</v>
      </c>
      <c r="B768" s="24">
        <v>52.62</v>
      </c>
    </row>
    <row r="769" spans="1:2" ht="15.75" customHeight="1" x14ac:dyDescent="0.4">
      <c r="A769" s="24" t="s">
        <v>1591</v>
      </c>
      <c r="B769" s="24">
        <v>100</v>
      </c>
    </row>
    <row r="770" spans="1:2" ht="15.75" customHeight="1" x14ac:dyDescent="0.4">
      <c r="A770" s="24" t="s">
        <v>1622</v>
      </c>
      <c r="B770" s="24">
        <v>100</v>
      </c>
    </row>
    <row r="771" spans="1:2" ht="15.75" customHeight="1" x14ac:dyDescent="0.4">
      <c r="A771" s="24" t="s">
        <v>1588</v>
      </c>
      <c r="B771" s="24">
        <v>100</v>
      </c>
    </row>
    <row r="772" spans="1:2" ht="15.75" customHeight="1" x14ac:dyDescent="0.4">
      <c r="A772" s="24" t="s">
        <v>1656</v>
      </c>
      <c r="B772" s="24">
        <v>100</v>
      </c>
    </row>
    <row r="773" spans="1:2" ht="15.75" customHeight="1" x14ac:dyDescent="0.4">
      <c r="A773" s="24" t="s">
        <v>1548</v>
      </c>
      <c r="B773" s="24">
        <v>100</v>
      </c>
    </row>
    <row r="774" spans="1:2" ht="15.75" customHeight="1" x14ac:dyDescent="0.4">
      <c r="A774" s="24" t="s">
        <v>1592</v>
      </c>
      <c r="B774" s="24">
        <v>96.29</v>
      </c>
    </row>
    <row r="775" spans="1:2" ht="15.75" customHeight="1" x14ac:dyDescent="0.4">
      <c r="A775" s="24" t="s">
        <v>722</v>
      </c>
      <c r="B775" s="24">
        <v>75.06</v>
      </c>
    </row>
    <row r="776" spans="1:2" ht="15.75" customHeight="1" x14ac:dyDescent="0.4">
      <c r="A776" s="24" t="s">
        <v>1583</v>
      </c>
      <c r="B776" s="24">
        <v>83.53</v>
      </c>
    </row>
    <row r="777" spans="1:2" ht="15.75" customHeight="1" x14ac:dyDescent="0.4">
      <c r="A777" s="24" t="s">
        <v>1623</v>
      </c>
      <c r="B777" s="24">
        <v>87.5</v>
      </c>
    </row>
    <row r="778" spans="1:2" ht="15.75" customHeight="1" x14ac:dyDescent="0.4">
      <c r="A778" s="24" t="s">
        <v>1569</v>
      </c>
      <c r="B778" s="24">
        <v>22.22</v>
      </c>
    </row>
    <row r="779" spans="1:2" ht="15.75" customHeight="1" x14ac:dyDescent="0.4">
      <c r="A779" s="24" t="s">
        <v>1508</v>
      </c>
      <c r="B779" s="24">
        <v>100</v>
      </c>
    </row>
    <row r="780" spans="1:2" ht="15.75" customHeight="1" x14ac:dyDescent="0.4">
      <c r="A780" s="24" t="s">
        <v>1647</v>
      </c>
      <c r="B780" s="24">
        <v>100</v>
      </c>
    </row>
    <row r="781" spans="1:2" ht="15.75" customHeight="1" x14ac:dyDescent="0.4">
      <c r="A781" s="24" t="s">
        <v>1468</v>
      </c>
      <c r="B781" s="24">
        <v>77.78</v>
      </c>
    </row>
    <row r="782" spans="1:2" ht="15.75" customHeight="1" x14ac:dyDescent="0.4">
      <c r="A782" s="24" t="s">
        <v>1487</v>
      </c>
      <c r="B782" s="24">
        <v>100</v>
      </c>
    </row>
    <row r="783" spans="1:2" ht="15.75" customHeight="1" x14ac:dyDescent="0.4">
      <c r="A783" s="24" t="s">
        <v>1511</v>
      </c>
      <c r="B783" s="24">
        <v>100</v>
      </c>
    </row>
    <row r="784" spans="1:2" ht="15.75" customHeight="1" x14ac:dyDescent="0.4">
      <c r="A784" s="24" t="s">
        <v>1654</v>
      </c>
      <c r="B784" s="24">
        <v>100</v>
      </c>
    </row>
    <row r="785" spans="1:2" ht="15.75" customHeight="1" x14ac:dyDescent="0.4">
      <c r="A785" s="24" t="s">
        <v>1486</v>
      </c>
      <c r="B785" s="24">
        <v>100</v>
      </c>
    </row>
    <row r="786" spans="1:2" ht="15.75" customHeight="1" x14ac:dyDescent="0.4">
      <c r="A786" s="24" t="s">
        <v>1481</v>
      </c>
      <c r="B786" s="24">
        <v>100</v>
      </c>
    </row>
    <row r="787" spans="1:2" ht="15.75" customHeight="1" x14ac:dyDescent="0.4">
      <c r="A787" s="24" t="s">
        <v>1632</v>
      </c>
      <c r="B787" s="24">
        <v>45.14</v>
      </c>
    </row>
    <row r="788" spans="1:2" ht="15.75" customHeight="1" x14ac:dyDescent="0.4">
      <c r="A788" s="24" t="s">
        <v>1517</v>
      </c>
      <c r="B788" s="24">
        <v>92.11</v>
      </c>
    </row>
    <row r="789" spans="1:2" ht="15.75" customHeight="1" x14ac:dyDescent="0.4">
      <c r="A789" s="24" t="s">
        <v>633</v>
      </c>
      <c r="B789" s="24">
        <v>44.11</v>
      </c>
    </row>
    <row r="790" spans="1:2" ht="15.75" customHeight="1" x14ac:dyDescent="0.4">
      <c r="A790" s="24" t="s">
        <v>1546</v>
      </c>
      <c r="B790" s="24">
        <v>44.98</v>
      </c>
    </row>
    <row r="791" spans="1:2" ht="15.75" customHeight="1" x14ac:dyDescent="0.4">
      <c r="A791" s="24" t="s">
        <v>1537</v>
      </c>
      <c r="B791" s="24">
        <v>100</v>
      </c>
    </row>
    <row r="792" spans="1:2" ht="15.75" customHeight="1" x14ac:dyDescent="0.4">
      <c r="A792" s="24" t="s">
        <v>1607</v>
      </c>
      <c r="B792" s="24">
        <v>25</v>
      </c>
    </row>
    <row r="793" spans="1:2" ht="15.75" customHeight="1" x14ac:dyDescent="0.4">
      <c r="A793" s="24" t="s">
        <v>1578</v>
      </c>
      <c r="B793" s="24">
        <v>87.5</v>
      </c>
    </row>
    <row r="794" spans="1:2" ht="15.75" customHeight="1" x14ac:dyDescent="0.4">
      <c r="A794" s="24" t="s">
        <v>1499</v>
      </c>
      <c r="B794" s="24">
        <v>100</v>
      </c>
    </row>
    <row r="795" spans="1:2" ht="15.75" customHeight="1" x14ac:dyDescent="0.4">
      <c r="A795" s="24" t="s">
        <v>1572</v>
      </c>
      <c r="B795" s="24">
        <v>100</v>
      </c>
    </row>
    <row r="796" spans="1:2" ht="15.75" customHeight="1" x14ac:dyDescent="0.4">
      <c r="A796" s="24" t="s">
        <v>776</v>
      </c>
      <c r="B796" s="24">
        <v>27.93</v>
      </c>
    </row>
    <row r="797" spans="1:2" ht="15.75" customHeight="1" x14ac:dyDescent="0.4">
      <c r="A797" s="24" t="s">
        <v>1471</v>
      </c>
      <c r="B797" s="24">
        <v>98.58</v>
      </c>
    </row>
    <row r="798" spans="1:2" ht="15.75" customHeight="1" x14ac:dyDescent="0.4">
      <c r="A798" s="24" t="s">
        <v>790</v>
      </c>
      <c r="B798" s="24">
        <v>34.36</v>
      </c>
    </row>
    <row r="799" spans="1:2" ht="15.75" customHeight="1" x14ac:dyDescent="0.4">
      <c r="A799" s="24" t="s">
        <v>1473</v>
      </c>
      <c r="B799" s="24">
        <v>95.34</v>
      </c>
    </row>
    <row r="800" spans="1:2" ht="15.75" customHeight="1" x14ac:dyDescent="0.4">
      <c r="A800" s="24" t="s">
        <v>1483</v>
      </c>
      <c r="B800" s="24">
        <v>100</v>
      </c>
    </row>
    <row r="801" spans="1:2" ht="15.75" customHeight="1" x14ac:dyDescent="0.4">
      <c r="A801" s="24" t="s">
        <v>1553</v>
      </c>
      <c r="B801" s="24">
        <v>61.85</v>
      </c>
    </row>
    <row r="802" spans="1:2" ht="15.75" customHeight="1" x14ac:dyDescent="0.4">
      <c r="A802" s="24" t="s">
        <v>1479</v>
      </c>
      <c r="B802" s="24">
        <v>100</v>
      </c>
    </row>
    <row r="803" spans="1:2" ht="15.75" customHeight="1" x14ac:dyDescent="0.4">
      <c r="A803" s="24" t="s">
        <v>463</v>
      </c>
      <c r="B803" s="24">
        <v>25</v>
      </c>
    </row>
    <row r="804" spans="1:2" ht="15.75" customHeight="1" x14ac:dyDescent="0.4">
      <c r="A804" s="24" t="s">
        <v>1540</v>
      </c>
      <c r="B804" s="24">
        <v>98.96</v>
      </c>
    </row>
    <row r="805" spans="1:2" ht="15.75" customHeight="1" x14ac:dyDescent="0.4">
      <c r="A805" s="24" t="s">
        <v>1563</v>
      </c>
      <c r="B805" s="24">
        <v>96.75</v>
      </c>
    </row>
    <row r="806" spans="1:2" ht="15.75" customHeight="1" x14ac:dyDescent="0.4">
      <c r="A806" s="24" t="s">
        <v>243</v>
      </c>
      <c r="B806" s="24">
        <v>100</v>
      </c>
    </row>
    <row r="807" spans="1:2" ht="15.75" customHeight="1" x14ac:dyDescent="0.4">
      <c r="A807" s="24" t="s">
        <v>1604</v>
      </c>
      <c r="B807" s="24">
        <v>25</v>
      </c>
    </row>
    <row r="808" spans="1:2" ht="15.75" customHeight="1" x14ac:dyDescent="0.4">
      <c r="A808" s="24" t="s">
        <v>583</v>
      </c>
      <c r="B808" s="24">
        <v>17.72</v>
      </c>
    </row>
    <row r="809" spans="1:2" ht="15.75" customHeight="1" x14ac:dyDescent="0.4">
      <c r="A809" s="24" t="s">
        <v>1528</v>
      </c>
      <c r="B809" s="24">
        <v>100</v>
      </c>
    </row>
    <row r="810" spans="1:2" ht="15.75" customHeight="1" x14ac:dyDescent="0.4">
      <c r="A810" s="24" t="s">
        <v>1564</v>
      </c>
      <c r="B810" s="24">
        <v>99.39</v>
      </c>
    </row>
    <row r="811" spans="1:2" ht="15.75" customHeight="1" x14ac:dyDescent="0.4">
      <c r="A811" s="24" t="s">
        <v>451</v>
      </c>
      <c r="B811" s="24">
        <v>34.590000000000003</v>
      </c>
    </row>
    <row r="812" spans="1:2" ht="15.75" customHeight="1" x14ac:dyDescent="0.4">
      <c r="A812" s="24" t="s">
        <v>1388</v>
      </c>
      <c r="B812" s="24">
        <v>75.72</v>
      </c>
    </row>
    <row r="813" spans="1:2" ht="15.75" customHeight="1" x14ac:dyDescent="0.4">
      <c r="A813" s="24" t="s">
        <v>1409</v>
      </c>
      <c r="B813" s="24">
        <v>100</v>
      </c>
    </row>
    <row r="814" spans="1:2" ht="15.75" customHeight="1" x14ac:dyDescent="0.4">
      <c r="A814" s="24" t="s">
        <v>226</v>
      </c>
      <c r="B814" s="24">
        <v>100</v>
      </c>
    </row>
    <row r="815" spans="1:2" ht="15.75" customHeight="1" x14ac:dyDescent="0.4">
      <c r="A815" s="24" t="s">
        <v>1451</v>
      </c>
      <c r="B815" s="24">
        <v>100</v>
      </c>
    </row>
    <row r="816" spans="1:2" ht="15.75" customHeight="1" x14ac:dyDescent="0.4">
      <c r="A816" s="24" t="s">
        <v>1429</v>
      </c>
      <c r="B816" s="24">
        <v>77.78</v>
      </c>
    </row>
    <row r="817" spans="1:2" ht="15.75" customHeight="1" x14ac:dyDescent="0.4">
      <c r="A817" s="24" t="s">
        <v>1425</v>
      </c>
      <c r="B817" s="24">
        <v>100</v>
      </c>
    </row>
    <row r="818" spans="1:2" ht="15.75" customHeight="1" x14ac:dyDescent="0.4">
      <c r="A818" s="24" t="s">
        <v>1421</v>
      </c>
      <c r="B818" s="24">
        <v>53.19</v>
      </c>
    </row>
    <row r="819" spans="1:2" ht="15.75" customHeight="1" x14ac:dyDescent="0.4">
      <c r="A819" s="24" t="s">
        <v>1438</v>
      </c>
      <c r="B819" s="24">
        <v>89.24</v>
      </c>
    </row>
    <row r="820" spans="1:2" ht="15.75" customHeight="1" x14ac:dyDescent="0.4">
      <c r="A820" s="24" t="s">
        <v>1460</v>
      </c>
      <c r="B820" s="24">
        <v>77.78</v>
      </c>
    </row>
    <row r="821" spans="1:2" ht="15.75" customHeight="1" x14ac:dyDescent="0.4">
      <c r="A821" s="24" t="s">
        <v>1442</v>
      </c>
      <c r="B821" s="24">
        <v>55.56</v>
      </c>
    </row>
    <row r="822" spans="1:2" ht="15.75" customHeight="1" x14ac:dyDescent="0.4">
      <c r="A822" s="24" t="s">
        <v>1389</v>
      </c>
      <c r="B822" s="24">
        <v>93.44</v>
      </c>
    </row>
    <row r="823" spans="1:2" ht="15.75" customHeight="1" x14ac:dyDescent="0.4">
      <c r="A823" s="24" t="s">
        <v>1441</v>
      </c>
      <c r="B823" s="24">
        <v>95.12</v>
      </c>
    </row>
    <row r="824" spans="1:2" ht="15.75" customHeight="1" x14ac:dyDescent="0.4">
      <c r="A824" s="24" t="s">
        <v>1407</v>
      </c>
      <c r="B824" s="24">
        <v>100</v>
      </c>
    </row>
    <row r="825" spans="1:2" ht="15.75" customHeight="1" x14ac:dyDescent="0.4">
      <c r="A825" s="24" t="s">
        <v>1459</v>
      </c>
      <c r="B825" s="24">
        <v>93.76</v>
      </c>
    </row>
    <row r="826" spans="1:2" ht="15.75" customHeight="1" x14ac:dyDescent="0.4">
      <c r="A826" s="24" t="s">
        <v>1401</v>
      </c>
      <c r="B826" s="24">
        <v>81.62</v>
      </c>
    </row>
    <row r="827" spans="1:2" ht="15.75" customHeight="1" x14ac:dyDescent="0.4">
      <c r="A827" s="24" t="s">
        <v>1416</v>
      </c>
      <c r="B827" s="24">
        <v>97.69</v>
      </c>
    </row>
    <row r="828" spans="1:2" ht="15.75" customHeight="1" x14ac:dyDescent="0.4">
      <c r="A828" s="24" t="s">
        <v>1437</v>
      </c>
      <c r="B828" s="24">
        <v>50.71</v>
      </c>
    </row>
    <row r="829" spans="1:2" ht="15.75" customHeight="1" x14ac:dyDescent="0.4">
      <c r="A829" s="24" t="s">
        <v>1412</v>
      </c>
      <c r="B829" s="24">
        <v>94.37</v>
      </c>
    </row>
    <row r="830" spans="1:2" ht="15.75" customHeight="1" x14ac:dyDescent="0.4">
      <c r="A830" s="24" t="s">
        <v>1454</v>
      </c>
      <c r="B830" s="24">
        <v>99.15</v>
      </c>
    </row>
    <row r="831" spans="1:2" ht="15.75" customHeight="1" x14ac:dyDescent="0.4">
      <c r="A831" s="24" t="s">
        <v>665</v>
      </c>
      <c r="B831" s="24">
        <v>55.77</v>
      </c>
    </row>
    <row r="832" spans="1:2" ht="15.75" customHeight="1" x14ac:dyDescent="0.4">
      <c r="A832" s="24" t="s">
        <v>1394</v>
      </c>
      <c r="B832" s="24">
        <v>55.56</v>
      </c>
    </row>
    <row r="833" spans="1:2" ht="15.75" customHeight="1" x14ac:dyDescent="0.4">
      <c r="A833" s="24" t="s">
        <v>1461</v>
      </c>
      <c r="B833" s="24">
        <v>88.59</v>
      </c>
    </row>
    <row r="834" spans="1:2" ht="15.75" customHeight="1" x14ac:dyDescent="0.4">
      <c r="A834" s="24" t="s">
        <v>1452</v>
      </c>
      <c r="B834" s="24">
        <v>91.3</v>
      </c>
    </row>
    <row r="835" spans="1:2" ht="15.75" customHeight="1" x14ac:dyDescent="0.4">
      <c r="A835" s="24" t="s">
        <v>1453</v>
      </c>
      <c r="B835" s="24">
        <v>86.19</v>
      </c>
    </row>
    <row r="836" spans="1:2" ht="15.75" customHeight="1" x14ac:dyDescent="0.4">
      <c r="A836" s="24" t="s">
        <v>1418</v>
      </c>
      <c r="B836" s="24">
        <v>76.150000000000006</v>
      </c>
    </row>
    <row r="837" spans="1:2" ht="15.75" customHeight="1" x14ac:dyDescent="0.4">
      <c r="A837" s="24" t="s">
        <v>1393</v>
      </c>
      <c r="B837" s="24">
        <v>100</v>
      </c>
    </row>
    <row r="838" spans="1:2" ht="15.75" customHeight="1" x14ac:dyDescent="0.4">
      <c r="A838" s="24" t="s">
        <v>1447</v>
      </c>
      <c r="B838" s="24">
        <v>99.24</v>
      </c>
    </row>
    <row r="839" spans="1:2" ht="15.75" customHeight="1" x14ac:dyDescent="0.4">
      <c r="A839" s="24" t="s">
        <v>1445</v>
      </c>
      <c r="B839" s="24">
        <v>100</v>
      </c>
    </row>
    <row r="840" spans="1:2" ht="15.75" customHeight="1" x14ac:dyDescent="0.4">
      <c r="A840" s="24" t="s">
        <v>1444</v>
      </c>
      <c r="B840" s="24">
        <v>99.18</v>
      </c>
    </row>
    <row r="841" spans="1:2" ht="15.75" customHeight="1" x14ac:dyDescent="0.4">
      <c r="A841" s="24" t="s">
        <v>1403</v>
      </c>
      <c r="B841" s="24">
        <v>100</v>
      </c>
    </row>
    <row r="842" spans="1:2" ht="15.75" customHeight="1" x14ac:dyDescent="0.4">
      <c r="A842" s="24" t="s">
        <v>1424</v>
      </c>
      <c r="B842" s="24">
        <v>95.79</v>
      </c>
    </row>
    <row r="843" spans="1:2" ht="15.75" customHeight="1" x14ac:dyDescent="0.4">
      <c r="A843" s="24" t="s">
        <v>1404</v>
      </c>
      <c r="B843" s="24">
        <v>83.4</v>
      </c>
    </row>
    <row r="844" spans="1:2" ht="15.75" customHeight="1" x14ac:dyDescent="0.4">
      <c r="A844" s="24" t="s">
        <v>1440</v>
      </c>
      <c r="B844" s="24">
        <v>87.89</v>
      </c>
    </row>
    <row r="845" spans="1:2" ht="15.75" customHeight="1" x14ac:dyDescent="0.4">
      <c r="A845" s="24" t="s">
        <v>1411</v>
      </c>
      <c r="B845" s="24">
        <v>100</v>
      </c>
    </row>
    <row r="846" spans="1:2" ht="15.75" customHeight="1" x14ac:dyDescent="0.4">
      <c r="A846" s="24" t="s">
        <v>1458</v>
      </c>
      <c r="B846" s="24">
        <v>100</v>
      </c>
    </row>
    <row r="847" spans="1:2" ht="15.75" customHeight="1" x14ac:dyDescent="0.4">
      <c r="A847" s="24" t="s">
        <v>1456</v>
      </c>
      <c r="B847" s="24">
        <v>100</v>
      </c>
    </row>
    <row r="848" spans="1:2" ht="15.75" customHeight="1" x14ac:dyDescent="0.4">
      <c r="A848" s="24" t="s">
        <v>1448</v>
      </c>
      <c r="B848" s="24">
        <v>65.8</v>
      </c>
    </row>
    <row r="849" spans="1:2" ht="15.75" customHeight="1" x14ac:dyDescent="0.4">
      <c r="A849" s="24" t="s">
        <v>1397</v>
      </c>
      <c r="B849" s="24">
        <v>87.34</v>
      </c>
    </row>
    <row r="850" spans="1:2" ht="15.75" customHeight="1" x14ac:dyDescent="0.4">
      <c r="A850" s="24" t="s">
        <v>1420</v>
      </c>
      <c r="B850" s="24">
        <v>95.09</v>
      </c>
    </row>
    <row r="851" spans="1:2" ht="15.75" customHeight="1" x14ac:dyDescent="0.4">
      <c r="A851" s="24" t="s">
        <v>1408</v>
      </c>
      <c r="B851" s="24">
        <v>88.89</v>
      </c>
    </row>
    <row r="852" spans="1:2" ht="15.75" customHeight="1" x14ac:dyDescent="0.4">
      <c r="A852" s="24" t="s">
        <v>1435</v>
      </c>
      <c r="B852" s="24">
        <v>77.84</v>
      </c>
    </row>
    <row r="853" spans="1:2" ht="15.75" customHeight="1" x14ac:dyDescent="0.4">
      <c r="A853" s="24" t="s">
        <v>1428</v>
      </c>
      <c r="B853" s="24">
        <v>98.83</v>
      </c>
    </row>
    <row r="854" spans="1:2" ht="15.75" customHeight="1" x14ac:dyDescent="0.4">
      <c r="A854" s="24" t="s">
        <v>1433</v>
      </c>
      <c r="B854" s="24">
        <v>89.2</v>
      </c>
    </row>
    <row r="855" spans="1:2" ht="15.75" customHeight="1" x14ac:dyDescent="0.4">
      <c r="A855" s="24" t="s">
        <v>1415</v>
      </c>
      <c r="B855" s="24">
        <v>100</v>
      </c>
    </row>
    <row r="856" spans="1:2" ht="15.75" customHeight="1" x14ac:dyDescent="0.4">
      <c r="A856" s="24" t="s">
        <v>1419</v>
      </c>
      <c r="B856" s="24">
        <v>100</v>
      </c>
    </row>
    <row r="857" spans="1:2" ht="15.75" customHeight="1" x14ac:dyDescent="0.4">
      <c r="A857" s="24" t="s">
        <v>1430</v>
      </c>
      <c r="B857" s="24">
        <v>91.81</v>
      </c>
    </row>
    <row r="858" spans="1:2" ht="15.75" customHeight="1" x14ac:dyDescent="0.4">
      <c r="A858" s="24" t="s">
        <v>1400</v>
      </c>
      <c r="B858" s="24">
        <v>82.45</v>
      </c>
    </row>
    <row r="859" spans="1:2" ht="15.75" customHeight="1" x14ac:dyDescent="0.4">
      <c r="A859" s="24" t="s">
        <v>1457</v>
      </c>
      <c r="B859" s="24">
        <v>95.38</v>
      </c>
    </row>
    <row r="860" spans="1:2" ht="15.75" customHeight="1" x14ac:dyDescent="0.4">
      <c r="A860" s="24" t="s">
        <v>1406</v>
      </c>
      <c r="B860" s="24">
        <v>96.88</v>
      </c>
    </row>
    <row r="861" spans="1:2" ht="15.75" customHeight="1" x14ac:dyDescent="0.4">
      <c r="A861" s="24" t="s">
        <v>1387</v>
      </c>
      <c r="B861" s="24">
        <v>9.74</v>
      </c>
    </row>
    <row r="862" spans="1:2" ht="15.75" customHeight="1" x14ac:dyDescent="0.4">
      <c r="A862" s="24" t="s">
        <v>1417</v>
      </c>
      <c r="B862" s="24">
        <v>100</v>
      </c>
    </row>
    <row r="863" spans="1:2" ht="15.75" customHeight="1" x14ac:dyDescent="0.4">
      <c r="A863" s="24" t="s">
        <v>1436</v>
      </c>
      <c r="B863" s="24">
        <v>100</v>
      </c>
    </row>
    <row r="864" spans="1:2" ht="15.75" customHeight="1" x14ac:dyDescent="0.4">
      <c r="A864" s="24" t="s">
        <v>1422</v>
      </c>
      <c r="B864" s="24">
        <v>100</v>
      </c>
    </row>
    <row r="865" spans="1:2" ht="15.75" customHeight="1" x14ac:dyDescent="0.4">
      <c r="A865" s="24" t="s">
        <v>1434</v>
      </c>
      <c r="B865" s="24">
        <v>58.68</v>
      </c>
    </row>
    <row r="866" spans="1:2" ht="15.75" customHeight="1" x14ac:dyDescent="0.4">
      <c r="A866" s="24" t="s">
        <v>1432</v>
      </c>
      <c r="B866" s="24">
        <v>100</v>
      </c>
    </row>
    <row r="867" spans="1:2" ht="15.75" customHeight="1" x14ac:dyDescent="0.4">
      <c r="A867" s="24" t="s">
        <v>1413</v>
      </c>
      <c r="B867" s="24">
        <v>66.680000000000007</v>
      </c>
    </row>
    <row r="868" spans="1:2" ht="15.75" customHeight="1" x14ac:dyDescent="0.4">
      <c r="A868" s="24" t="s">
        <v>756</v>
      </c>
      <c r="B868" s="24">
        <v>75.7</v>
      </c>
    </row>
    <row r="869" spans="1:2" ht="15.75" customHeight="1" x14ac:dyDescent="0.4">
      <c r="A869" s="24" t="s">
        <v>1395</v>
      </c>
      <c r="B869" s="24">
        <v>100</v>
      </c>
    </row>
    <row r="870" spans="1:2" ht="15.75" customHeight="1" x14ac:dyDescent="0.4">
      <c r="A870" s="24" t="s">
        <v>1390</v>
      </c>
      <c r="B870" s="24">
        <v>85.29</v>
      </c>
    </row>
    <row r="871" spans="1:2" ht="15.75" customHeight="1" x14ac:dyDescent="0.4">
      <c r="A871" s="24" t="s">
        <v>1450</v>
      </c>
      <c r="B871" s="24">
        <v>88.89</v>
      </c>
    </row>
    <row r="872" spans="1:2" ht="15.75" customHeight="1" x14ac:dyDescent="0.4">
      <c r="A872" s="24" t="s">
        <v>1396</v>
      </c>
      <c r="B872" s="24">
        <v>88.89</v>
      </c>
    </row>
    <row r="873" spans="1:2" ht="15.75" customHeight="1" x14ac:dyDescent="0.4">
      <c r="A873" s="24" t="s">
        <v>1455</v>
      </c>
      <c r="B873" s="24">
        <v>100</v>
      </c>
    </row>
    <row r="874" spans="1:2" ht="15.75" customHeight="1" x14ac:dyDescent="0.4">
      <c r="A874" s="24" t="s">
        <v>1446</v>
      </c>
      <c r="B874" s="24">
        <v>90.13</v>
      </c>
    </row>
    <row r="875" spans="1:2" ht="15.75" customHeight="1" x14ac:dyDescent="0.4">
      <c r="A875" s="24" t="s">
        <v>1465</v>
      </c>
      <c r="B875" s="24">
        <v>37.049999999999997</v>
      </c>
    </row>
    <row r="876" spans="1:2" ht="15.75" customHeight="1" x14ac:dyDescent="0.4">
      <c r="A876" s="24" t="s">
        <v>1462</v>
      </c>
      <c r="B876" s="24">
        <v>90.62</v>
      </c>
    </row>
    <row r="877" spans="1:2" ht="15.75" customHeight="1" x14ac:dyDescent="0.4">
      <c r="A877" s="24" t="s">
        <v>1431</v>
      </c>
      <c r="B877" s="24">
        <v>94.97</v>
      </c>
    </row>
    <row r="878" spans="1:2" ht="15.75" customHeight="1" x14ac:dyDescent="0.4">
      <c r="A878" s="24" t="s">
        <v>1463</v>
      </c>
      <c r="B878" s="24">
        <v>100</v>
      </c>
    </row>
    <row r="879" spans="1:2" ht="15.75" customHeight="1" x14ac:dyDescent="0.4">
      <c r="A879" s="24" t="s">
        <v>1414</v>
      </c>
      <c r="B879" s="24">
        <v>71.430000000000007</v>
      </c>
    </row>
    <row r="880" spans="1:2" ht="15.75" customHeight="1" x14ac:dyDescent="0.4">
      <c r="A880" s="24" t="s">
        <v>1464</v>
      </c>
      <c r="B880" s="24">
        <v>100</v>
      </c>
    </row>
    <row r="881" spans="1:2" ht="15.75" customHeight="1" x14ac:dyDescent="0.4">
      <c r="A881" s="24" t="s">
        <v>1443</v>
      </c>
      <c r="B881" s="24">
        <v>87.79</v>
      </c>
    </row>
    <row r="882" spans="1:2" ht="15.75" customHeight="1" x14ac:dyDescent="0.4">
      <c r="A882" s="24" t="s">
        <v>1427</v>
      </c>
      <c r="B882" s="24">
        <v>100</v>
      </c>
    </row>
    <row r="883" spans="1:2" ht="15.75" customHeight="1" x14ac:dyDescent="0.4">
      <c r="A883" s="24" t="s">
        <v>1439</v>
      </c>
      <c r="B883" s="24">
        <v>100</v>
      </c>
    </row>
    <row r="884" spans="1:2" ht="15.75" customHeight="1" x14ac:dyDescent="0.4">
      <c r="A884" s="24" t="s">
        <v>1426</v>
      </c>
      <c r="B884" s="24">
        <v>23.05</v>
      </c>
    </row>
    <row r="885" spans="1:2" ht="15.75" customHeight="1" x14ac:dyDescent="0.4">
      <c r="A885" s="24" t="s">
        <v>1398</v>
      </c>
      <c r="B885" s="24">
        <v>74.56</v>
      </c>
    </row>
    <row r="886" spans="1:2" ht="15.75" customHeight="1" x14ac:dyDescent="0.4">
      <c r="A886" s="24" t="s">
        <v>1405</v>
      </c>
      <c r="B886" s="24">
        <v>99.26</v>
      </c>
    </row>
    <row r="887" spans="1:2" ht="15.75" customHeight="1" x14ac:dyDescent="0.4">
      <c r="A887" s="24" t="s">
        <v>475</v>
      </c>
      <c r="B887" s="24">
        <v>7.73</v>
      </c>
    </row>
    <row r="888" spans="1:2" ht="15.75" customHeight="1" x14ac:dyDescent="0.4">
      <c r="A888" s="24" t="s">
        <v>1402</v>
      </c>
      <c r="B888" s="24">
        <v>86.41</v>
      </c>
    </row>
    <row r="889" spans="1:2" ht="15.75" customHeight="1" x14ac:dyDescent="0.4">
      <c r="A889" s="24" t="s">
        <v>1410</v>
      </c>
      <c r="B889" s="24">
        <v>98.21</v>
      </c>
    </row>
    <row r="890" spans="1:2" ht="15.75" customHeight="1" x14ac:dyDescent="0.4">
      <c r="A890" s="24" t="s">
        <v>1399</v>
      </c>
      <c r="B890" s="24">
        <v>99.15</v>
      </c>
    </row>
    <row r="891" spans="1:2" ht="15.75" customHeight="1" x14ac:dyDescent="0.4">
      <c r="A891" s="24" t="s">
        <v>1391</v>
      </c>
      <c r="B891" s="24">
        <v>100</v>
      </c>
    </row>
    <row r="892" spans="1:2" ht="15.75" customHeight="1" x14ac:dyDescent="0.4">
      <c r="A892" s="24" t="s">
        <v>1392</v>
      </c>
      <c r="B892" s="24">
        <v>88.85</v>
      </c>
    </row>
    <row r="893" spans="1:2" ht="15.75" customHeight="1" x14ac:dyDescent="0.4">
      <c r="A893" s="24" t="s">
        <v>1423</v>
      </c>
      <c r="B893" s="24">
        <v>100</v>
      </c>
    </row>
    <row r="894" spans="1:2" ht="15.75" customHeight="1" x14ac:dyDescent="0.4">
      <c r="A894" s="24" t="s">
        <v>1449</v>
      </c>
      <c r="B894" s="24">
        <v>95.9</v>
      </c>
    </row>
    <row r="895" spans="1:2" ht="15.75" customHeight="1" x14ac:dyDescent="0.4">
      <c r="A895" s="24" t="s">
        <v>485</v>
      </c>
      <c r="B895" s="24">
        <v>27.98</v>
      </c>
    </row>
    <row r="896" spans="1:2" ht="15.75" customHeight="1" x14ac:dyDescent="0.4">
      <c r="A896" s="24" t="s">
        <v>1351</v>
      </c>
      <c r="B896" s="24">
        <v>49.72</v>
      </c>
    </row>
    <row r="897" spans="1:2" ht="15.75" customHeight="1" x14ac:dyDescent="0.4">
      <c r="A897" s="24" t="s">
        <v>1277</v>
      </c>
      <c r="B897" s="24">
        <v>92.76</v>
      </c>
    </row>
    <row r="898" spans="1:2" ht="15.75" customHeight="1" x14ac:dyDescent="0.4">
      <c r="A898" s="24" t="s">
        <v>1289</v>
      </c>
      <c r="B898" s="24">
        <v>100</v>
      </c>
    </row>
    <row r="899" spans="1:2" ht="15.75" customHeight="1" x14ac:dyDescent="0.4">
      <c r="A899" s="24" t="s">
        <v>1377</v>
      </c>
      <c r="B899" s="24">
        <v>27.27</v>
      </c>
    </row>
    <row r="900" spans="1:2" ht="15.75" customHeight="1" x14ac:dyDescent="0.4">
      <c r="A900" s="24" t="s">
        <v>1320</v>
      </c>
      <c r="B900" s="24">
        <v>100</v>
      </c>
    </row>
    <row r="901" spans="1:2" ht="15.75" customHeight="1" x14ac:dyDescent="0.4">
      <c r="A901" s="24" t="s">
        <v>1342</v>
      </c>
      <c r="B901" s="24">
        <v>97.25</v>
      </c>
    </row>
    <row r="902" spans="1:2" ht="15.75" customHeight="1" x14ac:dyDescent="0.4">
      <c r="A902" s="24" t="s">
        <v>1345</v>
      </c>
      <c r="B902" s="24">
        <v>83.06</v>
      </c>
    </row>
    <row r="903" spans="1:2" ht="15.75" customHeight="1" x14ac:dyDescent="0.4">
      <c r="A903" s="24" t="s">
        <v>1261</v>
      </c>
      <c r="B903" s="24">
        <v>83.77</v>
      </c>
    </row>
    <row r="904" spans="1:2" ht="15.75" customHeight="1" x14ac:dyDescent="0.4">
      <c r="A904" s="24" t="s">
        <v>1322</v>
      </c>
      <c r="B904" s="24">
        <v>100</v>
      </c>
    </row>
    <row r="905" spans="1:2" ht="15.75" customHeight="1" x14ac:dyDescent="0.4">
      <c r="A905" s="24" t="s">
        <v>409</v>
      </c>
      <c r="B905" s="24">
        <v>15.2</v>
      </c>
    </row>
    <row r="906" spans="1:2" ht="15.75" customHeight="1" x14ac:dyDescent="0.4">
      <c r="A906" s="24" t="s">
        <v>1288</v>
      </c>
      <c r="B906" s="24">
        <v>14.05</v>
      </c>
    </row>
    <row r="907" spans="1:2" ht="15.75" customHeight="1" x14ac:dyDescent="0.4">
      <c r="A907" s="24" t="s">
        <v>1366</v>
      </c>
      <c r="B907" s="24">
        <v>66.06</v>
      </c>
    </row>
    <row r="908" spans="1:2" ht="15.75" customHeight="1" x14ac:dyDescent="0.4">
      <c r="A908" s="24" t="s">
        <v>1262</v>
      </c>
      <c r="B908" s="24">
        <v>75.12</v>
      </c>
    </row>
    <row r="909" spans="1:2" ht="15.75" customHeight="1" x14ac:dyDescent="0.4">
      <c r="A909" s="24" t="s">
        <v>1337</v>
      </c>
      <c r="B909" s="24">
        <v>21.82</v>
      </c>
    </row>
    <row r="910" spans="1:2" ht="15.75" customHeight="1" x14ac:dyDescent="0.4">
      <c r="A910" s="24" t="s">
        <v>1252</v>
      </c>
      <c r="B910" s="24">
        <v>100</v>
      </c>
    </row>
    <row r="911" spans="1:2" ht="15.75" customHeight="1" x14ac:dyDescent="0.4">
      <c r="A911" s="24" t="s">
        <v>1295</v>
      </c>
      <c r="B911" s="24">
        <v>89.27</v>
      </c>
    </row>
    <row r="912" spans="1:2" ht="15.75" customHeight="1" x14ac:dyDescent="0.4">
      <c r="A912" s="24" t="s">
        <v>1334</v>
      </c>
      <c r="B912" s="24">
        <v>45.77</v>
      </c>
    </row>
    <row r="913" spans="1:2" ht="15.75" customHeight="1" x14ac:dyDescent="0.4">
      <c r="A913" s="24" t="s">
        <v>1258</v>
      </c>
      <c r="B913" s="24">
        <v>87.03</v>
      </c>
    </row>
    <row r="914" spans="1:2" ht="15.75" customHeight="1" x14ac:dyDescent="0.4">
      <c r="A914" s="24" t="s">
        <v>1362</v>
      </c>
      <c r="B914" s="24">
        <v>91.16</v>
      </c>
    </row>
    <row r="915" spans="1:2" ht="15.75" customHeight="1" x14ac:dyDescent="0.4">
      <c r="A915" s="24" t="s">
        <v>1358</v>
      </c>
      <c r="B915" s="24">
        <v>100</v>
      </c>
    </row>
    <row r="916" spans="1:2" ht="15.75" customHeight="1" x14ac:dyDescent="0.4">
      <c r="A916" s="24" t="s">
        <v>1294</v>
      </c>
      <c r="B916" s="24">
        <v>77.78</v>
      </c>
    </row>
    <row r="917" spans="1:2" ht="15.75" customHeight="1" x14ac:dyDescent="0.4">
      <c r="A917" s="24" t="s">
        <v>623</v>
      </c>
      <c r="B917" s="24">
        <v>49.87</v>
      </c>
    </row>
    <row r="918" spans="1:2" ht="15.75" customHeight="1" x14ac:dyDescent="0.4">
      <c r="A918" s="24" t="s">
        <v>1246</v>
      </c>
      <c r="B918" s="24">
        <v>44.1</v>
      </c>
    </row>
    <row r="919" spans="1:2" ht="15.75" customHeight="1" x14ac:dyDescent="0.4">
      <c r="A919" s="24" t="s">
        <v>1375</v>
      </c>
      <c r="B919" s="24">
        <v>94.97</v>
      </c>
    </row>
    <row r="920" spans="1:2" ht="15.75" customHeight="1" x14ac:dyDescent="0.4">
      <c r="A920" s="24" t="s">
        <v>1347</v>
      </c>
      <c r="B920" s="24">
        <v>44.51</v>
      </c>
    </row>
    <row r="921" spans="1:2" ht="15.75" customHeight="1" x14ac:dyDescent="0.4">
      <c r="A921" s="24" t="s">
        <v>1330</v>
      </c>
      <c r="B921" s="24">
        <v>80.489999999999995</v>
      </c>
    </row>
    <row r="922" spans="1:2" ht="15.75" customHeight="1" x14ac:dyDescent="0.4">
      <c r="A922" s="24" t="s">
        <v>1301</v>
      </c>
      <c r="B922" s="24">
        <v>45.7</v>
      </c>
    </row>
    <row r="923" spans="1:2" ht="15.75" customHeight="1" x14ac:dyDescent="0.4">
      <c r="A923" s="24" t="s">
        <v>1286</v>
      </c>
      <c r="B923" s="24">
        <v>100</v>
      </c>
    </row>
    <row r="924" spans="1:2" ht="15.75" customHeight="1" x14ac:dyDescent="0.4">
      <c r="A924" s="24" t="s">
        <v>1264</v>
      </c>
      <c r="B924" s="24">
        <v>22.48</v>
      </c>
    </row>
    <row r="925" spans="1:2" ht="15.75" customHeight="1" x14ac:dyDescent="0.4">
      <c r="A925" s="24" t="s">
        <v>1324</v>
      </c>
      <c r="B925" s="24">
        <v>69.040000000000006</v>
      </c>
    </row>
    <row r="926" spans="1:2" ht="15.75" customHeight="1" x14ac:dyDescent="0.4">
      <c r="A926" s="24" t="s">
        <v>1355</v>
      </c>
      <c r="B926" s="24">
        <v>55.56</v>
      </c>
    </row>
    <row r="927" spans="1:2" ht="15.75" customHeight="1" x14ac:dyDescent="0.4">
      <c r="A927" s="24" t="s">
        <v>1279</v>
      </c>
      <c r="B927" s="24">
        <v>100</v>
      </c>
    </row>
    <row r="928" spans="1:2" ht="15.75" customHeight="1" x14ac:dyDescent="0.4">
      <c r="A928" s="24" t="s">
        <v>1379</v>
      </c>
      <c r="B928" s="24">
        <v>68.36</v>
      </c>
    </row>
    <row r="929" spans="1:2" ht="15.75" customHeight="1" x14ac:dyDescent="0.4">
      <c r="A929" s="24" t="s">
        <v>1290</v>
      </c>
      <c r="B929" s="24">
        <v>100</v>
      </c>
    </row>
    <row r="930" spans="1:2" ht="15.75" customHeight="1" x14ac:dyDescent="0.4">
      <c r="A930" s="24" t="s">
        <v>750</v>
      </c>
      <c r="B930" s="24">
        <v>43.81</v>
      </c>
    </row>
    <row r="931" spans="1:2" ht="15.75" customHeight="1" x14ac:dyDescent="0.4">
      <c r="A931" s="24" t="s">
        <v>1323</v>
      </c>
      <c r="B931" s="24">
        <v>31.26</v>
      </c>
    </row>
    <row r="932" spans="1:2" ht="15.75" customHeight="1" x14ac:dyDescent="0.4">
      <c r="A932" s="24" t="s">
        <v>1282</v>
      </c>
      <c r="B932" s="24">
        <v>56.42</v>
      </c>
    </row>
    <row r="933" spans="1:2" ht="15.75" customHeight="1" x14ac:dyDescent="0.4">
      <c r="A933" s="24" t="s">
        <v>1270</v>
      </c>
      <c r="B933" s="24">
        <v>56.52</v>
      </c>
    </row>
    <row r="934" spans="1:2" ht="15.75" customHeight="1" x14ac:dyDescent="0.4">
      <c r="A934" s="24" t="s">
        <v>1292</v>
      </c>
      <c r="B934" s="24">
        <v>96.01</v>
      </c>
    </row>
    <row r="935" spans="1:2" ht="15.75" customHeight="1" x14ac:dyDescent="0.4">
      <c r="A935" s="24" t="s">
        <v>1281</v>
      </c>
      <c r="B935" s="24">
        <v>89.57</v>
      </c>
    </row>
    <row r="936" spans="1:2" ht="15.75" customHeight="1" x14ac:dyDescent="0.4">
      <c r="A936" s="24" t="s">
        <v>1325</v>
      </c>
      <c r="B936" s="24">
        <v>86.99</v>
      </c>
    </row>
    <row r="937" spans="1:2" ht="15.75" customHeight="1" x14ac:dyDescent="0.4">
      <c r="A937" s="24" t="s">
        <v>1353</v>
      </c>
      <c r="B937" s="24">
        <v>42.86</v>
      </c>
    </row>
    <row r="938" spans="1:2" ht="15.75" customHeight="1" x14ac:dyDescent="0.4">
      <c r="A938" s="24" t="s">
        <v>1310</v>
      </c>
      <c r="B938" s="24">
        <v>86.96</v>
      </c>
    </row>
    <row r="939" spans="1:2" ht="15.75" customHeight="1" x14ac:dyDescent="0.4">
      <c r="A939" s="24" t="s">
        <v>1307</v>
      </c>
      <c r="B939" s="24">
        <v>79.63</v>
      </c>
    </row>
    <row r="940" spans="1:2" ht="15.75" customHeight="1" x14ac:dyDescent="0.4">
      <c r="A940" s="24" t="s">
        <v>1354</v>
      </c>
      <c r="B940" s="24">
        <v>98.38</v>
      </c>
    </row>
    <row r="941" spans="1:2" ht="15.75" customHeight="1" x14ac:dyDescent="0.4">
      <c r="A941" s="24" t="s">
        <v>1316</v>
      </c>
      <c r="B941" s="24">
        <v>100</v>
      </c>
    </row>
    <row r="942" spans="1:2" ht="15.75" customHeight="1" x14ac:dyDescent="0.4">
      <c r="A942" s="24" t="s">
        <v>1335</v>
      </c>
      <c r="B942" s="24">
        <v>94.47</v>
      </c>
    </row>
    <row r="943" spans="1:2" ht="15.75" customHeight="1" x14ac:dyDescent="0.4">
      <c r="A943" s="24" t="s">
        <v>1359</v>
      </c>
      <c r="B943" s="24">
        <v>93.75</v>
      </c>
    </row>
    <row r="944" spans="1:2" ht="15.75" customHeight="1" x14ac:dyDescent="0.4">
      <c r="A944" s="24" t="s">
        <v>1257</v>
      </c>
      <c r="B944" s="24">
        <v>87.26</v>
      </c>
    </row>
    <row r="945" spans="1:2" ht="15.75" customHeight="1" x14ac:dyDescent="0.4">
      <c r="A945" s="24" t="s">
        <v>593</v>
      </c>
      <c r="B945" s="24">
        <v>30.93</v>
      </c>
    </row>
    <row r="946" spans="1:2" ht="15.75" customHeight="1" x14ac:dyDescent="0.4">
      <c r="A946" s="24" t="s">
        <v>1381</v>
      </c>
      <c r="B946" s="24">
        <v>88.42</v>
      </c>
    </row>
    <row r="947" spans="1:2" ht="15.75" customHeight="1" x14ac:dyDescent="0.4">
      <c r="A947" s="24" t="s">
        <v>274</v>
      </c>
      <c r="B947" s="24">
        <v>99.3</v>
      </c>
    </row>
    <row r="948" spans="1:2" ht="15.75" customHeight="1" x14ac:dyDescent="0.4">
      <c r="A948" s="24" t="s">
        <v>1343</v>
      </c>
      <c r="B948" s="24">
        <v>100</v>
      </c>
    </row>
    <row r="949" spans="1:2" ht="15.75" customHeight="1" x14ac:dyDescent="0.4">
      <c r="A949" s="24" t="s">
        <v>1271</v>
      </c>
      <c r="B949" s="24">
        <v>78.48</v>
      </c>
    </row>
    <row r="950" spans="1:2" ht="15.75" customHeight="1" x14ac:dyDescent="0.4">
      <c r="A950" s="24" t="s">
        <v>1349</v>
      </c>
      <c r="B950" s="24">
        <v>25.12</v>
      </c>
    </row>
    <row r="951" spans="1:2" ht="15.75" customHeight="1" x14ac:dyDescent="0.4">
      <c r="A951" s="24" t="s">
        <v>1250</v>
      </c>
      <c r="B951" s="24">
        <v>68.88</v>
      </c>
    </row>
    <row r="952" spans="1:2" ht="15.75" customHeight="1" x14ac:dyDescent="0.4">
      <c r="A952" s="24" t="s">
        <v>1361</v>
      </c>
      <c r="B952" s="24">
        <v>100</v>
      </c>
    </row>
    <row r="953" spans="1:2" ht="15.75" customHeight="1" x14ac:dyDescent="0.4">
      <c r="A953" s="24" t="s">
        <v>1380</v>
      </c>
      <c r="B953" s="24">
        <v>100</v>
      </c>
    </row>
    <row r="954" spans="1:2" ht="15.75" customHeight="1" x14ac:dyDescent="0.4">
      <c r="A954" s="24" t="s">
        <v>1298</v>
      </c>
      <c r="B954" s="24">
        <v>46.52</v>
      </c>
    </row>
    <row r="955" spans="1:2" ht="15.75" customHeight="1" x14ac:dyDescent="0.4">
      <c r="A955" s="24" t="s">
        <v>1305</v>
      </c>
      <c r="B955" s="24">
        <v>90.25</v>
      </c>
    </row>
    <row r="956" spans="1:2" ht="15.75" customHeight="1" x14ac:dyDescent="0.4">
      <c r="A956" s="24" t="s">
        <v>1308</v>
      </c>
      <c r="B956" s="24">
        <v>77.78</v>
      </c>
    </row>
    <row r="957" spans="1:2" ht="15.75" customHeight="1" x14ac:dyDescent="0.4">
      <c r="A957" s="24" t="s">
        <v>1311</v>
      </c>
      <c r="B957" s="24">
        <v>100</v>
      </c>
    </row>
    <row r="958" spans="1:2" ht="15.75" customHeight="1" x14ac:dyDescent="0.4">
      <c r="A958" s="24" t="s">
        <v>1384</v>
      </c>
      <c r="B958" s="24">
        <v>100</v>
      </c>
    </row>
    <row r="959" spans="1:2" ht="15.75" customHeight="1" x14ac:dyDescent="0.4">
      <c r="A959" s="24" t="s">
        <v>1249</v>
      </c>
      <c r="B959" s="24">
        <v>71.62</v>
      </c>
    </row>
    <row r="960" spans="1:2" ht="15.75" customHeight="1" x14ac:dyDescent="0.4">
      <c r="A960" s="24" t="s">
        <v>1284</v>
      </c>
      <c r="B960" s="24">
        <v>63.7</v>
      </c>
    </row>
    <row r="961" spans="1:2" ht="15.75" customHeight="1" x14ac:dyDescent="0.4">
      <c r="A961" s="24" t="s">
        <v>1300</v>
      </c>
      <c r="B961" s="24">
        <v>55.56</v>
      </c>
    </row>
    <row r="962" spans="1:2" ht="15.75" customHeight="1" x14ac:dyDescent="0.4">
      <c r="A962" s="24" t="s">
        <v>1333</v>
      </c>
      <c r="B962" s="24">
        <v>99.68</v>
      </c>
    </row>
    <row r="963" spans="1:2" ht="15.75" customHeight="1" x14ac:dyDescent="0.4">
      <c r="A963" s="24" t="s">
        <v>1352</v>
      </c>
      <c r="B963" s="24">
        <v>60.93</v>
      </c>
    </row>
    <row r="964" spans="1:2" ht="15.75" customHeight="1" x14ac:dyDescent="0.4">
      <c r="A964" s="24" t="s">
        <v>1303</v>
      </c>
      <c r="B964" s="24">
        <v>93.11</v>
      </c>
    </row>
    <row r="965" spans="1:2" ht="15.75" customHeight="1" x14ac:dyDescent="0.4">
      <c r="A965" s="24" t="s">
        <v>1336</v>
      </c>
      <c r="B965" s="24">
        <v>100</v>
      </c>
    </row>
    <row r="966" spans="1:2" ht="15.75" customHeight="1" x14ac:dyDescent="0.4">
      <c r="A966" s="24" t="s">
        <v>1332</v>
      </c>
      <c r="B966" s="24">
        <v>100</v>
      </c>
    </row>
    <row r="967" spans="1:2" ht="15.75" customHeight="1" x14ac:dyDescent="0.4">
      <c r="A967" s="24" t="s">
        <v>1365</v>
      </c>
      <c r="B967" s="24">
        <v>48.38</v>
      </c>
    </row>
    <row r="968" spans="1:2" ht="15.75" customHeight="1" x14ac:dyDescent="0.4">
      <c r="A968" s="24" t="s">
        <v>1255</v>
      </c>
      <c r="B968" s="24">
        <v>97.89</v>
      </c>
    </row>
    <row r="969" spans="1:2" ht="15.75" customHeight="1" x14ac:dyDescent="0.4">
      <c r="A969" s="24" t="s">
        <v>694</v>
      </c>
      <c r="B969" s="24">
        <v>45.07</v>
      </c>
    </row>
    <row r="970" spans="1:2" ht="15.75" customHeight="1" x14ac:dyDescent="0.4">
      <c r="A970" s="24" t="s">
        <v>1370</v>
      </c>
      <c r="B970" s="24">
        <v>94.05</v>
      </c>
    </row>
    <row r="971" spans="1:2" ht="15.75" customHeight="1" x14ac:dyDescent="0.4">
      <c r="A971" s="24" t="s">
        <v>1247</v>
      </c>
      <c r="B971" s="24">
        <v>21.88</v>
      </c>
    </row>
    <row r="972" spans="1:2" ht="15.75" customHeight="1" x14ac:dyDescent="0.4">
      <c r="A972" s="24" t="s">
        <v>1318</v>
      </c>
      <c r="B972" s="24">
        <v>100</v>
      </c>
    </row>
    <row r="973" spans="1:2" ht="15.75" customHeight="1" x14ac:dyDescent="0.4">
      <c r="A973" s="24" t="s">
        <v>1376</v>
      </c>
      <c r="B973" s="24">
        <v>99.59</v>
      </c>
    </row>
    <row r="974" spans="1:2" ht="15.75" customHeight="1" x14ac:dyDescent="0.4">
      <c r="A974" s="24" t="s">
        <v>748</v>
      </c>
      <c r="B974" s="24">
        <v>55.56</v>
      </c>
    </row>
    <row r="975" spans="1:2" ht="15.75" customHeight="1" x14ac:dyDescent="0.4">
      <c r="A975" s="24" t="s">
        <v>1306</v>
      </c>
      <c r="B975" s="24">
        <v>100</v>
      </c>
    </row>
    <row r="976" spans="1:2" ht="15.75" customHeight="1" x14ac:dyDescent="0.4">
      <c r="A976" s="24" t="s">
        <v>1287</v>
      </c>
      <c r="B976" s="24">
        <v>100</v>
      </c>
    </row>
    <row r="977" spans="1:2" ht="15.75" customHeight="1" x14ac:dyDescent="0.4">
      <c r="A977" s="24" t="s">
        <v>1283</v>
      </c>
      <c r="B977" s="24">
        <v>100</v>
      </c>
    </row>
    <row r="978" spans="1:2" ht="15.75" customHeight="1" x14ac:dyDescent="0.4">
      <c r="A978" s="24" t="s">
        <v>1386</v>
      </c>
      <c r="B978" s="24">
        <v>82.69</v>
      </c>
    </row>
    <row r="979" spans="1:2" ht="15.75" customHeight="1" x14ac:dyDescent="0.4">
      <c r="A979" s="24" t="s">
        <v>1276</v>
      </c>
      <c r="B979" s="24">
        <v>100</v>
      </c>
    </row>
    <row r="980" spans="1:2" ht="15.75" customHeight="1" x14ac:dyDescent="0.4">
      <c r="A980" s="24" t="s">
        <v>1296</v>
      </c>
      <c r="B980" s="24">
        <v>100</v>
      </c>
    </row>
    <row r="981" spans="1:2" ht="15.75" customHeight="1" x14ac:dyDescent="0.4">
      <c r="A981" s="24" t="s">
        <v>1329</v>
      </c>
      <c r="B981" s="24">
        <v>100</v>
      </c>
    </row>
    <row r="982" spans="1:2" ht="15.75" customHeight="1" x14ac:dyDescent="0.4">
      <c r="A982" s="24" t="s">
        <v>1248</v>
      </c>
      <c r="B982" s="24">
        <v>86.34</v>
      </c>
    </row>
    <row r="983" spans="1:2" ht="15.75" customHeight="1" x14ac:dyDescent="0.4">
      <c r="A983" s="24" t="s">
        <v>1251</v>
      </c>
      <c r="B983" s="24">
        <v>80.44</v>
      </c>
    </row>
    <row r="984" spans="1:2" ht="15.75" customHeight="1" x14ac:dyDescent="0.4">
      <c r="A984" s="24" t="s">
        <v>1275</v>
      </c>
      <c r="B984" s="24">
        <v>98.46</v>
      </c>
    </row>
    <row r="985" spans="1:2" ht="15.75" customHeight="1" x14ac:dyDescent="0.4">
      <c r="A985" s="24" t="s">
        <v>260</v>
      </c>
      <c r="B985" s="24">
        <v>11.78</v>
      </c>
    </row>
    <row r="986" spans="1:2" ht="15.75" customHeight="1" x14ac:dyDescent="0.4">
      <c r="A986" s="24" t="s">
        <v>1274</v>
      </c>
      <c r="B986" s="24">
        <v>100</v>
      </c>
    </row>
    <row r="987" spans="1:2" ht="15.75" customHeight="1" x14ac:dyDescent="0.4">
      <c r="A987" s="24" t="s">
        <v>1266</v>
      </c>
      <c r="B987" s="24">
        <v>84.08</v>
      </c>
    </row>
    <row r="988" spans="1:2" ht="15.75" customHeight="1" x14ac:dyDescent="0.4">
      <c r="A988" s="24" t="s">
        <v>1312</v>
      </c>
      <c r="B988" s="24">
        <v>100</v>
      </c>
    </row>
    <row r="989" spans="1:2" ht="15.75" customHeight="1" x14ac:dyDescent="0.4">
      <c r="A989" s="24" t="s">
        <v>1299</v>
      </c>
      <c r="B989" s="24">
        <v>100</v>
      </c>
    </row>
    <row r="990" spans="1:2" ht="15.75" customHeight="1" x14ac:dyDescent="0.4">
      <c r="A990" s="24" t="s">
        <v>1315</v>
      </c>
      <c r="B990" s="24">
        <v>95.74</v>
      </c>
    </row>
    <row r="991" spans="1:2" ht="15.75" customHeight="1" x14ac:dyDescent="0.4">
      <c r="A991" s="24" t="s">
        <v>513</v>
      </c>
      <c r="B991" s="24">
        <v>33.9</v>
      </c>
    </row>
    <row r="992" spans="1:2" ht="15.75" customHeight="1" x14ac:dyDescent="0.4">
      <c r="A992" s="24" t="s">
        <v>1344</v>
      </c>
      <c r="B992" s="24">
        <v>100</v>
      </c>
    </row>
    <row r="993" spans="1:2" ht="15.75" customHeight="1" x14ac:dyDescent="0.4">
      <c r="A993" s="24" t="s">
        <v>1346</v>
      </c>
      <c r="B993" s="24">
        <v>77.81</v>
      </c>
    </row>
    <row r="994" spans="1:2" ht="15.75" customHeight="1" x14ac:dyDescent="0.4">
      <c r="A994" s="24" t="s">
        <v>1321</v>
      </c>
      <c r="B994" s="24">
        <v>72.33</v>
      </c>
    </row>
    <row r="995" spans="1:2" ht="15.75" customHeight="1" x14ac:dyDescent="0.4">
      <c r="A995" s="24" t="s">
        <v>1278</v>
      </c>
      <c r="B995" s="24">
        <v>93.79</v>
      </c>
    </row>
    <row r="996" spans="1:2" ht="15.75" customHeight="1" x14ac:dyDescent="0.4">
      <c r="A996" s="24" t="s">
        <v>738</v>
      </c>
      <c r="B996" s="24">
        <v>50.09</v>
      </c>
    </row>
    <row r="997" spans="1:2" ht="15.75" customHeight="1" x14ac:dyDescent="0.4">
      <c r="A997" s="24" t="s">
        <v>1338</v>
      </c>
      <c r="B997" s="24">
        <v>86.47</v>
      </c>
    </row>
    <row r="998" spans="1:2" ht="15.75" customHeight="1" x14ac:dyDescent="0.4">
      <c r="A998" s="24" t="s">
        <v>1269</v>
      </c>
      <c r="B998" s="24">
        <v>100</v>
      </c>
    </row>
    <row r="999" spans="1:2" ht="15.75" customHeight="1" x14ac:dyDescent="0.4">
      <c r="A999" s="24" t="s">
        <v>649</v>
      </c>
      <c r="B999" s="24">
        <v>59.41</v>
      </c>
    </row>
    <row r="1000" spans="1:2" ht="15.75" customHeight="1" x14ac:dyDescent="0.4">
      <c r="A1000" s="24" t="s">
        <v>1297</v>
      </c>
      <c r="B1000" s="24">
        <v>100</v>
      </c>
    </row>
    <row r="1001" spans="1:2" ht="15.75" customHeight="1" x14ac:dyDescent="0.4">
      <c r="A1001" s="24" t="s">
        <v>1364</v>
      </c>
      <c r="B1001" s="24">
        <v>74.13</v>
      </c>
    </row>
    <row r="1002" spans="1:2" ht="15.75" customHeight="1" x14ac:dyDescent="0.4">
      <c r="A1002" s="24" t="s">
        <v>1356</v>
      </c>
      <c r="B1002" s="24">
        <v>100</v>
      </c>
    </row>
    <row r="1003" spans="1:2" ht="15.75" customHeight="1" x14ac:dyDescent="0.4">
      <c r="A1003" s="24" t="s">
        <v>1273</v>
      </c>
      <c r="B1003" s="24">
        <v>100</v>
      </c>
    </row>
    <row r="1004" spans="1:2" ht="15.75" customHeight="1" x14ac:dyDescent="0.4">
      <c r="A1004" s="24" t="s">
        <v>1367</v>
      </c>
      <c r="B1004" s="24">
        <v>100</v>
      </c>
    </row>
    <row r="1005" spans="1:2" ht="15.75" customHeight="1" x14ac:dyDescent="0.4">
      <c r="A1005" s="24" t="s">
        <v>1378</v>
      </c>
      <c r="B1005" s="24">
        <v>96.16</v>
      </c>
    </row>
    <row r="1006" spans="1:2" ht="15.75" customHeight="1" x14ac:dyDescent="0.4">
      <c r="A1006" s="24" t="s">
        <v>1327</v>
      </c>
      <c r="B1006" s="24">
        <v>99.57</v>
      </c>
    </row>
    <row r="1007" spans="1:2" ht="15.75" customHeight="1" x14ac:dyDescent="0.4">
      <c r="A1007" s="24" t="s">
        <v>535</v>
      </c>
      <c r="B1007" s="24">
        <v>33.33</v>
      </c>
    </row>
    <row r="1008" spans="1:2" ht="15.75" customHeight="1" x14ac:dyDescent="0.4">
      <c r="A1008" s="24" t="s">
        <v>1302</v>
      </c>
      <c r="B1008" s="24">
        <v>82.76</v>
      </c>
    </row>
    <row r="1009" spans="1:2" ht="15.75" customHeight="1" x14ac:dyDescent="0.4">
      <c r="A1009" s="24" t="s">
        <v>1339</v>
      </c>
      <c r="B1009" s="24">
        <v>44.44</v>
      </c>
    </row>
    <row r="1010" spans="1:2" ht="15.75" customHeight="1" x14ac:dyDescent="0.4">
      <c r="A1010" s="24" t="s">
        <v>1267</v>
      </c>
      <c r="B1010" s="24">
        <v>88.73</v>
      </c>
    </row>
    <row r="1011" spans="1:2" ht="15.75" customHeight="1" x14ac:dyDescent="0.4">
      <c r="A1011" s="24" t="s">
        <v>1259</v>
      </c>
      <c r="B1011" s="24">
        <v>77.569999999999993</v>
      </c>
    </row>
    <row r="1012" spans="1:2" ht="15.75" customHeight="1" x14ac:dyDescent="0.4">
      <c r="A1012" s="24" t="s">
        <v>1263</v>
      </c>
      <c r="B1012" s="24">
        <v>100</v>
      </c>
    </row>
    <row r="1013" spans="1:2" ht="15.75" customHeight="1" x14ac:dyDescent="0.4">
      <c r="A1013" s="24" t="s">
        <v>1350</v>
      </c>
      <c r="B1013" s="24">
        <v>100</v>
      </c>
    </row>
    <row r="1014" spans="1:2" ht="15.75" customHeight="1" x14ac:dyDescent="0.4">
      <c r="A1014" s="24" t="s">
        <v>1285</v>
      </c>
      <c r="B1014" s="24">
        <v>100</v>
      </c>
    </row>
    <row r="1015" spans="1:2" ht="15.75" customHeight="1" x14ac:dyDescent="0.4">
      <c r="A1015" s="24" t="s">
        <v>1260</v>
      </c>
      <c r="B1015" s="24">
        <v>99.95</v>
      </c>
    </row>
    <row r="1016" spans="1:2" ht="15.75" customHeight="1" x14ac:dyDescent="0.4">
      <c r="A1016" s="24" t="s">
        <v>1357</v>
      </c>
      <c r="B1016" s="24">
        <v>88.89</v>
      </c>
    </row>
    <row r="1017" spans="1:2" ht="15.75" customHeight="1" x14ac:dyDescent="0.4">
      <c r="A1017" s="24" t="s">
        <v>1314</v>
      </c>
      <c r="B1017" s="24">
        <v>100</v>
      </c>
    </row>
    <row r="1018" spans="1:2" ht="15.75" customHeight="1" x14ac:dyDescent="0.4">
      <c r="A1018" s="24" t="s">
        <v>1331</v>
      </c>
      <c r="B1018" s="24">
        <v>99.73</v>
      </c>
    </row>
    <row r="1019" spans="1:2" ht="15.75" customHeight="1" x14ac:dyDescent="0.4">
      <c r="A1019" s="24" t="s">
        <v>1309</v>
      </c>
      <c r="B1019" s="24">
        <v>100</v>
      </c>
    </row>
    <row r="1020" spans="1:2" ht="15.75" customHeight="1" x14ac:dyDescent="0.4">
      <c r="A1020" s="24" t="s">
        <v>1373</v>
      </c>
      <c r="B1020" s="24">
        <v>49.97</v>
      </c>
    </row>
    <row r="1021" spans="1:2" ht="15.75" customHeight="1" x14ac:dyDescent="0.4">
      <c r="A1021" s="24" t="s">
        <v>742</v>
      </c>
      <c r="B1021" s="24">
        <v>31.91</v>
      </c>
    </row>
    <row r="1022" spans="1:2" ht="15.75" customHeight="1" x14ac:dyDescent="0.4">
      <c r="A1022" s="24" t="s">
        <v>1369</v>
      </c>
      <c r="B1022" s="24">
        <v>66.67</v>
      </c>
    </row>
    <row r="1023" spans="1:2" ht="15.75" customHeight="1" x14ac:dyDescent="0.4">
      <c r="A1023" s="24" t="s">
        <v>1304</v>
      </c>
      <c r="B1023" s="24">
        <v>100</v>
      </c>
    </row>
    <row r="1024" spans="1:2" ht="15.75" customHeight="1" x14ac:dyDescent="0.4">
      <c r="A1024" s="24" t="s">
        <v>1328</v>
      </c>
      <c r="B1024" s="24">
        <v>97.43</v>
      </c>
    </row>
    <row r="1025" spans="1:2" ht="15.75" customHeight="1" x14ac:dyDescent="0.4">
      <c r="A1025" s="24" t="s">
        <v>1268</v>
      </c>
      <c r="B1025" s="24">
        <v>28.61</v>
      </c>
    </row>
    <row r="1026" spans="1:2" ht="15.75" customHeight="1" x14ac:dyDescent="0.4">
      <c r="A1026" s="24" t="s">
        <v>1382</v>
      </c>
      <c r="B1026" s="24">
        <v>80.03</v>
      </c>
    </row>
    <row r="1027" spans="1:2" ht="15.75" customHeight="1" x14ac:dyDescent="0.4">
      <c r="A1027" s="24" t="s">
        <v>1319</v>
      </c>
      <c r="B1027" s="24">
        <v>87.81</v>
      </c>
    </row>
    <row r="1028" spans="1:2" ht="15.75" customHeight="1" x14ac:dyDescent="0.4">
      <c r="A1028" s="24" t="s">
        <v>1340</v>
      </c>
      <c r="B1028" s="24">
        <v>76.599999999999994</v>
      </c>
    </row>
    <row r="1029" spans="1:2" ht="15.75" customHeight="1" x14ac:dyDescent="0.4">
      <c r="A1029" s="24" t="s">
        <v>1363</v>
      </c>
      <c r="B1029" s="24">
        <v>100</v>
      </c>
    </row>
    <row r="1030" spans="1:2" ht="15.75" customHeight="1" x14ac:dyDescent="0.4">
      <c r="A1030" s="24" t="s">
        <v>1360</v>
      </c>
      <c r="B1030" s="24">
        <v>99.09</v>
      </c>
    </row>
    <row r="1031" spans="1:2" ht="15.75" customHeight="1" x14ac:dyDescent="0.4">
      <c r="A1031" s="24" t="s">
        <v>1348</v>
      </c>
      <c r="B1031" s="24">
        <v>87.32</v>
      </c>
    </row>
    <row r="1032" spans="1:2" ht="15.75" customHeight="1" x14ac:dyDescent="0.4">
      <c r="A1032" s="24" t="s">
        <v>1293</v>
      </c>
      <c r="B1032" s="24">
        <v>100</v>
      </c>
    </row>
    <row r="1033" spans="1:2" ht="15.75" customHeight="1" x14ac:dyDescent="0.4">
      <c r="A1033" s="24" t="s">
        <v>1385</v>
      </c>
      <c r="B1033" s="24">
        <v>100</v>
      </c>
    </row>
    <row r="1034" spans="1:2" ht="15.75" customHeight="1" x14ac:dyDescent="0.4">
      <c r="A1034" s="24" t="s">
        <v>1313</v>
      </c>
      <c r="B1034" s="24">
        <v>88.89</v>
      </c>
    </row>
    <row r="1035" spans="1:2" ht="15.75" customHeight="1" x14ac:dyDescent="0.4">
      <c r="A1035" s="24" t="s">
        <v>1280</v>
      </c>
      <c r="B1035" s="24">
        <v>19.05</v>
      </c>
    </row>
    <row r="1036" spans="1:2" ht="15.75" customHeight="1" x14ac:dyDescent="0.4">
      <c r="A1036" s="24" t="s">
        <v>1254</v>
      </c>
      <c r="B1036" s="24">
        <v>100</v>
      </c>
    </row>
    <row r="1037" spans="1:2" ht="15.75" customHeight="1" x14ac:dyDescent="0.4">
      <c r="A1037" s="24" t="s">
        <v>1372</v>
      </c>
      <c r="B1037" s="24">
        <v>36.880000000000003</v>
      </c>
    </row>
    <row r="1038" spans="1:2" ht="15.75" customHeight="1" x14ac:dyDescent="0.4">
      <c r="A1038" s="24" t="s">
        <v>1265</v>
      </c>
      <c r="B1038" s="24">
        <v>100</v>
      </c>
    </row>
    <row r="1039" spans="1:2" ht="15.75" customHeight="1" x14ac:dyDescent="0.4">
      <c r="A1039" s="24" t="s">
        <v>726</v>
      </c>
      <c r="B1039" s="24">
        <v>62.5</v>
      </c>
    </row>
    <row r="1040" spans="1:2" ht="15.75" customHeight="1" x14ac:dyDescent="0.4">
      <c r="A1040" s="24" t="s">
        <v>1291</v>
      </c>
      <c r="B1040" s="24">
        <v>97.91</v>
      </c>
    </row>
    <row r="1041" spans="1:2" ht="15.75" customHeight="1" x14ac:dyDescent="0.4">
      <c r="A1041" s="24" t="s">
        <v>1256</v>
      </c>
      <c r="B1041" s="24">
        <v>86.97</v>
      </c>
    </row>
    <row r="1042" spans="1:2" ht="15.75" customHeight="1" x14ac:dyDescent="0.4">
      <c r="A1042" s="24" t="s">
        <v>1374</v>
      </c>
      <c r="B1042" s="24">
        <v>100</v>
      </c>
    </row>
    <row r="1043" spans="1:2" ht="15.75" customHeight="1" x14ac:dyDescent="0.4">
      <c r="A1043" s="24" t="s">
        <v>1383</v>
      </c>
      <c r="B1043" s="24">
        <v>100</v>
      </c>
    </row>
    <row r="1044" spans="1:2" ht="15.75" customHeight="1" x14ac:dyDescent="0.4">
      <c r="A1044" s="24" t="s">
        <v>1371</v>
      </c>
      <c r="B1044" s="24">
        <v>55.13</v>
      </c>
    </row>
    <row r="1045" spans="1:2" ht="15.75" customHeight="1" x14ac:dyDescent="0.4">
      <c r="A1045" s="24" t="s">
        <v>232</v>
      </c>
      <c r="B1045" s="24">
        <v>80</v>
      </c>
    </row>
    <row r="1046" spans="1:2" ht="15.75" customHeight="1" x14ac:dyDescent="0.4">
      <c r="A1046" s="24" t="s">
        <v>1326</v>
      </c>
      <c r="B1046" s="24">
        <v>99.6</v>
      </c>
    </row>
    <row r="1047" spans="1:2" ht="15.75" customHeight="1" x14ac:dyDescent="0.4">
      <c r="A1047" s="24" t="s">
        <v>645</v>
      </c>
      <c r="B1047" s="24">
        <v>25.02</v>
      </c>
    </row>
    <row r="1048" spans="1:2" ht="15.75" customHeight="1" x14ac:dyDescent="0.4">
      <c r="A1048" s="24" t="s">
        <v>663</v>
      </c>
      <c r="B1048" s="24">
        <v>17.71</v>
      </c>
    </row>
    <row r="1049" spans="1:2" ht="15.75" customHeight="1" x14ac:dyDescent="0.4">
      <c r="A1049" s="24" t="s">
        <v>1341</v>
      </c>
      <c r="B1049" s="24">
        <v>100</v>
      </c>
    </row>
    <row r="1050" spans="1:2" ht="15.75" customHeight="1" x14ac:dyDescent="0.4">
      <c r="A1050" s="24" t="s">
        <v>1368</v>
      </c>
      <c r="B1050" s="24">
        <v>99.79</v>
      </c>
    </row>
    <row r="1051" spans="1:2" ht="15.75" customHeight="1" x14ac:dyDescent="0.4">
      <c r="A1051" s="24" t="s">
        <v>1272</v>
      </c>
      <c r="B1051" s="24">
        <v>100</v>
      </c>
    </row>
    <row r="1052" spans="1:2" ht="15.75" customHeight="1" x14ac:dyDescent="0.4">
      <c r="A1052" s="24" t="s">
        <v>1317</v>
      </c>
      <c r="B1052" s="24">
        <v>51.72</v>
      </c>
    </row>
    <row r="1053" spans="1:2" ht="15.75" customHeight="1" x14ac:dyDescent="0.4">
      <c r="A1053" s="24" t="s">
        <v>1185</v>
      </c>
      <c r="B1053" s="24">
        <v>100</v>
      </c>
    </row>
    <row r="1054" spans="1:2" ht="15.75" customHeight="1" x14ac:dyDescent="0.4">
      <c r="A1054" s="24" t="s">
        <v>1174</v>
      </c>
      <c r="B1054" s="24">
        <v>94.21</v>
      </c>
    </row>
    <row r="1055" spans="1:2" ht="15.75" customHeight="1" x14ac:dyDescent="0.4">
      <c r="A1055" s="24" t="s">
        <v>1153</v>
      </c>
      <c r="B1055" s="24">
        <v>49.84</v>
      </c>
    </row>
    <row r="1056" spans="1:2" ht="15.75" customHeight="1" x14ac:dyDescent="0.4">
      <c r="A1056" s="24" t="s">
        <v>1187</v>
      </c>
      <c r="B1056" s="24">
        <v>100</v>
      </c>
    </row>
    <row r="1057" spans="1:2" ht="15.75" customHeight="1" x14ac:dyDescent="0.4">
      <c r="A1057" s="24" t="s">
        <v>1127</v>
      </c>
      <c r="B1057" s="24">
        <v>99.91</v>
      </c>
    </row>
    <row r="1058" spans="1:2" ht="15.75" customHeight="1" x14ac:dyDescent="0.4">
      <c r="A1058" s="24" t="s">
        <v>1116</v>
      </c>
      <c r="B1058" s="24">
        <v>51.29</v>
      </c>
    </row>
    <row r="1059" spans="1:2" ht="15.75" customHeight="1" x14ac:dyDescent="0.4">
      <c r="A1059" s="24" t="s">
        <v>730</v>
      </c>
      <c r="B1059" s="24">
        <v>10.87</v>
      </c>
    </row>
    <row r="1060" spans="1:2" ht="15.75" customHeight="1" x14ac:dyDescent="0.4">
      <c r="A1060" s="24" t="s">
        <v>1141</v>
      </c>
      <c r="B1060" s="24">
        <v>49.49</v>
      </c>
    </row>
    <row r="1061" spans="1:2" ht="15.75" customHeight="1" x14ac:dyDescent="0.4">
      <c r="A1061" s="24" t="s">
        <v>1205</v>
      </c>
      <c r="B1061" s="24">
        <v>14.29</v>
      </c>
    </row>
    <row r="1062" spans="1:2" ht="15.75" customHeight="1" x14ac:dyDescent="0.4">
      <c r="A1062" s="24" t="s">
        <v>669</v>
      </c>
      <c r="B1062" s="24">
        <v>35.090000000000003</v>
      </c>
    </row>
    <row r="1063" spans="1:2" ht="15.75" customHeight="1" x14ac:dyDescent="0.4">
      <c r="A1063" s="24" t="s">
        <v>483</v>
      </c>
      <c r="B1063" s="24">
        <v>16.670000000000002</v>
      </c>
    </row>
    <row r="1064" spans="1:2" ht="15.75" customHeight="1" x14ac:dyDescent="0.4">
      <c r="A1064" s="24" t="s">
        <v>1172</v>
      </c>
      <c r="B1064" s="24">
        <v>0.05</v>
      </c>
    </row>
    <row r="1065" spans="1:2" ht="15.75" customHeight="1" x14ac:dyDescent="0.4">
      <c r="A1065" s="24" t="s">
        <v>1182</v>
      </c>
      <c r="B1065" s="24">
        <v>100</v>
      </c>
    </row>
    <row r="1066" spans="1:2" ht="15.75" customHeight="1" x14ac:dyDescent="0.4">
      <c r="A1066" s="24" t="s">
        <v>1129</v>
      </c>
      <c r="B1066" s="24">
        <v>89.17</v>
      </c>
    </row>
    <row r="1067" spans="1:2" ht="15.75" customHeight="1" x14ac:dyDescent="0.4">
      <c r="A1067" s="24" t="s">
        <v>1137</v>
      </c>
      <c r="B1067" s="24">
        <v>94.44</v>
      </c>
    </row>
    <row r="1068" spans="1:2" ht="15.75" customHeight="1" x14ac:dyDescent="0.4">
      <c r="A1068" s="24" t="s">
        <v>1218</v>
      </c>
      <c r="B1068" s="24">
        <v>100</v>
      </c>
    </row>
    <row r="1069" spans="1:2" ht="15.75" customHeight="1" x14ac:dyDescent="0.4">
      <c r="A1069" s="24" t="s">
        <v>1181</v>
      </c>
      <c r="B1069" s="24">
        <v>62.69</v>
      </c>
    </row>
    <row r="1070" spans="1:2" ht="15.75" customHeight="1" x14ac:dyDescent="0.4">
      <c r="A1070" s="24" t="s">
        <v>1150</v>
      </c>
      <c r="B1070" s="24">
        <v>86.25</v>
      </c>
    </row>
    <row r="1071" spans="1:2" ht="15.75" customHeight="1" x14ac:dyDescent="0.4">
      <c r="A1071" s="24" t="s">
        <v>1126</v>
      </c>
      <c r="B1071" s="24">
        <v>73.67</v>
      </c>
    </row>
    <row r="1072" spans="1:2" ht="15.75" customHeight="1" x14ac:dyDescent="0.4">
      <c r="A1072" s="24" t="s">
        <v>1160</v>
      </c>
      <c r="B1072" s="24">
        <v>67.3</v>
      </c>
    </row>
    <row r="1073" spans="1:2" ht="15.75" customHeight="1" x14ac:dyDescent="0.4">
      <c r="A1073" s="24" t="s">
        <v>1134</v>
      </c>
      <c r="B1073" s="24">
        <v>14.29</v>
      </c>
    </row>
    <row r="1074" spans="1:2" ht="15.75" customHeight="1" x14ac:dyDescent="0.4">
      <c r="A1074" s="24" t="s">
        <v>1173</v>
      </c>
      <c r="B1074" s="24">
        <v>100</v>
      </c>
    </row>
    <row r="1075" spans="1:2" ht="15.75" customHeight="1" x14ac:dyDescent="0.4">
      <c r="A1075" s="24" t="s">
        <v>1213</v>
      </c>
      <c r="B1075" s="24">
        <v>100</v>
      </c>
    </row>
    <row r="1076" spans="1:2" ht="15.75" customHeight="1" x14ac:dyDescent="0.4">
      <c r="A1076" s="24" t="s">
        <v>1121</v>
      </c>
      <c r="B1076" s="24">
        <v>88.83</v>
      </c>
    </row>
    <row r="1077" spans="1:2" ht="15.75" customHeight="1" x14ac:dyDescent="0.4">
      <c r="A1077" s="24" t="s">
        <v>1184</v>
      </c>
      <c r="B1077" s="24">
        <v>89.39</v>
      </c>
    </row>
    <row r="1078" spans="1:2" ht="15.75" customHeight="1" x14ac:dyDescent="0.4">
      <c r="A1078" s="24" t="s">
        <v>1165</v>
      </c>
      <c r="B1078" s="24">
        <v>95.59</v>
      </c>
    </row>
    <row r="1079" spans="1:2" ht="15.75" customHeight="1" x14ac:dyDescent="0.4">
      <c r="A1079" s="24" t="s">
        <v>1178</v>
      </c>
      <c r="B1079" s="24">
        <v>100</v>
      </c>
    </row>
    <row r="1080" spans="1:2" ht="15.75" customHeight="1" x14ac:dyDescent="0.4">
      <c r="A1080" s="24" t="s">
        <v>1211</v>
      </c>
      <c r="B1080" s="24">
        <v>94.1</v>
      </c>
    </row>
    <row r="1081" spans="1:2" ht="15.75" customHeight="1" x14ac:dyDescent="0.4">
      <c r="A1081" s="24" t="s">
        <v>1200</v>
      </c>
      <c r="B1081" s="24">
        <v>100</v>
      </c>
    </row>
    <row r="1082" spans="1:2" ht="15.75" customHeight="1" x14ac:dyDescent="0.4">
      <c r="A1082" s="24" t="s">
        <v>1119</v>
      </c>
      <c r="B1082" s="24">
        <v>99.44</v>
      </c>
    </row>
    <row r="1083" spans="1:2" ht="15.75" customHeight="1" x14ac:dyDescent="0.4">
      <c r="A1083" s="24" t="s">
        <v>1131</v>
      </c>
      <c r="B1083" s="24">
        <v>94.04</v>
      </c>
    </row>
    <row r="1084" spans="1:2" ht="15.75" customHeight="1" x14ac:dyDescent="0.4">
      <c r="A1084" s="24" t="s">
        <v>1171</v>
      </c>
      <c r="B1084" s="24">
        <v>100</v>
      </c>
    </row>
    <row r="1085" spans="1:2" ht="15.75" customHeight="1" x14ac:dyDescent="0.4">
      <c r="A1085" s="24" t="s">
        <v>1238</v>
      </c>
      <c r="B1085" s="24">
        <v>99.12</v>
      </c>
    </row>
    <row r="1086" spans="1:2" ht="15.75" customHeight="1" x14ac:dyDescent="0.4">
      <c r="A1086" s="24" t="s">
        <v>301</v>
      </c>
      <c r="B1086" s="24">
        <v>0</v>
      </c>
    </row>
    <row r="1087" spans="1:2" ht="15.75" customHeight="1" x14ac:dyDescent="0.4">
      <c r="A1087" s="24" t="s">
        <v>1168</v>
      </c>
      <c r="B1087" s="24">
        <v>100</v>
      </c>
    </row>
    <row r="1088" spans="1:2" ht="15.75" customHeight="1" x14ac:dyDescent="0.4">
      <c r="A1088" s="24" t="s">
        <v>1241</v>
      </c>
      <c r="B1088" s="24">
        <v>100</v>
      </c>
    </row>
    <row r="1089" spans="1:2" ht="15.75" customHeight="1" x14ac:dyDescent="0.4">
      <c r="A1089" s="24" t="s">
        <v>1224</v>
      </c>
      <c r="B1089" s="24">
        <v>100</v>
      </c>
    </row>
    <row r="1090" spans="1:2" ht="15.75" customHeight="1" x14ac:dyDescent="0.4">
      <c r="A1090" s="24" t="s">
        <v>1164</v>
      </c>
      <c r="B1090" s="24">
        <v>100</v>
      </c>
    </row>
    <row r="1091" spans="1:2" ht="15.75" customHeight="1" x14ac:dyDescent="0.4">
      <c r="A1091" s="24" t="s">
        <v>1209</v>
      </c>
      <c r="B1091" s="24">
        <v>78.73</v>
      </c>
    </row>
    <row r="1092" spans="1:2" ht="15.75" customHeight="1" x14ac:dyDescent="0.4">
      <c r="A1092" s="24" t="s">
        <v>1130</v>
      </c>
      <c r="B1092" s="24">
        <v>100</v>
      </c>
    </row>
    <row r="1093" spans="1:2" ht="15.75" customHeight="1" x14ac:dyDescent="0.4">
      <c r="A1093" s="24" t="s">
        <v>1222</v>
      </c>
      <c r="B1093" s="24">
        <v>88.89</v>
      </c>
    </row>
    <row r="1094" spans="1:2" ht="15.75" customHeight="1" x14ac:dyDescent="0.4">
      <c r="A1094" s="24" t="s">
        <v>1233</v>
      </c>
      <c r="B1094" s="24">
        <v>66.67</v>
      </c>
    </row>
    <row r="1095" spans="1:2" ht="15.75" customHeight="1" x14ac:dyDescent="0.4">
      <c r="A1095" s="24" t="s">
        <v>1234</v>
      </c>
      <c r="B1095" s="24">
        <v>89.15</v>
      </c>
    </row>
    <row r="1096" spans="1:2" ht="15.75" customHeight="1" x14ac:dyDescent="0.4">
      <c r="A1096" s="24" t="s">
        <v>1210</v>
      </c>
      <c r="B1096" s="24">
        <v>100</v>
      </c>
    </row>
    <row r="1097" spans="1:2" ht="15.75" customHeight="1" x14ac:dyDescent="0.4">
      <c r="A1097" s="24" t="s">
        <v>1191</v>
      </c>
      <c r="B1097" s="24">
        <v>97.24</v>
      </c>
    </row>
    <row r="1098" spans="1:2" ht="15.75" customHeight="1" x14ac:dyDescent="0.4">
      <c r="A1098" s="24" t="s">
        <v>1244</v>
      </c>
      <c r="B1098" s="24">
        <v>95.96</v>
      </c>
    </row>
    <row r="1099" spans="1:2" ht="15.75" customHeight="1" x14ac:dyDescent="0.4">
      <c r="A1099" s="24" t="s">
        <v>1229</v>
      </c>
      <c r="B1099" s="24">
        <v>55.15</v>
      </c>
    </row>
    <row r="1100" spans="1:2" ht="15.75" customHeight="1" x14ac:dyDescent="0.4">
      <c r="A1100" s="24" t="s">
        <v>1189</v>
      </c>
      <c r="B1100" s="24">
        <v>84.98</v>
      </c>
    </row>
    <row r="1101" spans="1:2" ht="15.75" customHeight="1" x14ac:dyDescent="0.4">
      <c r="A1101" s="24" t="s">
        <v>1120</v>
      </c>
      <c r="B1101" s="24">
        <v>88.89</v>
      </c>
    </row>
    <row r="1102" spans="1:2" ht="15.75" customHeight="1" x14ac:dyDescent="0.4">
      <c r="A1102" s="24" t="s">
        <v>1122</v>
      </c>
      <c r="B1102" s="24">
        <v>53.99</v>
      </c>
    </row>
    <row r="1103" spans="1:2" ht="15.75" customHeight="1" x14ac:dyDescent="0.4">
      <c r="A1103" s="24" t="s">
        <v>1202</v>
      </c>
      <c r="B1103" s="24">
        <v>99.27</v>
      </c>
    </row>
    <row r="1104" spans="1:2" ht="15.75" customHeight="1" x14ac:dyDescent="0.4">
      <c r="A1104" s="24" t="s">
        <v>305</v>
      </c>
      <c r="B1104" s="24">
        <v>25.36</v>
      </c>
    </row>
    <row r="1105" spans="1:2" ht="15.75" customHeight="1" x14ac:dyDescent="0.4">
      <c r="A1105" s="24" t="s">
        <v>1240</v>
      </c>
      <c r="B1105" s="24">
        <v>100</v>
      </c>
    </row>
    <row r="1106" spans="1:2" ht="15.75" customHeight="1" x14ac:dyDescent="0.4">
      <c r="A1106" s="24" t="s">
        <v>424</v>
      </c>
      <c r="B1106" s="24">
        <v>14.86</v>
      </c>
    </row>
    <row r="1107" spans="1:2" ht="15.75" customHeight="1" x14ac:dyDescent="0.4">
      <c r="A1107" s="24" t="s">
        <v>1194</v>
      </c>
      <c r="B1107" s="24">
        <v>98.27</v>
      </c>
    </row>
    <row r="1108" spans="1:2" ht="15.75" customHeight="1" x14ac:dyDescent="0.4">
      <c r="A1108" s="24" t="s">
        <v>1177</v>
      </c>
      <c r="B1108" s="24">
        <v>51.29</v>
      </c>
    </row>
    <row r="1109" spans="1:2" ht="15.75" customHeight="1" x14ac:dyDescent="0.4">
      <c r="A1109" s="24" t="s">
        <v>1208</v>
      </c>
      <c r="B1109" s="24">
        <v>82.49</v>
      </c>
    </row>
    <row r="1110" spans="1:2" ht="15.75" customHeight="1" x14ac:dyDescent="0.4">
      <c r="A1110" s="24" t="s">
        <v>1142</v>
      </c>
      <c r="B1110" s="24">
        <v>81.38</v>
      </c>
    </row>
    <row r="1111" spans="1:2" ht="15.75" customHeight="1" x14ac:dyDescent="0.4">
      <c r="A1111" s="24" t="s">
        <v>691</v>
      </c>
      <c r="B1111" s="24">
        <v>50</v>
      </c>
    </row>
    <row r="1112" spans="1:2" ht="15.75" customHeight="1" x14ac:dyDescent="0.4">
      <c r="A1112" s="24" t="s">
        <v>1132</v>
      </c>
      <c r="B1112" s="24">
        <v>77.59</v>
      </c>
    </row>
    <row r="1113" spans="1:2" ht="15.75" customHeight="1" x14ac:dyDescent="0.4">
      <c r="A1113" s="24" t="s">
        <v>561</v>
      </c>
      <c r="B1113" s="24">
        <v>33.07</v>
      </c>
    </row>
    <row r="1114" spans="1:2" ht="15.75" customHeight="1" x14ac:dyDescent="0.4">
      <c r="A1114" s="24" t="s">
        <v>1207</v>
      </c>
      <c r="B1114" s="24">
        <v>97.87</v>
      </c>
    </row>
    <row r="1115" spans="1:2" ht="15.75" customHeight="1" x14ac:dyDescent="0.4">
      <c r="A1115" s="24" t="s">
        <v>1157</v>
      </c>
      <c r="B1115" s="24">
        <v>100</v>
      </c>
    </row>
    <row r="1116" spans="1:2" ht="15.75" customHeight="1" x14ac:dyDescent="0.4">
      <c r="A1116" s="24" t="s">
        <v>1140</v>
      </c>
      <c r="B1116" s="24">
        <v>5.13</v>
      </c>
    </row>
    <row r="1117" spans="1:2" ht="15.75" customHeight="1" x14ac:dyDescent="0.4">
      <c r="A1117" s="24" t="s">
        <v>1167</v>
      </c>
      <c r="B1117" s="24">
        <v>100</v>
      </c>
    </row>
    <row r="1118" spans="1:2" ht="15.75" customHeight="1" x14ac:dyDescent="0.4">
      <c r="A1118" s="24" t="s">
        <v>1227</v>
      </c>
      <c r="B1118" s="24">
        <v>99.11</v>
      </c>
    </row>
    <row r="1119" spans="1:2" ht="15.75" customHeight="1" x14ac:dyDescent="0.4">
      <c r="A1119" s="24" t="s">
        <v>1143</v>
      </c>
      <c r="B1119" s="24">
        <v>86.44</v>
      </c>
    </row>
    <row r="1120" spans="1:2" ht="15.75" customHeight="1" x14ac:dyDescent="0.4">
      <c r="A1120" s="24" t="s">
        <v>1162</v>
      </c>
      <c r="B1120" s="24">
        <v>100</v>
      </c>
    </row>
    <row r="1121" spans="1:2" ht="15.75" customHeight="1" x14ac:dyDescent="0.4">
      <c r="A1121" s="24" t="s">
        <v>433</v>
      </c>
      <c r="B1121" s="24">
        <v>50</v>
      </c>
    </row>
    <row r="1122" spans="1:2" ht="15.75" customHeight="1" x14ac:dyDescent="0.4">
      <c r="A1122" s="24" t="s">
        <v>1145</v>
      </c>
      <c r="B1122" s="24">
        <v>100</v>
      </c>
    </row>
    <row r="1123" spans="1:2" ht="15.75" customHeight="1" x14ac:dyDescent="0.4">
      <c r="A1123" s="24" t="s">
        <v>1196</v>
      </c>
      <c r="B1123" s="24">
        <v>66.349999999999994</v>
      </c>
    </row>
    <row r="1124" spans="1:2" ht="15.75" customHeight="1" x14ac:dyDescent="0.4">
      <c r="A1124" s="24" t="s">
        <v>1123</v>
      </c>
      <c r="B1124" s="24">
        <v>97.6</v>
      </c>
    </row>
    <row r="1125" spans="1:2" ht="15.75" customHeight="1" x14ac:dyDescent="0.4">
      <c r="A1125" s="24" t="s">
        <v>1237</v>
      </c>
      <c r="B1125" s="24">
        <v>99.9</v>
      </c>
    </row>
    <row r="1126" spans="1:2" ht="15.75" customHeight="1" x14ac:dyDescent="0.4">
      <c r="A1126" s="24" t="s">
        <v>1239</v>
      </c>
      <c r="B1126" s="24">
        <v>93.57</v>
      </c>
    </row>
    <row r="1127" spans="1:2" ht="15.75" customHeight="1" x14ac:dyDescent="0.4">
      <c r="A1127" s="24" t="s">
        <v>611</v>
      </c>
      <c r="B1127" s="24">
        <v>100</v>
      </c>
    </row>
    <row r="1128" spans="1:2" ht="15.75" customHeight="1" x14ac:dyDescent="0.4">
      <c r="A1128" s="24" t="s">
        <v>1146</v>
      </c>
      <c r="B1128" s="24">
        <v>98.68</v>
      </c>
    </row>
    <row r="1129" spans="1:2" ht="15.75" customHeight="1" x14ac:dyDescent="0.4">
      <c r="A1129" s="24" t="s">
        <v>1235</v>
      </c>
      <c r="B1129" s="24">
        <v>95.06</v>
      </c>
    </row>
    <row r="1130" spans="1:2" ht="15.75" customHeight="1" x14ac:dyDescent="0.4">
      <c r="A1130" s="24" t="s">
        <v>567</v>
      </c>
      <c r="B1130" s="24">
        <v>73.16</v>
      </c>
    </row>
    <row r="1131" spans="1:2" ht="15.75" customHeight="1" x14ac:dyDescent="0.4">
      <c r="A1131" s="24" t="s">
        <v>1151</v>
      </c>
      <c r="B1131" s="24">
        <v>88.89</v>
      </c>
    </row>
    <row r="1132" spans="1:2" ht="15.75" customHeight="1" x14ac:dyDescent="0.4">
      <c r="A1132" s="24" t="s">
        <v>1135</v>
      </c>
      <c r="B1132" s="24">
        <v>99.62</v>
      </c>
    </row>
    <row r="1133" spans="1:2" ht="15.75" customHeight="1" x14ac:dyDescent="0.4">
      <c r="A1133" s="24" t="s">
        <v>428</v>
      </c>
      <c r="B1133" s="24">
        <v>50.51</v>
      </c>
    </row>
    <row r="1134" spans="1:2" ht="15.75" customHeight="1" x14ac:dyDescent="0.4">
      <c r="A1134" s="24" t="s">
        <v>1112</v>
      </c>
      <c r="B1134" s="24">
        <v>80.36</v>
      </c>
    </row>
    <row r="1135" spans="1:2" ht="15.75" customHeight="1" x14ac:dyDescent="0.4">
      <c r="A1135" s="24" t="s">
        <v>1226</v>
      </c>
      <c r="B1135" s="24">
        <v>100</v>
      </c>
    </row>
    <row r="1136" spans="1:2" ht="15.75" customHeight="1" x14ac:dyDescent="0.4">
      <c r="A1136" s="24" t="s">
        <v>1113</v>
      </c>
      <c r="B1136" s="24">
        <v>100</v>
      </c>
    </row>
    <row r="1137" spans="1:2" ht="15.75" customHeight="1" x14ac:dyDescent="0.4">
      <c r="A1137" s="24" t="s">
        <v>1159</v>
      </c>
      <c r="B1137" s="24">
        <v>100</v>
      </c>
    </row>
    <row r="1138" spans="1:2" ht="15.75" customHeight="1" x14ac:dyDescent="0.4">
      <c r="A1138" s="24" t="s">
        <v>1152</v>
      </c>
      <c r="B1138" s="24">
        <v>97.92</v>
      </c>
    </row>
    <row r="1139" spans="1:2" ht="15.75" customHeight="1" x14ac:dyDescent="0.4">
      <c r="A1139" s="24" t="s">
        <v>1221</v>
      </c>
      <c r="B1139" s="24">
        <v>100</v>
      </c>
    </row>
    <row r="1140" spans="1:2" ht="15.75" customHeight="1" x14ac:dyDescent="0.4">
      <c r="A1140" s="24" t="s">
        <v>1201</v>
      </c>
      <c r="B1140" s="24">
        <v>100</v>
      </c>
    </row>
    <row r="1141" spans="1:2" ht="15.75" customHeight="1" x14ac:dyDescent="0.4">
      <c r="A1141" s="24" t="s">
        <v>1169</v>
      </c>
      <c r="B1141" s="24">
        <v>66.760000000000005</v>
      </c>
    </row>
    <row r="1142" spans="1:2" ht="15.75" customHeight="1" x14ac:dyDescent="0.4">
      <c r="A1142" s="24" t="s">
        <v>1124</v>
      </c>
      <c r="B1142" s="24">
        <v>89.11</v>
      </c>
    </row>
    <row r="1143" spans="1:2" ht="15.75" customHeight="1" x14ac:dyDescent="0.4">
      <c r="A1143" s="24" t="s">
        <v>1203</v>
      </c>
      <c r="B1143" s="24">
        <v>100</v>
      </c>
    </row>
    <row r="1144" spans="1:2" ht="15.75" customHeight="1" x14ac:dyDescent="0.4">
      <c r="A1144" s="24" t="s">
        <v>641</v>
      </c>
      <c r="B1144" s="24">
        <v>50</v>
      </c>
    </row>
    <row r="1145" spans="1:2" ht="15.75" customHeight="1" x14ac:dyDescent="0.4">
      <c r="A1145" s="24" t="s">
        <v>595</v>
      </c>
      <c r="B1145" s="24">
        <v>36.82</v>
      </c>
    </row>
    <row r="1146" spans="1:2" ht="15.75" customHeight="1" x14ac:dyDescent="0.4">
      <c r="A1146" s="24" t="s">
        <v>1114</v>
      </c>
      <c r="B1146" s="24">
        <v>59.29</v>
      </c>
    </row>
    <row r="1147" spans="1:2" ht="15.75" customHeight="1" x14ac:dyDescent="0.4">
      <c r="A1147" s="24" t="s">
        <v>1225</v>
      </c>
      <c r="B1147" s="24">
        <v>61.65</v>
      </c>
    </row>
    <row r="1148" spans="1:2" ht="15.75" customHeight="1" x14ac:dyDescent="0.4">
      <c r="A1148" s="24" t="s">
        <v>1180</v>
      </c>
      <c r="B1148" s="24">
        <v>100</v>
      </c>
    </row>
    <row r="1149" spans="1:2" ht="15.75" customHeight="1" x14ac:dyDescent="0.4">
      <c r="A1149" s="24" t="s">
        <v>539</v>
      </c>
      <c r="B1149" s="24">
        <v>25.41</v>
      </c>
    </row>
    <row r="1150" spans="1:2" ht="15.75" customHeight="1" x14ac:dyDescent="0.4">
      <c r="A1150" s="24" t="s">
        <v>1139</v>
      </c>
      <c r="B1150" s="24">
        <v>100</v>
      </c>
    </row>
    <row r="1151" spans="1:2" ht="15.75" customHeight="1" x14ac:dyDescent="0.4">
      <c r="A1151" s="24" t="s">
        <v>1232</v>
      </c>
      <c r="B1151" s="24">
        <v>97.5</v>
      </c>
    </row>
    <row r="1152" spans="1:2" ht="15.75" customHeight="1" x14ac:dyDescent="0.4">
      <c r="A1152" s="24" t="s">
        <v>1192</v>
      </c>
      <c r="B1152" s="24">
        <v>81.38</v>
      </c>
    </row>
    <row r="1153" spans="1:2" ht="15.75" customHeight="1" x14ac:dyDescent="0.4">
      <c r="A1153" s="24" t="s">
        <v>399</v>
      </c>
      <c r="B1153" s="24">
        <v>25.49</v>
      </c>
    </row>
    <row r="1154" spans="1:2" ht="15.75" customHeight="1" x14ac:dyDescent="0.4">
      <c r="A1154" s="24" t="s">
        <v>1199</v>
      </c>
      <c r="B1154" s="24">
        <v>84.41</v>
      </c>
    </row>
    <row r="1155" spans="1:2" ht="15.75" customHeight="1" x14ac:dyDescent="0.4">
      <c r="A1155" s="24" t="s">
        <v>1163</v>
      </c>
      <c r="B1155" s="24">
        <v>100</v>
      </c>
    </row>
    <row r="1156" spans="1:2" ht="15.75" customHeight="1" x14ac:dyDescent="0.4">
      <c r="A1156" s="24" t="s">
        <v>1144</v>
      </c>
      <c r="B1156" s="24">
        <v>59.63</v>
      </c>
    </row>
    <row r="1157" spans="1:2" ht="15.75" customHeight="1" x14ac:dyDescent="0.4">
      <c r="A1157" s="24" t="s">
        <v>1176</v>
      </c>
      <c r="B1157" s="24">
        <v>89.08</v>
      </c>
    </row>
    <row r="1158" spans="1:2" ht="15.75" customHeight="1" x14ac:dyDescent="0.4">
      <c r="A1158" s="24" t="s">
        <v>1216</v>
      </c>
      <c r="B1158" s="24">
        <v>32.32</v>
      </c>
    </row>
    <row r="1159" spans="1:2" ht="15.75" customHeight="1" x14ac:dyDescent="0.4">
      <c r="A1159" s="24" t="s">
        <v>1111</v>
      </c>
      <c r="B1159" s="24">
        <v>96.24</v>
      </c>
    </row>
    <row r="1160" spans="1:2" ht="15.75" customHeight="1" x14ac:dyDescent="0.4">
      <c r="A1160" s="24" t="s">
        <v>1186</v>
      </c>
      <c r="B1160" s="24">
        <v>100</v>
      </c>
    </row>
    <row r="1161" spans="1:2" ht="15.75" customHeight="1" x14ac:dyDescent="0.4">
      <c r="A1161" s="24" t="s">
        <v>770</v>
      </c>
      <c r="B1161" s="24">
        <v>65.319999999999993</v>
      </c>
    </row>
    <row r="1162" spans="1:2" ht="15.75" customHeight="1" x14ac:dyDescent="0.4">
      <c r="A1162" s="24" t="s">
        <v>1220</v>
      </c>
      <c r="B1162" s="24">
        <v>71.650000000000006</v>
      </c>
    </row>
    <row r="1163" spans="1:2" ht="15.75" customHeight="1" x14ac:dyDescent="0.4">
      <c r="A1163" s="24" t="s">
        <v>627</v>
      </c>
      <c r="B1163" s="24">
        <v>66.72</v>
      </c>
    </row>
    <row r="1164" spans="1:2" ht="15.75" customHeight="1" x14ac:dyDescent="0.4">
      <c r="A1164" s="24" t="s">
        <v>1231</v>
      </c>
      <c r="B1164" s="24">
        <v>100</v>
      </c>
    </row>
    <row r="1165" spans="1:2" ht="15.75" customHeight="1" x14ac:dyDescent="0.4">
      <c r="A1165" s="24" t="s">
        <v>1138</v>
      </c>
      <c r="B1165" s="24">
        <v>44.44</v>
      </c>
    </row>
    <row r="1166" spans="1:2" ht="15.75" customHeight="1" x14ac:dyDescent="0.4">
      <c r="A1166" s="24" t="s">
        <v>1133</v>
      </c>
      <c r="B1166" s="24">
        <v>100</v>
      </c>
    </row>
    <row r="1167" spans="1:2" ht="15.75" customHeight="1" x14ac:dyDescent="0.4">
      <c r="A1167" s="24" t="s">
        <v>1110</v>
      </c>
      <c r="B1167" s="24">
        <v>88.73</v>
      </c>
    </row>
    <row r="1168" spans="1:2" ht="15.75" customHeight="1" x14ac:dyDescent="0.4">
      <c r="A1168" s="24" t="s">
        <v>1170</v>
      </c>
      <c r="B1168" s="24">
        <v>100</v>
      </c>
    </row>
    <row r="1169" spans="1:2" ht="15.75" customHeight="1" x14ac:dyDescent="0.4">
      <c r="A1169" s="24" t="s">
        <v>1188</v>
      </c>
      <c r="B1169" s="24">
        <v>100</v>
      </c>
    </row>
    <row r="1170" spans="1:2" ht="15.75" customHeight="1" x14ac:dyDescent="0.4">
      <c r="A1170" s="24" t="s">
        <v>1195</v>
      </c>
      <c r="B1170" s="24">
        <v>100</v>
      </c>
    </row>
    <row r="1171" spans="1:2" ht="15.75" customHeight="1" x14ac:dyDescent="0.4">
      <c r="A1171" s="24" t="s">
        <v>1125</v>
      </c>
      <c r="B1171" s="24">
        <v>31.6</v>
      </c>
    </row>
    <row r="1172" spans="1:2" ht="15.75" customHeight="1" x14ac:dyDescent="0.4">
      <c r="A1172" s="24" t="s">
        <v>683</v>
      </c>
      <c r="B1172" s="24">
        <v>12.5</v>
      </c>
    </row>
    <row r="1173" spans="1:2" ht="15.75" customHeight="1" x14ac:dyDescent="0.4">
      <c r="A1173" s="24" t="s">
        <v>1161</v>
      </c>
      <c r="B1173" s="24">
        <v>88.54</v>
      </c>
    </row>
    <row r="1174" spans="1:2" ht="15.75" customHeight="1" x14ac:dyDescent="0.4">
      <c r="A1174" s="24" t="s">
        <v>1183</v>
      </c>
      <c r="B1174" s="24">
        <v>90.82</v>
      </c>
    </row>
    <row r="1175" spans="1:2" ht="15.75" customHeight="1" x14ac:dyDescent="0.4">
      <c r="A1175" s="24" t="s">
        <v>447</v>
      </c>
      <c r="B1175" s="24">
        <v>20</v>
      </c>
    </row>
    <row r="1176" spans="1:2" ht="15.75" customHeight="1" x14ac:dyDescent="0.4">
      <c r="A1176" s="24" t="s">
        <v>1156</v>
      </c>
      <c r="B1176" s="24">
        <v>100</v>
      </c>
    </row>
    <row r="1177" spans="1:2" ht="15.75" customHeight="1" x14ac:dyDescent="0.4">
      <c r="A1177" s="24" t="s">
        <v>1217</v>
      </c>
      <c r="B1177" s="24">
        <v>100</v>
      </c>
    </row>
    <row r="1178" spans="1:2" ht="15.75" customHeight="1" x14ac:dyDescent="0.4">
      <c r="A1178" s="24" t="s">
        <v>1236</v>
      </c>
      <c r="B1178" s="24">
        <v>100</v>
      </c>
    </row>
    <row r="1179" spans="1:2" ht="15.75" customHeight="1" x14ac:dyDescent="0.4">
      <c r="A1179" s="24" t="s">
        <v>1230</v>
      </c>
      <c r="B1179" s="24">
        <v>100</v>
      </c>
    </row>
    <row r="1180" spans="1:2" ht="15.75" customHeight="1" x14ac:dyDescent="0.4">
      <c r="A1180" s="24" t="s">
        <v>1136</v>
      </c>
      <c r="B1180" s="24">
        <v>100</v>
      </c>
    </row>
    <row r="1181" spans="1:2" ht="15.75" customHeight="1" x14ac:dyDescent="0.4">
      <c r="A1181" s="24" t="s">
        <v>1147</v>
      </c>
      <c r="B1181" s="24">
        <v>86.9</v>
      </c>
    </row>
    <row r="1182" spans="1:2" ht="15.75" customHeight="1" x14ac:dyDescent="0.4">
      <c r="A1182" s="24" t="s">
        <v>1228</v>
      </c>
      <c r="B1182" s="24">
        <v>84.85</v>
      </c>
    </row>
    <row r="1183" spans="1:2" ht="15.75" customHeight="1" x14ac:dyDescent="0.4">
      <c r="A1183" s="24" t="s">
        <v>1197</v>
      </c>
      <c r="B1183" s="24">
        <v>74.73</v>
      </c>
    </row>
    <row r="1184" spans="1:2" ht="15.75" customHeight="1" x14ac:dyDescent="0.4">
      <c r="A1184" s="24" t="s">
        <v>1223</v>
      </c>
      <c r="B1184" s="24">
        <v>100</v>
      </c>
    </row>
    <row r="1185" spans="1:2" ht="15.75" customHeight="1" x14ac:dyDescent="0.4">
      <c r="A1185" s="24" t="s">
        <v>1148</v>
      </c>
      <c r="B1185" s="24">
        <v>99.99</v>
      </c>
    </row>
    <row r="1186" spans="1:2" ht="15.75" customHeight="1" x14ac:dyDescent="0.4">
      <c r="A1186" s="24" t="s">
        <v>1193</v>
      </c>
      <c r="B1186" s="24">
        <v>99.85</v>
      </c>
    </row>
    <row r="1187" spans="1:2" ht="15.75" customHeight="1" x14ac:dyDescent="0.4">
      <c r="A1187" s="24" t="s">
        <v>557</v>
      </c>
      <c r="B1187" s="24">
        <v>35.47</v>
      </c>
    </row>
    <row r="1188" spans="1:2" ht="15.75" customHeight="1" x14ac:dyDescent="0.4">
      <c r="A1188" s="24" t="s">
        <v>1215</v>
      </c>
      <c r="B1188" s="24">
        <v>88.24</v>
      </c>
    </row>
    <row r="1189" spans="1:2" ht="15.75" customHeight="1" x14ac:dyDescent="0.4">
      <c r="A1189" s="24" t="s">
        <v>1155</v>
      </c>
      <c r="B1189" s="24">
        <v>78.89</v>
      </c>
    </row>
    <row r="1190" spans="1:2" ht="15.75" customHeight="1" x14ac:dyDescent="0.4">
      <c r="A1190" s="24" t="s">
        <v>1166</v>
      </c>
      <c r="B1190" s="24">
        <v>100</v>
      </c>
    </row>
    <row r="1191" spans="1:2" ht="15.75" customHeight="1" x14ac:dyDescent="0.4">
      <c r="A1191" s="24" t="s">
        <v>1212</v>
      </c>
      <c r="B1191" s="24">
        <v>100</v>
      </c>
    </row>
    <row r="1192" spans="1:2" ht="15.75" customHeight="1" x14ac:dyDescent="0.4">
      <c r="A1192" s="24" t="s">
        <v>1154</v>
      </c>
      <c r="B1192" s="24">
        <v>44.54</v>
      </c>
    </row>
    <row r="1193" spans="1:2" ht="15.75" customHeight="1" x14ac:dyDescent="0.4">
      <c r="A1193" s="24" t="s">
        <v>591</v>
      </c>
      <c r="B1193" s="24">
        <v>41.99</v>
      </c>
    </row>
    <row r="1194" spans="1:2" ht="15.75" customHeight="1" x14ac:dyDescent="0.4">
      <c r="A1194" s="24" t="s">
        <v>1243</v>
      </c>
      <c r="B1194" s="24">
        <v>98.6</v>
      </c>
    </row>
    <row r="1195" spans="1:2" ht="15.75" customHeight="1" x14ac:dyDescent="0.4">
      <c r="A1195" s="24" t="s">
        <v>1118</v>
      </c>
      <c r="B1195" s="24">
        <v>51.52</v>
      </c>
    </row>
    <row r="1196" spans="1:2" ht="15.75" customHeight="1" x14ac:dyDescent="0.4">
      <c r="A1196" s="24" t="s">
        <v>1117</v>
      </c>
      <c r="B1196" s="24">
        <v>99.54</v>
      </c>
    </row>
    <row r="1197" spans="1:2" ht="15.75" customHeight="1" x14ac:dyDescent="0.4">
      <c r="A1197" s="24" t="s">
        <v>1242</v>
      </c>
      <c r="B1197" s="24">
        <v>100</v>
      </c>
    </row>
    <row r="1198" spans="1:2" ht="15.75" customHeight="1" x14ac:dyDescent="0.4">
      <c r="A1198" s="24" t="s">
        <v>1214</v>
      </c>
      <c r="B1198" s="24">
        <v>93.57</v>
      </c>
    </row>
    <row r="1199" spans="1:2" ht="15.75" customHeight="1" x14ac:dyDescent="0.4">
      <c r="A1199" s="24" t="s">
        <v>541</v>
      </c>
      <c r="B1199" s="24">
        <v>16.670000000000002</v>
      </c>
    </row>
    <row r="1200" spans="1:2" ht="15.75" customHeight="1" x14ac:dyDescent="0.4">
      <c r="A1200" s="24" t="s">
        <v>1115</v>
      </c>
      <c r="B1200" s="24">
        <v>100</v>
      </c>
    </row>
    <row r="1201" spans="1:2" ht="15.75" customHeight="1" x14ac:dyDescent="0.4">
      <c r="A1201" s="24" t="s">
        <v>1204</v>
      </c>
      <c r="B1201" s="24">
        <v>100</v>
      </c>
    </row>
    <row r="1202" spans="1:2" ht="15.75" customHeight="1" x14ac:dyDescent="0.4">
      <c r="A1202" s="24" t="s">
        <v>1198</v>
      </c>
      <c r="B1202" s="24">
        <v>88.9</v>
      </c>
    </row>
    <row r="1203" spans="1:2" ht="15.75" customHeight="1" x14ac:dyDescent="0.4">
      <c r="A1203" s="24" t="s">
        <v>1149</v>
      </c>
      <c r="B1203" s="24">
        <v>75.489999999999995</v>
      </c>
    </row>
    <row r="1204" spans="1:2" ht="15.75" customHeight="1" x14ac:dyDescent="0.4">
      <c r="A1204" s="24" t="s">
        <v>1219</v>
      </c>
      <c r="B1204" s="24">
        <v>44.12</v>
      </c>
    </row>
    <row r="1205" spans="1:2" ht="15.75" customHeight="1" x14ac:dyDescent="0.4">
      <c r="A1205" s="24" t="s">
        <v>1245</v>
      </c>
      <c r="B1205" s="24">
        <v>88.89</v>
      </c>
    </row>
    <row r="1206" spans="1:2" ht="15.75" customHeight="1" x14ac:dyDescent="0.4">
      <c r="A1206" s="24" t="s">
        <v>718</v>
      </c>
      <c r="B1206" s="24">
        <v>37.35</v>
      </c>
    </row>
    <row r="1207" spans="1:2" ht="15.75" customHeight="1" x14ac:dyDescent="0.4">
      <c r="A1207" s="24" t="s">
        <v>1179</v>
      </c>
      <c r="B1207" s="24">
        <v>92.8</v>
      </c>
    </row>
    <row r="1208" spans="1:2" ht="15.75" customHeight="1" x14ac:dyDescent="0.4">
      <c r="A1208" s="24" t="s">
        <v>1128</v>
      </c>
      <c r="B1208" s="24">
        <v>100</v>
      </c>
    </row>
    <row r="1209" spans="1:2" ht="15.75" customHeight="1" x14ac:dyDescent="0.4">
      <c r="A1209" s="24" t="s">
        <v>1190</v>
      </c>
      <c r="B1209" s="24">
        <v>100</v>
      </c>
    </row>
    <row r="1210" spans="1:2" ht="15.75" customHeight="1" x14ac:dyDescent="0.4">
      <c r="A1210" s="24" t="s">
        <v>1206</v>
      </c>
      <c r="B1210" s="24">
        <v>100</v>
      </c>
    </row>
    <row r="1211" spans="1:2" ht="15.75" customHeight="1" x14ac:dyDescent="0.4">
      <c r="A1211" s="24" t="s">
        <v>1175</v>
      </c>
      <c r="B1211" s="24">
        <v>100</v>
      </c>
    </row>
    <row r="1212" spans="1:2" ht="15.75" customHeight="1" x14ac:dyDescent="0.4">
      <c r="A1212" s="24" t="s">
        <v>1158</v>
      </c>
      <c r="B1212" s="24">
        <v>71.28</v>
      </c>
    </row>
    <row r="1213" spans="1:2" ht="15.75" customHeight="1" x14ac:dyDescent="0.4">
      <c r="A1213" s="24" t="s">
        <v>1074</v>
      </c>
      <c r="B1213" s="24">
        <v>100</v>
      </c>
    </row>
    <row r="1214" spans="1:2" ht="15.75" customHeight="1" x14ac:dyDescent="0.4">
      <c r="A1214" s="24" t="s">
        <v>1039</v>
      </c>
      <c r="B1214" s="24">
        <v>84.59</v>
      </c>
    </row>
    <row r="1215" spans="1:2" ht="15.75" customHeight="1" x14ac:dyDescent="0.4">
      <c r="A1215" s="24" t="s">
        <v>1057</v>
      </c>
      <c r="B1215" s="24">
        <v>97.52</v>
      </c>
    </row>
    <row r="1216" spans="1:2" ht="15.75" customHeight="1" x14ac:dyDescent="0.4">
      <c r="A1216" s="24" t="s">
        <v>1071</v>
      </c>
      <c r="B1216" s="24">
        <v>99.59</v>
      </c>
    </row>
    <row r="1217" spans="1:2" ht="15.75" customHeight="1" x14ac:dyDescent="0.4">
      <c r="A1217" s="24" t="s">
        <v>1050</v>
      </c>
      <c r="B1217" s="24">
        <v>16.79</v>
      </c>
    </row>
    <row r="1218" spans="1:2" ht="15.75" customHeight="1" x14ac:dyDescent="0.4">
      <c r="A1218" s="24" t="s">
        <v>1091</v>
      </c>
      <c r="B1218" s="24">
        <v>11.49</v>
      </c>
    </row>
    <row r="1219" spans="1:2" ht="15.75" customHeight="1" x14ac:dyDescent="0.4">
      <c r="A1219" s="24" t="s">
        <v>1062</v>
      </c>
      <c r="B1219" s="24">
        <v>100</v>
      </c>
    </row>
    <row r="1220" spans="1:2" ht="15.75" customHeight="1" x14ac:dyDescent="0.4">
      <c r="A1220" s="24" t="s">
        <v>752</v>
      </c>
      <c r="B1220" s="24">
        <v>60.34</v>
      </c>
    </row>
    <row r="1221" spans="1:2" ht="15.75" customHeight="1" x14ac:dyDescent="0.4">
      <c r="A1221" s="24" t="s">
        <v>555</v>
      </c>
      <c r="B1221" s="24">
        <v>37.5</v>
      </c>
    </row>
    <row r="1222" spans="1:2" ht="15.75" customHeight="1" x14ac:dyDescent="0.4">
      <c r="A1222" s="24" t="s">
        <v>235</v>
      </c>
      <c r="B1222" s="24">
        <v>92.28</v>
      </c>
    </row>
    <row r="1223" spans="1:2" ht="15.75" customHeight="1" x14ac:dyDescent="0.4">
      <c r="A1223" s="24" t="s">
        <v>1027</v>
      </c>
      <c r="B1223" s="24">
        <v>39.6</v>
      </c>
    </row>
    <row r="1224" spans="1:2" ht="15.75" customHeight="1" x14ac:dyDescent="0.4">
      <c r="A1224" s="24" t="s">
        <v>543</v>
      </c>
      <c r="B1224" s="24">
        <v>35.74</v>
      </c>
    </row>
    <row r="1225" spans="1:2" ht="15.75" customHeight="1" x14ac:dyDescent="0.4">
      <c r="A1225" s="24" t="s">
        <v>1031</v>
      </c>
      <c r="B1225" s="24">
        <v>100</v>
      </c>
    </row>
    <row r="1226" spans="1:2" ht="15.75" customHeight="1" x14ac:dyDescent="0.4">
      <c r="A1226" s="24" t="s">
        <v>1088</v>
      </c>
      <c r="B1226" s="24">
        <v>100</v>
      </c>
    </row>
    <row r="1227" spans="1:2" ht="15.75" customHeight="1" x14ac:dyDescent="0.4">
      <c r="A1227" s="24" t="s">
        <v>799</v>
      </c>
      <c r="B1227" s="24">
        <v>47.15</v>
      </c>
    </row>
    <row r="1228" spans="1:2" ht="15.75" customHeight="1" x14ac:dyDescent="0.4">
      <c r="A1228" s="24" t="s">
        <v>1097</v>
      </c>
      <c r="B1228" s="24">
        <v>42.02</v>
      </c>
    </row>
    <row r="1229" spans="1:2" ht="15.75" customHeight="1" x14ac:dyDescent="0.4">
      <c r="A1229" s="24" t="s">
        <v>1059</v>
      </c>
      <c r="B1229" s="24">
        <v>45.11</v>
      </c>
    </row>
    <row r="1230" spans="1:2" ht="15.75" customHeight="1" x14ac:dyDescent="0.4">
      <c r="A1230" s="24" t="s">
        <v>1089</v>
      </c>
      <c r="B1230" s="24">
        <v>100</v>
      </c>
    </row>
    <row r="1231" spans="1:2" ht="15.75" customHeight="1" x14ac:dyDescent="0.4">
      <c r="A1231" s="24" t="s">
        <v>359</v>
      </c>
      <c r="B1231" s="24">
        <v>0.05</v>
      </c>
    </row>
    <row r="1232" spans="1:2" ht="15.75" customHeight="1" x14ac:dyDescent="0.4">
      <c r="A1232" s="24" t="s">
        <v>579</v>
      </c>
      <c r="B1232" s="24">
        <v>14.22</v>
      </c>
    </row>
    <row r="1233" spans="1:2" ht="15.75" customHeight="1" x14ac:dyDescent="0.4">
      <c r="A1233" s="24" t="s">
        <v>1069</v>
      </c>
      <c r="B1233" s="24">
        <v>11.11</v>
      </c>
    </row>
    <row r="1234" spans="1:2" ht="15.75" customHeight="1" x14ac:dyDescent="0.4">
      <c r="A1234" s="24" t="s">
        <v>1033</v>
      </c>
      <c r="B1234" s="24">
        <v>100</v>
      </c>
    </row>
    <row r="1235" spans="1:2" ht="15.75" customHeight="1" x14ac:dyDescent="0.4">
      <c r="A1235" s="24" t="s">
        <v>1063</v>
      </c>
      <c r="B1235" s="24">
        <v>100</v>
      </c>
    </row>
    <row r="1236" spans="1:2" ht="15.75" customHeight="1" x14ac:dyDescent="0.4">
      <c r="A1236" s="24" t="s">
        <v>1072</v>
      </c>
      <c r="B1236" s="24">
        <v>100</v>
      </c>
    </row>
    <row r="1237" spans="1:2" ht="15.75" customHeight="1" x14ac:dyDescent="0.4">
      <c r="A1237" s="24" t="s">
        <v>227</v>
      </c>
      <c r="B1237" s="24">
        <v>92.7</v>
      </c>
    </row>
    <row r="1238" spans="1:2" ht="15.75" customHeight="1" x14ac:dyDescent="0.4">
      <c r="A1238" s="24" t="s">
        <v>1028</v>
      </c>
      <c r="B1238" s="24">
        <v>80.06</v>
      </c>
    </row>
    <row r="1239" spans="1:2" ht="15.75" customHeight="1" x14ac:dyDescent="0.4">
      <c r="A1239" s="24" t="s">
        <v>1042</v>
      </c>
      <c r="B1239" s="24">
        <v>100</v>
      </c>
    </row>
    <row r="1240" spans="1:2" ht="15.75" customHeight="1" x14ac:dyDescent="0.4">
      <c r="A1240" s="24" t="s">
        <v>1038</v>
      </c>
      <c r="B1240" s="24">
        <v>100</v>
      </c>
    </row>
    <row r="1241" spans="1:2" ht="15.75" customHeight="1" x14ac:dyDescent="0.4">
      <c r="A1241" s="24" t="s">
        <v>449</v>
      </c>
      <c r="B1241" s="24">
        <v>5.1100000000000003</v>
      </c>
    </row>
    <row r="1242" spans="1:2" ht="15.75" customHeight="1" x14ac:dyDescent="0.4">
      <c r="A1242" s="24" t="s">
        <v>1046</v>
      </c>
      <c r="B1242" s="24">
        <v>88.94</v>
      </c>
    </row>
    <row r="1243" spans="1:2" ht="15.75" customHeight="1" x14ac:dyDescent="0.4">
      <c r="A1243" s="24" t="s">
        <v>1035</v>
      </c>
      <c r="B1243" s="24">
        <v>64.23</v>
      </c>
    </row>
    <row r="1244" spans="1:2" ht="15.75" customHeight="1" x14ac:dyDescent="0.4">
      <c r="A1244" s="24" t="s">
        <v>1030</v>
      </c>
      <c r="B1244" s="24">
        <v>99.69</v>
      </c>
    </row>
    <row r="1245" spans="1:2" ht="15.75" customHeight="1" x14ac:dyDescent="0.4">
      <c r="A1245" s="24" t="s">
        <v>1102</v>
      </c>
      <c r="B1245" s="24">
        <v>100</v>
      </c>
    </row>
    <row r="1246" spans="1:2" ht="15.75" customHeight="1" x14ac:dyDescent="0.4">
      <c r="A1246" s="24" t="s">
        <v>1084</v>
      </c>
      <c r="B1246" s="24">
        <v>100</v>
      </c>
    </row>
    <row r="1247" spans="1:2" ht="15.75" customHeight="1" x14ac:dyDescent="0.4">
      <c r="A1247" s="24" t="s">
        <v>1078</v>
      </c>
      <c r="B1247" s="24">
        <v>100</v>
      </c>
    </row>
    <row r="1248" spans="1:2" ht="15.75" customHeight="1" x14ac:dyDescent="0.4">
      <c r="A1248" s="24" t="s">
        <v>1106</v>
      </c>
      <c r="B1248" s="24">
        <v>100</v>
      </c>
    </row>
    <row r="1249" spans="1:2" ht="15.75" customHeight="1" x14ac:dyDescent="0.4">
      <c r="A1249" s="24" t="s">
        <v>1029</v>
      </c>
      <c r="B1249" s="24">
        <v>88.7</v>
      </c>
    </row>
    <row r="1250" spans="1:2" ht="15.75" customHeight="1" x14ac:dyDescent="0.4">
      <c r="A1250" s="24" t="s">
        <v>1103</v>
      </c>
      <c r="B1250" s="24">
        <v>99.53</v>
      </c>
    </row>
    <row r="1251" spans="1:2" ht="15.75" customHeight="1" x14ac:dyDescent="0.4">
      <c r="A1251" s="24" t="s">
        <v>1094</v>
      </c>
      <c r="B1251" s="24">
        <v>100</v>
      </c>
    </row>
    <row r="1252" spans="1:2" ht="15.75" customHeight="1" x14ac:dyDescent="0.4">
      <c r="A1252" s="24" t="s">
        <v>1080</v>
      </c>
      <c r="B1252" s="24">
        <v>100</v>
      </c>
    </row>
    <row r="1253" spans="1:2" ht="15.75" customHeight="1" x14ac:dyDescent="0.4">
      <c r="A1253" s="24" t="s">
        <v>1090</v>
      </c>
      <c r="B1253" s="24">
        <v>100</v>
      </c>
    </row>
    <row r="1254" spans="1:2" ht="15.75" customHeight="1" x14ac:dyDescent="0.4">
      <c r="A1254" s="24" t="s">
        <v>1068</v>
      </c>
      <c r="B1254" s="24">
        <v>99.89</v>
      </c>
    </row>
    <row r="1255" spans="1:2" ht="15.75" customHeight="1" x14ac:dyDescent="0.4">
      <c r="A1255" s="24" t="s">
        <v>283</v>
      </c>
      <c r="B1255" s="24">
        <v>15.46</v>
      </c>
    </row>
    <row r="1256" spans="1:2" ht="15.75" customHeight="1" x14ac:dyDescent="0.4">
      <c r="A1256" s="24" t="s">
        <v>639</v>
      </c>
      <c r="B1256" s="24">
        <v>62.17</v>
      </c>
    </row>
    <row r="1257" spans="1:2" ht="15.75" customHeight="1" x14ac:dyDescent="0.4">
      <c r="A1257" s="24" t="s">
        <v>1096</v>
      </c>
      <c r="B1257" s="24">
        <v>100</v>
      </c>
    </row>
    <row r="1258" spans="1:2" ht="15.75" customHeight="1" x14ac:dyDescent="0.4">
      <c r="A1258" s="24" t="s">
        <v>1079</v>
      </c>
      <c r="B1258" s="24">
        <v>100</v>
      </c>
    </row>
    <row r="1259" spans="1:2" ht="15.75" customHeight="1" x14ac:dyDescent="0.4">
      <c r="A1259" s="24" t="s">
        <v>1043</v>
      </c>
      <c r="B1259" s="24">
        <v>100</v>
      </c>
    </row>
    <row r="1260" spans="1:2" ht="15.75" customHeight="1" x14ac:dyDescent="0.4">
      <c r="A1260" s="24" t="s">
        <v>1036</v>
      </c>
      <c r="B1260" s="24">
        <v>84.98</v>
      </c>
    </row>
    <row r="1261" spans="1:2" ht="15.75" customHeight="1" x14ac:dyDescent="0.4">
      <c r="A1261" s="24" t="s">
        <v>1048</v>
      </c>
      <c r="B1261" s="24">
        <v>98.06</v>
      </c>
    </row>
    <row r="1262" spans="1:2" ht="15.75" customHeight="1" x14ac:dyDescent="0.4">
      <c r="A1262" s="24" t="s">
        <v>1064</v>
      </c>
      <c r="B1262" s="24">
        <v>90.4</v>
      </c>
    </row>
    <row r="1263" spans="1:2" ht="15.75" customHeight="1" x14ac:dyDescent="0.4">
      <c r="A1263" s="24" t="s">
        <v>1109</v>
      </c>
      <c r="B1263" s="24">
        <v>99.85</v>
      </c>
    </row>
    <row r="1264" spans="1:2" ht="15.75" customHeight="1" x14ac:dyDescent="0.4">
      <c r="A1264" s="24" t="s">
        <v>455</v>
      </c>
      <c r="B1264" s="24">
        <v>10.039999999999999</v>
      </c>
    </row>
    <row r="1265" spans="1:2" ht="15.75" customHeight="1" x14ac:dyDescent="0.4">
      <c r="A1265" s="24" t="s">
        <v>1037</v>
      </c>
      <c r="B1265" s="24">
        <v>100</v>
      </c>
    </row>
    <row r="1266" spans="1:2" ht="15.75" customHeight="1" x14ac:dyDescent="0.4">
      <c r="A1266" s="24" t="s">
        <v>1040</v>
      </c>
      <c r="B1266" s="24">
        <v>100</v>
      </c>
    </row>
    <row r="1267" spans="1:2" ht="15.75" customHeight="1" x14ac:dyDescent="0.4">
      <c r="A1267" s="24" t="s">
        <v>1101</v>
      </c>
      <c r="B1267" s="24">
        <v>100</v>
      </c>
    </row>
    <row r="1268" spans="1:2" ht="15.75" customHeight="1" x14ac:dyDescent="0.4">
      <c r="A1268" s="24" t="s">
        <v>1081</v>
      </c>
      <c r="B1268" s="24">
        <v>100</v>
      </c>
    </row>
    <row r="1269" spans="1:2" ht="15.75" customHeight="1" x14ac:dyDescent="0.4">
      <c r="A1269" s="24" t="s">
        <v>1100</v>
      </c>
      <c r="B1269" s="24">
        <v>93.46</v>
      </c>
    </row>
    <row r="1270" spans="1:2" ht="15.75" customHeight="1" x14ac:dyDescent="0.4">
      <c r="A1270" s="24" t="s">
        <v>1083</v>
      </c>
      <c r="B1270" s="24">
        <v>31.1</v>
      </c>
    </row>
    <row r="1271" spans="1:2" ht="15.75" customHeight="1" x14ac:dyDescent="0.4">
      <c r="A1271" s="24" t="s">
        <v>1061</v>
      </c>
      <c r="B1271" s="24">
        <v>100</v>
      </c>
    </row>
    <row r="1272" spans="1:2" ht="15.75" customHeight="1" x14ac:dyDescent="0.4">
      <c r="A1272" s="24" t="s">
        <v>1041</v>
      </c>
      <c r="B1272" s="24">
        <v>100</v>
      </c>
    </row>
    <row r="1273" spans="1:2" ht="15.75" customHeight="1" x14ac:dyDescent="0.4">
      <c r="A1273" s="24" t="s">
        <v>1095</v>
      </c>
      <c r="B1273" s="24">
        <v>80.72</v>
      </c>
    </row>
    <row r="1274" spans="1:2" ht="15.75" customHeight="1" x14ac:dyDescent="0.4">
      <c r="A1274" s="24" t="s">
        <v>1047</v>
      </c>
      <c r="B1274" s="24">
        <v>100</v>
      </c>
    </row>
    <row r="1275" spans="1:2" ht="15.75" customHeight="1" x14ac:dyDescent="0.4">
      <c r="A1275" s="24" t="s">
        <v>1105</v>
      </c>
      <c r="B1275" s="24">
        <v>99.68</v>
      </c>
    </row>
    <row r="1276" spans="1:2" ht="15.75" customHeight="1" x14ac:dyDescent="0.4">
      <c r="A1276" s="24" t="s">
        <v>1067</v>
      </c>
      <c r="B1276" s="24">
        <v>80.760000000000005</v>
      </c>
    </row>
    <row r="1277" spans="1:2" ht="15.75" customHeight="1" x14ac:dyDescent="0.4">
      <c r="A1277" s="24" t="s">
        <v>1034</v>
      </c>
      <c r="B1277" s="24">
        <v>100</v>
      </c>
    </row>
    <row r="1278" spans="1:2" ht="15.75" customHeight="1" x14ac:dyDescent="0.4">
      <c r="A1278" s="24" t="s">
        <v>673</v>
      </c>
      <c r="B1278" s="24">
        <v>15.26</v>
      </c>
    </row>
    <row r="1279" spans="1:2" ht="15.75" customHeight="1" x14ac:dyDescent="0.4">
      <c r="A1279" s="24" t="s">
        <v>1054</v>
      </c>
      <c r="B1279" s="24">
        <v>90.86</v>
      </c>
    </row>
    <row r="1280" spans="1:2" ht="15.75" customHeight="1" x14ac:dyDescent="0.4">
      <c r="A1280" s="24" t="s">
        <v>1104</v>
      </c>
      <c r="B1280" s="24">
        <v>100</v>
      </c>
    </row>
    <row r="1281" spans="1:2" ht="15.75" customHeight="1" x14ac:dyDescent="0.4">
      <c r="A1281" s="24" t="s">
        <v>1108</v>
      </c>
      <c r="B1281" s="24">
        <v>90.49</v>
      </c>
    </row>
    <row r="1282" spans="1:2" ht="15.75" customHeight="1" x14ac:dyDescent="0.4">
      <c r="A1282" s="24" t="s">
        <v>744</v>
      </c>
      <c r="B1282" s="24">
        <v>50.11</v>
      </c>
    </row>
    <row r="1283" spans="1:2" ht="15.75" customHeight="1" x14ac:dyDescent="0.4">
      <c r="A1283" s="24" t="s">
        <v>1087</v>
      </c>
      <c r="B1283" s="24">
        <v>66</v>
      </c>
    </row>
    <row r="1284" spans="1:2" ht="15.75" customHeight="1" x14ac:dyDescent="0.4">
      <c r="A1284" s="24" t="s">
        <v>1070</v>
      </c>
      <c r="B1284" s="24">
        <v>17.96</v>
      </c>
    </row>
    <row r="1285" spans="1:2" ht="15.75" customHeight="1" x14ac:dyDescent="0.4">
      <c r="A1285" s="24" t="s">
        <v>1073</v>
      </c>
      <c r="B1285" s="24">
        <v>100</v>
      </c>
    </row>
    <row r="1286" spans="1:2" ht="15.75" customHeight="1" x14ac:dyDescent="0.4">
      <c r="A1286" s="24" t="s">
        <v>1098</v>
      </c>
      <c r="B1286" s="24">
        <v>99.45</v>
      </c>
    </row>
    <row r="1287" spans="1:2" ht="15.75" customHeight="1" x14ac:dyDescent="0.4">
      <c r="A1287" s="24" t="s">
        <v>1056</v>
      </c>
      <c r="B1287" s="24">
        <v>67.900000000000006</v>
      </c>
    </row>
    <row r="1288" spans="1:2" ht="15.75" customHeight="1" x14ac:dyDescent="0.4">
      <c r="A1288" s="24" t="s">
        <v>453</v>
      </c>
      <c r="B1288" s="24">
        <v>42.51</v>
      </c>
    </row>
    <row r="1289" spans="1:2" ht="15.75" customHeight="1" x14ac:dyDescent="0.4">
      <c r="A1289" s="24" t="s">
        <v>1107</v>
      </c>
      <c r="B1289" s="24">
        <v>98.47</v>
      </c>
    </row>
    <row r="1290" spans="1:2" ht="15.75" customHeight="1" x14ac:dyDescent="0.4">
      <c r="A1290" s="24" t="s">
        <v>736</v>
      </c>
      <c r="B1290" s="24">
        <v>100</v>
      </c>
    </row>
    <row r="1291" spans="1:2" ht="15.75" customHeight="1" x14ac:dyDescent="0.4">
      <c r="A1291" s="24" t="s">
        <v>1065</v>
      </c>
      <c r="B1291" s="24">
        <v>96.85</v>
      </c>
    </row>
    <row r="1292" spans="1:2" ht="15.75" customHeight="1" x14ac:dyDescent="0.4">
      <c r="A1292" s="24" t="s">
        <v>1085</v>
      </c>
      <c r="B1292" s="24">
        <v>88.67</v>
      </c>
    </row>
    <row r="1293" spans="1:2" ht="15.75" customHeight="1" x14ac:dyDescent="0.4">
      <c r="A1293" s="24" t="s">
        <v>1093</v>
      </c>
      <c r="B1293" s="24">
        <v>89.7</v>
      </c>
    </row>
    <row r="1294" spans="1:2" ht="15.75" customHeight="1" x14ac:dyDescent="0.4">
      <c r="A1294" s="24" t="s">
        <v>1075</v>
      </c>
      <c r="B1294" s="24">
        <v>96.71</v>
      </c>
    </row>
    <row r="1295" spans="1:2" ht="15.75" customHeight="1" x14ac:dyDescent="0.4">
      <c r="A1295" s="24" t="s">
        <v>1052</v>
      </c>
      <c r="B1295" s="24">
        <v>100</v>
      </c>
    </row>
    <row r="1296" spans="1:2" ht="15.75" customHeight="1" x14ac:dyDescent="0.4">
      <c r="A1296" s="24" t="s">
        <v>1051</v>
      </c>
      <c r="B1296" s="24">
        <v>95.53</v>
      </c>
    </row>
    <row r="1297" spans="1:2" ht="15.75" customHeight="1" x14ac:dyDescent="0.4">
      <c r="A1297" s="24" t="s">
        <v>1055</v>
      </c>
      <c r="B1297" s="24">
        <v>86.52</v>
      </c>
    </row>
    <row r="1298" spans="1:2" ht="15.75" customHeight="1" x14ac:dyDescent="0.4">
      <c r="A1298" s="24" t="s">
        <v>1053</v>
      </c>
      <c r="B1298" s="24">
        <v>7</v>
      </c>
    </row>
    <row r="1299" spans="1:2" ht="15.75" customHeight="1" x14ac:dyDescent="0.4">
      <c r="A1299" s="24" t="s">
        <v>1044</v>
      </c>
      <c r="B1299" s="24">
        <v>100</v>
      </c>
    </row>
    <row r="1300" spans="1:2" ht="15.75" customHeight="1" x14ac:dyDescent="0.4">
      <c r="A1300" s="24" t="s">
        <v>1066</v>
      </c>
      <c r="B1300" s="24">
        <v>99.87</v>
      </c>
    </row>
    <row r="1301" spans="1:2" ht="15.75" customHeight="1" x14ac:dyDescent="0.4">
      <c r="A1301" s="24" t="s">
        <v>1032</v>
      </c>
      <c r="B1301" s="24">
        <v>13.82</v>
      </c>
    </row>
    <row r="1302" spans="1:2" ht="15.75" customHeight="1" x14ac:dyDescent="0.4">
      <c r="A1302" s="24" t="s">
        <v>1045</v>
      </c>
      <c r="B1302" s="24">
        <v>91.92</v>
      </c>
    </row>
    <row r="1303" spans="1:2" ht="15.75" customHeight="1" x14ac:dyDescent="0.4">
      <c r="A1303" s="24" t="s">
        <v>1099</v>
      </c>
      <c r="B1303" s="24">
        <v>85.36</v>
      </c>
    </row>
    <row r="1304" spans="1:2" ht="15.75" customHeight="1" x14ac:dyDescent="0.4">
      <c r="A1304" s="24" t="s">
        <v>1092</v>
      </c>
      <c r="B1304" s="24">
        <v>100</v>
      </c>
    </row>
    <row r="1305" spans="1:2" ht="15.75" customHeight="1" x14ac:dyDescent="0.4">
      <c r="A1305" s="24" t="s">
        <v>1082</v>
      </c>
      <c r="B1305" s="24">
        <v>100</v>
      </c>
    </row>
    <row r="1306" spans="1:2" ht="15.75" customHeight="1" x14ac:dyDescent="0.4">
      <c r="A1306" s="24" t="s">
        <v>1049</v>
      </c>
      <c r="B1306" s="24">
        <v>100</v>
      </c>
    </row>
    <row r="1307" spans="1:2" ht="15.75" customHeight="1" x14ac:dyDescent="0.4">
      <c r="A1307" s="24" t="s">
        <v>1060</v>
      </c>
      <c r="B1307" s="24">
        <v>84.24</v>
      </c>
    </row>
    <row r="1308" spans="1:2" ht="15.75" customHeight="1" x14ac:dyDescent="0.4">
      <c r="A1308" s="24" t="s">
        <v>1076</v>
      </c>
      <c r="B1308" s="24">
        <v>100</v>
      </c>
    </row>
    <row r="1309" spans="1:2" ht="15.75" customHeight="1" x14ac:dyDescent="0.4">
      <c r="A1309" s="24" t="s">
        <v>1077</v>
      </c>
      <c r="B1309" s="24">
        <v>100</v>
      </c>
    </row>
    <row r="1310" spans="1:2" ht="15.75" customHeight="1" x14ac:dyDescent="0.4">
      <c r="A1310" s="24" t="s">
        <v>1086</v>
      </c>
      <c r="B1310" s="24">
        <v>45.99</v>
      </c>
    </row>
    <row r="1311" spans="1:2" ht="15.75" customHeight="1" x14ac:dyDescent="0.4">
      <c r="A1311" s="24" t="s">
        <v>1058</v>
      </c>
      <c r="B1311" s="24">
        <v>46.66</v>
      </c>
    </row>
    <row r="1312" spans="1:2" ht="15.75" customHeight="1" x14ac:dyDescent="0.4">
      <c r="A1312" s="24" t="s">
        <v>1005</v>
      </c>
      <c r="B1312" s="24">
        <v>13.75</v>
      </c>
    </row>
    <row r="1313" spans="1:2" ht="15.75" customHeight="1" x14ac:dyDescent="0.4">
      <c r="A1313" s="24" t="s">
        <v>1022</v>
      </c>
      <c r="B1313" s="24">
        <v>85.71</v>
      </c>
    </row>
    <row r="1314" spans="1:2" ht="15.75" customHeight="1" x14ac:dyDescent="0.4">
      <c r="A1314" s="24" t="s">
        <v>521</v>
      </c>
      <c r="B1314" s="24">
        <v>33.520000000000003</v>
      </c>
    </row>
    <row r="1315" spans="1:2" ht="15.75" customHeight="1" x14ac:dyDescent="0.4">
      <c r="A1315" s="24" t="s">
        <v>1020</v>
      </c>
      <c r="B1315" s="24">
        <v>100</v>
      </c>
    </row>
    <row r="1316" spans="1:2" ht="15.75" customHeight="1" x14ac:dyDescent="0.4">
      <c r="A1316" s="24" t="s">
        <v>1021</v>
      </c>
      <c r="B1316" s="24">
        <v>34.659999999999997</v>
      </c>
    </row>
    <row r="1317" spans="1:2" ht="15.75" customHeight="1" x14ac:dyDescent="0.4">
      <c r="A1317" s="24" t="s">
        <v>1015</v>
      </c>
      <c r="B1317" s="24">
        <v>57.51</v>
      </c>
    </row>
    <row r="1318" spans="1:2" ht="15.75" customHeight="1" x14ac:dyDescent="0.4">
      <c r="A1318" s="24" t="s">
        <v>1003</v>
      </c>
      <c r="B1318" s="24">
        <v>67.540000000000006</v>
      </c>
    </row>
    <row r="1319" spans="1:2" ht="15.75" customHeight="1" x14ac:dyDescent="0.4">
      <c r="A1319" s="24" t="s">
        <v>992</v>
      </c>
      <c r="B1319" s="24">
        <v>100</v>
      </c>
    </row>
    <row r="1320" spans="1:2" ht="15.75" customHeight="1" x14ac:dyDescent="0.4">
      <c r="A1320" s="24" t="s">
        <v>988</v>
      </c>
      <c r="B1320" s="24">
        <v>62.71</v>
      </c>
    </row>
    <row r="1321" spans="1:2" ht="15.75" customHeight="1" x14ac:dyDescent="0.4">
      <c r="A1321" s="24" t="s">
        <v>577</v>
      </c>
      <c r="B1321" s="24">
        <v>28.57</v>
      </c>
    </row>
    <row r="1322" spans="1:2" ht="15.75" customHeight="1" x14ac:dyDescent="0.4">
      <c r="A1322" s="24" t="s">
        <v>1016</v>
      </c>
      <c r="B1322" s="24">
        <v>93.73</v>
      </c>
    </row>
    <row r="1323" spans="1:2" ht="15.75" customHeight="1" x14ac:dyDescent="0.4">
      <c r="A1323" s="24" t="s">
        <v>1002</v>
      </c>
      <c r="B1323" s="24">
        <v>57.23</v>
      </c>
    </row>
    <row r="1324" spans="1:2" ht="15.75" customHeight="1" x14ac:dyDescent="0.4">
      <c r="A1324" s="24" t="s">
        <v>794</v>
      </c>
      <c r="B1324" s="24">
        <v>49.16</v>
      </c>
    </row>
    <row r="1325" spans="1:2" ht="15.75" customHeight="1" x14ac:dyDescent="0.4">
      <c r="A1325" s="24" t="s">
        <v>559</v>
      </c>
      <c r="B1325" s="24">
        <v>26.71</v>
      </c>
    </row>
    <row r="1326" spans="1:2" ht="15.75" customHeight="1" x14ac:dyDescent="0.4">
      <c r="A1326" s="24" t="s">
        <v>1018</v>
      </c>
      <c r="B1326" s="24">
        <v>100</v>
      </c>
    </row>
    <row r="1327" spans="1:2" ht="15.75" customHeight="1" x14ac:dyDescent="0.4">
      <c r="A1327" s="24" t="s">
        <v>1004</v>
      </c>
      <c r="B1327" s="24">
        <v>89.51</v>
      </c>
    </row>
    <row r="1328" spans="1:2" ht="15.75" customHeight="1" x14ac:dyDescent="0.4">
      <c r="A1328" s="24" t="s">
        <v>1014</v>
      </c>
      <c r="B1328" s="24">
        <v>100</v>
      </c>
    </row>
    <row r="1329" spans="1:2" ht="15.75" customHeight="1" x14ac:dyDescent="0.4">
      <c r="A1329" s="24" t="s">
        <v>1024</v>
      </c>
      <c r="B1329" s="24">
        <v>100</v>
      </c>
    </row>
    <row r="1330" spans="1:2" ht="15.75" customHeight="1" x14ac:dyDescent="0.4">
      <c r="A1330" s="24" t="s">
        <v>509</v>
      </c>
      <c r="B1330" s="24">
        <v>50.75</v>
      </c>
    </row>
    <row r="1331" spans="1:2" ht="15.75" customHeight="1" x14ac:dyDescent="0.4">
      <c r="A1331" s="24" t="s">
        <v>991</v>
      </c>
      <c r="B1331" s="24">
        <v>100</v>
      </c>
    </row>
    <row r="1332" spans="1:2" ht="15.75" customHeight="1" x14ac:dyDescent="0.4">
      <c r="A1332" s="24" t="s">
        <v>371</v>
      </c>
      <c r="B1332" s="24">
        <v>0</v>
      </c>
    </row>
    <row r="1333" spans="1:2" ht="15.75" customHeight="1" x14ac:dyDescent="0.4">
      <c r="A1333" s="24" t="s">
        <v>993</v>
      </c>
      <c r="B1333" s="24">
        <v>93.62</v>
      </c>
    </row>
    <row r="1334" spans="1:2" ht="15.75" customHeight="1" x14ac:dyDescent="0.4">
      <c r="A1334" s="24" t="s">
        <v>1023</v>
      </c>
      <c r="B1334" s="24">
        <v>80.989999999999995</v>
      </c>
    </row>
    <row r="1335" spans="1:2" ht="15.75" customHeight="1" x14ac:dyDescent="0.4">
      <c r="A1335" s="24" t="s">
        <v>549</v>
      </c>
      <c r="B1335" s="24">
        <v>83.33</v>
      </c>
    </row>
    <row r="1336" spans="1:2" ht="15.75" customHeight="1" x14ac:dyDescent="0.4">
      <c r="A1336" s="24" t="s">
        <v>1010</v>
      </c>
      <c r="B1336" s="24">
        <v>75</v>
      </c>
    </row>
    <row r="1337" spans="1:2" ht="15.75" customHeight="1" x14ac:dyDescent="0.4">
      <c r="A1337" s="24" t="s">
        <v>708</v>
      </c>
      <c r="B1337" s="24">
        <v>59.41</v>
      </c>
    </row>
    <row r="1338" spans="1:2" ht="15.75" customHeight="1" x14ac:dyDescent="0.4">
      <c r="A1338" s="24" t="s">
        <v>1025</v>
      </c>
      <c r="B1338" s="24">
        <v>100</v>
      </c>
    </row>
    <row r="1339" spans="1:2" ht="15.75" customHeight="1" x14ac:dyDescent="0.4">
      <c r="A1339" s="24" t="s">
        <v>997</v>
      </c>
      <c r="B1339" s="24">
        <v>100</v>
      </c>
    </row>
    <row r="1340" spans="1:2" ht="15.75" customHeight="1" x14ac:dyDescent="0.4">
      <c r="A1340" s="24" t="s">
        <v>995</v>
      </c>
      <c r="B1340" s="24">
        <v>52.02</v>
      </c>
    </row>
    <row r="1341" spans="1:2" ht="15.75" customHeight="1" x14ac:dyDescent="0.4">
      <c r="A1341" s="24" t="s">
        <v>994</v>
      </c>
      <c r="B1341" s="24">
        <v>97.43</v>
      </c>
    </row>
    <row r="1342" spans="1:2" ht="15.75" customHeight="1" x14ac:dyDescent="0.4">
      <c r="A1342" s="24" t="s">
        <v>1006</v>
      </c>
      <c r="B1342" s="24">
        <v>87.53</v>
      </c>
    </row>
    <row r="1343" spans="1:2" ht="15.75" customHeight="1" x14ac:dyDescent="0.4">
      <c r="A1343" s="24" t="s">
        <v>998</v>
      </c>
      <c r="B1343" s="24">
        <v>72.73</v>
      </c>
    </row>
    <row r="1344" spans="1:2" ht="15.75" customHeight="1" x14ac:dyDescent="0.4">
      <c r="A1344" s="24" t="s">
        <v>1013</v>
      </c>
      <c r="B1344" s="24">
        <v>37.479999999999997</v>
      </c>
    </row>
    <row r="1345" spans="1:2" ht="15.75" customHeight="1" x14ac:dyDescent="0.4">
      <c r="A1345" s="24" t="s">
        <v>569</v>
      </c>
      <c r="B1345" s="24">
        <v>15.12</v>
      </c>
    </row>
    <row r="1346" spans="1:2" ht="15.75" customHeight="1" x14ac:dyDescent="0.4">
      <c r="A1346" s="24" t="s">
        <v>1009</v>
      </c>
      <c r="B1346" s="24">
        <v>87.5</v>
      </c>
    </row>
    <row r="1347" spans="1:2" ht="15.75" customHeight="1" x14ac:dyDescent="0.4">
      <c r="A1347" s="24" t="s">
        <v>1017</v>
      </c>
      <c r="B1347" s="24">
        <v>74.95</v>
      </c>
    </row>
    <row r="1348" spans="1:2" ht="15.75" customHeight="1" x14ac:dyDescent="0.4">
      <c r="A1348" s="24" t="s">
        <v>1008</v>
      </c>
      <c r="B1348" s="24">
        <v>87.55</v>
      </c>
    </row>
    <row r="1349" spans="1:2" ht="15.75" customHeight="1" x14ac:dyDescent="0.4">
      <c r="A1349" s="24" t="s">
        <v>989</v>
      </c>
      <c r="B1349" s="24">
        <v>54.03</v>
      </c>
    </row>
    <row r="1350" spans="1:2" ht="15.75" customHeight="1" x14ac:dyDescent="0.4">
      <c r="A1350" s="24" t="s">
        <v>679</v>
      </c>
      <c r="B1350" s="24">
        <v>56.94</v>
      </c>
    </row>
    <row r="1351" spans="1:2" ht="15.75" customHeight="1" x14ac:dyDescent="0.4">
      <c r="A1351" s="24" t="s">
        <v>1007</v>
      </c>
      <c r="B1351" s="24">
        <v>82.7</v>
      </c>
    </row>
    <row r="1352" spans="1:2" ht="15.75" customHeight="1" x14ac:dyDescent="0.4">
      <c r="A1352" s="24" t="s">
        <v>1001</v>
      </c>
      <c r="B1352" s="24">
        <v>39</v>
      </c>
    </row>
    <row r="1353" spans="1:2" ht="15.75" customHeight="1" x14ac:dyDescent="0.4">
      <c r="A1353" s="24" t="s">
        <v>1000</v>
      </c>
      <c r="B1353" s="24">
        <v>100</v>
      </c>
    </row>
    <row r="1354" spans="1:2" ht="15.75" customHeight="1" x14ac:dyDescent="0.4">
      <c r="A1354" s="24" t="s">
        <v>990</v>
      </c>
      <c r="B1354" s="24">
        <v>100</v>
      </c>
    </row>
    <row r="1355" spans="1:2" ht="15.75" customHeight="1" x14ac:dyDescent="0.4">
      <c r="A1355" s="24" t="s">
        <v>1012</v>
      </c>
      <c r="B1355" s="24">
        <v>100</v>
      </c>
    </row>
    <row r="1356" spans="1:2" ht="15.75" customHeight="1" x14ac:dyDescent="0.4">
      <c r="A1356" s="24" t="s">
        <v>996</v>
      </c>
      <c r="B1356" s="24">
        <v>60.4</v>
      </c>
    </row>
    <row r="1357" spans="1:2" ht="15.75" customHeight="1" x14ac:dyDescent="0.4">
      <c r="A1357" s="24" t="s">
        <v>999</v>
      </c>
      <c r="B1357" s="24">
        <v>50</v>
      </c>
    </row>
    <row r="1358" spans="1:2" ht="15.75" customHeight="1" x14ac:dyDescent="0.4">
      <c r="A1358" s="24" t="s">
        <v>1019</v>
      </c>
      <c r="B1358" s="24">
        <v>99.84</v>
      </c>
    </row>
    <row r="1359" spans="1:2" ht="15.75" customHeight="1" x14ac:dyDescent="0.4">
      <c r="A1359" s="24" t="s">
        <v>597</v>
      </c>
      <c r="B1359" s="24">
        <v>65.510000000000005</v>
      </c>
    </row>
    <row r="1360" spans="1:2" ht="15.75" customHeight="1" x14ac:dyDescent="0.4">
      <c r="A1360" s="24" t="s">
        <v>1026</v>
      </c>
      <c r="B1360" s="24">
        <v>100</v>
      </c>
    </row>
    <row r="1361" spans="1:2" ht="15.75" customHeight="1" x14ac:dyDescent="0.4">
      <c r="A1361" s="24" t="s">
        <v>499</v>
      </c>
      <c r="B1361" s="24">
        <v>28.01</v>
      </c>
    </row>
    <row r="1362" spans="1:2" ht="15.75" customHeight="1" x14ac:dyDescent="0.4">
      <c r="A1362" s="24" t="s">
        <v>613</v>
      </c>
      <c r="B1362" s="24">
        <v>83.33</v>
      </c>
    </row>
    <row r="1363" spans="1:2" ht="15.75" customHeight="1" x14ac:dyDescent="0.4">
      <c r="A1363" s="24" t="s">
        <v>1011</v>
      </c>
      <c r="B1363" s="24">
        <v>81.36</v>
      </c>
    </row>
    <row r="1364" spans="1:2" ht="15.75" customHeight="1" x14ac:dyDescent="0.4">
      <c r="A1364" s="24" t="s">
        <v>827</v>
      </c>
      <c r="B1364" s="24">
        <v>0</v>
      </c>
    </row>
    <row r="1365" spans="1:2" ht="15.75" customHeight="1" x14ac:dyDescent="0.4">
      <c r="A1365" s="24" t="s">
        <v>507</v>
      </c>
      <c r="B1365" s="24">
        <v>0</v>
      </c>
    </row>
    <row r="1366" spans="1:2" ht="15.75" customHeight="1" x14ac:dyDescent="0.4">
      <c r="A1366" s="24" t="s">
        <v>880</v>
      </c>
      <c r="B1366" s="24">
        <v>11.47</v>
      </c>
    </row>
    <row r="1367" spans="1:2" ht="15.75" customHeight="1" x14ac:dyDescent="0.4">
      <c r="A1367" s="24" t="s">
        <v>946</v>
      </c>
      <c r="B1367" s="24">
        <v>0</v>
      </c>
    </row>
    <row r="1368" spans="1:2" ht="15.75" customHeight="1" x14ac:dyDescent="0.4">
      <c r="A1368" s="24" t="s">
        <v>345</v>
      </c>
      <c r="B1368" s="24">
        <v>17.8</v>
      </c>
    </row>
    <row r="1369" spans="1:2" ht="15.75" customHeight="1" x14ac:dyDescent="0.4">
      <c r="A1369" s="24" t="s">
        <v>311</v>
      </c>
      <c r="B1369" s="24">
        <v>0</v>
      </c>
    </row>
    <row r="1370" spans="1:2" ht="15.75" customHeight="1" x14ac:dyDescent="0.4">
      <c r="A1370" s="24" t="s">
        <v>293</v>
      </c>
      <c r="B1370" s="24">
        <v>0</v>
      </c>
    </row>
    <row r="1371" spans="1:2" ht="15.75" customHeight="1" x14ac:dyDescent="0.4">
      <c r="A1371" s="24" t="s">
        <v>335</v>
      </c>
      <c r="B1371" s="24">
        <v>75</v>
      </c>
    </row>
    <row r="1372" spans="1:2" ht="15.75" customHeight="1" x14ac:dyDescent="0.4">
      <c r="A1372" s="24" t="s">
        <v>945</v>
      </c>
      <c r="B1372" s="24">
        <v>100</v>
      </c>
    </row>
    <row r="1373" spans="1:2" ht="15.75" customHeight="1" x14ac:dyDescent="0.4">
      <c r="A1373" s="24" t="s">
        <v>881</v>
      </c>
      <c r="B1373" s="24">
        <v>31.51</v>
      </c>
    </row>
    <row r="1374" spans="1:2" ht="15.75" customHeight="1" x14ac:dyDescent="0.4">
      <c r="A1374" s="24" t="s">
        <v>916</v>
      </c>
      <c r="B1374" s="24">
        <v>97.36</v>
      </c>
    </row>
    <row r="1375" spans="1:2" ht="15.75" customHeight="1" x14ac:dyDescent="0.4">
      <c r="A1375" s="24" t="s">
        <v>621</v>
      </c>
      <c r="B1375" s="24">
        <v>0</v>
      </c>
    </row>
    <row r="1376" spans="1:2" ht="15.75" customHeight="1" x14ac:dyDescent="0.4">
      <c r="A1376" s="24" t="s">
        <v>862</v>
      </c>
      <c r="B1376" s="24">
        <v>93.35</v>
      </c>
    </row>
    <row r="1377" spans="1:2" ht="15.75" customHeight="1" x14ac:dyDescent="0.4">
      <c r="A1377" s="24" t="s">
        <v>882</v>
      </c>
      <c r="B1377" s="24">
        <v>38.6</v>
      </c>
    </row>
    <row r="1378" spans="1:2" ht="15.75" customHeight="1" x14ac:dyDescent="0.4">
      <c r="A1378" s="24" t="s">
        <v>913</v>
      </c>
      <c r="B1378" s="24">
        <v>100</v>
      </c>
    </row>
    <row r="1379" spans="1:2" ht="15.75" customHeight="1" x14ac:dyDescent="0.4">
      <c r="A1379" s="24" t="s">
        <v>890</v>
      </c>
      <c r="B1379" s="24">
        <v>71.53</v>
      </c>
    </row>
    <row r="1380" spans="1:2" ht="15.75" customHeight="1" x14ac:dyDescent="0.4">
      <c r="A1380" s="24" t="s">
        <v>397</v>
      </c>
      <c r="B1380" s="24">
        <v>0</v>
      </c>
    </row>
    <row r="1381" spans="1:2" ht="15.75" customHeight="1" x14ac:dyDescent="0.4">
      <c r="A1381" s="24" t="s">
        <v>901</v>
      </c>
      <c r="B1381" s="24">
        <v>95.02</v>
      </c>
    </row>
    <row r="1382" spans="1:2" ht="15.75" customHeight="1" x14ac:dyDescent="0.4">
      <c r="A1382" s="24" t="s">
        <v>877</v>
      </c>
      <c r="B1382" s="24">
        <v>92.04</v>
      </c>
    </row>
    <row r="1383" spans="1:2" ht="15.75" customHeight="1" x14ac:dyDescent="0.4">
      <c r="A1383" s="24" t="s">
        <v>469</v>
      </c>
      <c r="B1383" s="24">
        <v>14.59</v>
      </c>
    </row>
    <row r="1384" spans="1:2" ht="15.75" customHeight="1" x14ac:dyDescent="0.4">
      <c r="A1384" s="24" t="s">
        <v>258</v>
      </c>
      <c r="B1384" s="24">
        <v>0</v>
      </c>
    </row>
    <row r="1385" spans="1:2" ht="15.75" customHeight="1" x14ac:dyDescent="0.4">
      <c r="A1385" s="24" t="s">
        <v>854</v>
      </c>
      <c r="B1385" s="24">
        <v>74.41</v>
      </c>
    </row>
    <row r="1386" spans="1:2" ht="15.75" customHeight="1" x14ac:dyDescent="0.4">
      <c r="A1386" s="24" t="s">
        <v>986</v>
      </c>
      <c r="B1386" s="24">
        <v>99.88</v>
      </c>
    </row>
    <row r="1387" spans="1:2" ht="15.75" customHeight="1" x14ac:dyDescent="0.4">
      <c r="A1387" s="24" t="s">
        <v>856</v>
      </c>
      <c r="B1387" s="24">
        <v>100</v>
      </c>
    </row>
    <row r="1388" spans="1:2" ht="15.75" customHeight="1" x14ac:dyDescent="0.4">
      <c r="A1388" s="24" t="s">
        <v>852</v>
      </c>
      <c r="B1388" s="24">
        <v>0</v>
      </c>
    </row>
    <row r="1389" spans="1:2" ht="15.75" customHeight="1" x14ac:dyDescent="0.4">
      <c r="A1389" s="24" t="s">
        <v>911</v>
      </c>
      <c r="B1389" s="24">
        <v>96.51</v>
      </c>
    </row>
    <row r="1390" spans="1:2" ht="15.75" customHeight="1" x14ac:dyDescent="0.4">
      <c r="A1390" s="24" t="s">
        <v>921</v>
      </c>
      <c r="B1390" s="24">
        <v>16.68</v>
      </c>
    </row>
    <row r="1391" spans="1:2" ht="15.75" customHeight="1" x14ac:dyDescent="0.4">
      <c r="A1391" s="24" t="s">
        <v>891</v>
      </c>
      <c r="B1391" s="24">
        <v>28.85</v>
      </c>
    </row>
    <row r="1392" spans="1:2" ht="15.75" customHeight="1" x14ac:dyDescent="0.4">
      <c r="A1392" s="24" t="s">
        <v>939</v>
      </c>
      <c r="B1392" s="24">
        <v>84.46</v>
      </c>
    </row>
    <row r="1393" spans="1:2" ht="15.75" customHeight="1" x14ac:dyDescent="0.4">
      <c r="A1393" s="24" t="s">
        <v>892</v>
      </c>
      <c r="B1393" s="24">
        <v>100</v>
      </c>
    </row>
    <row r="1394" spans="1:2" ht="15.75" customHeight="1" x14ac:dyDescent="0.4">
      <c r="A1394" s="24" t="s">
        <v>764</v>
      </c>
      <c r="B1394" s="24">
        <v>92.58</v>
      </c>
    </row>
    <row r="1395" spans="1:2" ht="15.75" customHeight="1" x14ac:dyDescent="0.4">
      <c r="A1395" s="24" t="s">
        <v>473</v>
      </c>
      <c r="B1395" s="24">
        <v>8.33</v>
      </c>
    </row>
    <row r="1396" spans="1:2" ht="15.75" customHeight="1" x14ac:dyDescent="0.4">
      <c r="A1396" s="24" t="s">
        <v>941</v>
      </c>
      <c r="B1396" s="24">
        <v>68.69</v>
      </c>
    </row>
    <row r="1397" spans="1:2" ht="15.75" customHeight="1" x14ac:dyDescent="0.4">
      <c r="A1397" s="24" t="s">
        <v>465</v>
      </c>
      <c r="B1397" s="24">
        <v>0</v>
      </c>
    </row>
    <row r="1398" spans="1:2" ht="15.75" customHeight="1" x14ac:dyDescent="0.4">
      <c r="A1398" s="24" t="s">
        <v>839</v>
      </c>
      <c r="B1398" s="24">
        <v>49.93</v>
      </c>
    </row>
    <row r="1399" spans="1:2" ht="15.75" customHeight="1" x14ac:dyDescent="0.4">
      <c r="A1399" s="24" t="s">
        <v>975</v>
      </c>
      <c r="B1399" s="24">
        <v>90.53</v>
      </c>
    </row>
    <row r="1400" spans="1:2" ht="15.75" customHeight="1" x14ac:dyDescent="0.4">
      <c r="A1400" s="24" t="s">
        <v>912</v>
      </c>
      <c r="B1400" s="24">
        <v>100</v>
      </c>
    </row>
    <row r="1401" spans="1:2" ht="15.75" customHeight="1" x14ac:dyDescent="0.4">
      <c r="A1401" s="24" t="s">
        <v>950</v>
      </c>
      <c r="B1401" s="24">
        <v>26.56</v>
      </c>
    </row>
    <row r="1402" spans="1:2" ht="15.75" customHeight="1" x14ac:dyDescent="0.4">
      <c r="A1402" s="24" t="s">
        <v>885</v>
      </c>
      <c r="B1402" s="24">
        <v>100</v>
      </c>
    </row>
    <row r="1403" spans="1:2" ht="15.75" customHeight="1" x14ac:dyDescent="0.4">
      <c r="A1403" s="24" t="s">
        <v>972</v>
      </c>
      <c r="B1403" s="24">
        <v>86.18</v>
      </c>
    </row>
    <row r="1404" spans="1:2" ht="15.75" customHeight="1" x14ac:dyDescent="0.4">
      <c r="A1404" s="24" t="s">
        <v>974</v>
      </c>
      <c r="B1404" s="24">
        <v>77.78</v>
      </c>
    </row>
    <row r="1405" spans="1:2" ht="15.75" customHeight="1" x14ac:dyDescent="0.4">
      <c r="A1405" s="24" t="s">
        <v>917</v>
      </c>
      <c r="B1405" s="24">
        <v>100</v>
      </c>
    </row>
    <row r="1406" spans="1:2" ht="15.75" customHeight="1" x14ac:dyDescent="0.4">
      <c r="A1406" s="24" t="s">
        <v>920</v>
      </c>
      <c r="B1406" s="24">
        <v>98.48</v>
      </c>
    </row>
    <row r="1407" spans="1:2" ht="15.75" customHeight="1" x14ac:dyDescent="0.4">
      <c r="A1407" s="24" t="s">
        <v>906</v>
      </c>
      <c r="B1407" s="24">
        <v>22.22</v>
      </c>
    </row>
    <row r="1408" spans="1:2" ht="15.75" customHeight="1" x14ac:dyDescent="0.4">
      <c r="A1408" s="24" t="s">
        <v>830</v>
      </c>
      <c r="B1408" s="24">
        <v>98.38</v>
      </c>
    </row>
    <row r="1409" spans="1:2" ht="15.75" customHeight="1" x14ac:dyDescent="0.4">
      <c r="A1409" s="24" t="s">
        <v>833</v>
      </c>
      <c r="B1409" s="24">
        <v>57.26</v>
      </c>
    </row>
    <row r="1410" spans="1:2" ht="15.75" customHeight="1" x14ac:dyDescent="0.4">
      <c r="A1410" s="24" t="s">
        <v>967</v>
      </c>
      <c r="B1410" s="24">
        <v>22.22</v>
      </c>
    </row>
    <row r="1411" spans="1:2" ht="15.75" customHeight="1" x14ac:dyDescent="0.4">
      <c r="A1411" s="24" t="s">
        <v>943</v>
      </c>
      <c r="B1411" s="24">
        <v>100</v>
      </c>
    </row>
    <row r="1412" spans="1:2" ht="15.75" customHeight="1" x14ac:dyDescent="0.4">
      <c r="A1412" s="24" t="s">
        <v>419</v>
      </c>
      <c r="B1412" s="24">
        <v>18.96</v>
      </c>
    </row>
    <row r="1413" spans="1:2" ht="15.75" customHeight="1" x14ac:dyDescent="0.4">
      <c r="A1413" s="24" t="s">
        <v>529</v>
      </c>
      <c r="B1413" s="24">
        <v>82.86</v>
      </c>
    </row>
    <row r="1414" spans="1:2" ht="15.75" customHeight="1" x14ac:dyDescent="0.4">
      <c r="A1414" s="24" t="s">
        <v>962</v>
      </c>
      <c r="B1414" s="24">
        <v>24.48</v>
      </c>
    </row>
    <row r="1415" spans="1:2" ht="15.75" customHeight="1" x14ac:dyDescent="0.4">
      <c r="A1415" s="24" t="s">
        <v>848</v>
      </c>
      <c r="B1415" s="24">
        <v>100</v>
      </c>
    </row>
    <row r="1416" spans="1:2" ht="15.75" customHeight="1" x14ac:dyDescent="0.4">
      <c r="A1416" s="24" t="s">
        <v>977</v>
      </c>
      <c r="B1416" s="24">
        <v>100</v>
      </c>
    </row>
    <row r="1417" spans="1:2" ht="15.75" customHeight="1" x14ac:dyDescent="0.4">
      <c r="A1417" s="24" t="s">
        <v>984</v>
      </c>
      <c r="B1417" s="24">
        <v>31.79</v>
      </c>
    </row>
    <row r="1418" spans="1:2" ht="15.75" customHeight="1" x14ac:dyDescent="0.4">
      <c r="A1418" s="24" t="s">
        <v>955</v>
      </c>
      <c r="B1418" s="24">
        <v>58.33</v>
      </c>
    </row>
    <row r="1419" spans="1:2" ht="15.75" customHeight="1" x14ac:dyDescent="0.4">
      <c r="A1419" s="24" t="s">
        <v>942</v>
      </c>
      <c r="B1419" s="24">
        <v>93.46</v>
      </c>
    </row>
    <row r="1420" spans="1:2" ht="15.75" customHeight="1" x14ac:dyDescent="0.4">
      <c r="A1420" s="24" t="s">
        <v>915</v>
      </c>
      <c r="B1420" s="24">
        <v>82.2</v>
      </c>
    </row>
    <row r="1421" spans="1:2" ht="15.75" customHeight="1" x14ac:dyDescent="0.4">
      <c r="A1421" s="24" t="s">
        <v>278</v>
      </c>
      <c r="B1421" s="24">
        <v>66.67</v>
      </c>
    </row>
    <row r="1422" spans="1:2" ht="15.75" customHeight="1" x14ac:dyDescent="0.4">
      <c r="A1422" s="24" t="s">
        <v>895</v>
      </c>
      <c r="B1422" s="24">
        <v>0</v>
      </c>
    </row>
    <row r="1423" spans="1:2" ht="15.75" customHeight="1" x14ac:dyDescent="0.4">
      <c r="A1423" s="24" t="s">
        <v>963</v>
      </c>
      <c r="B1423" s="24">
        <v>100</v>
      </c>
    </row>
    <row r="1424" spans="1:2" ht="15.75" customHeight="1" x14ac:dyDescent="0.4">
      <c r="A1424" s="24" t="s">
        <v>904</v>
      </c>
      <c r="B1424" s="24">
        <v>88.89</v>
      </c>
    </row>
    <row r="1425" spans="1:2" ht="15.75" customHeight="1" x14ac:dyDescent="0.4">
      <c r="A1425" s="24" t="s">
        <v>874</v>
      </c>
      <c r="B1425" s="24">
        <v>100</v>
      </c>
    </row>
    <row r="1426" spans="1:2" ht="15.75" customHeight="1" x14ac:dyDescent="0.4">
      <c r="A1426" s="24" t="s">
        <v>925</v>
      </c>
      <c r="B1426" s="24">
        <v>4.43</v>
      </c>
    </row>
    <row r="1427" spans="1:2" ht="15.75" customHeight="1" x14ac:dyDescent="0.4">
      <c r="A1427" s="24" t="s">
        <v>531</v>
      </c>
      <c r="B1427" s="24">
        <v>0</v>
      </c>
    </row>
    <row r="1428" spans="1:2" ht="15.75" customHeight="1" x14ac:dyDescent="0.4">
      <c r="A1428" s="24" t="s">
        <v>327</v>
      </c>
      <c r="B1428" s="24">
        <v>0</v>
      </c>
    </row>
    <row r="1429" spans="1:2" ht="15.75" customHeight="1" x14ac:dyDescent="0.4">
      <c r="A1429" s="24" t="s">
        <v>309</v>
      </c>
      <c r="B1429" s="24">
        <v>0</v>
      </c>
    </row>
    <row r="1430" spans="1:2" ht="15.75" customHeight="1" x14ac:dyDescent="0.4">
      <c r="A1430" s="24" t="s">
        <v>838</v>
      </c>
      <c r="B1430" s="24">
        <v>0</v>
      </c>
    </row>
    <row r="1431" spans="1:2" ht="15.75" customHeight="1" x14ac:dyDescent="0.4">
      <c r="A1431" s="24" t="s">
        <v>846</v>
      </c>
      <c r="B1431" s="24">
        <v>100</v>
      </c>
    </row>
    <row r="1432" spans="1:2" ht="15.75" customHeight="1" x14ac:dyDescent="0.4">
      <c r="A1432" s="24" t="s">
        <v>884</v>
      </c>
      <c r="B1432" s="24">
        <v>88.02</v>
      </c>
    </row>
    <row r="1433" spans="1:2" ht="15.75" customHeight="1" x14ac:dyDescent="0.4">
      <c r="A1433" s="24" t="s">
        <v>924</v>
      </c>
      <c r="B1433" s="24">
        <v>10.09</v>
      </c>
    </row>
    <row r="1434" spans="1:2" ht="15.75" customHeight="1" x14ac:dyDescent="0.4">
      <c r="A1434" s="24" t="s">
        <v>876</v>
      </c>
      <c r="B1434" s="24">
        <v>3.66</v>
      </c>
    </row>
    <row r="1435" spans="1:2" ht="15.75" customHeight="1" x14ac:dyDescent="0.4">
      <c r="A1435" s="24" t="s">
        <v>886</v>
      </c>
      <c r="B1435" s="24">
        <v>97.03</v>
      </c>
    </row>
    <row r="1436" spans="1:2" ht="15.75" customHeight="1" x14ac:dyDescent="0.4">
      <c r="A1436" s="24" t="s">
        <v>349</v>
      </c>
      <c r="B1436" s="24">
        <v>2.5099999999999998</v>
      </c>
    </row>
    <row r="1437" spans="1:2" ht="15.75" customHeight="1" x14ac:dyDescent="0.4">
      <c r="A1437" s="24" t="s">
        <v>872</v>
      </c>
      <c r="B1437" s="24">
        <v>100</v>
      </c>
    </row>
    <row r="1438" spans="1:2" ht="15.75" customHeight="1" x14ac:dyDescent="0.4">
      <c r="A1438" s="24" t="s">
        <v>609</v>
      </c>
      <c r="B1438" s="24">
        <v>0</v>
      </c>
    </row>
    <row r="1439" spans="1:2" ht="15.75" customHeight="1" x14ac:dyDescent="0.4">
      <c r="A1439" s="24" t="s">
        <v>908</v>
      </c>
      <c r="B1439" s="24">
        <v>45.03</v>
      </c>
    </row>
    <row r="1440" spans="1:2" ht="15.75" customHeight="1" x14ac:dyDescent="0.4">
      <c r="A1440" s="24" t="s">
        <v>268</v>
      </c>
      <c r="B1440" s="24">
        <v>0</v>
      </c>
    </row>
    <row r="1441" spans="1:2" ht="15.75" customHeight="1" x14ac:dyDescent="0.4">
      <c r="A1441" s="24" t="s">
        <v>865</v>
      </c>
      <c r="B1441" s="24">
        <v>100</v>
      </c>
    </row>
    <row r="1442" spans="1:2" ht="15.75" customHeight="1" x14ac:dyDescent="0.4">
      <c r="A1442" s="24" t="s">
        <v>958</v>
      </c>
      <c r="B1442" s="24">
        <v>50.27</v>
      </c>
    </row>
    <row r="1443" spans="1:2" ht="15.75" customHeight="1" x14ac:dyDescent="0.4">
      <c r="A1443" s="24" t="s">
        <v>321</v>
      </c>
      <c r="B1443" s="24">
        <v>0</v>
      </c>
    </row>
    <row r="1444" spans="1:2" ht="15.75" customHeight="1" x14ac:dyDescent="0.4">
      <c r="A1444" s="24" t="s">
        <v>853</v>
      </c>
      <c r="B1444" s="24">
        <v>100</v>
      </c>
    </row>
    <row r="1445" spans="1:2" ht="15.75" customHeight="1" x14ac:dyDescent="0.4">
      <c r="A1445" s="24" t="s">
        <v>947</v>
      </c>
      <c r="B1445" s="24">
        <v>0</v>
      </c>
    </row>
    <row r="1446" spans="1:2" ht="15.75" customHeight="1" x14ac:dyDescent="0.4">
      <c r="A1446" s="24" t="s">
        <v>905</v>
      </c>
      <c r="B1446" s="24">
        <v>100</v>
      </c>
    </row>
    <row r="1447" spans="1:2" ht="15.75" customHeight="1" x14ac:dyDescent="0.4">
      <c r="A1447" s="24" t="s">
        <v>254</v>
      </c>
      <c r="B1447" s="24">
        <v>0</v>
      </c>
    </row>
    <row r="1448" spans="1:2" ht="15.75" customHeight="1" x14ac:dyDescent="0.4">
      <c r="A1448" s="24" t="s">
        <v>893</v>
      </c>
      <c r="B1448" s="24">
        <v>87.33</v>
      </c>
    </row>
    <row r="1449" spans="1:2" ht="15.75" customHeight="1" x14ac:dyDescent="0.4">
      <c r="A1449" s="24" t="s">
        <v>931</v>
      </c>
      <c r="B1449" s="24">
        <v>94.64</v>
      </c>
    </row>
    <row r="1450" spans="1:2" ht="15.75" customHeight="1" x14ac:dyDescent="0.4">
      <c r="A1450" s="24" t="s">
        <v>605</v>
      </c>
      <c r="B1450" s="24">
        <v>0</v>
      </c>
    </row>
    <row r="1451" spans="1:2" ht="15.75" customHeight="1" x14ac:dyDescent="0.4">
      <c r="A1451" s="24" t="s">
        <v>875</v>
      </c>
      <c r="B1451" s="24">
        <v>0</v>
      </c>
    </row>
    <row r="1452" spans="1:2" ht="15.75" customHeight="1" x14ac:dyDescent="0.4">
      <c r="A1452" s="24" t="s">
        <v>784</v>
      </c>
      <c r="B1452" s="24">
        <v>0</v>
      </c>
    </row>
    <row r="1453" spans="1:2" ht="15.75" customHeight="1" x14ac:dyDescent="0.4">
      <c r="A1453" s="24" t="s">
        <v>477</v>
      </c>
      <c r="B1453" s="24">
        <v>0</v>
      </c>
    </row>
    <row r="1454" spans="1:2" ht="15.75" customHeight="1" x14ac:dyDescent="0.4">
      <c r="A1454" s="24" t="s">
        <v>362</v>
      </c>
      <c r="B1454" s="24">
        <v>0</v>
      </c>
    </row>
    <row r="1455" spans="1:2" ht="15.75" customHeight="1" x14ac:dyDescent="0.4">
      <c r="A1455" s="24" t="s">
        <v>270</v>
      </c>
      <c r="B1455" s="24">
        <v>0</v>
      </c>
    </row>
    <row r="1456" spans="1:2" ht="15.75" customHeight="1" x14ac:dyDescent="0.4">
      <c r="A1456" s="24" t="s">
        <v>837</v>
      </c>
      <c r="B1456" s="24">
        <v>88.89</v>
      </c>
    </row>
    <row r="1457" spans="1:2" ht="15.75" customHeight="1" x14ac:dyDescent="0.4">
      <c r="A1457" s="24" t="s">
        <v>841</v>
      </c>
      <c r="B1457" s="24">
        <v>82.13</v>
      </c>
    </row>
    <row r="1458" spans="1:2" ht="15.75" customHeight="1" x14ac:dyDescent="0.4">
      <c r="A1458" s="24" t="s">
        <v>929</v>
      </c>
      <c r="B1458" s="24">
        <v>87.13</v>
      </c>
    </row>
    <row r="1459" spans="1:2" ht="15.75" customHeight="1" x14ac:dyDescent="0.4">
      <c r="A1459" s="24" t="s">
        <v>355</v>
      </c>
      <c r="B1459" s="24">
        <v>0</v>
      </c>
    </row>
    <row r="1460" spans="1:2" ht="15.75" customHeight="1" x14ac:dyDescent="0.4">
      <c r="A1460" s="24" t="s">
        <v>431</v>
      </c>
      <c r="B1460" s="24">
        <v>0.9</v>
      </c>
    </row>
    <row r="1461" spans="1:2" ht="15.75" customHeight="1" x14ac:dyDescent="0.4">
      <c r="A1461" s="24" t="s">
        <v>303</v>
      </c>
      <c r="B1461" s="24">
        <v>33.049999999999997</v>
      </c>
    </row>
    <row r="1462" spans="1:2" ht="15.75" customHeight="1" x14ac:dyDescent="0.4">
      <c r="A1462" s="24" t="s">
        <v>533</v>
      </c>
      <c r="B1462" s="24">
        <v>16.670000000000002</v>
      </c>
    </row>
    <row r="1463" spans="1:2" ht="15.75" customHeight="1" x14ac:dyDescent="0.4">
      <c r="A1463" s="24" t="s">
        <v>894</v>
      </c>
      <c r="B1463" s="24">
        <v>66.67</v>
      </c>
    </row>
    <row r="1464" spans="1:2" ht="15.75" customHeight="1" x14ac:dyDescent="0.4">
      <c r="A1464" s="24" t="s">
        <v>851</v>
      </c>
      <c r="B1464" s="24">
        <v>0</v>
      </c>
    </row>
    <row r="1465" spans="1:2" ht="15.75" customHeight="1" x14ac:dyDescent="0.4">
      <c r="A1465" s="24" t="s">
        <v>847</v>
      </c>
      <c r="B1465" s="24">
        <v>34.520000000000003</v>
      </c>
    </row>
    <row r="1466" spans="1:2" ht="15.75" customHeight="1" x14ac:dyDescent="0.4">
      <c r="A1466" s="24" t="s">
        <v>299</v>
      </c>
      <c r="B1466" s="24">
        <v>0</v>
      </c>
    </row>
    <row r="1467" spans="1:2" ht="15.75" customHeight="1" x14ac:dyDescent="0.4">
      <c r="A1467" s="24" t="s">
        <v>898</v>
      </c>
      <c r="B1467" s="24">
        <v>44.84</v>
      </c>
    </row>
    <row r="1468" spans="1:2" ht="15.75" customHeight="1" x14ac:dyDescent="0.4">
      <c r="A1468" s="24" t="s">
        <v>873</v>
      </c>
      <c r="B1468" s="24">
        <v>100</v>
      </c>
    </row>
    <row r="1469" spans="1:2" ht="15.75" customHeight="1" x14ac:dyDescent="0.4">
      <c r="A1469" s="24" t="s">
        <v>870</v>
      </c>
      <c r="B1469" s="24">
        <v>41.47</v>
      </c>
    </row>
    <row r="1470" spans="1:2" ht="15.75" customHeight="1" x14ac:dyDescent="0.4">
      <c r="A1470" s="24" t="s">
        <v>677</v>
      </c>
      <c r="B1470" s="24">
        <v>99.69</v>
      </c>
    </row>
    <row r="1471" spans="1:2" ht="15.75" customHeight="1" x14ac:dyDescent="0.4">
      <c r="A1471" s="24" t="s">
        <v>367</v>
      </c>
      <c r="B1471" s="24">
        <v>0</v>
      </c>
    </row>
    <row r="1472" spans="1:2" ht="15.75" customHeight="1" x14ac:dyDescent="0.4">
      <c r="A1472" s="24" t="s">
        <v>932</v>
      </c>
      <c r="B1472" s="24">
        <v>91.26</v>
      </c>
    </row>
    <row r="1473" spans="1:2" ht="15.75" customHeight="1" x14ac:dyDescent="0.4">
      <c r="A1473" s="24" t="s">
        <v>966</v>
      </c>
      <c r="B1473" s="24">
        <v>5.78</v>
      </c>
    </row>
    <row r="1474" spans="1:2" ht="15.75" customHeight="1" x14ac:dyDescent="0.4">
      <c r="A1474" s="24" t="s">
        <v>289</v>
      </c>
      <c r="B1474" s="24">
        <v>0</v>
      </c>
    </row>
    <row r="1475" spans="1:2" ht="15.75" customHeight="1" x14ac:dyDescent="0.4">
      <c r="A1475" s="24" t="s">
        <v>910</v>
      </c>
      <c r="B1475" s="24">
        <v>0</v>
      </c>
    </row>
    <row r="1476" spans="1:2" ht="15.75" customHeight="1" x14ac:dyDescent="0.4">
      <c r="A1476" s="24" t="s">
        <v>307</v>
      </c>
      <c r="B1476" s="24">
        <v>0</v>
      </c>
    </row>
    <row r="1477" spans="1:2" ht="15.75" customHeight="1" x14ac:dyDescent="0.4">
      <c r="A1477" s="24" t="s">
        <v>889</v>
      </c>
      <c r="B1477" s="24">
        <v>81.569999999999993</v>
      </c>
    </row>
    <row r="1478" spans="1:2" ht="15.75" customHeight="1" x14ac:dyDescent="0.4">
      <c r="A1478" s="24" t="s">
        <v>896</v>
      </c>
      <c r="B1478" s="24">
        <v>11.11</v>
      </c>
    </row>
    <row r="1479" spans="1:2" ht="15.75" customHeight="1" x14ac:dyDescent="0.4">
      <c r="A1479" s="24" t="s">
        <v>832</v>
      </c>
      <c r="B1479" s="24">
        <v>42.89</v>
      </c>
    </row>
    <row r="1480" spans="1:2" ht="15.75" customHeight="1" x14ac:dyDescent="0.4">
      <c r="A1480" s="24" t="s">
        <v>467</v>
      </c>
      <c r="B1480" s="24">
        <v>0.12</v>
      </c>
    </row>
    <row r="1481" spans="1:2" ht="15.75" customHeight="1" x14ac:dyDescent="0.4">
      <c r="A1481" s="24" t="s">
        <v>766</v>
      </c>
      <c r="B1481" s="24">
        <v>9.44</v>
      </c>
    </row>
    <row r="1482" spans="1:2" ht="15.75" customHeight="1" x14ac:dyDescent="0.4">
      <c r="A1482" s="24" t="s">
        <v>970</v>
      </c>
      <c r="B1482" s="24">
        <v>62.64</v>
      </c>
    </row>
    <row r="1483" spans="1:2" ht="15.75" customHeight="1" x14ac:dyDescent="0.4">
      <c r="A1483" s="24" t="s">
        <v>956</v>
      </c>
      <c r="B1483" s="24">
        <v>96.52</v>
      </c>
    </row>
    <row r="1484" spans="1:2" ht="15.75" customHeight="1" x14ac:dyDescent="0.4">
      <c r="A1484" s="24" t="s">
        <v>523</v>
      </c>
      <c r="B1484" s="24">
        <v>16.84</v>
      </c>
    </row>
    <row r="1485" spans="1:2" ht="15.75" customHeight="1" x14ac:dyDescent="0.4">
      <c r="A1485" s="24" t="s">
        <v>256</v>
      </c>
      <c r="B1485" s="24">
        <v>0</v>
      </c>
    </row>
    <row r="1486" spans="1:2" ht="15.75" customHeight="1" x14ac:dyDescent="0.4">
      <c r="A1486" s="24" t="s">
        <v>393</v>
      </c>
      <c r="B1486" s="24">
        <v>0</v>
      </c>
    </row>
    <row r="1487" spans="1:2" ht="15.75" customHeight="1" x14ac:dyDescent="0.4">
      <c r="A1487" s="24" t="s">
        <v>954</v>
      </c>
      <c r="B1487" s="24">
        <v>100</v>
      </c>
    </row>
    <row r="1488" spans="1:2" ht="15.75" customHeight="1" x14ac:dyDescent="0.4">
      <c r="A1488" s="24" t="s">
        <v>979</v>
      </c>
      <c r="B1488" s="24">
        <v>92.76</v>
      </c>
    </row>
    <row r="1489" spans="1:2" ht="15.75" customHeight="1" x14ac:dyDescent="0.4">
      <c r="A1489" s="24" t="s">
        <v>927</v>
      </c>
      <c r="B1489" s="24">
        <v>0</v>
      </c>
    </row>
    <row r="1490" spans="1:2" ht="15.75" customHeight="1" x14ac:dyDescent="0.4">
      <c r="A1490" s="24" t="s">
        <v>850</v>
      </c>
      <c r="B1490" s="24">
        <v>69.87</v>
      </c>
    </row>
    <row r="1491" spans="1:2" ht="15.75" customHeight="1" x14ac:dyDescent="0.4">
      <c r="A1491" s="24" t="s">
        <v>728</v>
      </c>
      <c r="B1491" s="24">
        <v>0</v>
      </c>
    </row>
    <row r="1492" spans="1:2" ht="15.75" customHeight="1" x14ac:dyDescent="0.4">
      <c r="A1492" s="24" t="s">
        <v>631</v>
      </c>
      <c r="B1492" s="24">
        <v>36.97</v>
      </c>
    </row>
    <row r="1493" spans="1:2" ht="15.75" customHeight="1" x14ac:dyDescent="0.4">
      <c r="A1493" s="24" t="s">
        <v>965</v>
      </c>
      <c r="B1493" s="24">
        <v>11.99</v>
      </c>
    </row>
    <row r="1494" spans="1:2" ht="15.75" customHeight="1" x14ac:dyDescent="0.4">
      <c r="A1494" s="24" t="s">
        <v>845</v>
      </c>
      <c r="B1494" s="24">
        <v>100</v>
      </c>
    </row>
    <row r="1495" spans="1:2" ht="15.75" customHeight="1" x14ac:dyDescent="0.4">
      <c r="A1495" s="24" t="s">
        <v>969</v>
      </c>
      <c r="B1495" s="24">
        <v>67.599999999999994</v>
      </c>
    </row>
    <row r="1496" spans="1:2" ht="15.75" customHeight="1" x14ac:dyDescent="0.4">
      <c r="A1496" s="24" t="s">
        <v>329</v>
      </c>
      <c r="B1496" s="24">
        <v>0</v>
      </c>
    </row>
    <row r="1497" spans="1:2" ht="15.75" customHeight="1" x14ac:dyDescent="0.4">
      <c r="A1497" s="24" t="s">
        <v>858</v>
      </c>
      <c r="B1497" s="24">
        <v>90.04</v>
      </c>
    </row>
    <row r="1498" spans="1:2" ht="15.75" customHeight="1" x14ac:dyDescent="0.4">
      <c r="A1498" s="24" t="s">
        <v>287</v>
      </c>
      <c r="B1498" s="24">
        <v>6.62</v>
      </c>
    </row>
    <row r="1499" spans="1:2" ht="15.75" customHeight="1" x14ac:dyDescent="0.4">
      <c r="A1499" s="24" t="s">
        <v>867</v>
      </c>
      <c r="B1499" s="24">
        <v>92.49</v>
      </c>
    </row>
    <row r="1500" spans="1:2" ht="15.75" customHeight="1" x14ac:dyDescent="0.4">
      <c r="A1500" s="24" t="s">
        <v>481</v>
      </c>
      <c r="B1500" s="24">
        <v>38.229999999999997</v>
      </c>
    </row>
    <row r="1501" spans="1:2" ht="15.75" customHeight="1" x14ac:dyDescent="0.4">
      <c r="A1501" s="24" t="s">
        <v>978</v>
      </c>
      <c r="B1501" s="24">
        <v>81.63</v>
      </c>
    </row>
    <row r="1502" spans="1:2" ht="15.75" customHeight="1" x14ac:dyDescent="0.4">
      <c r="A1502" s="24" t="s">
        <v>291</v>
      </c>
      <c r="B1502" s="24">
        <v>0</v>
      </c>
    </row>
    <row r="1503" spans="1:2" ht="15.75" customHeight="1" x14ac:dyDescent="0.4">
      <c r="A1503" s="24" t="s">
        <v>297</v>
      </c>
      <c r="B1503" s="24">
        <v>0</v>
      </c>
    </row>
    <row r="1504" spans="1:2" ht="15.75" customHeight="1" x14ac:dyDescent="0.4">
      <c r="A1504" s="24" t="s">
        <v>923</v>
      </c>
      <c r="B1504" s="24">
        <v>9</v>
      </c>
    </row>
    <row r="1505" spans="1:2" ht="15.75" customHeight="1" x14ac:dyDescent="0.4">
      <c r="A1505" s="24" t="s">
        <v>395</v>
      </c>
      <c r="B1505" s="24">
        <v>16.670000000000002</v>
      </c>
    </row>
    <row r="1506" spans="1:2" ht="15.75" customHeight="1" x14ac:dyDescent="0.4">
      <c r="A1506" s="24" t="s">
        <v>844</v>
      </c>
      <c r="B1506" s="24">
        <v>94.24</v>
      </c>
    </row>
    <row r="1507" spans="1:2" ht="15.75" customHeight="1" x14ac:dyDescent="0.4">
      <c r="A1507" s="24" t="s">
        <v>266</v>
      </c>
      <c r="B1507" s="24">
        <v>0</v>
      </c>
    </row>
    <row r="1508" spans="1:2" ht="15.75" customHeight="1" x14ac:dyDescent="0.4">
      <c r="A1508" s="24" t="s">
        <v>868</v>
      </c>
      <c r="B1508" s="24">
        <v>100</v>
      </c>
    </row>
    <row r="1509" spans="1:2" ht="15.75" customHeight="1" x14ac:dyDescent="0.4">
      <c r="A1509" s="24" t="s">
        <v>936</v>
      </c>
      <c r="B1509" s="24">
        <v>95.59</v>
      </c>
    </row>
    <row r="1510" spans="1:2" ht="15.75" customHeight="1" x14ac:dyDescent="0.4">
      <c r="A1510" s="24" t="s">
        <v>497</v>
      </c>
      <c r="B1510" s="24">
        <v>4.3099999999999996</v>
      </c>
    </row>
    <row r="1511" spans="1:2" ht="15.75" customHeight="1" x14ac:dyDescent="0.4">
      <c r="A1511" s="24" t="s">
        <v>964</v>
      </c>
      <c r="B1511" s="24">
        <v>100</v>
      </c>
    </row>
    <row r="1512" spans="1:2" ht="15.75" customHeight="1" x14ac:dyDescent="0.4">
      <c r="A1512" s="24" t="s">
        <v>957</v>
      </c>
      <c r="B1512" s="24">
        <v>91.93</v>
      </c>
    </row>
    <row r="1513" spans="1:2" ht="15.75" customHeight="1" x14ac:dyDescent="0.4">
      <c r="A1513" s="24" t="s">
        <v>262</v>
      </c>
      <c r="B1513" s="24">
        <v>0</v>
      </c>
    </row>
    <row r="1514" spans="1:2" ht="15.75" customHeight="1" x14ac:dyDescent="0.4">
      <c r="A1514" s="24" t="s">
        <v>951</v>
      </c>
      <c r="B1514" s="24">
        <v>98.93</v>
      </c>
    </row>
    <row r="1515" spans="1:2" ht="15.75" customHeight="1" x14ac:dyDescent="0.4">
      <c r="A1515" s="24" t="s">
        <v>264</v>
      </c>
      <c r="B1515" s="24">
        <v>0</v>
      </c>
    </row>
    <row r="1516" spans="1:2" ht="15.75" customHeight="1" x14ac:dyDescent="0.4">
      <c r="A1516" s="24" t="s">
        <v>551</v>
      </c>
      <c r="B1516" s="24">
        <v>16.670000000000002</v>
      </c>
    </row>
    <row r="1517" spans="1:2" ht="15.75" customHeight="1" x14ac:dyDescent="0.4">
      <c r="A1517" s="24" t="s">
        <v>647</v>
      </c>
      <c r="B1517" s="24">
        <v>26.08</v>
      </c>
    </row>
    <row r="1518" spans="1:2" ht="15.75" customHeight="1" x14ac:dyDescent="0.4">
      <c r="A1518" s="24" t="s">
        <v>930</v>
      </c>
      <c r="B1518" s="24">
        <v>25.07</v>
      </c>
    </row>
    <row r="1519" spans="1:2" ht="15.75" customHeight="1" x14ac:dyDescent="0.4">
      <c r="A1519" s="24" t="s">
        <v>422</v>
      </c>
      <c r="B1519" s="24">
        <v>20</v>
      </c>
    </row>
    <row r="1520" spans="1:2" ht="15.75" customHeight="1" x14ac:dyDescent="0.4">
      <c r="A1520" s="24" t="s">
        <v>888</v>
      </c>
      <c r="B1520" s="24">
        <v>99.21</v>
      </c>
    </row>
    <row r="1521" spans="1:2" ht="15.75" customHeight="1" x14ac:dyDescent="0.4">
      <c r="A1521" s="24" t="s">
        <v>948</v>
      </c>
      <c r="B1521" s="24">
        <v>31.07</v>
      </c>
    </row>
    <row r="1522" spans="1:2" ht="15.75" customHeight="1" x14ac:dyDescent="0.4">
      <c r="A1522" s="24" t="s">
        <v>981</v>
      </c>
      <c r="B1522" s="24">
        <v>100</v>
      </c>
    </row>
    <row r="1523" spans="1:2" ht="15.75" customHeight="1" x14ac:dyDescent="0.4">
      <c r="A1523" s="24" t="s">
        <v>369</v>
      </c>
      <c r="B1523" s="24">
        <v>20</v>
      </c>
    </row>
    <row r="1524" spans="1:2" ht="15.75" customHeight="1" x14ac:dyDescent="0.4">
      <c r="A1524" s="24" t="s">
        <v>653</v>
      </c>
      <c r="B1524" s="24">
        <v>0</v>
      </c>
    </row>
    <row r="1525" spans="1:2" ht="15.75" customHeight="1" x14ac:dyDescent="0.4">
      <c r="A1525" s="24" t="s">
        <v>331</v>
      </c>
      <c r="B1525" s="24">
        <v>0</v>
      </c>
    </row>
    <row r="1526" spans="1:2" ht="15.75" customHeight="1" x14ac:dyDescent="0.4">
      <c r="A1526" s="24" t="s">
        <v>828</v>
      </c>
      <c r="B1526" s="24">
        <v>0</v>
      </c>
    </row>
    <row r="1527" spans="1:2" ht="15.75" customHeight="1" x14ac:dyDescent="0.4">
      <c r="A1527" s="24" t="s">
        <v>835</v>
      </c>
      <c r="B1527" s="24">
        <v>95.21</v>
      </c>
    </row>
    <row r="1528" spans="1:2" ht="15.75" customHeight="1" x14ac:dyDescent="0.4">
      <c r="A1528" s="24" t="s">
        <v>411</v>
      </c>
      <c r="B1528" s="24">
        <v>50</v>
      </c>
    </row>
    <row r="1529" spans="1:2" ht="15.75" customHeight="1" x14ac:dyDescent="0.4">
      <c r="A1529" s="24" t="s">
        <v>987</v>
      </c>
      <c r="B1529" s="24">
        <v>100</v>
      </c>
    </row>
    <row r="1530" spans="1:2" ht="15.75" customHeight="1" x14ac:dyDescent="0.4">
      <c r="A1530" s="24" t="s">
        <v>859</v>
      </c>
      <c r="B1530" s="24">
        <v>80.12</v>
      </c>
    </row>
    <row r="1531" spans="1:2" ht="15.75" customHeight="1" x14ac:dyDescent="0.4">
      <c r="A1531" s="24" t="s">
        <v>276</v>
      </c>
      <c r="B1531" s="24">
        <v>0.05</v>
      </c>
    </row>
    <row r="1532" spans="1:2" ht="15.75" customHeight="1" x14ac:dyDescent="0.4">
      <c r="A1532" s="24" t="s">
        <v>980</v>
      </c>
      <c r="B1532" s="24">
        <v>96.92</v>
      </c>
    </row>
    <row r="1533" spans="1:2" ht="15.75" customHeight="1" x14ac:dyDescent="0.4">
      <c r="A1533" s="24" t="s">
        <v>918</v>
      </c>
      <c r="B1533" s="24">
        <v>100</v>
      </c>
    </row>
    <row r="1534" spans="1:2" ht="15.75" customHeight="1" x14ac:dyDescent="0.4">
      <c r="A1534" s="24" t="s">
        <v>732</v>
      </c>
      <c r="B1534" s="24">
        <v>0</v>
      </c>
    </row>
    <row r="1535" spans="1:2" ht="15.75" customHeight="1" x14ac:dyDescent="0.4">
      <c r="A1535" s="24" t="s">
        <v>855</v>
      </c>
      <c r="B1535" s="24">
        <v>85.01</v>
      </c>
    </row>
    <row r="1536" spans="1:2" ht="15.75" customHeight="1" x14ac:dyDescent="0.4">
      <c r="A1536" s="24" t="s">
        <v>295</v>
      </c>
      <c r="B1536" s="24">
        <v>0.69</v>
      </c>
    </row>
    <row r="1537" spans="1:2" ht="15.75" customHeight="1" x14ac:dyDescent="0.4">
      <c r="A1537" s="24" t="s">
        <v>903</v>
      </c>
      <c r="B1537" s="24">
        <v>0</v>
      </c>
    </row>
    <row r="1538" spans="1:2" ht="15.75" customHeight="1" x14ac:dyDescent="0.4">
      <c r="A1538" s="24" t="s">
        <v>768</v>
      </c>
      <c r="B1538" s="24">
        <v>0</v>
      </c>
    </row>
    <row r="1539" spans="1:2" ht="15.75" customHeight="1" x14ac:dyDescent="0.4">
      <c r="A1539" s="24" t="s">
        <v>334</v>
      </c>
      <c r="B1539" s="24">
        <v>0</v>
      </c>
    </row>
    <row r="1540" spans="1:2" ht="15.75" customHeight="1" x14ac:dyDescent="0.4">
      <c r="A1540" s="24" t="s">
        <v>333</v>
      </c>
      <c r="B1540" s="24">
        <v>5.33</v>
      </c>
    </row>
    <row r="1541" spans="1:2" ht="15.75" customHeight="1" x14ac:dyDescent="0.4">
      <c r="A1541" s="24" t="s">
        <v>914</v>
      </c>
      <c r="B1541" s="24">
        <v>100</v>
      </c>
    </row>
    <row r="1542" spans="1:2" ht="15.75" customHeight="1" x14ac:dyDescent="0.4">
      <c r="A1542" s="24" t="s">
        <v>339</v>
      </c>
      <c r="B1542" s="24">
        <v>0</v>
      </c>
    </row>
    <row r="1543" spans="1:2" ht="15.75" customHeight="1" x14ac:dyDescent="0.4">
      <c r="A1543" s="24" t="s">
        <v>615</v>
      </c>
      <c r="B1543" s="24">
        <v>0</v>
      </c>
    </row>
    <row r="1544" spans="1:2" ht="15.75" customHeight="1" x14ac:dyDescent="0.4">
      <c r="A1544" s="24" t="s">
        <v>842</v>
      </c>
      <c r="B1544" s="24">
        <v>12.58</v>
      </c>
    </row>
    <row r="1545" spans="1:2" ht="15.75" customHeight="1" x14ac:dyDescent="0.4">
      <c r="A1545" s="24" t="s">
        <v>315</v>
      </c>
      <c r="B1545" s="24">
        <v>0</v>
      </c>
    </row>
    <row r="1546" spans="1:2" ht="15.75" customHeight="1" x14ac:dyDescent="0.4">
      <c r="A1546" s="24" t="s">
        <v>928</v>
      </c>
      <c r="B1546" s="24">
        <v>100</v>
      </c>
    </row>
    <row r="1547" spans="1:2" ht="15.75" customHeight="1" x14ac:dyDescent="0.4">
      <c r="A1547" s="24" t="s">
        <v>919</v>
      </c>
      <c r="B1547" s="24">
        <v>100</v>
      </c>
    </row>
    <row r="1548" spans="1:2" ht="15.75" customHeight="1" x14ac:dyDescent="0.4">
      <c r="A1548" s="24" t="s">
        <v>968</v>
      </c>
      <c r="B1548" s="24">
        <v>13.42</v>
      </c>
    </row>
    <row r="1549" spans="1:2" ht="15.75" customHeight="1" x14ac:dyDescent="0.4">
      <c r="A1549" s="24" t="s">
        <v>902</v>
      </c>
      <c r="B1549" s="24">
        <v>77.81</v>
      </c>
    </row>
    <row r="1550" spans="1:2" ht="15.75" customHeight="1" x14ac:dyDescent="0.4">
      <c r="A1550" s="24" t="s">
        <v>883</v>
      </c>
      <c r="B1550" s="24">
        <v>87.51</v>
      </c>
    </row>
    <row r="1551" spans="1:2" ht="15.75" customHeight="1" x14ac:dyDescent="0.4">
      <c r="A1551" s="24" t="s">
        <v>907</v>
      </c>
      <c r="B1551" s="24">
        <v>100</v>
      </c>
    </row>
    <row r="1552" spans="1:2" ht="15.75" customHeight="1" x14ac:dyDescent="0.4">
      <c r="A1552" s="24" t="s">
        <v>860</v>
      </c>
      <c r="B1552" s="24">
        <v>100</v>
      </c>
    </row>
    <row r="1553" spans="1:2" ht="15.75" customHeight="1" x14ac:dyDescent="0.4">
      <c r="A1553" s="24" t="s">
        <v>960</v>
      </c>
      <c r="B1553" s="24">
        <v>100</v>
      </c>
    </row>
    <row r="1554" spans="1:2" ht="15.75" customHeight="1" x14ac:dyDescent="0.4">
      <c r="A1554" s="24" t="s">
        <v>364</v>
      </c>
      <c r="B1554" s="24">
        <v>5.69</v>
      </c>
    </row>
    <row r="1555" spans="1:2" ht="15.75" customHeight="1" x14ac:dyDescent="0.4">
      <c r="A1555" s="24" t="s">
        <v>952</v>
      </c>
      <c r="B1555" s="24">
        <v>92.37</v>
      </c>
    </row>
    <row r="1556" spans="1:2" ht="15.75" customHeight="1" x14ac:dyDescent="0.4">
      <c r="A1556" s="24" t="s">
        <v>959</v>
      </c>
      <c r="B1556" s="24">
        <v>71.13</v>
      </c>
    </row>
    <row r="1557" spans="1:2" ht="15.75" customHeight="1" x14ac:dyDescent="0.4">
      <c r="A1557" s="24" t="s">
        <v>325</v>
      </c>
      <c r="B1557" s="24">
        <v>0.08</v>
      </c>
    </row>
    <row r="1558" spans="1:2" ht="15.75" customHeight="1" x14ac:dyDescent="0.4">
      <c r="A1558" s="24" t="s">
        <v>937</v>
      </c>
      <c r="B1558" s="24">
        <v>95.13</v>
      </c>
    </row>
    <row r="1559" spans="1:2" ht="15.75" customHeight="1" x14ac:dyDescent="0.4">
      <c r="A1559" s="24" t="s">
        <v>940</v>
      </c>
      <c r="B1559" s="24">
        <v>88.89</v>
      </c>
    </row>
    <row r="1560" spans="1:2" ht="15.75" customHeight="1" x14ac:dyDescent="0.4">
      <c r="A1560" s="24" t="s">
        <v>607</v>
      </c>
      <c r="B1560" s="24">
        <v>6.88</v>
      </c>
    </row>
    <row r="1561" spans="1:2" ht="15.75" customHeight="1" x14ac:dyDescent="0.4">
      <c r="A1561" s="24" t="s">
        <v>545</v>
      </c>
      <c r="B1561" s="24">
        <v>26.05</v>
      </c>
    </row>
    <row r="1562" spans="1:2" ht="15.75" customHeight="1" x14ac:dyDescent="0.4">
      <c r="A1562" s="24" t="s">
        <v>922</v>
      </c>
      <c r="B1562" s="24">
        <v>40.869999999999997</v>
      </c>
    </row>
    <row r="1563" spans="1:2" ht="15.75" customHeight="1" x14ac:dyDescent="0.4">
      <c r="A1563" s="24" t="s">
        <v>441</v>
      </c>
      <c r="B1563" s="24">
        <v>1.87</v>
      </c>
    </row>
    <row r="1564" spans="1:2" ht="15.75" customHeight="1" x14ac:dyDescent="0.4">
      <c r="A1564" s="24" t="s">
        <v>971</v>
      </c>
      <c r="B1564" s="24">
        <v>0.08</v>
      </c>
    </row>
    <row r="1565" spans="1:2" ht="15.75" customHeight="1" x14ac:dyDescent="0.4">
      <c r="A1565" s="24" t="s">
        <v>351</v>
      </c>
      <c r="B1565" s="24">
        <v>9.65</v>
      </c>
    </row>
    <row r="1566" spans="1:2" ht="15.75" customHeight="1" x14ac:dyDescent="0.4">
      <c r="A1566" s="24" t="s">
        <v>878</v>
      </c>
      <c r="B1566" s="24">
        <v>98.51</v>
      </c>
    </row>
    <row r="1567" spans="1:2" ht="15.75" customHeight="1" x14ac:dyDescent="0.4">
      <c r="A1567" s="24" t="s">
        <v>944</v>
      </c>
      <c r="B1567" s="24">
        <v>0</v>
      </c>
    </row>
    <row r="1568" spans="1:2" ht="15.75" customHeight="1" x14ac:dyDescent="0.4">
      <c r="A1568" s="24" t="s">
        <v>503</v>
      </c>
      <c r="B1568" s="24">
        <v>10.23</v>
      </c>
    </row>
    <row r="1569" spans="1:2" ht="15.75" customHeight="1" x14ac:dyDescent="0.4">
      <c r="A1569" s="24" t="s">
        <v>637</v>
      </c>
      <c r="B1569" s="24">
        <v>0</v>
      </c>
    </row>
    <row r="1570" spans="1:2" ht="15.75" customHeight="1" x14ac:dyDescent="0.4">
      <c r="A1570" s="24" t="s">
        <v>601</v>
      </c>
      <c r="B1570" s="24">
        <v>0</v>
      </c>
    </row>
    <row r="1571" spans="1:2" ht="15.75" customHeight="1" x14ac:dyDescent="0.4">
      <c r="A1571" s="24" t="s">
        <v>690</v>
      </c>
      <c r="B1571" s="24">
        <v>0</v>
      </c>
    </row>
    <row r="1572" spans="1:2" ht="15.75" customHeight="1" x14ac:dyDescent="0.4">
      <c r="A1572" s="24" t="s">
        <v>517</v>
      </c>
      <c r="B1572" s="24">
        <v>0</v>
      </c>
    </row>
    <row r="1573" spans="1:2" ht="15.75" customHeight="1" x14ac:dyDescent="0.4">
      <c r="A1573" s="24" t="s">
        <v>871</v>
      </c>
      <c r="B1573" s="24">
        <v>80.06</v>
      </c>
    </row>
    <row r="1574" spans="1:2" ht="15.75" customHeight="1" x14ac:dyDescent="0.4">
      <c r="A1574" s="24" t="s">
        <v>897</v>
      </c>
      <c r="B1574" s="24">
        <v>0</v>
      </c>
    </row>
    <row r="1575" spans="1:2" ht="15.75" customHeight="1" x14ac:dyDescent="0.4">
      <c r="A1575" s="24" t="s">
        <v>973</v>
      </c>
      <c r="B1575" s="24">
        <v>99.1</v>
      </c>
    </row>
    <row r="1576" spans="1:2" ht="15.75" customHeight="1" x14ac:dyDescent="0.4">
      <c r="A1576" s="24" t="s">
        <v>603</v>
      </c>
      <c r="B1576" s="24">
        <v>0</v>
      </c>
    </row>
    <row r="1577" spans="1:2" ht="15.75" customHeight="1" x14ac:dyDescent="0.4">
      <c r="A1577" s="24" t="s">
        <v>337</v>
      </c>
      <c r="B1577" s="24">
        <v>0</v>
      </c>
    </row>
    <row r="1578" spans="1:2" ht="15.75" customHeight="1" x14ac:dyDescent="0.4">
      <c r="A1578" s="24" t="s">
        <v>407</v>
      </c>
      <c r="B1578" s="24">
        <v>0</v>
      </c>
    </row>
    <row r="1579" spans="1:2" ht="15.75" customHeight="1" x14ac:dyDescent="0.4">
      <c r="A1579" s="24" t="s">
        <v>843</v>
      </c>
      <c r="B1579" s="24">
        <v>100</v>
      </c>
    </row>
    <row r="1580" spans="1:2" ht="15.75" customHeight="1" x14ac:dyDescent="0.4">
      <c r="A1580" s="24" t="s">
        <v>375</v>
      </c>
      <c r="B1580" s="24">
        <v>0</v>
      </c>
    </row>
    <row r="1581" spans="1:2" ht="15.75" customHeight="1" x14ac:dyDescent="0.4">
      <c r="A1581" s="24" t="s">
        <v>836</v>
      </c>
      <c r="B1581" s="24">
        <v>10.37</v>
      </c>
    </row>
    <row r="1582" spans="1:2" ht="15.75" customHeight="1" x14ac:dyDescent="0.4">
      <c r="A1582" s="24" t="s">
        <v>547</v>
      </c>
      <c r="B1582" s="24">
        <v>2.36</v>
      </c>
    </row>
    <row r="1583" spans="1:2" ht="15.75" customHeight="1" x14ac:dyDescent="0.4">
      <c r="A1583" s="24" t="s">
        <v>849</v>
      </c>
      <c r="B1583" s="24">
        <v>53.3</v>
      </c>
    </row>
    <row r="1584" spans="1:2" ht="15.75" customHeight="1" x14ac:dyDescent="0.4">
      <c r="A1584" s="24" t="s">
        <v>724</v>
      </c>
      <c r="B1584" s="24">
        <v>7.4</v>
      </c>
    </row>
    <row r="1585" spans="1:2" ht="15.75" customHeight="1" x14ac:dyDescent="0.4">
      <c r="A1585" s="24" t="s">
        <v>435</v>
      </c>
      <c r="B1585" s="24">
        <v>16.670000000000002</v>
      </c>
    </row>
    <row r="1586" spans="1:2" ht="15.75" customHeight="1" x14ac:dyDescent="0.4">
      <c r="A1586" s="24" t="s">
        <v>831</v>
      </c>
      <c r="B1586" s="24">
        <v>97.37</v>
      </c>
    </row>
    <row r="1587" spans="1:2" ht="15.75" customHeight="1" x14ac:dyDescent="0.4">
      <c r="A1587" s="24" t="s">
        <v>961</v>
      </c>
      <c r="B1587" s="24">
        <v>59.71</v>
      </c>
    </row>
    <row r="1588" spans="1:2" ht="15.75" customHeight="1" x14ac:dyDescent="0.4">
      <c r="A1588" s="24" t="s">
        <v>857</v>
      </c>
      <c r="B1588" s="24">
        <v>86.51</v>
      </c>
    </row>
    <row r="1589" spans="1:2" ht="15.75" customHeight="1" x14ac:dyDescent="0.4">
      <c r="A1589" s="24" t="s">
        <v>401</v>
      </c>
      <c r="B1589" s="24">
        <v>0</v>
      </c>
    </row>
    <row r="1590" spans="1:2" ht="15.75" customHeight="1" x14ac:dyDescent="0.4">
      <c r="A1590" s="24" t="s">
        <v>926</v>
      </c>
      <c r="B1590" s="24">
        <v>55.56</v>
      </c>
    </row>
    <row r="1591" spans="1:2" ht="15.75" customHeight="1" x14ac:dyDescent="0.4">
      <c r="A1591" s="24" t="s">
        <v>869</v>
      </c>
      <c r="B1591" s="24">
        <v>82.43</v>
      </c>
    </row>
    <row r="1592" spans="1:2" ht="15.75" customHeight="1" x14ac:dyDescent="0.4">
      <c r="A1592" s="24" t="s">
        <v>493</v>
      </c>
      <c r="B1592" s="24">
        <v>16.670000000000002</v>
      </c>
    </row>
    <row r="1593" spans="1:2" ht="15.75" customHeight="1" x14ac:dyDescent="0.4">
      <c r="A1593" s="24" t="s">
        <v>625</v>
      </c>
      <c r="B1593" s="24">
        <v>0</v>
      </c>
    </row>
    <row r="1594" spans="1:2" ht="15.75" customHeight="1" x14ac:dyDescent="0.4">
      <c r="A1594" s="24" t="s">
        <v>900</v>
      </c>
      <c r="B1594" s="24">
        <v>77.78</v>
      </c>
    </row>
    <row r="1595" spans="1:2" ht="15.75" customHeight="1" x14ac:dyDescent="0.4">
      <c r="A1595" s="24" t="s">
        <v>389</v>
      </c>
      <c r="B1595" s="24">
        <v>16.670000000000002</v>
      </c>
    </row>
    <row r="1596" spans="1:2" ht="15.75" customHeight="1" x14ac:dyDescent="0.4">
      <c r="A1596" s="24" t="s">
        <v>938</v>
      </c>
      <c r="B1596" s="24">
        <v>100</v>
      </c>
    </row>
    <row r="1597" spans="1:2" ht="15.75" customHeight="1" x14ac:dyDescent="0.4">
      <c r="A1597" s="24" t="s">
        <v>985</v>
      </c>
      <c r="B1597" s="24">
        <v>98.94</v>
      </c>
    </row>
    <row r="1598" spans="1:2" ht="15.75" customHeight="1" x14ac:dyDescent="0.4">
      <c r="A1598" s="24" t="s">
        <v>864</v>
      </c>
      <c r="B1598" s="24">
        <v>100</v>
      </c>
    </row>
    <row r="1599" spans="1:2" ht="15.75" customHeight="1" x14ac:dyDescent="0.4">
      <c r="A1599" s="24" t="s">
        <v>471</v>
      </c>
      <c r="B1599" s="24">
        <v>12.5</v>
      </c>
    </row>
    <row r="1600" spans="1:2" ht="15.75" customHeight="1" x14ac:dyDescent="0.4">
      <c r="A1600" s="24" t="s">
        <v>495</v>
      </c>
      <c r="B1600" s="24">
        <v>0</v>
      </c>
    </row>
    <row r="1601" spans="1:2" ht="15.75" customHeight="1" x14ac:dyDescent="0.4">
      <c r="A1601" s="24" t="s">
        <v>501</v>
      </c>
      <c r="B1601" s="24">
        <v>16.02</v>
      </c>
    </row>
    <row r="1602" spans="1:2" ht="15.75" customHeight="1" x14ac:dyDescent="0.4">
      <c r="A1602" s="24" t="s">
        <v>909</v>
      </c>
      <c r="B1602" s="24">
        <v>39.880000000000003</v>
      </c>
    </row>
    <row r="1603" spans="1:2" ht="15.75" customHeight="1" x14ac:dyDescent="0.4">
      <c r="A1603" s="24" t="s">
        <v>505</v>
      </c>
      <c r="B1603" s="24">
        <v>0</v>
      </c>
    </row>
    <row r="1604" spans="1:2" ht="15.75" customHeight="1" x14ac:dyDescent="0.4">
      <c r="A1604" s="24" t="s">
        <v>834</v>
      </c>
      <c r="B1604" s="24">
        <v>1.0900000000000001</v>
      </c>
    </row>
    <row r="1605" spans="1:2" ht="15.75" customHeight="1" x14ac:dyDescent="0.4">
      <c r="A1605" s="24" t="s">
        <v>233</v>
      </c>
      <c r="B1605" s="24">
        <v>100</v>
      </c>
    </row>
    <row r="1606" spans="1:2" ht="15.75" customHeight="1" x14ac:dyDescent="0.4">
      <c r="A1606" s="24" t="s">
        <v>746</v>
      </c>
      <c r="B1606" s="24">
        <v>0</v>
      </c>
    </row>
    <row r="1607" spans="1:2" ht="15.75" customHeight="1" x14ac:dyDescent="0.4">
      <c r="A1607" s="24" t="s">
        <v>391</v>
      </c>
      <c r="B1607" s="24">
        <v>0</v>
      </c>
    </row>
    <row r="1608" spans="1:2" ht="15.75" customHeight="1" x14ac:dyDescent="0.4">
      <c r="A1608" s="24" t="s">
        <v>866</v>
      </c>
      <c r="B1608" s="24">
        <v>100</v>
      </c>
    </row>
    <row r="1609" spans="1:2" ht="15.75" customHeight="1" x14ac:dyDescent="0.4">
      <c r="A1609" s="24" t="s">
        <v>379</v>
      </c>
      <c r="B1609" s="24">
        <v>0</v>
      </c>
    </row>
    <row r="1610" spans="1:2" ht="15.75" customHeight="1" x14ac:dyDescent="0.4">
      <c r="A1610" s="24" t="s">
        <v>387</v>
      </c>
      <c r="B1610" s="24">
        <v>0</v>
      </c>
    </row>
    <row r="1611" spans="1:2" ht="15.75" customHeight="1" x14ac:dyDescent="0.4">
      <c r="A1611" s="24" t="s">
        <v>734</v>
      </c>
      <c r="B1611" s="24">
        <v>56.53</v>
      </c>
    </row>
    <row r="1612" spans="1:2" ht="15.75" customHeight="1" x14ac:dyDescent="0.4">
      <c r="A1612" s="24" t="s">
        <v>861</v>
      </c>
      <c r="B1612" s="24">
        <v>100</v>
      </c>
    </row>
    <row r="1613" spans="1:2" ht="15.75" customHeight="1" x14ac:dyDescent="0.4">
      <c r="A1613" s="24" t="s">
        <v>381</v>
      </c>
      <c r="B1613" s="24">
        <v>0.21</v>
      </c>
    </row>
    <row r="1614" spans="1:2" ht="15.75" customHeight="1" x14ac:dyDescent="0.4">
      <c r="A1614" s="24" t="s">
        <v>982</v>
      </c>
      <c r="B1614" s="24">
        <v>38.36</v>
      </c>
    </row>
    <row r="1615" spans="1:2" ht="15.75" customHeight="1" x14ac:dyDescent="0.4">
      <c r="A1615" s="24" t="s">
        <v>383</v>
      </c>
      <c r="B1615" s="24">
        <v>5</v>
      </c>
    </row>
    <row r="1616" spans="1:2" ht="15.75" customHeight="1" x14ac:dyDescent="0.4">
      <c r="A1616" s="24" t="s">
        <v>879</v>
      </c>
      <c r="B1616" s="24">
        <v>100</v>
      </c>
    </row>
    <row r="1617" spans="1:2" ht="15.75" customHeight="1" x14ac:dyDescent="0.4">
      <c r="A1617" s="24" t="s">
        <v>933</v>
      </c>
      <c r="B1617" s="24">
        <v>23.85</v>
      </c>
    </row>
    <row r="1618" spans="1:2" ht="15.75" customHeight="1" x14ac:dyDescent="0.4">
      <c r="A1618" s="24" t="s">
        <v>443</v>
      </c>
      <c r="B1618" s="24">
        <v>24.32</v>
      </c>
    </row>
    <row r="1619" spans="1:2" ht="15.75" customHeight="1" x14ac:dyDescent="0.4">
      <c r="A1619" s="24" t="s">
        <v>457</v>
      </c>
      <c r="B1619" s="24">
        <v>0</v>
      </c>
    </row>
    <row r="1620" spans="1:2" ht="15.75" customHeight="1" x14ac:dyDescent="0.4">
      <c r="A1620" s="24" t="s">
        <v>489</v>
      </c>
      <c r="B1620" s="24">
        <v>14.27</v>
      </c>
    </row>
    <row r="1621" spans="1:2" ht="15.75" customHeight="1" x14ac:dyDescent="0.4">
      <c r="A1621" s="24" t="s">
        <v>347</v>
      </c>
      <c r="B1621" s="24">
        <v>0.49</v>
      </c>
    </row>
    <row r="1622" spans="1:2" ht="15.75" customHeight="1" x14ac:dyDescent="0.4">
      <c r="A1622" s="24" t="s">
        <v>247</v>
      </c>
      <c r="B1622" s="24">
        <v>0.34</v>
      </c>
    </row>
    <row r="1623" spans="1:2" ht="15.75" customHeight="1" x14ac:dyDescent="0.4">
      <c r="A1623" s="24" t="s">
        <v>935</v>
      </c>
      <c r="B1623" s="24">
        <v>100</v>
      </c>
    </row>
    <row r="1624" spans="1:2" ht="15.75" customHeight="1" x14ac:dyDescent="0.4">
      <c r="A1624" s="24" t="s">
        <v>934</v>
      </c>
      <c r="B1624" s="24">
        <v>82.5</v>
      </c>
    </row>
    <row r="1625" spans="1:2" ht="15.75" customHeight="1" x14ac:dyDescent="0.4">
      <c r="A1625" s="24" t="s">
        <v>511</v>
      </c>
      <c r="B1625" s="24">
        <v>31.69</v>
      </c>
    </row>
    <row r="1626" spans="1:2" ht="15.75" customHeight="1" x14ac:dyDescent="0.4">
      <c r="A1626" s="24" t="s">
        <v>976</v>
      </c>
      <c r="B1626" s="24">
        <v>88.39</v>
      </c>
    </row>
    <row r="1627" spans="1:2" ht="15.75" customHeight="1" x14ac:dyDescent="0.4">
      <c r="A1627" s="24" t="s">
        <v>863</v>
      </c>
      <c r="B1627" s="24">
        <v>99.89</v>
      </c>
    </row>
    <row r="1628" spans="1:2" ht="15.75" customHeight="1" x14ac:dyDescent="0.4">
      <c r="A1628" s="24" t="s">
        <v>553</v>
      </c>
      <c r="B1628" s="24">
        <v>0</v>
      </c>
    </row>
    <row r="1629" spans="1:2" ht="15.75" customHeight="1" x14ac:dyDescent="0.4">
      <c r="A1629" s="24" t="s">
        <v>706</v>
      </c>
      <c r="B1629" s="24">
        <v>14.81</v>
      </c>
    </row>
    <row r="1630" spans="1:2" ht="15.75" customHeight="1" x14ac:dyDescent="0.4">
      <c r="A1630" s="24" t="s">
        <v>357</v>
      </c>
      <c r="B1630" s="24">
        <v>9.39</v>
      </c>
    </row>
    <row r="1631" spans="1:2" ht="15.75" customHeight="1" x14ac:dyDescent="0.4">
      <c r="A1631" s="24" t="s">
        <v>651</v>
      </c>
      <c r="B1631" s="24">
        <v>7.45</v>
      </c>
    </row>
    <row r="1632" spans="1:2" ht="15.75" customHeight="1" x14ac:dyDescent="0.4">
      <c r="A1632" s="24" t="s">
        <v>953</v>
      </c>
      <c r="B1632" s="24">
        <v>95.64</v>
      </c>
    </row>
    <row r="1633" spans="1:2" ht="15.75" customHeight="1" x14ac:dyDescent="0.4">
      <c r="A1633" s="24" t="s">
        <v>365</v>
      </c>
      <c r="B1633" s="24">
        <v>0</v>
      </c>
    </row>
    <row r="1634" spans="1:2" ht="15.75" customHeight="1" x14ac:dyDescent="0.4">
      <c r="A1634" s="24" t="s">
        <v>949</v>
      </c>
      <c r="B1634" s="24">
        <v>10.43</v>
      </c>
    </row>
    <row r="1635" spans="1:2" ht="15.75" customHeight="1" x14ac:dyDescent="0.4">
      <c r="A1635" s="24" t="s">
        <v>426</v>
      </c>
      <c r="B1635" s="24">
        <v>12.5</v>
      </c>
    </row>
    <row r="1636" spans="1:2" ht="15.75" customHeight="1" x14ac:dyDescent="0.4">
      <c r="A1636" s="24" t="s">
        <v>373</v>
      </c>
      <c r="B1636" s="24">
        <v>20</v>
      </c>
    </row>
    <row r="1637" spans="1:2" ht="15.75" customHeight="1" x14ac:dyDescent="0.4">
      <c r="A1637" s="24" t="s">
        <v>565</v>
      </c>
      <c r="B1637" s="24">
        <v>0</v>
      </c>
    </row>
    <row r="1638" spans="1:2" ht="15.75" customHeight="1" x14ac:dyDescent="0.4">
      <c r="A1638" s="24" t="s">
        <v>829</v>
      </c>
      <c r="B1638" s="24">
        <v>0.12</v>
      </c>
    </row>
    <row r="1639" spans="1:2" ht="15.75" customHeight="1" x14ac:dyDescent="0.4">
      <c r="A1639" s="24" t="s">
        <v>415</v>
      </c>
      <c r="B1639" s="24">
        <v>16.850000000000001</v>
      </c>
    </row>
    <row r="1640" spans="1:2" ht="15.75" customHeight="1" x14ac:dyDescent="0.4">
      <c r="A1640" s="24" t="s">
        <v>887</v>
      </c>
      <c r="B1640" s="24">
        <v>38.96</v>
      </c>
    </row>
    <row r="1641" spans="1:2" ht="15.75" customHeight="1" x14ac:dyDescent="0.4">
      <c r="A1641" s="24" t="s">
        <v>323</v>
      </c>
      <c r="B1641" s="24">
        <v>0</v>
      </c>
    </row>
    <row r="1642" spans="1:2" ht="15.75" customHeight="1" x14ac:dyDescent="0.4">
      <c r="A1642" s="24" t="s">
        <v>537</v>
      </c>
      <c r="B1642" s="24">
        <v>0</v>
      </c>
    </row>
    <row r="1643" spans="1:2" ht="15.75" customHeight="1" x14ac:dyDescent="0.4">
      <c r="A1643" s="24" t="s">
        <v>459</v>
      </c>
      <c r="B1643" s="24">
        <v>0</v>
      </c>
    </row>
    <row r="1644" spans="1:2" ht="15.75" customHeight="1" x14ac:dyDescent="0.4">
      <c r="A1644" s="24" t="s">
        <v>698</v>
      </c>
      <c r="B1644" s="24">
        <v>24.85</v>
      </c>
    </row>
    <row r="1645" spans="1:2" ht="15.75" customHeight="1" x14ac:dyDescent="0.4">
      <c r="A1645" s="24" t="s">
        <v>983</v>
      </c>
      <c r="B1645" s="24">
        <v>74.02</v>
      </c>
    </row>
    <row r="1646" spans="1:2" ht="15.75" customHeight="1" x14ac:dyDescent="0.4">
      <c r="A1646" s="24" t="s">
        <v>571</v>
      </c>
      <c r="B1646" s="24">
        <v>1.51</v>
      </c>
    </row>
    <row r="1647" spans="1:2" ht="15.75" customHeight="1" x14ac:dyDescent="0.4">
      <c r="A1647" s="24" t="s">
        <v>437</v>
      </c>
      <c r="B1647" s="24">
        <v>12.5</v>
      </c>
    </row>
    <row r="1648" spans="1:2" ht="15.75" customHeight="1" x14ac:dyDescent="0.4">
      <c r="A1648" s="24" t="s">
        <v>899</v>
      </c>
      <c r="B1648" s="24">
        <v>0</v>
      </c>
    </row>
    <row r="1649" spans="1:2" ht="15.75" customHeight="1" x14ac:dyDescent="0.4">
      <c r="A1649" s="24" t="s">
        <v>420</v>
      </c>
      <c r="B1649" s="24">
        <v>20</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571"/>
  <sheetViews>
    <sheetView zoomScaleNormal="100" workbookViewId="0"/>
  </sheetViews>
  <sheetFormatPr defaultColWidth="12.6328125" defaultRowHeight="14.5" x14ac:dyDescent="0.4"/>
  <cols>
    <col min="2" max="2" width="48.54296875" customWidth="1"/>
    <col min="3" max="3" width="53.26953125" customWidth="1"/>
  </cols>
  <sheetData>
    <row r="1" spans="1:3" ht="15.75" customHeight="1" x14ac:dyDescent="0.4">
      <c r="A1" s="24" t="s">
        <v>213</v>
      </c>
      <c r="B1" s="24" t="s">
        <v>2199</v>
      </c>
      <c r="C1" s="24" t="s">
        <v>2200</v>
      </c>
    </row>
    <row r="2" spans="1:3" ht="15.75" customHeight="1" x14ac:dyDescent="0.4">
      <c r="A2" s="24" t="s">
        <v>1334</v>
      </c>
      <c r="B2" s="67">
        <v>44902.598611111098</v>
      </c>
      <c r="C2" s="68">
        <v>44761.643750000003</v>
      </c>
    </row>
    <row r="3" spans="1:3" ht="15.75" customHeight="1" x14ac:dyDescent="0.4">
      <c r="A3" s="24" t="s">
        <v>1830</v>
      </c>
      <c r="B3" s="67">
        <v>44780.685416666704</v>
      </c>
      <c r="C3" s="24" t="s">
        <v>826</v>
      </c>
    </row>
    <row r="4" spans="1:3" ht="15.75" customHeight="1" x14ac:dyDescent="0.4">
      <c r="A4" s="24" t="s">
        <v>1122</v>
      </c>
      <c r="B4" s="67">
        <v>44749.969444444498</v>
      </c>
      <c r="C4" s="68">
        <v>44763.625</v>
      </c>
    </row>
    <row r="5" spans="1:3" ht="15.75" customHeight="1" x14ac:dyDescent="0.4">
      <c r="A5" s="24" t="s">
        <v>1945</v>
      </c>
      <c r="B5" s="24" t="s">
        <v>2201</v>
      </c>
      <c r="C5" s="68">
        <v>44741.468055555597</v>
      </c>
    </row>
    <row r="6" spans="1:3" ht="15.75" customHeight="1" x14ac:dyDescent="0.4">
      <c r="A6" s="24" t="s">
        <v>1065</v>
      </c>
      <c r="B6" s="67">
        <v>44902.737500000003</v>
      </c>
      <c r="C6" s="24" t="s">
        <v>826</v>
      </c>
    </row>
    <row r="7" spans="1:3" ht="15.75" customHeight="1" x14ac:dyDescent="0.4">
      <c r="A7" s="24" t="s">
        <v>451</v>
      </c>
      <c r="B7" s="67">
        <v>44902.5534722222</v>
      </c>
      <c r="C7" s="68">
        <v>44758.582638888904</v>
      </c>
    </row>
    <row r="8" spans="1:3" ht="15.75" customHeight="1" x14ac:dyDescent="0.4">
      <c r="A8" s="24" t="s">
        <v>420</v>
      </c>
      <c r="B8" s="67">
        <v>44872.912499999999</v>
      </c>
      <c r="C8" s="24" t="s">
        <v>826</v>
      </c>
    </row>
    <row r="9" spans="1:3" ht="15.75" customHeight="1" x14ac:dyDescent="0.4">
      <c r="A9" s="24" t="s">
        <v>899</v>
      </c>
      <c r="B9" s="67">
        <v>44872.865277777797</v>
      </c>
      <c r="C9" s="24" t="s">
        <v>826</v>
      </c>
    </row>
    <row r="10" spans="1:3" ht="15.75" customHeight="1" x14ac:dyDescent="0.4">
      <c r="A10" s="24" t="s">
        <v>437</v>
      </c>
      <c r="B10" s="67">
        <v>44872.851388888899</v>
      </c>
      <c r="C10" s="24" t="s">
        <v>826</v>
      </c>
    </row>
    <row r="11" spans="1:3" ht="15.75" customHeight="1" x14ac:dyDescent="0.4">
      <c r="A11" s="24" t="s">
        <v>864</v>
      </c>
      <c r="B11" s="67">
        <v>44872.824999999997</v>
      </c>
      <c r="C11" s="68">
        <v>44758.772916666698</v>
      </c>
    </row>
    <row r="12" spans="1:3" ht="15.75" customHeight="1" x14ac:dyDescent="0.4">
      <c r="A12" s="24" t="s">
        <v>1058</v>
      </c>
      <c r="B12" s="67">
        <v>44872.802777777797</v>
      </c>
      <c r="C12" s="68">
        <v>44758.783333333296</v>
      </c>
    </row>
    <row r="13" spans="1:3" ht="15.75" customHeight="1" x14ac:dyDescent="0.4">
      <c r="A13" s="24" t="s">
        <v>539</v>
      </c>
      <c r="B13" s="67">
        <v>44872.797222222202</v>
      </c>
      <c r="C13" s="24" t="s">
        <v>826</v>
      </c>
    </row>
    <row r="14" spans="1:3" ht="15.75" customHeight="1" x14ac:dyDescent="0.4">
      <c r="A14" s="24" t="s">
        <v>571</v>
      </c>
      <c r="B14" s="67">
        <v>44872.795138888898</v>
      </c>
      <c r="C14" s="24" t="s">
        <v>826</v>
      </c>
    </row>
    <row r="15" spans="1:3" ht="15.75" customHeight="1" x14ac:dyDescent="0.4">
      <c r="A15" s="24" t="s">
        <v>1966</v>
      </c>
      <c r="B15" s="67">
        <v>44872.793749999997</v>
      </c>
      <c r="C15" s="68">
        <v>44762.831944444399</v>
      </c>
    </row>
    <row r="16" spans="1:3" ht="15.75" customHeight="1" x14ac:dyDescent="0.4">
      <c r="A16" s="24" t="s">
        <v>1245</v>
      </c>
      <c r="B16" s="67">
        <v>44872.793749999997</v>
      </c>
      <c r="C16" s="68">
        <v>44759.545138888898</v>
      </c>
    </row>
    <row r="17" spans="1:3" ht="15.75" customHeight="1" x14ac:dyDescent="0.4">
      <c r="A17" s="24" t="s">
        <v>983</v>
      </c>
      <c r="B17" s="67">
        <v>44872.786111111098</v>
      </c>
      <c r="C17" s="68">
        <v>44763.868750000001</v>
      </c>
    </row>
    <row r="18" spans="1:3" ht="15.75" customHeight="1" x14ac:dyDescent="0.4">
      <c r="A18" s="24" t="s">
        <v>1317</v>
      </c>
      <c r="B18" s="67">
        <v>44872.776388888902</v>
      </c>
      <c r="C18" s="68">
        <v>44766.715277777803</v>
      </c>
    </row>
    <row r="19" spans="1:3" ht="15.75" customHeight="1" x14ac:dyDescent="0.4">
      <c r="A19" s="24" t="s">
        <v>1976</v>
      </c>
      <c r="B19" s="67">
        <v>44872.774305555598</v>
      </c>
      <c r="C19" s="68">
        <v>44756.8347222222</v>
      </c>
    </row>
    <row r="20" spans="1:3" ht="15.75" customHeight="1" x14ac:dyDescent="0.4">
      <c r="A20" s="24" t="s">
        <v>1155</v>
      </c>
      <c r="B20" s="67">
        <v>44872.749305555597</v>
      </c>
      <c r="C20" s="68">
        <v>44758.546527777798</v>
      </c>
    </row>
    <row r="21" spans="1:3" ht="15.75" customHeight="1" x14ac:dyDescent="0.4">
      <c r="A21" s="24" t="s">
        <v>1045</v>
      </c>
      <c r="B21" s="67">
        <v>44872.747916666704</v>
      </c>
      <c r="C21" s="68">
        <v>44761.770138888904</v>
      </c>
    </row>
    <row r="22" spans="1:3" ht="15.75" customHeight="1" x14ac:dyDescent="0.4">
      <c r="A22" s="24" t="s">
        <v>1459</v>
      </c>
      <c r="B22" s="67">
        <v>44872.741666666698</v>
      </c>
      <c r="C22" s="68">
        <v>44762.563888888901</v>
      </c>
    </row>
    <row r="23" spans="1:3" ht="15.75" customHeight="1" x14ac:dyDescent="0.4">
      <c r="A23" s="24" t="s">
        <v>764</v>
      </c>
      <c r="B23" s="67">
        <v>44872.7319444444</v>
      </c>
      <c r="C23" s="68">
        <v>44769.7944444444</v>
      </c>
    </row>
    <row r="24" spans="1:3" ht="15.75" customHeight="1" x14ac:dyDescent="0.4">
      <c r="A24" s="24" t="s">
        <v>698</v>
      </c>
      <c r="B24" s="67">
        <v>44872.728472222203</v>
      </c>
      <c r="C24" s="68">
        <v>44764.670833333301</v>
      </c>
    </row>
    <row r="25" spans="1:3" ht="15.75" customHeight="1" x14ac:dyDescent="0.4">
      <c r="A25" s="24" t="s">
        <v>459</v>
      </c>
      <c r="B25" s="67">
        <v>44872.721527777801</v>
      </c>
      <c r="C25" s="24" t="s">
        <v>826</v>
      </c>
    </row>
    <row r="26" spans="1:3" ht="15.75" customHeight="1" x14ac:dyDescent="0.4">
      <c r="A26" s="24" t="s">
        <v>1838</v>
      </c>
      <c r="B26" s="67">
        <v>44872.720138888901</v>
      </c>
      <c r="C26" s="24" t="s">
        <v>826</v>
      </c>
    </row>
    <row r="27" spans="1:3" ht="15.75" customHeight="1" x14ac:dyDescent="0.4">
      <c r="A27" s="24" t="s">
        <v>2139</v>
      </c>
      <c r="B27" s="67">
        <v>44872.719444444498</v>
      </c>
      <c r="C27" s="24" t="s">
        <v>826</v>
      </c>
    </row>
    <row r="28" spans="1:3" ht="15.75" customHeight="1" x14ac:dyDescent="0.4">
      <c r="A28" s="24" t="s">
        <v>675</v>
      </c>
      <c r="B28" s="67">
        <v>44872.714583333298</v>
      </c>
      <c r="C28" s="68">
        <v>44756.707638888904</v>
      </c>
    </row>
    <row r="29" spans="1:3" ht="15.75" customHeight="1" x14ac:dyDescent="0.4">
      <c r="A29" s="24" t="s">
        <v>2000</v>
      </c>
      <c r="B29" s="67">
        <v>44872.713194444397</v>
      </c>
      <c r="C29" s="68">
        <v>44762.525694444397</v>
      </c>
    </row>
    <row r="30" spans="1:3" ht="15.75" customHeight="1" x14ac:dyDescent="0.4">
      <c r="A30" s="24" t="s">
        <v>1788</v>
      </c>
      <c r="B30" s="67">
        <v>44872.710416666698</v>
      </c>
      <c r="C30" s="24" t="s">
        <v>826</v>
      </c>
    </row>
    <row r="31" spans="1:3" ht="15.75" customHeight="1" x14ac:dyDescent="0.4">
      <c r="A31" s="24" t="s">
        <v>2125</v>
      </c>
      <c r="B31" s="67">
        <v>44872.706944444399</v>
      </c>
      <c r="C31" s="68">
        <v>44765.583333333299</v>
      </c>
    </row>
    <row r="32" spans="1:3" ht="15.75" customHeight="1" x14ac:dyDescent="0.4">
      <c r="A32" s="24" t="s">
        <v>869</v>
      </c>
      <c r="B32" s="67">
        <v>44872.704861111102</v>
      </c>
      <c r="C32" s="68">
        <v>44759.665972222203</v>
      </c>
    </row>
    <row r="33" spans="1:3" ht="15.75" customHeight="1" x14ac:dyDescent="0.4">
      <c r="A33" s="24" t="s">
        <v>1842</v>
      </c>
      <c r="B33" s="67">
        <v>44872.704166666699</v>
      </c>
      <c r="C33" s="68">
        <v>44757.925694444399</v>
      </c>
    </row>
    <row r="34" spans="1:3" ht="15.75" customHeight="1" x14ac:dyDescent="0.4">
      <c r="A34" s="24" t="s">
        <v>1345</v>
      </c>
      <c r="B34" s="67">
        <v>44872.7006944444</v>
      </c>
      <c r="C34" s="24" t="s">
        <v>826</v>
      </c>
    </row>
    <row r="35" spans="1:3" ht="15.75" customHeight="1" x14ac:dyDescent="0.4">
      <c r="A35" s="24" t="s">
        <v>2068</v>
      </c>
      <c r="B35" s="67">
        <v>44872.697222222203</v>
      </c>
      <c r="C35" s="24" t="s">
        <v>826</v>
      </c>
    </row>
    <row r="36" spans="1:3" ht="15.75" customHeight="1" x14ac:dyDescent="0.4">
      <c r="A36" s="24" t="s">
        <v>938</v>
      </c>
      <c r="B36" s="67">
        <v>44872.6965277778</v>
      </c>
      <c r="C36" s="68">
        <v>44765.6875</v>
      </c>
    </row>
    <row r="37" spans="1:3" ht="15.75" customHeight="1" x14ac:dyDescent="0.4">
      <c r="A37" s="24" t="s">
        <v>1026</v>
      </c>
      <c r="B37" s="67">
        <v>44872.6965277778</v>
      </c>
      <c r="C37" s="68">
        <v>44760.699305555601</v>
      </c>
    </row>
    <row r="38" spans="1:3" ht="15.75" customHeight="1" x14ac:dyDescent="0.4">
      <c r="A38" s="24" t="s">
        <v>1308</v>
      </c>
      <c r="B38" s="67">
        <v>44872.6965277778</v>
      </c>
      <c r="C38" s="68">
        <v>44757.748611111099</v>
      </c>
    </row>
    <row r="39" spans="1:3" ht="15.75" customHeight="1" x14ac:dyDescent="0.4">
      <c r="A39" s="24" t="s">
        <v>1158</v>
      </c>
      <c r="B39" s="67">
        <v>44872.691666666702</v>
      </c>
      <c r="C39" s="68">
        <v>44761.817361111098</v>
      </c>
    </row>
    <row r="40" spans="1:3" ht="15.75" customHeight="1" x14ac:dyDescent="0.4">
      <c r="A40" s="24" t="s">
        <v>1175</v>
      </c>
      <c r="B40" s="67">
        <v>44872.691666666702</v>
      </c>
      <c r="C40" s="68">
        <v>44760.511111111096</v>
      </c>
    </row>
    <row r="41" spans="1:3" ht="15.75" customHeight="1" x14ac:dyDescent="0.4">
      <c r="A41" s="24" t="s">
        <v>1214</v>
      </c>
      <c r="B41" s="67">
        <v>44872.686111111099</v>
      </c>
      <c r="C41" s="68">
        <v>44762.872222222199</v>
      </c>
    </row>
    <row r="42" spans="1:3" ht="15.75" customHeight="1" x14ac:dyDescent="0.4">
      <c r="A42" s="24" t="s">
        <v>669</v>
      </c>
      <c r="B42" s="67">
        <v>44872.684722222199</v>
      </c>
      <c r="C42" s="24" t="s">
        <v>826</v>
      </c>
    </row>
    <row r="43" spans="1:3" ht="15.75" customHeight="1" x14ac:dyDescent="0.4">
      <c r="A43" s="24" t="s">
        <v>509</v>
      </c>
      <c r="B43" s="67">
        <v>44872.681944444397</v>
      </c>
      <c r="C43" s="68">
        <v>44758.561111111099</v>
      </c>
    </row>
    <row r="44" spans="1:3" ht="15.75" customHeight="1" x14ac:dyDescent="0.4">
      <c r="A44" s="24" t="s">
        <v>1272</v>
      </c>
      <c r="B44" s="67">
        <v>44872.680555555598</v>
      </c>
      <c r="C44" s="68">
        <v>44759.775000000001</v>
      </c>
    </row>
    <row r="45" spans="1:3" ht="15.75" customHeight="1" x14ac:dyDescent="0.4">
      <c r="A45" s="24" t="s">
        <v>1389</v>
      </c>
      <c r="B45" s="67">
        <v>44872.677083333299</v>
      </c>
      <c r="C45" s="68">
        <v>44761.790972222203</v>
      </c>
    </row>
    <row r="46" spans="1:3" ht="15.75" customHeight="1" x14ac:dyDescent="0.4">
      <c r="A46" s="24" t="s">
        <v>1904</v>
      </c>
      <c r="B46" s="67">
        <v>44872.676388888904</v>
      </c>
      <c r="C46" s="24" t="s">
        <v>826</v>
      </c>
    </row>
    <row r="47" spans="1:3" ht="15.75" customHeight="1" x14ac:dyDescent="0.4">
      <c r="A47" s="24" t="s">
        <v>799</v>
      </c>
      <c r="B47" s="67">
        <v>44872.676388888904</v>
      </c>
      <c r="C47" s="68">
        <v>44757.782638888901</v>
      </c>
    </row>
    <row r="48" spans="1:3" ht="15.75" customHeight="1" x14ac:dyDescent="0.4">
      <c r="A48" s="24" t="s">
        <v>1758</v>
      </c>
      <c r="B48" s="67">
        <v>44872.6743055556</v>
      </c>
      <c r="C48" s="68">
        <v>44757.463888888902</v>
      </c>
    </row>
    <row r="49" spans="1:3" ht="15.75" customHeight="1" x14ac:dyDescent="0.4">
      <c r="A49" s="24" t="s">
        <v>537</v>
      </c>
      <c r="B49" s="67">
        <v>44872.6743055556</v>
      </c>
      <c r="C49" s="24" t="s">
        <v>826</v>
      </c>
    </row>
    <row r="50" spans="1:3" ht="15.75" customHeight="1" x14ac:dyDescent="0.4">
      <c r="A50" s="24" t="s">
        <v>673</v>
      </c>
      <c r="B50" s="67">
        <v>44872.668055555601</v>
      </c>
      <c r="C50" s="24" t="s">
        <v>826</v>
      </c>
    </row>
    <row r="51" spans="1:3" ht="15.75" customHeight="1" x14ac:dyDescent="0.4">
      <c r="A51" s="24" t="s">
        <v>1092</v>
      </c>
      <c r="B51" s="67">
        <v>44872.663888888899</v>
      </c>
      <c r="C51" s="68">
        <v>44765.665972222203</v>
      </c>
    </row>
    <row r="52" spans="1:3" ht="15.75" customHeight="1" x14ac:dyDescent="0.4">
      <c r="A52" s="24" t="s">
        <v>1187</v>
      </c>
      <c r="B52" s="67">
        <v>44872.65625</v>
      </c>
      <c r="C52" s="68">
        <v>44756.606249999997</v>
      </c>
    </row>
    <row r="53" spans="1:3" ht="15.75" customHeight="1" x14ac:dyDescent="0.4">
      <c r="A53" s="24" t="s">
        <v>1621</v>
      </c>
      <c r="B53" s="67">
        <v>44872.654861111099</v>
      </c>
      <c r="C53" s="68">
        <v>44760.890972222202</v>
      </c>
    </row>
    <row r="54" spans="1:3" ht="15.75" customHeight="1" x14ac:dyDescent="0.4">
      <c r="A54" s="24" t="s">
        <v>1493</v>
      </c>
      <c r="B54" s="67">
        <v>44872.652083333298</v>
      </c>
      <c r="C54" s="68">
        <v>44764.870138888902</v>
      </c>
    </row>
    <row r="55" spans="1:3" ht="15.75" customHeight="1" x14ac:dyDescent="0.4">
      <c r="A55" s="24" t="s">
        <v>1848</v>
      </c>
      <c r="B55" s="67">
        <v>44872.651388888902</v>
      </c>
      <c r="C55" s="68">
        <v>44763.751388888901</v>
      </c>
    </row>
    <row r="56" spans="1:3" ht="15.75" customHeight="1" x14ac:dyDescent="0.4">
      <c r="A56" s="24" t="s">
        <v>2132</v>
      </c>
      <c r="B56" s="67">
        <v>44872.651388888902</v>
      </c>
      <c r="C56" s="24" t="s">
        <v>826</v>
      </c>
    </row>
    <row r="57" spans="1:3" ht="15.75" customHeight="1" x14ac:dyDescent="0.4">
      <c r="A57" s="24" t="s">
        <v>1437</v>
      </c>
      <c r="B57" s="67">
        <v>44872.650694444397</v>
      </c>
      <c r="C57" s="68">
        <v>44762.671527777798</v>
      </c>
    </row>
    <row r="58" spans="1:3" ht="15.75" customHeight="1" x14ac:dyDescent="0.4">
      <c r="A58" s="24" t="s">
        <v>975</v>
      </c>
      <c r="B58" s="67">
        <v>44872.645138888904</v>
      </c>
      <c r="C58" s="68">
        <v>44761.734722222202</v>
      </c>
    </row>
    <row r="59" spans="1:3" ht="15.75" customHeight="1" x14ac:dyDescent="0.4">
      <c r="A59" s="24" t="s">
        <v>1508</v>
      </c>
      <c r="B59" s="67">
        <v>44872.645138888904</v>
      </c>
      <c r="C59" s="68">
        <v>44762.520833333299</v>
      </c>
    </row>
    <row r="60" spans="1:3" ht="15.75" customHeight="1" x14ac:dyDescent="0.4">
      <c r="A60" s="24" t="s">
        <v>1126</v>
      </c>
      <c r="B60" s="67">
        <v>44872.644444444399</v>
      </c>
      <c r="C60" s="68">
        <v>44762.874305555597</v>
      </c>
    </row>
    <row r="61" spans="1:3" ht="15.75" customHeight="1" x14ac:dyDescent="0.4">
      <c r="A61" s="24" t="s">
        <v>397</v>
      </c>
      <c r="B61" s="67">
        <v>44872.643750000003</v>
      </c>
      <c r="C61" s="24" t="s">
        <v>826</v>
      </c>
    </row>
    <row r="62" spans="1:3" ht="15.75" customHeight="1" x14ac:dyDescent="0.4">
      <c r="A62" s="24" t="s">
        <v>2101</v>
      </c>
      <c r="B62" s="67">
        <v>44872.640972222202</v>
      </c>
      <c r="C62" s="68">
        <v>44759.90625</v>
      </c>
    </row>
    <row r="63" spans="1:3" ht="15.75" customHeight="1" x14ac:dyDescent="0.4">
      <c r="A63" s="24" t="s">
        <v>1528</v>
      </c>
      <c r="B63" s="67">
        <v>44872.639583333301</v>
      </c>
      <c r="C63" s="68">
        <v>44764.90625</v>
      </c>
    </row>
    <row r="64" spans="1:3" ht="15.75" customHeight="1" x14ac:dyDescent="0.4">
      <c r="A64" s="24" t="s">
        <v>1195</v>
      </c>
      <c r="B64" s="67">
        <v>44872.630555555603</v>
      </c>
      <c r="C64" s="68">
        <v>44764.750694444498</v>
      </c>
    </row>
    <row r="65" spans="1:3" ht="15.75" customHeight="1" x14ac:dyDescent="0.4">
      <c r="A65" s="24" t="s">
        <v>1399</v>
      </c>
      <c r="B65" s="67">
        <v>44872.625</v>
      </c>
      <c r="C65" s="68">
        <v>44764.907638888901</v>
      </c>
    </row>
    <row r="66" spans="1:3" ht="15.75" customHeight="1" x14ac:dyDescent="0.4">
      <c r="A66" s="24" t="s">
        <v>647</v>
      </c>
      <c r="B66" s="67">
        <v>44872.619444444397</v>
      </c>
      <c r="C66" s="24" t="s">
        <v>826</v>
      </c>
    </row>
    <row r="67" spans="1:3" ht="15.75" customHeight="1" x14ac:dyDescent="0.4">
      <c r="A67" s="24" t="s">
        <v>1685</v>
      </c>
      <c r="B67" s="67">
        <v>44872.617361111101</v>
      </c>
      <c r="C67" s="68">
        <v>44754.867361111101</v>
      </c>
    </row>
    <row r="68" spans="1:3" ht="15.75" customHeight="1" x14ac:dyDescent="0.4">
      <c r="A68" s="24" t="s">
        <v>1121</v>
      </c>
      <c r="B68" s="67">
        <v>44872.614583333299</v>
      </c>
      <c r="C68" s="68">
        <v>44762.738194444399</v>
      </c>
    </row>
    <row r="69" spans="1:3" ht="15.75" customHeight="1" x14ac:dyDescent="0.4">
      <c r="A69" s="24" t="s">
        <v>1586</v>
      </c>
      <c r="B69" s="67">
        <v>44872.6069444444</v>
      </c>
      <c r="C69" s="68">
        <v>44758.645138888904</v>
      </c>
    </row>
    <row r="70" spans="1:3" ht="15.75" customHeight="1" x14ac:dyDescent="0.4">
      <c r="A70" s="24" t="s">
        <v>1924</v>
      </c>
      <c r="B70" s="67">
        <v>44872.6027777778</v>
      </c>
      <c r="C70" s="68">
        <v>44762.609027777798</v>
      </c>
    </row>
    <row r="71" spans="1:3" ht="15.75" customHeight="1" x14ac:dyDescent="0.4">
      <c r="A71" s="24" t="s">
        <v>323</v>
      </c>
      <c r="B71" s="67">
        <v>44872.601388888899</v>
      </c>
      <c r="C71" s="24" t="s">
        <v>826</v>
      </c>
    </row>
    <row r="72" spans="1:3" ht="15.75" customHeight="1" x14ac:dyDescent="0.4">
      <c r="A72" s="24" t="s">
        <v>591</v>
      </c>
      <c r="B72" s="67">
        <v>44872.595833333296</v>
      </c>
      <c r="C72" s="68">
        <v>44758.833333333299</v>
      </c>
    </row>
    <row r="73" spans="1:3" ht="15.75" customHeight="1" x14ac:dyDescent="0.4">
      <c r="A73" s="24" t="s">
        <v>1564</v>
      </c>
      <c r="B73" s="67">
        <v>44872.593055555597</v>
      </c>
      <c r="C73" s="24" t="s">
        <v>826</v>
      </c>
    </row>
    <row r="74" spans="1:3" ht="15.75" customHeight="1" x14ac:dyDescent="0.4">
      <c r="A74" s="24" t="s">
        <v>391</v>
      </c>
      <c r="B74" s="67">
        <v>44872.588194444397</v>
      </c>
      <c r="C74" s="24" t="s">
        <v>826</v>
      </c>
    </row>
    <row r="75" spans="1:3" ht="15.75" customHeight="1" x14ac:dyDescent="0.4">
      <c r="A75" s="24" t="s">
        <v>1082</v>
      </c>
      <c r="B75" s="67">
        <v>44872.5847222222</v>
      </c>
      <c r="C75" s="24" t="s">
        <v>826</v>
      </c>
    </row>
    <row r="76" spans="1:3" ht="15.75" customHeight="1" x14ac:dyDescent="0.4">
      <c r="A76" s="24" t="s">
        <v>1206</v>
      </c>
      <c r="B76" s="67">
        <v>44872.584027777797</v>
      </c>
      <c r="C76" s="68">
        <v>44759.831944444399</v>
      </c>
    </row>
    <row r="77" spans="1:3" ht="15.75" customHeight="1" x14ac:dyDescent="0.4">
      <c r="A77" s="24" t="s">
        <v>2161</v>
      </c>
      <c r="B77" s="67">
        <v>44872.581250000003</v>
      </c>
      <c r="C77" s="68">
        <v>44758.720833333296</v>
      </c>
    </row>
    <row r="78" spans="1:3" ht="15.75" customHeight="1" x14ac:dyDescent="0.4">
      <c r="A78" s="24" t="s">
        <v>1310</v>
      </c>
      <c r="B78" s="67">
        <v>44872.581250000003</v>
      </c>
      <c r="C78" s="24" t="s">
        <v>826</v>
      </c>
    </row>
    <row r="79" spans="1:3" ht="15.75" customHeight="1" x14ac:dyDescent="0.4">
      <c r="A79" s="24" t="s">
        <v>1791</v>
      </c>
      <c r="B79" s="67">
        <v>44872.577777777798</v>
      </c>
      <c r="C79" s="68">
        <v>44762.831250000003</v>
      </c>
    </row>
    <row r="80" spans="1:3" ht="15.75" customHeight="1" x14ac:dyDescent="0.4">
      <c r="A80" s="24" t="s">
        <v>1368</v>
      </c>
      <c r="B80" s="67">
        <v>44872.576388888898</v>
      </c>
      <c r="C80" s="68">
        <v>44766.797916666699</v>
      </c>
    </row>
    <row r="81" spans="1:3" ht="15.75" customHeight="1" x14ac:dyDescent="0.4">
      <c r="A81" s="24" t="s">
        <v>1555</v>
      </c>
      <c r="B81" s="67">
        <v>44872.574999999997</v>
      </c>
      <c r="C81" s="24" t="s">
        <v>826</v>
      </c>
    </row>
    <row r="82" spans="1:3" ht="15.75" customHeight="1" x14ac:dyDescent="0.4">
      <c r="A82" s="24" t="s">
        <v>1499</v>
      </c>
      <c r="B82" s="67">
        <v>44872.572916666701</v>
      </c>
      <c r="C82" s="24" t="s">
        <v>826</v>
      </c>
    </row>
    <row r="83" spans="1:3" ht="15.75" customHeight="1" x14ac:dyDescent="0.4">
      <c r="A83" s="24" t="s">
        <v>750</v>
      </c>
      <c r="B83" s="67">
        <v>44872.561805555597</v>
      </c>
      <c r="C83" s="24" t="s">
        <v>826</v>
      </c>
    </row>
    <row r="84" spans="1:3" ht="15.75" customHeight="1" x14ac:dyDescent="0.4">
      <c r="A84" s="24" t="s">
        <v>887</v>
      </c>
      <c r="B84" s="67">
        <v>44872.552777777797</v>
      </c>
      <c r="C84" s="24" t="s">
        <v>826</v>
      </c>
    </row>
    <row r="85" spans="1:3" ht="15.75" customHeight="1" x14ac:dyDescent="0.4">
      <c r="A85" s="24" t="s">
        <v>1127</v>
      </c>
      <c r="B85" s="67">
        <v>44872.551388888904</v>
      </c>
      <c r="C85" s="68">
        <v>44759.585416666698</v>
      </c>
    </row>
    <row r="86" spans="1:3" ht="15.75" customHeight="1" x14ac:dyDescent="0.4">
      <c r="A86" s="24" t="s">
        <v>943</v>
      </c>
      <c r="B86" s="67">
        <v>44872.550694444399</v>
      </c>
      <c r="C86" s="68">
        <v>44759.811111111099</v>
      </c>
    </row>
    <row r="87" spans="1:3" ht="15.75" customHeight="1" x14ac:dyDescent="0.4">
      <c r="A87" s="24" t="s">
        <v>1598</v>
      </c>
      <c r="B87" s="67">
        <v>44872.55</v>
      </c>
      <c r="C87" s="68">
        <v>44757.783333333296</v>
      </c>
    </row>
    <row r="88" spans="1:3" ht="15.75" customHeight="1" x14ac:dyDescent="0.4">
      <c r="A88" s="24" t="s">
        <v>1341</v>
      </c>
      <c r="B88" s="67">
        <v>44872.545138888898</v>
      </c>
      <c r="C88" s="68">
        <v>44772.874305555597</v>
      </c>
    </row>
    <row r="89" spans="1:3" ht="15.75" customHeight="1" x14ac:dyDescent="0.4">
      <c r="A89" s="24" t="s">
        <v>1342</v>
      </c>
      <c r="B89" s="67">
        <v>44872.540972222203</v>
      </c>
      <c r="C89" s="68">
        <v>44759.9597222222</v>
      </c>
    </row>
    <row r="90" spans="1:3" ht="15.75" customHeight="1" x14ac:dyDescent="0.4">
      <c r="A90" s="24" t="s">
        <v>2071</v>
      </c>
      <c r="B90" s="67">
        <v>44872.529861111099</v>
      </c>
      <c r="C90" s="68">
        <v>44757.738888888904</v>
      </c>
    </row>
    <row r="91" spans="1:3" ht="15.75" customHeight="1" x14ac:dyDescent="0.4">
      <c r="A91" s="24" t="s">
        <v>1294</v>
      </c>
      <c r="B91" s="67">
        <v>44872.525000000001</v>
      </c>
      <c r="C91" s="68">
        <v>44758.744444444397</v>
      </c>
    </row>
    <row r="92" spans="1:3" ht="15.75" customHeight="1" x14ac:dyDescent="0.4">
      <c r="A92" s="24" t="s">
        <v>758</v>
      </c>
      <c r="B92" s="67">
        <v>44872.521527777797</v>
      </c>
      <c r="C92" s="24" t="s">
        <v>826</v>
      </c>
    </row>
    <row r="93" spans="1:3" ht="15.75" customHeight="1" x14ac:dyDescent="0.4">
      <c r="A93" s="24" t="s">
        <v>742</v>
      </c>
      <c r="B93" s="67">
        <v>44872.518750000003</v>
      </c>
      <c r="C93" s="68">
        <v>44757.774305555598</v>
      </c>
    </row>
    <row r="94" spans="1:3" ht="15.75" customHeight="1" x14ac:dyDescent="0.4">
      <c r="A94" s="24" t="s">
        <v>426</v>
      </c>
      <c r="B94" s="67">
        <v>44872.517361111102</v>
      </c>
      <c r="C94" s="68">
        <v>44757.434027777803</v>
      </c>
    </row>
    <row r="95" spans="1:3" ht="15.75" customHeight="1" x14ac:dyDescent="0.4">
      <c r="A95" s="24" t="s">
        <v>1117</v>
      </c>
      <c r="B95" s="67">
        <v>44872.499305555597</v>
      </c>
      <c r="C95" s="24" t="s">
        <v>826</v>
      </c>
    </row>
    <row r="96" spans="1:3" ht="15.75" customHeight="1" x14ac:dyDescent="0.4">
      <c r="A96" s="24" t="s">
        <v>838</v>
      </c>
      <c r="B96" s="67">
        <v>44872.499305555597</v>
      </c>
      <c r="C96" s="24" t="s">
        <v>826</v>
      </c>
    </row>
    <row r="97" spans="1:3" ht="15.75" customHeight="1" x14ac:dyDescent="0.4">
      <c r="A97" s="24" t="s">
        <v>1372</v>
      </c>
      <c r="B97" s="67">
        <v>44872.489583333299</v>
      </c>
      <c r="C97" s="24" t="s">
        <v>826</v>
      </c>
    </row>
    <row r="98" spans="1:3" ht="15.75" customHeight="1" x14ac:dyDescent="0.4">
      <c r="A98" s="24" t="s">
        <v>415</v>
      </c>
      <c r="B98" s="67">
        <v>44872.488888888904</v>
      </c>
      <c r="C98" s="24" t="s">
        <v>826</v>
      </c>
    </row>
    <row r="99" spans="1:3" ht="15.75" customHeight="1" x14ac:dyDescent="0.4">
      <c r="A99" s="24" t="s">
        <v>952</v>
      </c>
      <c r="B99" s="67">
        <v>44872.485416666699</v>
      </c>
      <c r="C99" s="24" t="s">
        <v>826</v>
      </c>
    </row>
    <row r="100" spans="1:3" ht="15.75" customHeight="1" x14ac:dyDescent="0.4">
      <c r="A100" s="24" t="s">
        <v>1449</v>
      </c>
      <c r="B100" s="67">
        <v>44872.484027777798</v>
      </c>
      <c r="C100" s="68">
        <v>44756.773611111101</v>
      </c>
    </row>
    <row r="101" spans="1:3" ht="15.75" customHeight="1" x14ac:dyDescent="0.4">
      <c r="A101" s="24" t="s">
        <v>1803</v>
      </c>
      <c r="B101" s="67">
        <v>44872.479861111096</v>
      </c>
      <c r="C101" s="68">
        <v>44757.543055555601</v>
      </c>
    </row>
    <row r="102" spans="1:3" ht="15.75" customHeight="1" x14ac:dyDescent="0.4">
      <c r="A102" s="24" t="s">
        <v>807</v>
      </c>
      <c r="B102" s="67">
        <v>44872.476388888899</v>
      </c>
      <c r="C102" s="68">
        <v>44753.617361111101</v>
      </c>
    </row>
    <row r="103" spans="1:3" ht="15.75" customHeight="1" x14ac:dyDescent="0.4">
      <c r="A103" s="24" t="s">
        <v>1169</v>
      </c>
      <c r="B103" s="67">
        <v>44872.473611111098</v>
      </c>
      <c r="C103" s="68">
        <v>44758.822916666701</v>
      </c>
    </row>
    <row r="104" spans="1:3" ht="15.75" customHeight="1" x14ac:dyDescent="0.4">
      <c r="A104" s="24" t="s">
        <v>1762</v>
      </c>
      <c r="B104" s="67">
        <v>44872.465972222199</v>
      </c>
      <c r="C104" s="68">
        <v>44756.711111111101</v>
      </c>
    </row>
    <row r="105" spans="1:3" ht="15.75" customHeight="1" x14ac:dyDescent="0.4">
      <c r="A105" s="24" t="s">
        <v>752</v>
      </c>
      <c r="B105" s="67">
        <v>44872.458333333299</v>
      </c>
      <c r="C105" s="68">
        <v>44758.726388888899</v>
      </c>
    </row>
    <row r="106" spans="1:3" ht="15.75" customHeight="1" x14ac:dyDescent="0.4">
      <c r="A106" s="24" t="s">
        <v>1423</v>
      </c>
      <c r="B106" s="67">
        <v>44872.453472222202</v>
      </c>
      <c r="C106" s="68">
        <v>44765.504166666702</v>
      </c>
    </row>
    <row r="107" spans="1:3" ht="15.75" customHeight="1" x14ac:dyDescent="0.4">
      <c r="A107" s="24" t="s">
        <v>525</v>
      </c>
      <c r="B107" s="67">
        <v>44872.445138888899</v>
      </c>
      <c r="C107" s="68">
        <v>44758.547222222202</v>
      </c>
    </row>
    <row r="108" spans="1:3" ht="15.75" customHeight="1" x14ac:dyDescent="0.4">
      <c r="A108" s="24" t="s">
        <v>2047</v>
      </c>
      <c r="B108" s="67">
        <v>44872.438888888901</v>
      </c>
      <c r="C108" s="24" t="s">
        <v>826</v>
      </c>
    </row>
    <row r="109" spans="1:3" ht="15.75" customHeight="1" x14ac:dyDescent="0.4">
      <c r="A109" s="24" t="s">
        <v>1190</v>
      </c>
      <c r="B109" s="67">
        <v>44872.352083333302</v>
      </c>
      <c r="C109" s="68">
        <v>44757.611111111102</v>
      </c>
    </row>
    <row r="110" spans="1:3" ht="15.75" customHeight="1" x14ac:dyDescent="0.4">
      <c r="A110" s="24" t="s">
        <v>685</v>
      </c>
      <c r="B110" s="67">
        <v>44872.122222222199</v>
      </c>
      <c r="C110" s="24" t="s">
        <v>826</v>
      </c>
    </row>
    <row r="111" spans="1:3" ht="15.75" customHeight="1" x14ac:dyDescent="0.4">
      <c r="A111" s="24" t="s">
        <v>1658</v>
      </c>
      <c r="B111" s="67">
        <v>44872.045833333301</v>
      </c>
      <c r="C111" s="68">
        <v>44763.820138888899</v>
      </c>
    </row>
    <row r="112" spans="1:3" ht="15.75" customHeight="1" x14ac:dyDescent="0.4">
      <c r="A112" s="24" t="s">
        <v>829</v>
      </c>
      <c r="B112" s="67">
        <v>44872.015277777798</v>
      </c>
      <c r="C112" s="24" t="s">
        <v>826</v>
      </c>
    </row>
    <row r="113" spans="1:3" ht="15.75" customHeight="1" x14ac:dyDescent="0.4">
      <c r="A113" s="24" t="s">
        <v>1011</v>
      </c>
      <c r="B113" s="67">
        <v>44872.011111111096</v>
      </c>
      <c r="C113" s="24" t="s">
        <v>826</v>
      </c>
    </row>
    <row r="114" spans="1:3" ht="15.75" customHeight="1" x14ac:dyDescent="0.4">
      <c r="A114" s="24" t="s">
        <v>913</v>
      </c>
      <c r="B114" s="67">
        <v>44872.005555555603</v>
      </c>
      <c r="C114" s="68">
        <v>44763.848611111098</v>
      </c>
    </row>
    <row r="115" spans="1:3" ht="15.75" customHeight="1" x14ac:dyDescent="0.4">
      <c r="A115" s="24" t="s">
        <v>375</v>
      </c>
      <c r="B115" s="67">
        <v>44841.993750000001</v>
      </c>
      <c r="C115" s="24" t="s">
        <v>826</v>
      </c>
    </row>
    <row r="116" spans="1:3" ht="15.75" customHeight="1" x14ac:dyDescent="0.4">
      <c r="A116" s="24" t="s">
        <v>1716</v>
      </c>
      <c r="B116" s="67">
        <v>44841.988888888904</v>
      </c>
      <c r="C116" s="68">
        <v>44757.735416666699</v>
      </c>
    </row>
    <row r="117" spans="1:3" ht="15.75" customHeight="1" x14ac:dyDescent="0.4">
      <c r="A117" s="24" t="s">
        <v>583</v>
      </c>
      <c r="B117" s="67">
        <v>44841.9868055556</v>
      </c>
      <c r="C117" s="24" t="s">
        <v>826</v>
      </c>
    </row>
    <row r="118" spans="1:3" ht="15.75" customHeight="1" x14ac:dyDescent="0.4">
      <c r="A118" s="24" t="s">
        <v>2105</v>
      </c>
      <c r="B118" s="67">
        <v>44841.984722222202</v>
      </c>
      <c r="C118" s="68">
        <v>44756.541666666701</v>
      </c>
    </row>
    <row r="119" spans="1:3" ht="15.75" customHeight="1" x14ac:dyDescent="0.4">
      <c r="A119" s="24" t="s">
        <v>842</v>
      </c>
      <c r="B119" s="67">
        <v>44841.9819444444</v>
      </c>
      <c r="C119" s="68">
        <v>44764.858333333301</v>
      </c>
    </row>
    <row r="120" spans="1:3" ht="15.75" customHeight="1" x14ac:dyDescent="0.4">
      <c r="A120" s="24" t="s">
        <v>1750</v>
      </c>
      <c r="B120" s="67">
        <v>44841.960416666698</v>
      </c>
      <c r="C120" s="68">
        <v>44753.694444444503</v>
      </c>
    </row>
    <row r="121" spans="1:3" ht="15.75" customHeight="1" x14ac:dyDescent="0.4">
      <c r="A121" s="24" t="s">
        <v>1320</v>
      </c>
      <c r="B121" s="67">
        <v>44841.956944444399</v>
      </c>
      <c r="C121" s="68">
        <v>44760.7680555556</v>
      </c>
    </row>
    <row r="122" spans="1:3" ht="15.75" customHeight="1" x14ac:dyDescent="0.4">
      <c r="A122" s="24" t="s">
        <v>1198</v>
      </c>
      <c r="B122" s="67">
        <v>44841.956250000003</v>
      </c>
      <c r="C122" s="68">
        <v>44758.826388888898</v>
      </c>
    </row>
    <row r="123" spans="1:3" ht="15.75" customHeight="1" x14ac:dyDescent="0.4">
      <c r="A123" s="24" t="s">
        <v>1897</v>
      </c>
      <c r="B123" s="67">
        <v>44841.943749999999</v>
      </c>
      <c r="C123" s="68">
        <v>44763.522916666698</v>
      </c>
    </row>
    <row r="124" spans="1:3" ht="15.75" customHeight="1" x14ac:dyDescent="0.4">
      <c r="A124" s="24" t="s">
        <v>220</v>
      </c>
      <c r="B124" s="67">
        <v>44841.940972222197</v>
      </c>
      <c r="C124" s="68">
        <v>44762.789583333302</v>
      </c>
    </row>
    <row r="125" spans="1:3" ht="15.75" customHeight="1" x14ac:dyDescent="0.4">
      <c r="A125" s="24" t="s">
        <v>1841</v>
      </c>
      <c r="B125" s="67">
        <v>44841.935416666704</v>
      </c>
      <c r="C125" s="68">
        <v>44763.703472222202</v>
      </c>
    </row>
    <row r="126" spans="1:3" ht="15.75" customHeight="1" x14ac:dyDescent="0.4">
      <c r="A126" s="24" t="s">
        <v>1212</v>
      </c>
      <c r="B126" s="67">
        <v>44841.9194444444</v>
      </c>
      <c r="C126" s="68">
        <v>44765.737500000003</v>
      </c>
    </row>
    <row r="127" spans="1:3" ht="15.75" customHeight="1" x14ac:dyDescent="0.4">
      <c r="A127" s="24" t="s">
        <v>1879</v>
      </c>
      <c r="B127" s="67">
        <v>44841.911805555603</v>
      </c>
      <c r="C127" s="68">
        <v>44769.625694444498</v>
      </c>
    </row>
    <row r="128" spans="1:3" ht="15.75" customHeight="1" x14ac:dyDescent="0.4">
      <c r="A128" s="24" t="s">
        <v>1409</v>
      </c>
      <c r="B128" s="67">
        <v>44841.909027777801</v>
      </c>
      <c r="C128" s="68">
        <v>44762.878472222197</v>
      </c>
    </row>
    <row r="129" spans="1:3" ht="15.75" customHeight="1" x14ac:dyDescent="0.4">
      <c r="A129" s="24" t="s">
        <v>230</v>
      </c>
      <c r="B129" s="67">
        <v>44841.908333333296</v>
      </c>
      <c r="C129" s="24" t="s">
        <v>826</v>
      </c>
    </row>
    <row r="130" spans="1:3" ht="15.75" customHeight="1" x14ac:dyDescent="0.4">
      <c r="A130" s="24" t="s">
        <v>1326</v>
      </c>
      <c r="B130" s="67">
        <v>44841.90625</v>
      </c>
      <c r="C130" s="68">
        <v>44758.715277777803</v>
      </c>
    </row>
    <row r="131" spans="1:3" ht="15.75" customHeight="1" x14ac:dyDescent="0.4">
      <c r="A131" s="24" t="s">
        <v>565</v>
      </c>
      <c r="B131" s="67">
        <v>44841.902083333298</v>
      </c>
      <c r="C131" s="24" t="s">
        <v>826</v>
      </c>
    </row>
    <row r="132" spans="1:3" ht="15.75" customHeight="1" x14ac:dyDescent="0.4">
      <c r="A132" s="24" t="s">
        <v>1215</v>
      </c>
      <c r="B132" s="67">
        <v>44841.9</v>
      </c>
      <c r="C132" s="68">
        <v>44762.558333333298</v>
      </c>
    </row>
    <row r="133" spans="1:3" ht="15.75" customHeight="1" x14ac:dyDescent="0.4">
      <c r="A133" s="24" t="s">
        <v>1604</v>
      </c>
      <c r="B133" s="67">
        <v>44841.898611111101</v>
      </c>
      <c r="C133" s="68">
        <v>44758.546527777798</v>
      </c>
    </row>
    <row r="134" spans="1:3" ht="15.75" customHeight="1" x14ac:dyDescent="0.4">
      <c r="A134" s="24" t="s">
        <v>1149</v>
      </c>
      <c r="B134" s="67">
        <v>44841.896527777797</v>
      </c>
      <c r="C134" s="68">
        <v>44757.463888888902</v>
      </c>
    </row>
    <row r="135" spans="1:3" ht="15.75" customHeight="1" x14ac:dyDescent="0.4">
      <c r="A135" s="24" t="s">
        <v>1086</v>
      </c>
      <c r="B135" s="67">
        <v>44841.8930555556</v>
      </c>
      <c r="C135" s="68">
        <v>44766.443055555603</v>
      </c>
    </row>
    <row r="136" spans="1:3" ht="15.75" customHeight="1" x14ac:dyDescent="0.4">
      <c r="A136" s="24" t="s">
        <v>1128</v>
      </c>
      <c r="B136" s="67">
        <v>44841.887499999997</v>
      </c>
      <c r="C136" s="68">
        <v>44758.668055555601</v>
      </c>
    </row>
    <row r="137" spans="1:3" ht="15.75" customHeight="1" x14ac:dyDescent="0.4">
      <c r="A137" s="24" t="s">
        <v>543</v>
      </c>
      <c r="B137" s="67">
        <v>44841.887499999997</v>
      </c>
      <c r="C137" s="24" t="s">
        <v>826</v>
      </c>
    </row>
    <row r="138" spans="1:3" ht="15.75" customHeight="1" x14ac:dyDescent="0.4">
      <c r="A138" s="24" t="s">
        <v>1021</v>
      </c>
      <c r="B138" s="67">
        <v>44841.877083333296</v>
      </c>
      <c r="C138" s="68">
        <v>44762.7680555556</v>
      </c>
    </row>
    <row r="139" spans="1:3" ht="15.75" customHeight="1" x14ac:dyDescent="0.4">
      <c r="A139" s="24" t="s">
        <v>617</v>
      </c>
      <c r="B139" s="67">
        <v>44841.877083333296</v>
      </c>
      <c r="C139" s="68">
        <v>44754.820138888899</v>
      </c>
    </row>
    <row r="140" spans="1:3" ht="15.75" customHeight="1" x14ac:dyDescent="0.4">
      <c r="A140" s="24" t="s">
        <v>1591</v>
      </c>
      <c r="B140" s="67">
        <v>44841.872222222199</v>
      </c>
      <c r="C140" s="68">
        <v>44753.869444444397</v>
      </c>
    </row>
    <row r="141" spans="1:3" ht="15.75" customHeight="1" x14ac:dyDescent="0.4">
      <c r="A141" s="24" t="s">
        <v>2170</v>
      </c>
      <c r="B141" s="67">
        <v>44841.865277777797</v>
      </c>
      <c r="C141" s="68">
        <v>44763.75</v>
      </c>
    </row>
    <row r="142" spans="1:3" ht="15.75" customHeight="1" x14ac:dyDescent="0.4">
      <c r="A142" s="24" t="s">
        <v>1179</v>
      </c>
      <c r="B142" s="67">
        <v>44841.862500000003</v>
      </c>
      <c r="C142" s="68">
        <v>44762.801388888904</v>
      </c>
    </row>
    <row r="143" spans="1:3" ht="15.75" customHeight="1" x14ac:dyDescent="0.4">
      <c r="A143" s="24" t="s">
        <v>718</v>
      </c>
      <c r="B143" s="67">
        <v>44841.860416666699</v>
      </c>
      <c r="C143" s="68">
        <v>44760.818749999999</v>
      </c>
    </row>
    <row r="144" spans="1:3" ht="15.75" customHeight="1" x14ac:dyDescent="0.4">
      <c r="A144" s="24" t="s">
        <v>1745</v>
      </c>
      <c r="B144" s="67">
        <v>44841.8569444444</v>
      </c>
      <c r="C144" s="24" t="s">
        <v>826</v>
      </c>
    </row>
    <row r="145" spans="1:3" ht="15.75" customHeight="1" x14ac:dyDescent="0.4">
      <c r="A145" s="24" t="s">
        <v>1926</v>
      </c>
      <c r="B145" s="67">
        <v>44841.854861111096</v>
      </c>
      <c r="C145" s="68">
        <v>44757.7631944444</v>
      </c>
    </row>
    <row r="146" spans="1:3" ht="15.75" customHeight="1" x14ac:dyDescent="0.4">
      <c r="A146" s="24" t="s">
        <v>1807</v>
      </c>
      <c r="B146" s="67">
        <v>44841.8527777778</v>
      </c>
      <c r="C146" s="68">
        <v>44762.787499999999</v>
      </c>
    </row>
    <row r="147" spans="1:3" ht="15.75" customHeight="1" x14ac:dyDescent="0.4">
      <c r="A147" s="24" t="s">
        <v>663</v>
      </c>
      <c r="B147" s="67">
        <v>44841.850694444503</v>
      </c>
      <c r="C147" s="68">
        <v>44762.827777777798</v>
      </c>
    </row>
    <row r="148" spans="1:3" ht="15.75" customHeight="1" x14ac:dyDescent="0.4">
      <c r="A148" s="24" t="s">
        <v>964</v>
      </c>
      <c r="B148" s="67">
        <v>44841.847916666702</v>
      </c>
      <c r="C148" s="68">
        <v>44765.810416666704</v>
      </c>
    </row>
    <row r="149" spans="1:3" ht="15.75" customHeight="1" x14ac:dyDescent="0.4">
      <c r="A149" s="24" t="s">
        <v>1048</v>
      </c>
      <c r="B149" s="67">
        <v>44841.847916666702</v>
      </c>
      <c r="C149" s="68">
        <v>44764.467361111099</v>
      </c>
    </row>
    <row r="150" spans="1:3" ht="15.75" customHeight="1" x14ac:dyDescent="0.4">
      <c r="A150" s="24" t="s">
        <v>1540</v>
      </c>
      <c r="B150" s="67">
        <v>44841.847916666702</v>
      </c>
      <c r="C150" s="24" t="s">
        <v>826</v>
      </c>
    </row>
    <row r="151" spans="1:3" ht="15.75" customHeight="1" x14ac:dyDescent="0.4">
      <c r="A151" s="24" t="s">
        <v>1654</v>
      </c>
      <c r="B151" s="67">
        <v>44841.847222222197</v>
      </c>
      <c r="C151" s="24" t="s">
        <v>826</v>
      </c>
    </row>
    <row r="152" spans="1:3" ht="15.75" customHeight="1" x14ac:dyDescent="0.4">
      <c r="A152" s="24" t="s">
        <v>882</v>
      </c>
      <c r="B152" s="67">
        <v>44841.845138888901</v>
      </c>
      <c r="C152" s="24" t="s">
        <v>826</v>
      </c>
    </row>
    <row r="153" spans="1:3" ht="15.75" customHeight="1" x14ac:dyDescent="0.4">
      <c r="A153" s="24" t="s">
        <v>1322</v>
      </c>
      <c r="B153" s="67">
        <v>44841.844444444498</v>
      </c>
      <c r="C153" s="68">
        <v>44757.709027777797</v>
      </c>
    </row>
    <row r="154" spans="1:3" ht="15.75" customHeight="1" x14ac:dyDescent="0.4">
      <c r="A154" s="24" t="s">
        <v>2082</v>
      </c>
      <c r="B154" s="67">
        <v>44841.841666666704</v>
      </c>
      <c r="C154" s="68">
        <v>44761.470138888901</v>
      </c>
    </row>
    <row r="155" spans="1:3" ht="15.75" customHeight="1" x14ac:dyDescent="0.4">
      <c r="A155" s="24" t="s">
        <v>1898</v>
      </c>
      <c r="B155" s="67">
        <v>44841.841666666704</v>
      </c>
      <c r="C155" s="68">
        <v>44757.925000000003</v>
      </c>
    </row>
    <row r="156" spans="1:3" ht="15.75" customHeight="1" x14ac:dyDescent="0.4">
      <c r="A156" s="24" t="s">
        <v>521</v>
      </c>
      <c r="B156" s="67">
        <v>44841.839583333298</v>
      </c>
      <c r="C156" s="24" t="s">
        <v>826</v>
      </c>
    </row>
    <row r="157" spans="1:3" ht="15.75" customHeight="1" x14ac:dyDescent="0.4">
      <c r="A157" s="24" t="s">
        <v>1031</v>
      </c>
      <c r="B157" s="67">
        <v>44841.836805555598</v>
      </c>
      <c r="C157" s="68">
        <v>44766.468055555597</v>
      </c>
    </row>
    <row r="158" spans="1:3" ht="15.75" customHeight="1" x14ac:dyDescent="0.4">
      <c r="A158" s="24" t="s">
        <v>613</v>
      </c>
      <c r="B158" s="67">
        <v>44841.836111111101</v>
      </c>
      <c r="C158" s="24" t="s">
        <v>826</v>
      </c>
    </row>
    <row r="159" spans="1:3" ht="15.75" customHeight="1" x14ac:dyDescent="0.4">
      <c r="A159" s="24" t="s">
        <v>645</v>
      </c>
      <c r="B159" s="67">
        <v>44841.834027777797</v>
      </c>
      <c r="C159" s="24" t="s">
        <v>826</v>
      </c>
    </row>
    <row r="160" spans="1:3" ht="15.75" customHeight="1" x14ac:dyDescent="0.4">
      <c r="A160" s="24" t="s">
        <v>373</v>
      </c>
      <c r="B160" s="67">
        <v>44841.831944444399</v>
      </c>
      <c r="C160" s="24" t="s">
        <v>826</v>
      </c>
    </row>
    <row r="161" spans="1:3" ht="15.75" customHeight="1" x14ac:dyDescent="0.4">
      <c r="A161" s="24" t="s">
        <v>1105</v>
      </c>
      <c r="B161" s="67">
        <v>44841.8305555556</v>
      </c>
      <c r="C161" s="68">
        <v>44764.686111111099</v>
      </c>
    </row>
    <row r="162" spans="1:3" ht="15.75" customHeight="1" x14ac:dyDescent="0.4">
      <c r="A162" s="24" t="s">
        <v>1340</v>
      </c>
      <c r="B162" s="67">
        <v>44841.827083333301</v>
      </c>
      <c r="C162" s="68">
        <v>44762.665972222203</v>
      </c>
    </row>
    <row r="163" spans="1:3" ht="15.75" customHeight="1" x14ac:dyDescent="0.4">
      <c r="A163" s="24" t="s">
        <v>1042</v>
      </c>
      <c r="B163" s="67">
        <v>44841.8256944444</v>
      </c>
      <c r="C163" s="68">
        <v>44757.539583333302</v>
      </c>
    </row>
    <row r="164" spans="1:3" ht="15.75" customHeight="1" x14ac:dyDescent="0.4">
      <c r="A164" s="24" t="s">
        <v>1722</v>
      </c>
      <c r="B164" s="67">
        <v>44841.824305555601</v>
      </c>
      <c r="C164" s="68">
        <v>44757.842361111099</v>
      </c>
    </row>
    <row r="165" spans="1:3" ht="15.75" customHeight="1" x14ac:dyDescent="0.4">
      <c r="A165" s="24" t="s">
        <v>1944</v>
      </c>
      <c r="B165" s="67">
        <v>44841.811111111099</v>
      </c>
      <c r="C165" s="68">
        <v>44764.732638888898</v>
      </c>
    </row>
    <row r="166" spans="1:3" ht="15.75" customHeight="1" x14ac:dyDescent="0.4">
      <c r="A166" s="24" t="s">
        <v>1651</v>
      </c>
      <c r="B166" s="67">
        <v>44841.809027777803</v>
      </c>
      <c r="C166" s="68">
        <v>44758.761805555601</v>
      </c>
    </row>
    <row r="167" spans="1:3" ht="15.75" customHeight="1" x14ac:dyDescent="0.4">
      <c r="A167" s="24" t="s">
        <v>1972</v>
      </c>
      <c r="B167" s="67">
        <v>44841.8</v>
      </c>
      <c r="C167" s="68">
        <v>44758.538888888899</v>
      </c>
    </row>
    <row r="168" spans="1:3" ht="15.75" customHeight="1" x14ac:dyDescent="0.4">
      <c r="A168" s="24" t="s">
        <v>945</v>
      </c>
      <c r="B168" s="67">
        <v>44841.793055555601</v>
      </c>
      <c r="C168" s="68">
        <v>44765.749305555597</v>
      </c>
    </row>
    <row r="169" spans="1:3" ht="15.75" customHeight="1" x14ac:dyDescent="0.4">
      <c r="A169" s="24" t="s">
        <v>232</v>
      </c>
      <c r="B169" s="67">
        <v>44841.786805555603</v>
      </c>
      <c r="C169" s="68">
        <v>44757.584027777797</v>
      </c>
    </row>
    <row r="170" spans="1:3" ht="15.75" customHeight="1" x14ac:dyDescent="0.4">
      <c r="A170" s="24" t="s">
        <v>906</v>
      </c>
      <c r="B170" s="67">
        <v>44841.786111111098</v>
      </c>
      <c r="C170" s="68">
        <v>44759.570138888899</v>
      </c>
    </row>
    <row r="171" spans="1:3" ht="15.75" customHeight="1" x14ac:dyDescent="0.4">
      <c r="A171" s="24" t="s">
        <v>1985</v>
      </c>
      <c r="B171" s="67">
        <v>44841.784722222197</v>
      </c>
      <c r="C171" s="68">
        <v>44763.610416666699</v>
      </c>
    </row>
    <row r="172" spans="1:3" ht="15.75" customHeight="1" x14ac:dyDescent="0.4">
      <c r="A172" s="24" t="s">
        <v>1471</v>
      </c>
      <c r="B172" s="67">
        <v>44841.784027777801</v>
      </c>
      <c r="C172" s="24" t="s">
        <v>826</v>
      </c>
    </row>
    <row r="173" spans="1:3" ht="15.75" customHeight="1" x14ac:dyDescent="0.4">
      <c r="A173" s="24" t="s">
        <v>2050</v>
      </c>
      <c r="B173" s="67">
        <v>44841.778472222199</v>
      </c>
      <c r="C173" s="68">
        <v>44758.488194444399</v>
      </c>
    </row>
    <row r="174" spans="1:3" ht="15.75" customHeight="1" x14ac:dyDescent="0.4">
      <c r="A174" s="24" t="s">
        <v>1298</v>
      </c>
      <c r="B174" s="67">
        <v>44841.777777777803</v>
      </c>
      <c r="C174" s="68">
        <v>44764.7631944444</v>
      </c>
    </row>
    <row r="175" spans="1:3" ht="15.75" customHeight="1" x14ac:dyDescent="0.4">
      <c r="A175" s="24" t="s">
        <v>1366</v>
      </c>
      <c r="B175" s="67">
        <v>44841.770138888904</v>
      </c>
      <c r="C175" s="68">
        <v>44757.579861111102</v>
      </c>
    </row>
    <row r="176" spans="1:3" ht="15.75" customHeight="1" x14ac:dyDescent="0.4">
      <c r="A176" s="24" t="s">
        <v>1357</v>
      </c>
      <c r="B176" s="67">
        <v>44841.765972222202</v>
      </c>
      <c r="C176" s="68">
        <v>44756.768750000003</v>
      </c>
    </row>
    <row r="177" spans="1:3" ht="15.75" customHeight="1" x14ac:dyDescent="0.4">
      <c r="A177" s="24" t="s">
        <v>2021</v>
      </c>
      <c r="B177" s="67">
        <v>44841.760416666701</v>
      </c>
      <c r="C177" s="68">
        <v>44762.875694444498</v>
      </c>
    </row>
    <row r="178" spans="1:3" ht="15.75" customHeight="1" x14ac:dyDescent="0.4">
      <c r="A178" s="24" t="s">
        <v>2042</v>
      </c>
      <c r="B178" s="67">
        <v>44841.760416666701</v>
      </c>
      <c r="C178" s="68">
        <v>44763.540972222203</v>
      </c>
    </row>
    <row r="179" spans="1:3" ht="15.75" customHeight="1" x14ac:dyDescent="0.4">
      <c r="A179" s="24" t="s">
        <v>2086</v>
      </c>
      <c r="B179" s="67">
        <v>44841.748611111099</v>
      </c>
      <c r="C179" s="68">
        <v>44763.444444444503</v>
      </c>
    </row>
    <row r="180" spans="1:3" ht="15.75" customHeight="1" x14ac:dyDescent="0.4">
      <c r="A180" s="24" t="s">
        <v>1829</v>
      </c>
      <c r="B180" s="67">
        <v>44841.747222222199</v>
      </c>
      <c r="C180" s="24" t="s">
        <v>826</v>
      </c>
    </row>
    <row r="181" spans="1:3" ht="15.75" customHeight="1" x14ac:dyDescent="0.4">
      <c r="A181" s="24" t="s">
        <v>1077</v>
      </c>
      <c r="B181" s="67">
        <v>44841.740277777797</v>
      </c>
      <c r="C181" s="68">
        <v>44754.498611111099</v>
      </c>
    </row>
    <row r="182" spans="1:3" ht="15.75" customHeight="1" x14ac:dyDescent="0.4">
      <c r="A182" s="24" t="s">
        <v>1447</v>
      </c>
      <c r="B182" s="67">
        <v>44841.730555555601</v>
      </c>
      <c r="C182" s="68">
        <v>44757.659722222197</v>
      </c>
    </row>
    <row r="183" spans="1:3" ht="15.75" customHeight="1" x14ac:dyDescent="0.4">
      <c r="A183" s="24" t="s">
        <v>1640</v>
      </c>
      <c r="B183" s="67">
        <v>44841.724305555603</v>
      </c>
      <c r="C183" s="68">
        <v>44762.500694444498</v>
      </c>
    </row>
    <row r="184" spans="1:3" ht="15.75" customHeight="1" x14ac:dyDescent="0.4">
      <c r="A184" s="24" t="s">
        <v>1219</v>
      </c>
      <c r="B184" s="67">
        <v>44841.7055555556</v>
      </c>
      <c r="C184" s="24" t="s">
        <v>826</v>
      </c>
    </row>
    <row r="185" spans="1:3" ht="15.75" customHeight="1" x14ac:dyDescent="0.4">
      <c r="A185" s="24" t="s">
        <v>499</v>
      </c>
      <c r="B185" s="67">
        <v>44841.702777777798</v>
      </c>
      <c r="C185" s="68">
        <v>44764.5</v>
      </c>
    </row>
    <row r="186" spans="1:3" ht="15.75" customHeight="1" x14ac:dyDescent="0.4">
      <c r="A186" s="24" t="s">
        <v>2034</v>
      </c>
      <c r="B186" s="67">
        <v>44841.702777777798</v>
      </c>
      <c r="C186" s="68">
        <v>44756.582638888904</v>
      </c>
    </row>
    <row r="187" spans="1:3" ht="15.75" customHeight="1" x14ac:dyDescent="0.4">
      <c r="A187" s="24" t="s">
        <v>1844</v>
      </c>
      <c r="B187" s="67">
        <v>44841.695138888899</v>
      </c>
      <c r="C187" s="68">
        <v>44758.536805555603</v>
      </c>
    </row>
    <row r="188" spans="1:3" ht="15.75" customHeight="1" x14ac:dyDescent="0.4">
      <c r="A188" s="24" t="s">
        <v>1116</v>
      </c>
      <c r="B188" s="67">
        <v>44841.694444444503</v>
      </c>
      <c r="C188" s="24" t="s">
        <v>826</v>
      </c>
    </row>
    <row r="189" spans="1:3" ht="15.75" customHeight="1" x14ac:dyDescent="0.4">
      <c r="A189" s="24" t="s">
        <v>1752</v>
      </c>
      <c r="B189" s="67">
        <v>44841.682638888902</v>
      </c>
      <c r="C189" s="68">
        <v>44759.6069444444</v>
      </c>
    </row>
    <row r="190" spans="1:3" ht="15.75" customHeight="1" x14ac:dyDescent="0.4">
      <c r="A190" s="24" t="s">
        <v>1015</v>
      </c>
      <c r="B190" s="67">
        <v>44841.681250000001</v>
      </c>
      <c r="C190" s="68">
        <v>44764.824999999997</v>
      </c>
    </row>
    <row r="191" spans="1:3" ht="15.75" customHeight="1" x14ac:dyDescent="0.4">
      <c r="A191" s="24" t="s">
        <v>1599</v>
      </c>
      <c r="B191" s="67">
        <v>44841.673611111102</v>
      </c>
      <c r="C191" s="24" t="s">
        <v>826</v>
      </c>
    </row>
    <row r="192" spans="1:3" ht="15.75" customHeight="1" x14ac:dyDescent="0.4">
      <c r="A192" s="24" t="s">
        <v>389</v>
      </c>
      <c r="B192" s="67">
        <v>44841.672916666699</v>
      </c>
      <c r="C192" s="68">
        <v>44760.449305555601</v>
      </c>
    </row>
    <row r="193" spans="1:3" ht="15.75" customHeight="1" x14ac:dyDescent="0.4">
      <c r="A193" s="24" t="s">
        <v>1749</v>
      </c>
      <c r="B193" s="67">
        <v>44841.671527777798</v>
      </c>
      <c r="C193" s="24" t="s">
        <v>826</v>
      </c>
    </row>
    <row r="194" spans="1:3" ht="15.75" customHeight="1" x14ac:dyDescent="0.4">
      <c r="A194" s="24" t="s">
        <v>240</v>
      </c>
      <c r="B194" s="67">
        <v>44841.649305555598</v>
      </c>
      <c r="C194" s="68">
        <v>44760.691666666702</v>
      </c>
    </row>
    <row r="195" spans="1:3" ht="15.75" customHeight="1" x14ac:dyDescent="0.4">
      <c r="A195" s="24" t="s">
        <v>2095</v>
      </c>
      <c r="B195" s="67">
        <v>44841.645138888904</v>
      </c>
      <c r="C195" s="68">
        <v>44757.931250000001</v>
      </c>
    </row>
    <row r="196" spans="1:3" ht="15.75" customHeight="1" x14ac:dyDescent="0.4">
      <c r="A196" s="24" t="s">
        <v>659</v>
      </c>
      <c r="B196" s="67">
        <v>44841.644444444399</v>
      </c>
      <c r="C196" s="68">
        <v>44762.707638888904</v>
      </c>
    </row>
    <row r="197" spans="1:3" ht="15.75" customHeight="1" x14ac:dyDescent="0.4">
      <c r="A197" s="24" t="s">
        <v>1766</v>
      </c>
      <c r="B197" s="67">
        <v>44841.615277777797</v>
      </c>
      <c r="C197" s="68">
        <v>44757.925694444399</v>
      </c>
    </row>
    <row r="198" spans="1:3" ht="15.75" customHeight="1" x14ac:dyDescent="0.4">
      <c r="A198" s="24" t="s">
        <v>1889</v>
      </c>
      <c r="B198" s="67">
        <v>44841.614583333299</v>
      </c>
      <c r="C198" s="68">
        <v>44769.784027777801</v>
      </c>
    </row>
    <row r="199" spans="1:3" ht="15.75" customHeight="1" x14ac:dyDescent="0.4">
      <c r="A199" s="24" t="s">
        <v>527</v>
      </c>
      <c r="B199" s="67">
        <v>44841.607638888898</v>
      </c>
      <c r="C199" s="68">
        <v>44757.729861111096</v>
      </c>
    </row>
    <row r="200" spans="1:3" ht="15.75" customHeight="1" x14ac:dyDescent="0.4">
      <c r="A200" s="24" t="s">
        <v>949</v>
      </c>
      <c r="B200" s="67">
        <v>44841.602083333302</v>
      </c>
      <c r="C200" s="24" t="s">
        <v>826</v>
      </c>
    </row>
    <row r="201" spans="1:3" ht="15.75" customHeight="1" x14ac:dyDescent="0.4">
      <c r="A201" s="24" t="s">
        <v>365</v>
      </c>
      <c r="B201" s="67">
        <v>44841.598611111098</v>
      </c>
      <c r="C201" s="24" t="s">
        <v>826</v>
      </c>
    </row>
    <row r="202" spans="1:3" ht="15.75" customHeight="1" x14ac:dyDescent="0.4">
      <c r="A202" s="24" t="s">
        <v>243</v>
      </c>
      <c r="B202" s="67">
        <v>44841.594444444498</v>
      </c>
      <c r="C202" s="68">
        <v>44760.488888888904</v>
      </c>
    </row>
    <row r="203" spans="1:3" ht="15.75" customHeight="1" x14ac:dyDescent="0.4">
      <c r="A203" s="24" t="s">
        <v>1737</v>
      </c>
      <c r="B203" s="67">
        <v>44841.59375</v>
      </c>
      <c r="C203" s="68">
        <v>44762.561805555597</v>
      </c>
    </row>
    <row r="204" spans="1:3" ht="15.75" customHeight="1" x14ac:dyDescent="0.4">
      <c r="A204" s="24" t="s">
        <v>1088</v>
      </c>
      <c r="B204" s="67">
        <v>44841.591666666704</v>
      </c>
      <c r="C204" s="68">
        <v>44762.661111111098</v>
      </c>
    </row>
    <row r="205" spans="1:3" ht="15.75" customHeight="1" x14ac:dyDescent="0.4">
      <c r="A205" s="24" t="s">
        <v>1563</v>
      </c>
      <c r="B205" s="67">
        <v>44841.589583333298</v>
      </c>
      <c r="C205" s="68">
        <v>44761.786111111098</v>
      </c>
    </row>
    <row r="206" spans="1:3" ht="15.75" customHeight="1" x14ac:dyDescent="0.4">
      <c r="A206" s="24" t="s">
        <v>1600</v>
      </c>
      <c r="B206" s="67">
        <v>44841.588888888902</v>
      </c>
      <c r="C206" s="68">
        <v>44766.876388888901</v>
      </c>
    </row>
    <row r="207" spans="1:3" ht="15.75" customHeight="1" x14ac:dyDescent="0.4">
      <c r="A207" s="24" t="s">
        <v>953</v>
      </c>
      <c r="B207" s="67">
        <v>44841.584027777797</v>
      </c>
      <c r="C207" s="68">
        <v>44761.486111111102</v>
      </c>
    </row>
    <row r="208" spans="1:3" ht="15.75" customHeight="1" x14ac:dyDescent="0.4">
      <c r="A208" s="24" t="s">
        <v>1644</v>
      </c>
      <c r="B208" s="67">
        <v>44841.577777777798</v>
      </c>
      <c r="C208" s="24" t="s">
        <v>826</v>
      </c>
    </row>
    <row r="209" spans="1:3" ht="15.75" customHeight="1" x14ac:dyDescent="0.4">
      <c r="A209" s="24" t="s">
        <v>1076</v>
      </c>
      <c r="B209" s="67">
        <v>44841.559722222199</v>
      </c>
      <c r="C209" s="68">
        <v>44760.565277777801</v>
      </c>
    </row>
    <row r="210" spans="1:3" ht="15.75" customHeight="1" x14ac:dyDescent="0.4">
      <c r="A210" s="24" t="s">
        <v>1684</v>
      </c>
      <c r="B210" s="67">
        <v>44841.552777777797</v>
      </c>
      <c r="C210" s="68">
        <v>44754.652777777803</v>
      </c>
    </row>
    <row r="211" spans="1:3" ht="15.75" customHeight="1" x14ac:dyDescent="0.4">
      <c r="A211" s="24" t="s">
        <v>921</v>
      </c>
      <c r="B211" s="67">
        <v>44841.5493055556</v>
      </c>
      <c r="C211" s="68">
        <v>44766.520138888904</v>
      </c>
    </row>
    <row r="212" spans="1:3" ht="15.75" customHeight="1" x14ac:dyDescent="0.4">
      <c r="A212" s="24" t="s">
        <v>1782</v>
      </c>
      <c r="B212" s="67">
        <v>44841.532638888901</v>
      </c>
      <c r="C212" s="68">
        <v>44760.538888888899</v>
      </c>
    </row>
    <row r="213" spans="1:3" ht="15.75" customHeight="1" x14ac:dyDescent="0.4">
      <c r="A213" s="24" t="s">
        <v>469</v>
      </c>
      <c r="B213" s="67">
        <v>44841.53125</v>
      </c>
      <c r="C213" s="24" t="s">
        <v>826</v>
      </c>
    </row>
    <row r="214" spans="1:3" ht="15.75" customHeight="1" x14ac:dyDescent="0.4">
      <c r="A214" s="24" t="s">
        <v>1461</v>
      </c>
      <c r="B214" s="67">
        <v>44841.53125</v>
      </c>
      <c r="C214" s="68">
        <v>44762.663194444503</v>
      </c>
    </row>
    <row r="215" spans="1:3" ht="15.75" customHeight="1" x14ac:dyDescent="0.4">
      <c r="A215" s="24" t="s">
        <v>1333</v>
      </c>
      <c r="B215" s="67">
        <v>44841.527777777803</v>
      </c>
      <c r="C215" s="68">
        <v>44764.845833333296</v>
      </c>
    </row>
    <row r="216" spans="1:3" ht="15.75" customHeight="1" x14ac:dyDescent="0.4">
      <c r="A216" s="24" t="s">
        <v>1385</v>
      </c>
      <c r="B216" s="67">
        <v>44841.525694444397</v>
      </c>
      <c r="C216" s="68">
        <v>44759.582638888904</v>
      </c>
    </row>
    <row r="217" spans="1:3" ht="15.75" customHeight="1" x14ac:dyDescent="0.4">
      <c r="A217" s="24" t="s">
        <v>1371</v>
      </c>
      <c r="B217" s="67">
        <v>44841.5180555556</v>
      </c>
      <c r="C217" s="68">
        <v>44763.870833333298</v>
      </c>
    </row>
    <row r="218" spans="1:3" ht="15.75" customHeight="1" x14ac:dyDescent="0.4">
      <c r="A218" s="24" t="s">
        <v>1115</v>
      </c>
      <c r="B218" s="67">
        <v>44841.511805555601</v>
      </c>
      <c r="C218" s="68">
        <v>44758.840277777803</v>
      </c>
    </row>
    <row r="219" spans="1:3" ht="15.75" customHeight="1" x14ac:dyDescent="0.4">
      <c r="A219" s="24" t="s">
        <v>2096</v>
      </c>
      <c r="B219" s="67">
        <v>44841.507638888899</v>
      </c>
      <c r="C219" s="68">
        <v>44762.84375</v>
      </c>
    </row>
    <row r="220" spans="1:3" ht="15.75" customHeight="1" x14ac:dyDescent="0.4">
      <c r="A220" s="24" t="s">
        <v>760</v>
      </c>
      <c r="B220" s="67">
        <v>44841.506249999999</v>
      </c>
      <c r="C220" s="68">
        <v>44758.440277777801</v>
      </c>
    </row>
    <row r="221" spans="1:3" ht="15.75" customHeight="1" x14ac:dyDescent="0.4">
      <c r="A221" s="24" t="s">
        <v>1383</v>
      </c>
      <c r="B221" s="67">
        <v>44841.502083333296</v>
      </c>
      <c r="C221" s="68">
        <v>44758.488194444399</v>
      </c>
    </row>
    <row r="222" spans="1:3" ht="15.75" customHeight="1" x14ac:dyDescent="0.4">
      <c r="A222" s="24" t="s">
        <v>1230</v>
      </c>
      <c r="B222" s="67">
        <v>44841.497222222199</v>
      </c>
      <c r="C222" s="68">
        <v>44759.870833333298</v>
      </c>
    </row>
    <row r="223" spans="1:3" ht="15.75" customHeight="1" x14ac:dyDescent="0.4">
      <c r="A223" s="24" t="s">
        <v>651</v>
      </c>
      <c r="B223" s="67">
        <v>44841.494444444397</v>
      </c>
      <c r="C223" s="68">
        <v>44757.684027777803</v>
      </c>
    </row>
    <row r="224" spans="1:3" ht="15.75" customHeight="1" x14ac:dyDescent="0.4">
      <c r="A224" s="24" t="s">
        <v>1392</v>
      </c>
      <c r="B224" s="67">
        <v>44841.487500000003</v>
      </c>
      <c r="C224" s="68">
        <v>44763.868750000001</v>
      </c>
    </row>
    <row r="225" spans="1:3" ht="15.75" customHeight="1" x14ac:dyDescent="0.4">
      <c r="A225" s="24" t="s">
        <v>2142</v>
      </c>
      <c r="B225" s="67">
        <v>44841.484027777798</v>
      </c>
      <c r="C225" s="68">
        <v>44763.831250000003</v>
      </c>
    </row>
    <row r="226" spans="1:3" ht="15.75" customHeight="1" x14ac:dyDescent="0.4">
      <c r="A226" s="24" t="s">
        <v>1188</v>
      </c>
      <c r="B226" s="67">
        <v>44841.4819444444</v>
      </c>
      <c r="C226" s="68">
        <v>44756.895833333299</v>
      </c>
    </row>
    <row r="227" spans="1:3" ht="15.75" customHeight="1" x14ac:dyDescent="0.4">
      <c r="A227" s="24" t="s">
        <v>541</v>
      </c>
      <c r="B227" s="67">
        <v>44841.452083333301</v>
      </c>
      <c r="C227" s="24" t="s">
        <v>826</v>
      </c>
    </row>
    <row r="228" spans="1:3" ht="15.75" customHeight="1" x14ac:dyDescent="0.4">
      <c r="A228" s="24" t="s">
        <v>1374</v>
      </c>
      <c r="B228" s="67">
        <v>44841.442361111098</v>
      </c>
      <c r="C228" s="68">
        <v>44765.541666666701</v>
      </c>
    </row>
    <row r="229" spans="1:3" ht="15.75" customHeight="1" x14ac:dyDescent="0.4">
      <c r="A229" s="24" t="s">
        <v>657</v>
      </c>
      <c r="B229" s="67">
        <v>44841.440277777801</v>
      </c>
      <c r="C229" s="68">
        <v>44757.829861111102</v>
      </c>
    </row>
    <row r="230" spans="1:3" ht="15.75" customHeight="1" x14ac:dyDescent="0.4">
      <c r="A230" s="24" t="s">
        <v>2045</v>
      </c>
      <c r="B230" s="67">
        <v>44841.374305555597</v>
      </c>
      <c r="C230" s="68">
        <v>44762.657638888901</v>
      </c>
    </row>
    <row r="231" spans="1:3" ht="15.75" customHeight="1" x14ac:dyDescent="0.4">
      <c r="A231" s="24" t="s">
        <v>244</v>
      </c>
      <c r="B231" s="67">
        <v>44841.106249999997</v>
      </c>
      <c r="C231" s="24" t="s">
        <v>826</v>
      </c>
    </row>
    <row r="232" spans="1:3" ht="15.75" customHeight="1" x14ac:dyDescent="0.4">
      <c r="A232" s="24" t="s">
        <v>885</v>
      </c>
      <c r="B232" s="67">
        <v>44841.098611111098</v>
      </c>
      <c r="C232" s="68">
        <v>44758.565972222197</v>
      </c>
    </row>
    <row r="233" spans="1:3" ht="15.75" customHeight="1" x14ac:dyDescent="0.4">
      <c r="A233" s="24" t="s">
        <v>529</v>
      </c>
      <c r="B233" s="67">
        <v>44841.045138888898</v>
      </c>
      <c r="C233" s="68">
        <v>44763.879166666702</v>
      </c>
    </row>
    <row r="234" spans="1:3" ht="15.75" customHeight="1" x14ac:dyDescent="0.4">
      <c r="A234" s="24" t="s">
        <v>2106</v>
      </c>
      <c r="B234" s="67">
        <v>44811.995833333298</v>
      </c>
      <c r="C234" s="68">
        <v>44756.733333333301</v>
      </c>
    </row>
    <row r="235" spans="1:3" ht="15.75" customHeight="1" x14ac:dyDescent="0.4">
      <c r="A235" s="24" t="s">
        <v>1057</v>
      </c>
      <c r="B235" s="67">
        <v>44811.985416666699</v>
      </c>
      <c r="C235" s="68">
        <v>44760.697222222203</v>
      </c>
    </row>
    <row r="236" spans="1:3" ht="15.75" customHeight="1" x14ac:dyDescent="0.4">
      <c r="A236" s="24" t="s">
        <v>2160</v>
      </c>
      <c r="B236" s="67">
        <v>44811.959027777797</v>
      </c>
      <c r="C236" s="68">
        <v>44760.708333333299</v>
      </c>
    </row>
    <row r="237" spans="1:3" ht="15.75" customHeight="1" x14ac:dyDescent="0.4">
      <c r="A237" s="24" t="s">
        <v>1800</v>
      </c>
      <c r="B237" s="67">
        <v>44811.952083333301</v>
      </c>
      <c r="C237" s="24" t="s">
        <v>826</v>
      </c>
    </row>
    <row r="238" spans="1:3" ht="15.75" customHeight="1" x14ac:dyDescent="0.4">
      <c r="A238" s="24" t="s">
        <v>1133</v>
      </c>
      <c r="B238" s="67">
        <v>44811.947916666701</v>
      </c>
      <c r="C238" s="68">
        <v>44761.660416666702</v>
      </c>
    </row>
    <row r="239" spans="1:3" ht="15.75" customHeight="1" x14ac:dyDescent="0.4">
      <c r="A239" s="24" t="s">
        <v>1512</v>
      </c>
      <c r="B239" s="67">
        <v>44811.944444444503</v>
      </c>
      <c r="C239" s="68">
        <v>44758.732638888898</v>
      </c>
    </row>
    <row r="240" spans="1:3" ht="15.75" customHeight="1" x14ac:dyDescent="0.4">
      <c r="A240" s="24" t="s">
        <v>1921</v>
      </c>
      <c r="B240" s="67">
        <v>44811.938888888901</v>
      </c>
      <c r="C240" s="24" t="s">
        <v>826</v>
      </c>
    </row>
    <row r="241" spans="1:3" ht="15.75" customHeight="1" x14ac:dyDescent="0.4">
      <c r="A241" s="24" t="s">
        <v>2012</v>
      </c>
      <c r="B241" s="67">
        <v>44811.936805555597</v>
      </c>
      <c r="C241" s="68">
        <v>44760.729861111096</v>
      </c>
    </row>
    <row r="242" spans="1:3" ht="15.75" customHeight="1" x14ac:dyDescent="0.4">
      <c r="A242" s="24" t="s">
        <v>1226</v>
      </c>
      <c r="B242" s="67">
        <v>44811.917361111096</v>
      </c>
      <c r="C242" s="24" t="s">
        <v>826</v>
      </c>
    </row>
    <row r="243" spans="1:3" ht="15.75" customHeight="1" x14ac:dyDescent="0.4">
      <c r="A243" s="24" t="s">
        <v>357</v>
      </c>
      <c r="B243" s="67">
        <v>44811.903472222199</v>
      </c>
      <c r="C243" s="24" t="s">
        <v>826</v>
      </c>
    </row>
    <row r="244" spans="1:3" ht="15.75" customHeight="1" x14ac:dyDescent="0.4">
      <c r="A244" s="24" t="s">
        <v>1302</v>
      </c>
      <c r="B244" s="67">
        <v>44811.902083333298</v>
      </c>
      <c r="C244" s="68">
        <v>44758.702777777798</v>
      </c>
    </row>
    <row r="245" spans="1:3" ht="15.75" customHeight="1" x14ac:dyDescent="0.4">
      <c r="A245" s="24" t="s">
        <v>1961</v>
      </c>
      <c r="B245" s="67">
        <v>44811.901388888902</v>
      </c>
      <c r="C245" s="24" t="s">
        <v>826</v>
      </c>
    </row>
    <row r="246" spans="1:3" ht="15.75" customHeight="1" x14ac:dyDescent="0.4">
      <c r="A246" s="24" t="s">
        <v>1249</v>
      </c>
      <c r="B246" s="67">
        <v>44811.8972222222</v>
      </c>
      <c r="C246" s="68">
        <v>44762.654861111099</v>
      </c>
    </row>
    <row r="247" spans="1:3" ht="15.75" customHeight="1" x14ac:dyDescent="0.4">
      <c r="A247" s="24" t="s">
        <v>1952</v>
      </c>
      <c r="B247" s="67">
        <v>44811.896527777797</v>
      </c>
      <c r="C247" s="68">
        <v>44758.8215277778</v>
      </c>
    </row>
    <row r="248" spans="1:3" ht="15.75" customHeight="1" x14ac:dyDescent="0.4">
      <c r="A248" s="24" t="s">
        <v>1784</v>
      </c>
      <c r="B248" s="67">
        <v>44811.8930555556</v>
      </c>
      <c r="C248" s="68">
        <v>44757.859722222202</v>
      </c>
    </row>
    <row r="249" spans="1:3" ht="15.75" customHeight="1" x14ac:dyDescent="0.4">
      <c r="A249" s="24" t="s">
        <v>2141</v>
      </c>
      <c r="B249" s="67">
        <v>44811.890277777798</v>
      </c>
      <c r="C249" s="24" t="s">
        <v>826</v>
      </c>
    </row>
    <row r="250" spans="1:3" ht="15.75" customHeight="1" x14ac:dyDescent="0.4">
      <c r="A250" s="24" t="s">
        <v>1242</v>
      </c>
      <c r="B250" s="67">
        <v>44811.886111111096</v>
      </c>
      <c r="C250" s="68">
        <v>44762.870833333298</v>
      </c>
    </row>
    <row r="251" spans="1:3" ht="15.75" customHeight="1" x14ac:dyDescent="0.4">
      <c r="A251" s="24" t="s">
        <v>1405</v>
      </c>
      <c r="B251" s="67">
        <v>44811.869444444397</v>
      </c>
      <c r="C251" s="68">
        <v>44757.658333333296</v>
      </c>
    </row>
    <row r="252" spans="1:3" ht="15.75" customHeight="1" x14ac:dyDescent="0.4">
      <c r="A252" s="24" t="s">
        <v>1410</v>
      </c>
      <c r="B252" s="67">
        <v>44811.853472222203</v>
      </c>
      <c r="C252" s="68">
        <v>44762.582638888904</v>
      </c>
    </row>
    <row r="253" spans="1:3" ht="15.75" customHeight="1" x14ac:dyDescent="0.4">
      <c r="A253" s="24" t="s">
        <v>868</v>
      </c>
      <c r="B253" s="67">
        <v>44811.852083333302</v>
      </c>
      <c r="C253" s="68">
        <v>44757.771527777797</v>
      </c>
    </row>
    <row r="254" spans="1:3" ht="15.75" customHeight="1" x14ac:dyDescent="0.4">
      <c r="A254" s="24" t="s">
        <v>1043</v>
      </c>
      <c r="B254" s="67">
        <v>44811.851388888899</v>
      </c>
      <c r="C254" s="68">
        <v>44762.871527777803</v>
      </c>
    </row>
    <row r="255" spans="1:3" ht="15.75" customHeight="1" x14ac:dyDescent="0.4">
      <c r="A255" s="24" t="s">
        <v>1771</v>
      </c>
      <c r="B255" s="67">
        <v>44811.850694444503</v>
      </c>
      <c r="C255" s="68">
        <v>44758.6875</v>
      </c>
    </row>
    <row r="256" spans="1:3" ht="15.75" customHeight="1" x14ac:dyDescent="0.4">
      <c r="A256" s="24" t="s">
        <v>904</v>
      </c>
      <c r="B256" s="67">
        <v>44811.848611111098</v>
      </c>
      <c r="C256" s="68">
        <v>44761.518750000003</v>
      </c>
    </row>
    <row r="257" spans="1:3" ht="15.75" customHeight="1" x14ac:dyDescent="0.4">
      <c r="A257" s="24" t="s">
        <v>1785</v>
      </c>
      <c r="B257" s="67">
        <v>44811.842361111099</v>
      </c>
      <c r="C257" s="24" t="s">
        <v>826</v>
      </c>
    </row>
    <row r="258" spans="1:3" ht="15.75" customHeight="1" x14ac:dyDescent="0.4">
      <c r="A258" s="24" t="s">
        <v>234</v>
      </c>
      <c r="B258" s="67">
        <v>44811.832638888904</v>
      </c>
      <c r="C258" s="68">
        <v>44757.616666666698</v>
      </c>
    </row>
    <row r="259" spans="1:3" ht="15.75" customHeight="1" x14ac:dyDescent="0.4">
      <c r="A259" s="24" t="s">
        <v>1060</v>
      </c>
      <c r="B259" s="67">
        <v>44811.822916666701</v>
      </c>
      <c r="C259" s="68">
        <v>44758.568055555603</v>
      </c>
    </row>
    <row r="260" spans="1:3" ht="15.75" customHeight="1" x14ac:dyDescent="0.4">
      <c r="A260" s="24" t="s">
        <v>1067</v>
      </c>
      <c r="B260" s="67">
        <v>44811.820833333302</v>
      </c>
      <c r="C260" s="68">
        <v>44762.55</v>
      </c>
    </row>
    <row r="261" spans="1:3" ht="15.75" customHeight="1" x14ac:dyDescent="0.4">
      <c r="A261" s="24" t="s">
        <v>706</v>
      </c>
      <c r="B261" s="67">
        <v>44811.815277777801</v>
      </c>
      <c r="C261" s="24" t="s">
        <v>826</v>
      </c>
    </row>
    <row r="262" spans="1:3" ht="15.75" customHeight="1" x14ac:dyDescent="0.4">
      <c r="A262" s="24" t="s">
        <v>1020</v>
      </c>
      <c r="B262" s="67">
        <v>44811.813194444498</v>
      </c>
      <c r="C262" s="68">
        <v>44764.469444444498</v>
      </c>
    </row>
    <row r="263" spans="1:3" ht="15.75" customHeight="1" x14ac:dyDescent="0.4">
      <c r="A263" s="24" t="s">
        <v>744</v>
      </c>
      <c r="B263" s="67">
        <v>44811.806944444397</v>
      </c>
      <c r="C263" s="68">
        <v>44764.819444444503</v>
      </c>
    </row>
    <row r="264" spans="1:3" ht="15.75" customHeight="1" x14ac:dyDescent="0.4">
      <c r="A264" s="24" t="s">
        <v>2111</v>
      </c>
      <c r="B264" s="67">
        <v>44811.806250000001</v>
      </c>
      <c r="C264" s="68">
        <v>44764.6472222222</v>
      </c>
    </row>
    <row r="265" spans="1:3" ht="15.75" customHeight="1" x14ac:dyDescent="0.4">
      <c r="A265" s="24" t="s">
        <v>2152</v>
      </c>
      <c r="B265" s="67">
        <v>44811.8034722222</v>
      </c>
      <c r="C265" s="24" t="s">
        <v>826</v>
      </c>
    </row>
    <row r="266" spans="1:3" ht="15.75" customHeight="1" x14ac:dyDescent="0.4">
      <c r="A266" s="24" t="s">
        <v>1488</v>
      </c>
      <c r="B266" s="67">
        <v>44811.795138888898</v>
      </c>
      <c r="C266" s="68">
        <v>44762.596527777801</v>
      </c>
    </row>
    <row r="267" spans="1:3" ht="15.75" customHeight="1" x14ac:dyDescent="0.4">
      <c r="A267" s="24" t="s">
        <v>1778</v>
      </c>
      <c r="B267" s="67">
        <v>44811.795138888898</v>
      </c>
      <c r="C267" s="68">
        <v>44760.483333333301</v>
      </c>
    </row>
    <row r="268" spans="1:3" ht="15.75" customHeight="1" x14ac:dyDescent="0.4">
      <c r="A268" s="24" t="s">
        <v>1787</v>
      </c>
      <c r="B268" s="67">
        <v>44811.793749999997</v>
      </c>
      <c r="C268" s="68">
        <v>44761.6472222222</v>
      </c>
    </row>
    <row r="269" spans="1:3" ht="15.75" customHeight="1" x14ac:dyDescent="0.4">
      <c r="A269" s="24" t="s">
        <v>1391</v>
      </c>
      <c r="B269" s="67">
        <v>44811.793055555601</v>
      </c>
      <c r="C269" s="68">
        <v>44757.774305555598</v>
      </c>
    </row>
    <row r="270" spans="1:3" ht="15.75" customHeight="1" x14ac:dyDescent="0.4">
      <c r="A270" s="24" t="s">
        <v>1820</v>
      </c>
      <c r="B270" s="67">
        <v>44811.792361111096</v>
      </c>
      <c r="C270" s="24" t="s">
        <v>826</v>
      </c>
    </row>
    <row r="271" spans="1:3" ht="15.75" customHeight="1" x14ac:dyDescent="0.4">
      <c r="A271" s="24" t="s">
        <v>1832</v>
      </c>
      <c r="B271" s="67">
        <v>44811.789583333302</v>
      </c>
      <c r="C271" s="68">
        <v>44765.649305555598</v>
      </c>
    </row>
    <row r="272" spans="1:3" ht="15.75" customHeight="1" x14ac:dyDescent="0.4">
      <c r="A272" s="24" t="s">
        <v>1049</v>
      </c>
      <c r="B272" s="67">
        <v>44811.787499999999</v>
      </c>
      <c r="C272" s="68">
        <v>44758.525000000001</v>
      </c>
    </row>
    <row r="273" spans="1:3" ht="15.75" customHeight="1" x14ac:dyDescent="0.4">
      <c r="A273" s="24" t="s">
        <v>1183</v>
      </c>
      <c r="B273" s="67">
        <v>44811.786111111098</v>
      </c>
      <c r="C273" s="24" t="s">
        <v>826</v>
      </c>
    </row>
    <row r="274" spans="1:3" ht="15.75" customHeight="1" x14ac:dyDescent="0.4">
      <c r="A274" s="24" t="s">
        <v>553</v>
      </c>
      <c r="B274" s="67">
        <v>44811.782638888901</v>
      </c>
      <c r="C274" s="24" t="s">
        <v>826</v>
      </c>
    </row>
    <row r="275" spans="1:3" ht="15.75" customHeight="1" x14ac:dyDescent="0.4">
      <c r="A275" s="24" t="s">
        <v>2092</v>
      </c>
      <c r="B275" s="67">
        <v>44811.78125</v>
      </c>
      <c r="C275" s="68">
        <v>44765.533333333296</v>
      </c>
    </row>
    <row r="276" spans="1:3" ht="15.75" customHeight="1" x14ac:dyDescent="0.4">
      <c r="A276" s="24" t="s">
        <v>782</v>
      </c>
      <c r="B276" s="67">
        <v>44811.777777777803</v>
      </c>
      <c r="C276" s="68">
        <v>44760.775694444397</v>
      </c>
    </row>
    <row r="277" spans="1:3" ht="15.75" customHeight="1" x14ac:dyDescent="0.4">
      <c r="A277" s="24" t="s">
        <v>836</v>
      </c>
      <c r="B277" s="67">
        <v>44811.759722222203</v>
      </c>
      <c r="C277" s="68">
        <v>44765.8347222222</v>
      </c>
    </row>
    <row r="278" spans="1:3" ht="15.75" customHeight="1" x14ac:dyDescent="0.4">
      <c r="A278" s="24" t="s">
        <v>1696</v>
      </c>
      <c r="B278" s="67">
        <v>44811.757638888899</v>
      </c>
      <c r="C278" s="68">
        <v>44764.906944444498</v>
      </c>
    </row>
    <row r="279" spans="1:3" ht="15.75" customHeight="1" x14ac:dyDescent="0.4">
      <c r="A279" s="24" t="s">
        <v>413</v>
      </c>
      <c r="B279" s="67">
        <v>44811.757638888899</v>
      </c>
      <c r="C279" s="24" t="s">
        <v>826</v>
      </c>
    </row>
    <row r="280" spans="1:3" ht="15.75" customHeight="1" x14ac:dyDescent="0.4">
      <c r="A280" s="24" t="s">
        <v>863</v>
      </c>
      <c r="B280" s="67">
        <v>44811.754861111098</v>
      </c>
      <c r="C280" s="68">
        <v>44753.8659722222</v>
      </c>
    </row>
    <row r="281" spans="1:3" ht="15.75" customHeight="1" x14ac:dyDescent="0.4">
      <c r="A281" s="24" t="s">
        <v>1344</v>
      </c>
      <c r="B281" s="67">
        <v>44811.752083333296</v>
      </c>
      <c r="C281" s="24" t="s">
        <v>826</v>
      </c>
    </row>
    <row r="282" spans="1:3" ht="15.75" customHeight="1" x14ac:dyDescent="0.4">
      <c r="A282" s="24" t="s">
        <v>1047</v>
      </c>
      <c r="B282" s="67">
        <v>44811.750694444498</v>
      </c>
      <c r="C282" s="68">
        <v>44762.498611111099</v>
      </c>
    </row>
    <row r="283" spans="1:3" ht="15.75" customHeight="1" x14ac:dyDescent="0.4">
      <c r="A283" s="24" t="s">
        <v>976</v>
      </c>
      <c r="B283" s="67">
        <v>44811.7409722222</v>
      </c>
      <c r="C283" s="68">
        <v>44763.481249999997</v>
      </c>
    </row>
    <row r="284" spans="1:3" ht="15.75" customHeight="1" x14ac:dyDescent="0.4">
      <c r="A284" s="24" t="s">
        <v>1578</v>
      </c>
      <c r="B284" s="67">
        <v>44811.736111111102</v>
      </c>
      <c r="C284" s="68">
        <v>44762.681250000001</v>
      </c>
    </row>
    <row r="285" spans="1:3" ht="15.75" customHeight="1" x14ac:dyDescent="0.4">
      <c r="A285" s="24" t="s">
        <v>1256</v>
      </c>
      <c r="B285" s="67">
        <v>44811.729861111096</v>
      </c>
      <c r="C285" s="24" t="s">
        <v>826</v>
      </c>
    </row>
    <row r="286" spans="1:3" ht="15.75" customHeight="1" x14ac:dyDescent="0.4">
      <c r="A286" s="24" t="s">
        <v>597</v>
      </c>
      <c r="B286" s="67">
        <v>44811.729861111096</v>
      </c>
      <c r="C286" s="24" t="s">
        <v>826</v>
      </c>
    </row>
    <row r="287" spans="1:3" ht="15.75" customHeight="1" x14ac:dyDescent="0.4">
      <c r="A287" s="24" t="s">
        <v>545</v>
      </c>
      <c r="B287" s="67">
        <v>44811.724305555603</v>
      </c>
      <c r="C287" s="24" t="s">
        <v>826</v>
      </c>
    </row>
    <row r="288" spans="1:3" ht="15.75" customHeight="1" x14ac:dyDescent="0.4">
      <c r="A288" s="24" t="s">
        <v>511</v>
      </c>
      <c r="B288" s="67">
        <v>44811.722222222197</v>
      </c>
      <c r="C288" s="24" t="s">
        <v>826</v>
      </c>
    </row>
    <row r="289" spans="1:3" ht="15.75" customHeight="1" x14ac:dyDescent="0.4">
      <c r="A289" s="24" t="s">
        <v>1767</v>
      </c>
      <c r="B289" s="67">
        <v>44811.713194444397</v>
      </c>
      <c r="C289" s="68">
        <v>44765.751388888901</v>
      </c>
    </row>
    <row r="290" spans="1:3" ht="15.75" customHeight="1" x14ac:dyDescent="0.4">
      <c r="A290" s="24" t="s">
        <v>1013</v>
      </c>
      <c r="B290" s="67">
        <v>44811.712500000001</v>
      </c>
      <c r="C290" s="68">
        <v>44762.7631944444</v>
      </c>
    </row>
    <row r="291" spans="1:3" ht="15.75" customHeight="1" x14ac:dyDescent="0.4">
      <c r="A291" s="24" t="s">
        <v>1662</v>
      </c>
      <c r="B291" s="67">
        <v>44811.7097222222</v>
      </c>
      <c r="C291" s="68">
        <v>44763.5</v>
      </c>
    </row>
    <row r="292" spans="1:3" ht="15.75" customHeight="1" x14ac:dyDescent="0.4">
      <c r="A292" s="24" t="s">
        <v>1553</v>
      </c>
      <c r="B292" s="67">
        <v>44811.6965277778</v>
      </c>
      <c r="C292" s="68">
        <v>44761.8527777778</v>
      </c>
    </row>
    <row r="293" spans="1:3" ht="15.75" customHeight="1" x14ac:dyDescent="0.4">
      <c r="A293" s="24" t="s">
        <v>2143</v>
      </c>
      <c r="B293" s="67">
        <v>44811.693055555603</v>
      </c>
      <c r="C293" s="68">
        <v>44769.761111111096</v>
      </c>
    </row>
    <row r="294" spans="1:3" ht="15.75" customHeight="1" x14ac:dyDescent="0.4">
      <c r="A294" s="24" t="s">
        <v>934</v>
      </c>
      <c r="B294" s="67">
        <v>44811.690972222197</v>
      </c>
      <c r="C294" s="24" t="s">
        <v>826</v>
      </c>
    </row>
    <row r="295" spans="1:3" ht="15.75" customHeight="1" x14ac:dyDescent="0.4">
      <c r="A295" s="24" t="s">
        <v>935</v>
      </c>
      <c r="B295" s="67">
        <v>44811.6743055556</v>
      </c>
      <c r="C295" s="68">
        <v>44757.600694444503</v>
      </c>
    </row>
    <row r="296" spans="1:3" ht="15.75" customHeight="1" x14ac:dyDescent="0.4">
      <c r="A296" s="24" t="s">
        <v>1251</v>
      </c>
      <c r="B296" s="67">
        <v>44811.667361111096</v>
      </c>
      <c r="C296" s="24" t="s">
        <v>826</v>
      </c>
    </row>
    <row r="297" spans="1:3" ht="15.75" customHeight="1" x14ac:dyDescent="0.4">
      <c r="A297" s="24" t="s">
        <v>1497</v>
      </c>
      <c r="B297" s="67">
        <v>44811.663194444503</v>
      </c>
      <c r="C297" s="68">
        <v>44761.815972222197</v>
      </c>
    </row>
    <row r="298" spans="1:3" ht="15.75" customHeight="1" x14ac:dyDescent="0.4">
      <c r="A298" s="24" t="s">
        <v>844</v>
      </c>
      <c r="B298" s="67">
        <v>44811.662499999999</v>
      </c>
      <c r="C298" s="68">
        <v>44760.646527777797</v>
      </c>
    </row>
    <row r="299" spans="1:3" ht="15.75" customHeight="1" x14ac:dyDescent="0.4">
      <c r="A299" s="24" t="s">
        <v>1486</v>
      </c>
      <c r="B299" s="67">
        <v>44811.661111111098</v>
      </c>
      <c r="C299" s="68">
        <v>44760.850694444503</v>
      </c>
    </row>
    <row r="300" spans="1:3" ht="15.75" customHeight="1" x14ac:dyDescent="0.4">
      <c r="A300" s="24" t="s">
        <v>1868</v>
      </c>
      <c r="B300" s="67">
        <v>44811.661111111098</v>
      </c>
      <c r="C300" s="68">
        <v>44761.425694444399</v>
      </c>
    </row>
    <row r="301" spans="1:3" ht="15.75" customHeight="1" x14ac:dyDescent="0.4">
      <c r="A301" s="24" t="s">
        <v>239</v>
      </c>
      <c r="B301" s="67">
        <v>44811.65625</v>
      </c>
      <c r="C301" s="24" t="s">
        <v>826</v>
      </c>
    </row>
    <row r="302" spans="1:3" ht="15.75" customHeight="1" x14ac:dyDescent="0.4">
      <c r="A302" s="24" t="s">
        <v>247</v>
      </c>
      <c r="B302" s="67">
        <v>44811.650694444397</v>
      </c>
      <c r="C302" s="24" t="s">
        <v>826</v>
      </c>
    </row>
    <row r="303" spans="1:3" ht="15.75" customHeight="1" x14ac:dyDescent="0.4">
      <c r="A303" s="24" t="s">
        <v>1241</v>
      </c>
      <c r="B303" s="67">
        <v>44811.648611111101</v>
      </c>
      <c r="C303" s="68">
        <v>44765.501388888901</v>
      </c>
    </row>
    <row r="304" spans="1:3" ht="15.75" customHeight="1" x14ac:dyDescent="0.4">
      <c r="A304" s="24" t="s">
        <v>2113</v>
      </c>
      <c r="B304" s="67">
        <v>44811.639583333301</v>
      </c>
      <c r="C304" s="68">
        <v>44764.904861111099</v>
      </c>
    </row>
    <row r="305" spans="1:3" ht="15.75" customHeight="1" x14ac:dyDescent="0.4">
      <c r="A305" s="24" t="s">
        <v>347</v>
      </c>
      <c r="B305" s="67">
        <v>44811.636111111096</v>
      </c>
      <c r="C305" s="24" t="s">
        <v>826</v>
      </c>
    </row>
    <row r="306" spans="1:3" ht="15.75" customHeight="1" x14ac:dyDescent="0.4">
      <c r="A306" s="24" t="s">
        <v>1118</v>
      </c>
      <c r="B306" s="67">
        <v>44811.635416666701</v>
      </c>
      <c r="C306" s="68">
        <v>44765.5402777778</v>
      </c>
    </row>
    <row r="307" spans="1:3" ht="15.75" customHeight="1" x14ac:dyDescent="0.4">
      <c r="A307" s="24" t="s">
        <v>974</v>
      </c>
      <c r="B307" s="67">
        <v>44811.629166666702</v>
      </c>
      <c r="C307" s="24" t="s">
        <v>826</v>
      </c>
    </row>
    <row r="308" spans="1:3" ht="15.75" customHeight="1" x14ac:dyDescent="0.4">
      <c r="A308" s="24" t="s">
        <v>489</v>
      </c>
      <c r="B308" s="67">
        <v>44811.626388888901</v>
      </c>
      <c r="C308" s="24" t="s">
        <v>826</v>
      </c>
    </row>
    <row r="309" spans="1:3" ht="15.75" customHeight="1" x14ac:dyDescent="0.4">
      <c r="A309" s="24" t="s">
        <v>1146</v>
      </c>
      <c r="B309" s="67">
        <v>44811.612500000003</v>
      </c>
      <c r="C309" s="68">
        <v>44757.839583333298</v>
      </c>
    </row>
    <row r="310" spans="1:3" ht="15.75" customHeight="1" x14ac:dyDescent="0.4">
      <c r="A310" s="24" t="s">
        <v>1828</v>
      </c>
      <c r="B310" s="67">
        <v>44811.607638888898</v>
      </c>
      <c r="C310" s="68">
        <v>44758.75</v>
      </c>
    </row>
    <row r="311" spans="1:3" ht="15.75" customHeight="1" x14ac:dyDescent="0.4">
      <c r="A311" s="24" t="s">
        <v>2033</v>
      </c>
      <c r="B311" s="67">
        <v>44811.6027777778</v>
      </c>
      <c r="C311" s="68">
        <v>44762.659722222197</v>
      </c>
    </row>
    <row r="312" spans="1:3" ht="15.75" customHeight="1" x14ac:dyDescent="0.4">
      <c r="A312" s="24" t="s">
        <v>861</v>
      </c>
      <c r="B312" s="67">
        <v>44811.6027777778</v>
      </c>
      <c r="C312" s="68">
        <v>44765.832638888904</v>
      </c>
    </row>
    <row r="313" spans="1:3" ht="15.75" customHeight="1" x14ac:dyDescent="0.4">
      <c r="A313" s="24" t="s">
        <v>1986</v>
      </c>
      <c r="B313" s="67">
        <v>44811.596527777801</v>
      </c>
      <c r="C313" s="24" t="s">
        <v>826</v>
      </c>
    </row>
    <row r="314" spans="1:3" ht="15.75" customHeight="1" x14ac:dyDescent="0.4">
      <c r="A314" s="24" t="s">
        <v>463</v>
      </c>
      <c r="B314" s="67">
        <v>44811.589583333298</v>
      </c>
      <c r="C314" s="24" t="s">
        <v>826</v>
      </c>
    </row>
    <row r="315" spans="1:3" ht="15.75" customHeight="1" x14ac:dyDescent="0.4">
      <c r="A315" s="24" t="s">
        <v>1291</v>
      </c>
      <c r="B315" s="67">
        <v>44811.586111111101</v>
      </c>
      <c r="C315" s="68">
        <v>44761.481249999997</v>
      </c>
    </row>
    <row r="316" spans="1:3" ht="15.75" customHeight="1" x14ac:dyDescent="0.4">
      <c r="A316" s="24" t="s">
        <v>1056</v>
      </c>
      <c r="B316" s="67">
        <v>44811.583333333299</v>
      </c>
      <c r="C316" s="68">
        <v>44761.577083333301</v>
      </c>
    </row>
    <row r="317" spans="1:3" ht="15.75" customHeight="1" x14ac:dyDescent="0.4">
      <c r="A317" s="24" t="s">
        <v>1402</v>
      </c>
      <c r="B317" s="67">
        <v>44811.581250000003</v>
      </c>
      <c r="C317" s="68">
        <v>44763.488888888904</v>
      </c>
    </row>
    <row r="318" spans="1:3" ht="15.75" customHeight="1" x14ac:dyDescent="0.4">
      <c r="A318" s="24" t="s">
        <v>1846</v>
      </c>
      <c r="B318" s="67">
        <v>44811.572222222203</v>
      </c>
      <c r="C318" s="68">
        <v>44752.7944444444</v>
      </c>
    </row>
    <row r="319" spans="1:3" ht="15.75" customHeight="1" x14ac:dyDescent="0.4">
      <c r="A319" s="24" t="s">
        <v>2110</v>
      </c>
      <c r="B319" s="67">
        <v>44811.570138888899</v>
      </c>
      <c r="C319" s="68">
        <v>44756.9152777778</v>
      </c>
    </row>
    <row r="320" spans="1:3" ht="15.75" customHeight="1" x14ac:dyDescent="0.4">
      <c r="A320" s="24" t="s">
        <v>792</v>
      </c>
      <c r="B320" s="67">
        <v>44811.565972222197</v>
      </c>
      <c r="C320" s="24" t="s">
        <v>826</v>
      </c>
    </row>
    <row r="321" spans="1:3" ht="15.75" customHeight="1" x14ac:dyDescent="0.4">
      <c r="A321" s="24" t="s">
        <v>1243</v>
      </c>
      <c r="B321" s="67">
        <v>44811.561111111099</v>
      </c>
      <c r="C321" s="68">
        <v>44757.925000000003</v>
      </c>
    </row>
    <row r="322" spans="1:3" ht="15.75" customHeight="1" x14ac:dyDescent="0.4">
      <c r="A322" s="24" t="s">
        <v>1962</v>
      </c>
      <c r="B322" s="67">
        <v>44811.559722222199</v>
      </c>
      <c r="C322" s="68">
        <v>44763.772916666698</v>
      </c>
    </row>
    <row r="323" spans="1:3" ht="15.75" customHeight="1" x14ac:dyDescent="0.4">
      <c r="A323" s="24" t="s">
        <v>1293</v>
      </c>
      <c r="B323" s="67">
        <v>44811.559027777803</v>
      </c>
      <c r="C323" s="68">
        <v>44758.521527777797</v>
      </c>
    </row>
    <row r="324" spans="1:3" ht="15.75" customHeight="1" x14ac:dyDescent="0.4">
      <c r="A324" s="24" t="s">
        <v>2039</v>
      </c>
      <c r="B324" s="67">
        <v>44811.557638888902</v>
      </c>
      <c r="C324" s="68">
        <v>44759.8215277778</v>
      </c>
    </row>
    <row r="325" spans="1:3" ht="15.75" customHeight="1" x14ac:dyDescent="0.4">
      <c r="A325" s="24" t="s">
        <v>401</v>
      </c>
      <c r="B325" s="67">
        <v>44811.548611111102</v>
      </c>
      <c r="C325" s="24" t="s">
        <v>826</v>
      </c>
    </row>
    <row r="326" spans="1:3" ht="15.75" customHeight="1" x14ac:dyDescent="0.4">
      <c r="A326" s="24" t="s">
        <v>1099</v>
      </c>
      <c r="B326" s="67">
        <v>44811.547222222202</v>
      </c>
      <c r="C326" s="68">
        <v>44764.809722222199</v>
      </c>
    </row>
    <row r="327" spans="1:3" ht="15.75" customHeight="1" x14ac:dyDescent="0.4">
      <c r="A327" s="24" t="s">
        <v>233</v>
      </c>
      <c r="B327" s="67">
        <v>44811.546527777798</v>
      </c>
      <c r="C327" s="68">
        <v>44763.817361111098</v>
      </c>
    </row>
    <row r="328" spans="1:3" ht="15.75" customHeight="1" x14ac:dyDescent="0.4">
      <c r="A328" s="24" t="s">
        <v>1066</v>
      </c>
      <c r="B328" s="67">
        <v>44811.5444444444</v>
      </c>
      <c r="C328" s="24" t="s">
        <v>826</v>
      </c>
    </row>
    <row r="329" spans="1:3" ht="15.75" customHeight="1" x14ac:dyDescent="0.4">
      <c r="A329" s="24" t="s">
        <v>1588</v>
      </c>
      <c r="B329" s="67">
        <v>44811.5444444444</v>
      </c>
      <c r="C329" s="68">
        <v>44767.759722222203</v>
      </c>
    </row>
    <row r="330" spans="1:3" ht="15.75" customHeight="1" x14ac:dyDescent="0.4">
      <c r="A330" s="24" t="s">
        <v>1018</v>
      </c>
      <c r="B330" s="67">
        <v>44811.540972222203</v>
      </c>
      <c r="C330" s="24" t="s">
        <v>826</v>
      </c>
    </row>
    <row r="331" spans="1:3" ht="15.75" customHeight="1" x14ac:dyDescent="0.4">
      <c r="A331" s="24" t="s">
        <v>1369</v>
      </c>
      <c r="B331" s="67">
        <v>44811.539583333302</v>
      </c>
      <c r="C331" s="68">
        <v>44761.521527777797</v>
      </c>
    </row>
    <row r="332" spans="1:3" ht="15.75" customHeight="1" x14ac:dyDescent="0.4">
      <c r="A332" s="24" t="s">
        <v>475</v>
      </c>
      <c r="B332" s="67">
        <v>44811.527083333298</v>
      </c>
      <c r="C332" s="24" t="s">
        <v>826</v>
      </c>
    </row>
    <row r="333" spans="1:3" ht="15.75" customHeight="1" x14ac:dyDescent="0.4">
      <c r="A333" s="24" t="s">
        <v>223</v>
      </c>
      <c r="B333" s="67">
        <v>44811.523611111101</v>
      </c>
      <c r="C333" s="24" t="s">
        <v>826</v>
      </c>
    </row>
    <row r="334" spans="1:3" ht="15.75" customHeight="1" x14ac:dyDescent="0.4">
      <c r="A334" s="24" t="s">
        <v>1093</v>
      </c>
      <c r="B334" s="67">
        <v>44811.5222222222</v>
      </c>
      <c r="C334" s="68">
        <v>44756.871527777803</v>
      </c>
    </row>
    <row r="335" spans="1:3" ht="15.75" customHeight="1" x14ac:dyDescent="0.4">
      <c r="A335" s="24" t="s">
        <v>457</v>
      </c>
      <c r="B335" s="67">
        <v>44811.519444444399</v>
      </c>
      <c r="C335" s="24" t="s">
        <v>826</v>
      </c>
    </row>
    <row r="336" spans="1:3" ht="15.75" customHeight="1" x14ac:dyDescent="0.4">
      <c r="A336" s="24" t="s">
        <v>1032</v>
      </c>
      <c r="B336" s="67">
        <v>44811.5180555556</v>
      </c>
      <c r="C336" s="24" t="s">
        <v>826</v>
      </c>
    </row>
    <row r="337" spans="1:3" ht="15.75" customHeight="1" x14ac:dyDescent="0.4">
      <c r="A337" s="24" t="s">
        <v>726</v>
      </c>
      <c r="B337" s="67">
        <v>44811.5180555556</v>
      </c>
      <c r="C337" s="68">
        <v>44765.654861111099</v>
      </c>
    </row>
    <row r="338" spans="1:3" ht="15.75" customHeight="1" x14ac:dyDescent="0.4">
      <c r="A338" s="24" t="s">
        <v>1154</v>
      </c>
      <c r="B338" s="67">
        <v>44811.514583333301</v>
      </c>
      <c r="C338" s="68">
        <v>44761.439583333296</v>
      </c>
    </row>
    <row r="339" spans="1:3" ht="15.75" customHeight="1" x14ac:dyDescent="0.4">
      <c r="A339" s="24" t="s">
        <v>1993</v>
      </c>
      <c r="B339" s="67">
        <v>44811.511805555601</v>
      </c>
      <c r="C339" s="68">
        <v>44763.6430555556</v>
      </c>
    </row>
    <row r="340" spans="1:3" ht="15.75" customHeight="1" x14ac:dyDescent="0.4">
      <c r="A340" s="24" t="s">
        <v>1760</v>
      </c>
      <c r="B340" s="67">
        <v>44811.511805555601</v>
      </c>
      <c r="C340" s="68">
        <v>44758.711111111101</v>
      </c>
    </row>
    <row r="341" spans="1:3" ht="15.75" customHeight="1" x14ac:dyDescent="0.4">
      <c r="A341" s="24" t="s">
        <v>1908</v>
      </c>
      <c r="B341" s="67">
        <v>44811.511805555601</v>
      </c>
      <c r="C341" s="68">
        <v>44763.581250000003</v>
      </c>
    </row>
    <row r="342" spans="1:3" ht="15.75" customHeight="1" x14ac:dyDescent="0.4">
      <c r="A342" s="24" t="s">
        <v>1711</v>
      </c>
      <c r="B342" s="67">
        <v>44811.510416666701</v>
      </c>
      <c r="C342" s="68">
        <v>44764.688194444498</v>
      </c>
    </row>
    <row r="343" spans="1:3" ht="15.75" customHeight="1" x14ac:dyDescent="0.4">
      <c r="A343" s="24" t="s">
        <v>519</v>
      </c>
      <c r="B343" s="67">
        <v>44811.509722222203</v>
      </c>
      <c r="C343" s="24" t="s">
        <v>826</v>
      </c>
    </row>
    <row r="344" spans="1:3" ht="15.75" customHeight="1" x14ac:dyDescent="0.4">
      <c r="A344" s="24" t="s">
        <v>1851</v>
      </c>
      <c r="B344" s="67">
        <v>44811.508333333302</v>
      </c>
      <c r="C344" s="68">
        <v>44769.745833333298</v>
      </c>
    </row>
    <row r="345" spans="1:3" ht="15.75" customHeight="1" x14ac:dyDescent="0.4">
      <c r="A345" s="24" t="s">
        <v>1757</v>
      </c>
      <c r="B345" s="67">
        <v>44811.505555555603</v>
      </c>
      <c r="C345" s="24" t="s">
        <v>826</v>
      </c>
    </row>
    <row r="346" spans="1:3" ht="15.75" customHeight="1" x14ac:dyDescent="0.4">
      <c r="A346" s="24" t="s">
        <v>1265</v>
      </c>
      <c r="B346" s="67">
        <v>44811.504166666702</v>
      </c>
      <c r="C346" s="68">
        <v>44763.627777777801</v>
      </c>
    </row>
    <row r="347" spans="1:3" ht="15.75" customHeight="1" x14ac:dyDescent="0.4">
      <c r="A347" s="24" t="s">
        <v>443</v>
      </c>
      <c r="B347" s="67">
        <v>44811.481249999997</v>
      </c>
      <c r="C347" s="24" t="s">
        <v>826</v>
      </c>
    </row>
    <row r="348" spans="1:3" ht="15.75" customHeight="1" x14ac:dyDescent="0.4">
      <c r="A348" s="24" t="s">
        <v>1318</v>
      </c>
      <c r="B348" s="67">
        <v>44811.479861111096</v>
      </c>
      <c r="C348" s="24" t="s">
        <v>826</v>
      </c>
    </row>
    <row r="349" spans="1:3" ht="15.75" customHeight="1" x14ac:dyDescent="0.4">
      <c r="A349" s="24" t="s">
        <v>1487</v>
      </c>
      <c r="B349" s="67">
        <v>44811.465972222199</v>
      </c>
      <c r="C349" s="68">
        <v>44763.547916666699</v>
      </c>
    </row>
    <row r="350" spans="1:3" ht="15.75" customHeight="1" x14ac:dyDescent="0.4">
      <c r="A350" s="24" t="s">
        <v>736</v>
      </c>
      <c r="B350" s="67">
        <v>44811.452777777798</v>
      </c>
      <c r="C350" s="68">
        <v>44765.752777777801</v>
      </c>
    </row>
    <row r="351" spans="1:3" ht="15.75" customHeight="1" x14ac:dyDescent="0.4">
      <c r="A351" s="24" t="s">
        <v>1936</v>
      </c>
      <c r="B351" s="67">
        <v>44811.422916666699</v>
      </c>
      <c r="C351" s="68">
        <v>44759.4909722222</v>
      </c>
    </row>
    <row r="352" spans="1:3" ht="15.75" customHeight="1" x14ac:dyDescent="0.4">
      <c r="A352" s="24" t="s">
        <v>1479</v>
      </c>
      <c r="B352" s="67">
        <v>44811.3840277778</v>
      </c>
      <c r="C352" s="68">
        <v>44752.774305555598</v>
      </c>
    </row>
    <row r="353" spans="1:3" ht="15.75" customHeight="1" x14ac:dyDescent="0.4">
      <c r="A353" s="24" t="s">
        <v>1483</v>
      </c>
      <c r="B353" s="67">
        <v>44780.985416666699</v>
      </c>
      <c r="C353" s="68">
        <v>44757.813194444498</v>
      </c>
    </row>
    <row r="354" spans="1:3" ht="15.75" customHeight="1" x14ac:dyDescent="0.4">
      <c r="A354" s="24" t="s">
        <v>1166</v>
      </c>
      <c r="B354" s="67">
        <v>44780.967361111099</v>
      </c>
      <c r="C354" s="68">
        <v>44760.879166666702</v>
      </c>
    </row>
    <row r="355" spans="1:3" ht="15.75" customHeight="1" x14ac:dyDescent="0.4">
      <c r="A355" s="24" t="s">
        <v>2104</v>
      </c>
      <c r="B355" s="67">
        <v>44780.931250000001</v>
      </c>
      <c r="C355" s="24" t="s">
        <v>826</v>
      </c>
    </row>
    <row r="356" spans="1:3" ht="15.75" customHeight="1" x14ac:dyDescent="0.4">
      <c r="A356" s="24" t="s">
        <v>1712</v>
      </c>
      <c r="B356" s="67">
        <v>44780.922222222202</v>
      </c>
      <c r="C356" s="68">
        <v>44752.6</v>
      </c>
    </row>
    <row r="357" spans="1:3" ht="15.75" customHeight="1" x14ac:dyDescent="0.4">
      <c r="A357" s="24" t="s">
        <v>2133</v>
      </c>
      <c r="B357" s="67">
        <v>44780.890972222202</v>
      </c>
      <c r="C357" s="68">
        <v>44762.5444444444</v>
      </c>
    </row>
    <row r="358" spans="1:3" ht="15.75" customHeight="1" x14ac:dyDescent="0.4">
      <c r="A358" s="24" t="s">
        <v>1969</v>
      </c>
      <c r="B358" s="67">
        <v>44780.888888888898</v>
      </c>
      <c r="C358" s="68">
        <v>44762.852083333302</v>
      </c>
    </row>
    <row r="359" spans="1:3" ht="15.75" customHeight="1" x14ac:dyDescent="0.4">
      <c r="A359" s="24" t="s">
        <v>933</v>
      </c>
      <c r="B359" s="67">
        <v>44780.881249999999</v>
      </c>
      <c r="C359" s="68">
        <v>44763.822222222203</v>
      </c>
    </row>
    <row r="360" spans="1:3" ht="15.75" customHeight="1" x14ac:dyDescent="0.4">
      <c r="A360" s="24" t="s">
        <v>2131</v>
      </c>
      <c r="B360" s="67">
        <v>44780.879166666702</v>
      </c>
      <c r="C360" s="68">
        <v>44765.525694444397</v>
      </c>
    </row>
    <row r="361" spans="1:3" ht="15.75" customHeight="1" x14ac:dyDescent="0.4">
      <c r="A361" s="24" t="s">
        <v>1710</v>
      </c>
      <c r="B361" s="67">
        <v>44780.870833333298</v>
      </c>
      <c r="C361" s="24" t="s">
        <v>826</v>
      </c>
    </row>
    <row r="362" spans="1:3" ht="15.75" customHeight="1" x14ac:dyDescent="0.4">
      <c r="A362" s="24" t="s">
        <v>1019</v>
      </c>
      <c r="B362" s="67">
        <v>44780.869444444397</v>
      </c>
      <c r="C362" s="68">
        <v>44760.6118055556</v>
      </c>
    </row>
    <row r="363" spans="1:3" ht="15.75" customHeight="1" x14ac:dyDescent="0.4">
      <c r="A363" s="24" t="s">
        <v>1657</v>
      </c>
      <c r="B363" s="67">
        <v>44780.868750000001</v>
      </c>
      <c r="C363" s="68">
        <v>44764.576388888898</v>
      </c>
    </row>
    <row r="364" spans="1:3" ht="15.75" customHeight="1" x14ac:dyDescent="0.4">
      <c r="A364" s="24" t="s">
        <v>1790</v>
      </c>
      <c r="B364" s="67">
        <v>44780.865277777797</v>
      </c>
      <c r="C364" s="68">
        <v>44764.53125</v>
      </c>
    </row>
    <row r="365" spans="1:3" ht="15.75" customHeight="1" x14ac:dyDescent="0.4">
      <c r="A365" s="24" t="s">
        <v>683</v>
      </c>
      <c r="B365" s="67">
        <v>44780.863194444399</v>
      </c>
      <c r="C365" s="24" t="s">
        <v>826</v>
      </c>
    </row>
    <row r="366" spans="1:3" ht="15.75" customHeight="1" x14ac:dyDescent="0.4">
      <c r="A366" s="24" t="s">
        <v>879</v>
      </c>
      <c r="B366" s="67">
        <v>44780.859027777798</v>
      </c>
      <c r="C366" s="68">
        <v>44764.517361111102</v>
      </c>
    </row>
    <row r="367" spans="1:3" ht="15.75" customHeight="1" x14ac:dyDescent="0.4">
      <c r="A367" s="24" t="s">
        <v>1444</v>
      </c>
      <c r="B367" s="67">
        <v>44780.857638888898</v>
      </c>
      <c r="C367" s="68">
        <v>44762.574999999997</v>
      </c>
    </row>
    <row r="368" spans="1:3" ht="15.75" customHeight="1" x14ac:dyDescent="0.4">
      <c r="A368" s="24" t="s">
        <v>875</v>
      </c>
      <c r="B368" s="67">
        <v>44780.856249999997</v>
      </c>
      <c r="C368" s="24" t="s">
        <v>826</v>
      </c>
    </row>
    <row r="369" spans="1:3" ht="15.75" customHeight="1" x14ac:dyDescent="0.4">
      <c r="A369" s="24" t="s">
        <v>2146</v>
      </c>
      <c r="B369" s="67">
        <v>44780.855555555601</v>
      </c>
      <c r="C369" s="68">
        <v>44758.7</v>
      </c>
    </row>
    <row r="370" spans="1:3" ht="15.75" customHeight="1" x14ac:dyDescent="0.4">
      <c r="A370" s="24" t="s">
        <v>1708</v>
      </c>
      <c r="B370" s="67">
        <v>44780.8527777778</v>
      </c>
      <c r="C370" s="68">
        <v>44752.472222222197</v>
      </c>
    </row>
    <row r="371" spans="1:3" ht="15.75" customHeight="1" x14ac:dyDescent="0.4">
      <c r="A371" s="24" t="s">
        <v>1044</v>
      </c>
      <c r="B371" s="67">
        <v>44780.851388888899</v>
      </c>
      <c r="C371" s="68">
        <v>44764.777777777803</v>
      </c>
    </row>
    <row r="372" spans="1:3" ht="15.75" customHeight="1" x14ac:dyDescent="0.4">
      <c r="A372" s="24" t="s">
        <v>1285</v>
      </c>
      <c r="B372" s="67">
        <v>44780.848611111098</v>
      </c>
      <c r="C372" s="24" t="s">
        <v>826</v>
      </c>
    </row>
    <row r="373" spans="1:3" ht="15.75" customHeight="1" x14ac:dyDescent="0.4">
      <c r="A373" s="24" t="s">
        <v>2085</v>
      </c>
      <c r="B373" s="67">
        <v>44780.838888888902</v>
      </c>
      <c r="C373" s="68">
        <v>44765.754166666702</v>
      </c>
    </row>
    <row r="374" spans="1:3" ht="15.75" customHeight="1" x14ac:dyDescent="0.4">
      <c r="A374" s="24" t="s">
        <v>1731</v>
      </c>
      <c r="B374" s="67">
        <v>44780.833333333299</v>
      </c>
      <c r="C374" s="24" t="s">
        <v>826</v>
      </c>
    </row>
    <row r="375" spans="1:3" ht="15.75" customHeight="1" x14ac:dyDescent="0.4">
      <c r="A375" s="24" t="s">
        <v>1473</v>
      </c>
      <c r="B375" s="67">
        <v>44780.832638888904</v>
      </c>
      <c r="C375" s="68">
        <v>44758.838888888902</v>
      </c>
    </row>
    <row r="376" spans="1:3" ht="15.75" customHeight="1" x14ac:dyDescent="0.4">
      <c r="A376" s="24" t="s">
        <v>1590</v>
      </c>
      <c r="B376" s="67">
        <v>44780.829861111102</v>
      </c>
      <c r="C376" s="68">
        <v>44762.543749999997</v>
      </c>
    </row>
    <row r="377" spans="1:3" ht="15.75" customHeight="1" x14ac:dyDescent="0.4">
      <c r="A377" s="24" t="s">
        <v>1254</v>
      </c>
      <c r="B377" s="67">
        <v>44780.824999999997</v>
      </c>
      <c r="C377" s="68">
        <v>44768.859027777798</v>
      </c>
    </row>
    <row r="378" spans="1:3" ht="15.75" customHeight="1" x14ac:dyDescent="0.4">
      <c r="A378" s="24" t="s">
        <v>734</v>
      </c>
      <c r="B378" s="67">
        <v>44780.813888888901</v>
      </c>
      <c r="C378" s="68">
        <v>44757.599305555603</v>
      </c>
    </row>
    <row r="379" spans="1:3" ht="15.75" customHeight="1" x14ac:dyDescent="0.4">
      <c r="A379" s="24" t="s">
        <v>790</v>
      </c>
      <c r="B379" s="67">
        <v>44780.8125</v>
      </c>
      <c r="C379" s="24" t="s">
        <v>826</v>
      </c>
    </row>
    <row r="380" spans="1:3" ht="15.75" customHeight="1" x14ac:dyDescent="0.4">
      <c r="A380" s="24" t="s">
        <v>1053</v>
      </c>
      <c r="B380" s="67">
        <v>44780.810416666704</v>
      </c>
      <c r="C380" s="68">
        <v>44758.7902777778</v>
      </c>
    </row>
    <row r="381" spans="1:3" ht="15.75" customHeight="1" x14ac:dyDescent="0.4">
      <c r="A381" s="24" t="s">
        <v>2006</v>
      </c>
      <c r="B381" s="67">
        <v>44780.78125</v>
      </c>
      <c r="C381" s="24" t="s">
        <v>826</v>
      </c>
    </row>
    <row r="382" spans="1:3" ht="15.75" customHeight="1" x14ac:dyDescent="0.4">
      <c r="A382" s="24" t="s">
        <v>483</v>
      </c>
      <c r="B382" s="67">
        <v>44780.773611111101</v>
      </c>
      <c r="C382" s="24" t="s">
        <v>826</v>
      </c>
    </row>
    <row r="383" spans="1:3" ht="15.75" customHeight="1" x14ac:dyDescent="0.4">
      <c r="A383" s="24" t="s">
        <v>1207</v>
      </c>
      <c r="B383" s="67">
        <v>44780.770833333299</v>
      </c>
      <c r="C383" s="68">
        <v>44761.4819444444</v>
      </c>
    </row>
    <row r="384" spans="1:3" ht="15.75" customHeight="1" x14ac:dyDescent="0.4">
      <c r="A384" s="24" t="s">
        <v>960</v>
      </c>
      <c r="B384" s="67">
        <v>44780.7680555556</v>
      </c>
      <c r="C384" s="68">
        <v>44765.606249999997</v>
      </c>
    </row>
    <row r="385" spans="1:3" ht="15.75" customHeight="1" x14ac:dyDescent="0.4">
      <c r="A385" s="24" t="s">
        <v>1468</v>
      </c>
      <c r="B385" s="67">
        <v>44780.764583333301</v>
      </c>
      <c r="C385" s="68">
        <v>44754.784027777801</v>
      </c>
    </row>
    <row r="386" spans="1:3" ht="15.75" customHeight="1" x14ac:dyDescent="0.4">
      <c r="A386" s="24" t="s">
        <v>1259</v>
      </c>
      <c r="B386" s="67">
        <v>44780.7631944444</v>
      </c>
      <c r="C386" s="68">
        <v>44760.672222222202</v>
      </c>
    </row>
    <row r="387" spans="1:3" ht="15.75" customHeight="1" x14ac:dyDescent="0.4">
      <c r="A387" s="24" t="s">
        <v>2108</v>
      </c>
      <c r="B387" s="67">
        <v>44780.760416666701</v>
      </c>
      <c r="C387" s="68">
        <v>44762.78125</v>
      </c>
    </row>
    <row r="388" spans="1:3" ht="15.75" customHeight="1" x14ac:dyDescent="0.4">
      <c r="A388" s="24" t="s">
        <v>1119</v>
      </c>
      <c r="B388" s="67">
        <v>44780.7590277778</v>
      </c>
      <c r="C388" s="68">
        <v>44759.536805555603</v>
      </c>
    </row>
    <row r="389" spans="1:3" ht="15.75" customHeight="1" x14ac:dyDescent="0.4">
      <c r="A389" s="24" t="s">
        <v>1331</v>
      </c>
      <c r="B389" s="67">
        <v>44780.752083333296</v>
      </c>
      <c r="C389" s="68">
        <v>44763.570833333302</v>
      </c>
    </row>
    <row r="390" spans="1:3" ht="15.75" customHeight="1" x14ac:dyDescent="0.4">
      <c r="A390" s="24" t="s">
        <v>1519</v>
      </c>
      <c r="B390" s="67">
        <v>44780.751388888901</v>
      </c>
      <c r="C390" s="24" t="s">
        <v>826</v>
      </c>
    </row>
    <row r="391" spans="1:3" ht="15.75" customHeight="1" x14ac:dyDescent="0.4">
      <c r="A391" s="24" t="s">
        <v>1055</v>
      </c>
      <c r="B391" s="67">
        <v>44780.743055555598</v>
      </c>
      <c r="C391" s="24" t="s">
        <v>826</v>
      </c>
    </row>
    <row r="392" spans="1:3" ht="15.75" customHeight="1" x14ac:dyDescent="0.4">
      <c r="A392" s="24" t="s">
        <v>1669</v>
      </c>
      <c r="B392" s="67">
        <v>44780.7409722222</v>
      </c>
      <c r="C392" s="68">
        <v>44762.588888888902</v>
      </c>
    </row>
    <row r="393" spans="1:3" ht="15.75" customHeight="1" x14ac:dyDescent="0.4">
      <c r="A393" s="24" t="s">
        <v>1764</v>
      </c>
      <c r="B393" s="67">
        <v>44780.732638888898</v>
      </c>
      <c r="C393" s="68">
        <v>44764.568055555603</v>
      </c>
    </row>
    <row r="394" spans="1:3" ht="15.75" customHeight="1" x14ac:dyDescent="0.4">
      <c r="A394" s="24" t="s">
        <v>2126</v>
      </c>
      <c r="B394" s="67">
        <v>44780.725694444503</v>
      </c>
      <c r="C394" s="68">
        <v>44757.845833333296</v>
      </c>
    </row>
    <row r="395" spans="1:3" ht="15.75" customHeight="1" x14ac:dyDescent="0.4">
      <c r="A395" s="24" t="s">
        <v>383</v>
      </c>
      <c r="B395" s="67">
        <v>44780.699305555601</v>
      </c>
      <c r="C395" s="24" t="s">
        <v>826</v>
      </c>
    </row>
    <row r="396" spans="1:3" ht="15.75" customHeight="1" x14ac:dyDescent="0.4">
      <c r="A396" s="24" t="s">
        <v>2070</v>
      </c>
      <c r="B396" s="67">
        <v>44780.684027777803</v>
      </c>
      <c r="C396" s="68">
        <v>44756.596527777801</v>
      </c>
    </row>
    <row r="397" spans="1:3" ht="15.75" customHeight="1" x14ac:dyDescent="0.4">
      <c r="A397" s="24" t="s">
        <v>1943</v>
      </c>
      <c r="B397" s="67">
        <v>44780.684027777803</v>
      </c>
      <c r="C397" s="68">
        <v>44758.607638888898</v>
      </c>
    </row>
    <row r="398" spans="1:3" ht="15.75" customHeight="1" x14ac:dyDescent="0.4">
      <c r="A398" s="24" t="s">
        <v>1789</v>
      </c>
      <c r="B398" s="67">
        <v>44780.679166666698</v>
      </c>
      <c r="C398" s="68">
        <v>44759.737500000003</v>
      </c>
    </row>
    <row r="399" spans="1:3" ht="15.75" customHeight="1" x14ac:dyDescent="0.4">
      <c r="A399" s="24" t="s">
        <v>999</v>
      </c>
      <c r="B399" s="67">
        <v>44780.675694444399</v>
      </c>
      <c r="C399" s="68">
        <v>44757.537499999999</v>
      </c>
    </row>
    <row r="400" spans="1:3" ht="15.75" customHeight="1" x14ac:dyDescent="0.4">
      <c r="A400" s="24" t="s">
        <v>776</v>
      </c>
      <c r="B400" s="67">
        <v>44780.654166666704</v>
      </c>
      <c r="C400" s="69">
        <v>44751.756249999999</v>
      </c>
    </row>
    <row r="401" spans="1:3" ht="15.75" customHeight="1" x14ac:dyDescent="0.4">
      <c r="A401" s="24" t="s">
        <v>1280</v>
      </c>
      <c r="B401" s="67">
        <v>44780.654166666704</v>
      </c>
      <c r="C401" s="68">
        <v>44763.771527777797</v>
      </c>
    </row>
    <row r="402" spans="1:3" ht="15.75" customHeight="1" x14ac:dyDescent="0.4">
      <c r="A402" s="24" t="s">
        <v>982</v>
      </c>
      <c r="B402" s="67">
        <v>44780.636805555601</v>
      </c>
      <c r="C402" s="68">
        <v>44765.78125</v>
      </c>
    </row>
    <row r="403" spans="1:3" ht="15.75" customHeight="1" x14ac:dyDescent="0.4">
      <c r="A403" s="24" t="s">
        <v>1650</v>
      </c>
      <c r="B403" s="67">
        <v>44780.635416666701</v>
      </c>
      <c r="C403" s="24" t="s">
        <v>826</v>
      </c>
    </row>
    <row r="404" spans="1:3" ht="15.75" customHeight="1" x14ac:dyDescent="0.4">
      <c r="A404" s="24" t="s">
        <v>361</v>
      </c>
      <c r="B404" s="67">
        <v>44780.633333333302</v>
      </c>
      <c r="C404" s="68">
        <v>44752.8125</v>
      </c>
    </row>
    <row r="405" spans="1:3" ht="15.75" customHeight="1" x14ac:dyDescent="0.4">
      <c r="A405" s="24" t="s">
        <v>1398</v>
      </c>
      <c r="B405" s="67">
        <v>44780.633333333302</v>
      </c>
      <c r="C405" s="68">
        <v>44757.464583333298</v>
      </c>
    </row>
    <row r="406" spans="1:3" ht="15.75" customHeight="1" x14ac:dyDescent="0.4">
      <c r="A406" s="24" t="s">
        <v>2097</v>
      </c>
      <c r="B406" s="67">
        <v>44780.631249999999</v>
      </c>
      <c r="C406" s="68">
        <v>44757.870138888902</v>
      </c>
    </row>
    <row r="407" spans="1:3" ht="15.75" customHeight="1" x14ac:dyDescent="0.4">
      <c r="A407" s="24" t="s">
        <v>1902</v>
      </c>
      <c r="B407" s="67">
        <v>44780.623611111099</v>
      </c>
      <c r="C407" s="68">
        <v>44763.813888888901</v>
      </c>
    </row>
    <row r="408" spans="1:3" ht="15.75" customHeight="1" x14ac:dyDescent="0.4">
      <c r="A408" s="24" t="s">
        <v>2094</v>
      </c>
      <c r="B408" s="67">
        <v>44780.617361111101</v>
      </c>
      <c r="C408" s="68">
        <v>44752.831250000003</v>
      </c>
    </row>
    <row r="409" spans="1:3" ht="15.75" customHeight="1" x14ac:dyDescent="0.4">
      <c r="A409" s="24" t="s">
        <v>2120</v>
      </c>
      <c r="B409" s="67">
        <v>44780.608333333301</v>
      </c>
      <c r="C409" s="24" t="s">
        <v>826</v>
      </c>
    </row>
    <row r="410" spans="1:3" ht="15.75" customHeight="1" x14ac:dyDescent="0.4">
      <c r="A410" s="24" t="s">
        <v>381</v>
      </c>
      <c r="B410" s="67">
        <v>44780.565972222197</v>
      </c>
      <c r="C410" s="24" t="s">
        <v>826</v>
      </c>
    </row>
    <row r="411" spans="1:3" ht="15.75" customHeight="1" x14ac:dyDescent="0.4">
      <c r="A411" s="24" t="s">
        <v>447</v>
      </c>
      <c r="B411" s="67">
        <v>44780.557638888902</v>
      </c>
      <c r="C411" s="24" t="s">
        <v>826</v>
      </c>
    </row>
    <row r="412" spans="1:3" ht="15.75" customHeight="1" x14ac:dyDescent="0.4">
      <c r="A412" s="24" t="s">
        <v>1988</v>
      </c>
      <c r="B412" s="67">
        <v>44780.555555555598</v>
      </c>
      <c r="C412" s="68">
        <v>44757.532638888901</v>
      </c>
    </row>
    <row r="413" spans="1:3" ht="15.75" customHeight="1" x14ac:dyDescent="0.4">
      <c r="A413" s="24" t="s">
        <v>897</v>
      </c>
      <c r="B413" s="67">
        <v>44780.554861111101</v>
      </c>
      <c r="C413" s="68">
        <v>44769.796527777798</v>
      </c>
    </row>
    <row r="414" spans="1:3" ht="15.75" customHeight="1" x14ac:dyDescent="0.4">
      <c r="A414" s="24" t="s">
        <v>559</v>
      </c>
      <c r="B414" s="67">
        <v>44780.552083333299</v>
      </c>
      <c r="C414" s="68">
        <v>44752.786111111098</v>
      </c>
    </row>
    <row r="415" spans="1:3" ht="15.75" customHeight="1" x14ac:dyDescent="0.4">
      <c r="A415" s="24" t="s">
        <v>1734</v>
      </c>
      <c r="B415" s="67">
        <v>44780.531944444498</v>
      </c>
      <c r="C415" s="68">
        <v>44765.690972222197</v>
      </c>
    </row>
    <row r="416" spans="1:3" ht="15.75" customHeight="1" x14ac:dyDescent="0.4">
      <c r="A416" s="24" t="s">
        <v>1441</v>
      </c>
      <c r="B416" s="67">
        <v>44780.529166666704</v>
      </c>
      <c r="C416" s="68">
        <v>44762.579166666699</v>
      </c>
    </row>
    <row r="417" spans="1:3" ht="15.75" customHeight="1" x14ac:dyDescent="0.4">
      <c r="A417" s="24" t="s">
        <v>1707</v>
      </c>
      <c r="B417" s="67">
        <v>44780.515972222202</v>
      </c>
      <c r="C417" s="68">
        <v>44752.503472222197</v>
      </c>
    </row>
    <row r="418" spans="1:3" ht="15.75" customHeight="1" x14ac:dyDescent="0.4">
      <c r="A418" s="24" t="s">
        <v>1572</v>
      </c>
      <c r="B418" s="67">
        <v>44780.506944444503</v>
      </c>
      <c r="C418" s="68">
        <v>44763.561111111099</v>
      </c>
    </row>
    <row r="419" spans="1:3" ht="15.75" customHeight="1" x14ac:dyDescent="0.4">
      <c r="A419" s="24" t="s">
        <v>1656</v>
      </c>
      <c r="B419" s="67">
        <v>44780.503472222197</v>
      </c>
      <c r="C419" s="68">
        <v>44752.534027777801</v>
      </c>
    </row>
    <row r="420" spans="1:3" ht="15.75" customHeight="1" x14ac:dyDescent="0.4">
      <c r="A420" s="24" t="s">
        <v>1313</v>
      </c>
      <c r="B420" s="67">
        <v>44780.492361111101</v>
      </c>
      <c r="C420" s="68">
        <v>44766.523611111101</v>
      </c>
    </row>
    <row r="421" spans="1:3" ht="15.75" customHeight="1" x14ac:dyDescent="0.4">
      <c r="A421" s="24" t="s">
        <v>1257</v>
      </c>
      <c r="B421" s="67">
        <v>44780.481249999997</v>
      </c>
      <c r="C421" s="68">
        <v>44761.620138888902</v>
      </c>
    </row>
    <row r="422" spans="1:3" ht="15.75" customHeight="1" x14ac:dyDescent="0.4">
      <c r="A422" s="24" t="s">
        <v>1676</v>
      </c>
      <c r="B422" s="67">
        <v>44780.480555555601</v>
      </c>
      <c r="C422" s="24" t="s">
        <v>826</v>
      </c>
    </row>
    <row r="423" spans="1:3" ht="15.75" customHeight="1" x14ac:dyDescent="0.4">
      <c r="A423" s="24" t="s">
        <v>1332</v>
      </c>
      <c r="B423" s="67">
        <v>44780.475694444503</v>
      </c>
      <c r="C423" s="68">
        <v>44752.568749999999</v>
      </c>
    </row>
    <row r="424" spans="1:3" ht="15.75" customHeight="1" x14ac:dyDescent="0.4">
      <c r="A424" s="24" t="s">
        <v>877</v>
      </c>
      <c r="B424" s="67">
        <v>44780.470138888901</v>
      </c>
      <c r="C424" s="68">
        <v>44753.877083333296</v>
      </c>
    </row>
    <row r="425" spans="1:3" ht="15.75" customHeight="1" x14ac:dyDescent="0.4">
      <c r="A425" s="24" t="s">
        <v>880</v>
      </c>
      <c r="B425" s="67">
        <v>44780.456944444399</v>
      </c>
      <c r="C425" s="68">
        <v>44756.880555555603</v>
      </c>
    </row>
    <row r="426" spans="1:3" ht="15.75" customHeight="1" x14ac:dyDescent="0.4">
      <c r="A426" s="24" t="s">
        <v>996</v>
      </c>
      <c r="B426" s="67">
        <v>44780.453472222202</v>
      </c>
      <c r="C426" s="68">
        <v>44757.495833333298</v>
      </c>
    </row>
    <row r="427" spans="1:3" ht="15.75" customHeight="1" x14ac:dyDescent="0.4">
      <c r="A427" s="24" t="s">
        <v>403</v>
      </c>
      <c r="B427" s="67">
        <v>44780.451388888898</v>
      </c>
      <c r="C427" s="24" t="s">
        <v>826</v>
      </c>
    </row>
    <row r="428" spans="1:3" ht="15.75" customHeight="1" x14ac:dyDescent="0.4">
      <c r="A428" s="24" t="s">
        <v>495</v>
      </c>
      <c r="B428" s="67">
        <v>44780.443749999999</v>
      </c>
      <c r="C428" s="24" t="s">
        <v>826</v>
      </c>
    </row>
    <row r="429" spans="1:3" ht="15.75" customHeight="1" x14ac:dyDescent="0.4">
      <c r="A429" s="24" t="s">
        <v>1017</v>
      </c>
      <c r="B429" s="67">
        <v>44749.9868055556</v>
      </c>
      <c r="C429" s="24" t="s">
        <v>826</v>
      </c>
    </row>
    <row r="430" spans="1:3" ht="15.75" customHeight="1" x14ac:dyDescent="0.4">
      <c r="A430" s="24" t="s">
        <v>1012</v>
      </c>
      <c r="B430" s="67">
        <v>44749.966666666704</v>
      </c>
      <c r="C430" s="24" t="s">
        <v>826</v>
      </c>
    </row>
    <row r="431" spans="1:3" ht="15.75" customHeight="1" x14ac:dyDescent="0.4">
      <c r="A431" s="24" t="s">
        <v>2020</v>
      </c>
      <c r="B431" s="67">
        <v>44749.959027777797</v>
      </c>
      <c r="C431" s="69">
        <v>44750.706250000003</v>
      </c>
    </row>
    <row r="432" spans="1:3" ht="15.75" customHeight="1" x14ac:dyDescent="0.4">
      <c r="A432" s="24" t="s">
        <v>575</v>
      </c>
      <c r="B432" s="67">
        <v>44749.921527777798</v>
      </c>
      <c r="C432" s="68">
        <v>44762.670833333301</v>
      </c>
    </row>
    <row r="433" spans="1:3" ht="15.75" customHeight="1" x14ac:dyDescent="0.4">
      <c r="A433" s="24" t="s">
        <v>957</v>
      </c>
      <c r="B433" s="67">
        <v>44749.918749999997</v>
      </c>
      <c r="C433" s="68">
        <v>44763.614583333299</v>
      </c>
    </row>
    <row r="434" spans="1:3" ht="15.75" customHeight="1" x14ac:dyDescent="0.4">
      <c r="A434" s="24" t="s">
        <v>1991</v>
      </c>
      <c r="B434" s="67">
        <v>44749.915972222203</v>
      </c>
      <c r="C434" s="69">
        <v>44751.578472222202</v>
      </c>
    </row>
    <row r="435" spans="1:3" ht="15.75" customHeight="1" x14ac:dyDescent="0.4">
      <c r="A435" s="24" t="s">
        <v>557</v>
      </c>
      <c r="B435" s="67">
        <v>44749.909027777801</v>
      </c>
      <c r="C435" s="24" t="s">
        <v>826</v>
      </c>
    </row>
    <row r="436" spans="1:3" ht="15.75" customHeight="1" x14ac:dyDescent="0.4">
      <c r="A436" s="24" t="s">
        <v>1151</v>
      </c>
      <c r="B436" s="67">
        <v>44749.895833333299</v>
      </c>
      <c r="C436" s="68">
        <v>44765.621527777803</v>
      </c>
    </row>
    <row r="437" spans="1:3" ht="15.75" customHeight="1" x14ac:dyDescent="0.4">
      <c r="A437" s="24" t="s">
        <v>387</v>
      </c>
      <c r="B437" s="67">
        <v>44749.888888888898</v>
      </c>
      <c r="C437" s="24" t="s">
        <v>826</v>
      </c>
    </row>
    <row r="438" spans="1:3" ht="15.75" customHeight="1" x14ac:dyDescent="0.4">
      <c r="A438" s="24" t="s">
        <v>845</v>
      </c>
      <c r="B438" s="67">
        <v>44749.887499999997</v>
      </c>
      <c r="C438" s="68">
        <v>44763.851388888899</v>
      </c>
    </row>
    <row r="439" spans="1:3" ht="15.75" customHeight="1" x14ac:dyDescent="0.4">
      <c r="A439" s="24" t="s">
        <v>1974</v>
      </c>
      <c r="B439" s="67">
        <v>44749.886805555601</v>
      </c>
      <c r="C439" s="69">
        <v>44751.539583333302</v>
      </c>
    </row>
    <row r="440" spans="1:3" ht="15.75" customHeight="1" x14ac:dyDescent="0.4">
      <c r="A440" s="24" t="s">
        <v>2075</v>
      </c>
      <c r="B440" s="67">
        <v>44749.883333333302</v>
      </c>
      <c r="C440" s="24" t="s">
        <v>826</v>
      </c>
    </row>
    <row r="441" spans="1:3" ht="15.75" customHeight="1" x14ac:dyDescent="0.4">
      <c r="A441" s="24" t="s">
        <v>1348</v>
      </c>
      <c r="B441" s="67">
        <v>44749.879861111098</v>
      </c>
      <c r="C441" s="24" t="s">
        <v>826</v>
      </c>
    </row>
    <row r="442" spans="1:3" ht="15.75" customHeight="1" x14ac:dyDescent="0.4">
      <c r="A442" s="24" t="s">
        <v>681</v>
      </c>
      <c r="B442" s="67">
        <v>44749.878472222197</v>
      </c>
      <c r="C442" s="24" t="s">
        <v>826</v>
      </c>
    </row>
    <row r="443" spans="1:3" ht="15.75" customHeight="1" x14ac:dyDescent="0.4">
      <c r="A443" s="24" t="s">
        <v>1304</v>
      </c>
      <c r="B443" s="67">
        <v>44749.866666666698</v>
      </c>
      <c r="C443" s="24" t="s">
        <v>826</v>
      </c>
    </row>
    <row r="444" spans="1:3" ht="15.75" customHeight="1" x14ac:dyDescent="0.4">
      <c r="A444" s="24" t="s">
        <v>1513</v>
      </c>
      <c r="B444" s="67">
        <v>44749.8659722222</v>
      </c>
      <c r="C444" s="68">
        <v>44758.697916666701</v>
      </c>
    </row>
    <row r="445" spans="1:3" ht="15.75" customHeight="1" x14ac:dyDescent="0.4">
      <c r="A445" s="24" t="s">
        <v>1970</v>
      </c>
      <c r="B445" s="67">
        <v>44749.853472222203</v>
      </c>
      <c r="C445" s="68">
        <v>44762.539583333302</v>
      </c>
    </row>
    <row r="446" spans="1:3" ht="15.75" customHeight="1" x14ac:dyDescent="0.4">
      <c r="A446" s="24" t="s">
        <v>1193</v>
      </c>
      <c r="B446" s="67">
        <v>44749.844444444498</v>
      </c>
      <c r="C446" s="68">
        <v>44763.729861111096</v>
      </c>
    </row>
    <row r="447" spans="1:3" ht="15.75" customHeight="1" x14ac:dyDescent="0.4">
      <c r="A447" s="24" t="s">
        <v>2010</v>
      </c>
      <c r="B447" s="67">
        <v>44749.835416666698</v>
      </c>
      <c r="C447" s="68">
        <v>44760.806250000001</v>
      </c>
    </row>
    <row r="448" spans="1:3" ht="15.75" customHeight="1" x14ac:dyDescent="0.4">
      <c r="A448" s="24" t="s">
        <v>1148</v>
      </c>
      <c r="B448" s="67">
        <v>44749.831250000003</v>
      </c>
      <c r="C448" s="69">
        <v>44751.747222222199</v>
      </c>
    </row>
    <row r="449" spans="1:3" ht="15.75" customHeight="1" x14ac:dyDescent="0.4">
      <c r="A449" s="24" t="s">
        <v>1360</v>
      </c>
      <c r="B449" s="67">
        <v>44749.827777777798</v>
      </c>
      <c r="C449" s="24" t="s">
        <v>826</v>
      </c>
    </row>
    <row r="450" spans="1:3" ht="15.75" customHeight="1" x14ac:dyDescent="0.4">
      <c r="A450" s="24" t="s">
        <v>1674</v>
      </c>
      <c r="B450" s="67">
        <v>44749.827777777798</v>
      </c>
      <c r="C450" s="68">
        <v>44764.5180555556</v>
      </c>
    </row>
    <row r="451" spans="1:3" ht="15.75" customHeight="1" x14ac:dyDescent="0.4">
      <c r="A451" s="24" t="s">
        <v>1817</v>
      </c>
      <c r="B451" s="67">
        <v>44749.814583333296</v>
      </c>
      <c r="C451" s="68">
        <v>44753.898611111101</v>
      </c>
    </row>
    <row r="452" spans="1:3" ht="15.75" customHeight="1" x14ac:dyDescent="0.4">
      <c r="A452" s="24" t="s">
        <v>2072</v>
      </c>
      <c r="B452" s="67">
        <v>44749.813194444498</v>
      </c>
      <c r="C452" s="68">
        <v>44752.595833333296</v>
      </c>
    </row>
    <row r="453" spans="1:3" ht="15.75" customHeight="1" x14ac:dyDescent="0.4">
      <c r="A453" s="24" t="s">
        <v>1801</v>
      </c>
      <c r="B453" s="67">
        <v>44749.802777777797</v>
      </c>
      <c r="C453" s="68">
        <v>44764.818055555603</v>
      </c>
    </row>
    <row r="454" spans="1:3" ht="15.75" customHeight="1" x14ac:dyDescent="0.4">
      <c r="A454" s="24" t="s">
        <v>1426</v>
      </c>
      <c r="B454" s="67">
        <v>44749.800694444399</v>
      </c>
      <c r="C454" s="68">
        <v>44758.720833333296</v>
      </c>
    </row>
    <row r="455" spans="1:3" ht="15.75" customHeight="1" x14ac:dyDescent="0.4">
      <c r="A455" s="24" t="s">
        <v>1051</v>
      </c>
      <c r="B455" s="67">
        <v>44749.757638888899</v>
      </c>
      <c r="C455" s="24" t="s">
        <v>826</v>
      </c>
    </row>
    <row r="456" spans="1:3" ht="15.75" customHeight="1" x14ac:dyDescent="0.4">
      <c r="A456" s="24" t="s">
        <v>1156</v>
      </c>
      <c r="B456" s="67">
        <v>44749.756249999999</v>
      </c>
      <c r="C456" s="68">
        <v>44757.737500000003</v>
      </c>
    </row>
    <row r="457" spans="1:3" ht="15.75" customHeight="1" x14ac:dyDescent="0.4">
      <c r="A457" s="24" t="s">
        <v>1853</v>
      </c>
      <c r="B457" s="67">
        <v>44749.743055555598</v>
      </c>
      <c r="C457" s="68">
        <v>44752.715972222199</v>
      </c>
    </row>
    <row r="458" spans="1:3" ht="15.75" customHeight="1" x14ac:dyDescent="0.4">
      <c r="A458" s="24" t="s">
        <v>1223</v>
      </c>
      <c r="B458" s="67">
        <v>44749.736111111102</v>
      </c>
      <c r="C458" s="68">
        <v>44758.691666666702</v>
      </c>
    </row>
    <row r="459" spans="1:3" ht="15.75" customHeight="1" x14ac:dyDescent="0.4">
      <c r="A459" s="24" t="s">
        <v>1407</v>
      </c>
      <c r="B459" s="67">
        <v>44749.7277777778</v>
      </c>
      <c r="C459" s="68">
        <v>44759.7277777778</v>
      </c>
    </row>
    <row r="460" spans="1:3" ht="15.75" customHeight="1" x14ac:dyDescent="0.4">
      <c r="A460" s="24" t="s">
        <v>1890</v>
      </c>
      <c r="B460" s="67">
        <v>44749.7277777778</v>
      </c>
      <c r="C460" s="24" t="s">
        <v>826</v>
      </c>
    </row>
    <row r="461" spans="1:3" ht="15.75" customHeight="1" x14ac:dyDescent="0.4">
      <c r="A461" s="24" t="s">
        <v>523</v>
      </c>
      <c r="B461" s="67">
        <v>44749.708333333299</v>
      </c>
      <c r="C461" s="68">
        <v>44757.729166666701</v>
      </c>
    </row>
    <row r="462" spans="1:3" ht="15.75" customHeight="1" x14ac:dyDescent="0.4">
      <c r="A462" s="24" t="s">
        <v>1554</v>
      </c>
      <c r="B462" s="67">
        <v>44749.701388888898</v>
      </c>
      <c r="C462" s="68">
        <v>44761.770138888904</v>
      </c>
    </row>
    <row r="463" spans="1:3" ht="15.75" customHeight="1" x14ac:dyDescent="0.4">
      <c r="A463" s="24" t="s">
        <v>1769</v>
      </c>
      <c r="B463" s="67">
        <v>44749.692361111098</v>
      </c>
      <c r="C463" s="68">
        <v>44761.627083333296</v>
      </c>
    </row>
    <row r="464" spans="1:3" ht="15.75" customHeight="1" x14ac:dyDescent="0.4">
      <c r="A464" s="24" t="s">
        <v>1623</v>
      </c>
      <c r="B464" s="67">
        <v>44749.689583333296</v>
      </c>
      <c r="C464" s="68">
        <v>44762.780555555597</v>
      </c>
    </row>
    <row r="465" spans="1:3" ht="15.75" customHeight="1" x14ac:dyDescent="0.4">
      <c r="A465" s="24" t="s">
        <v>2084</v>
      </c>
      <c r="B465" s="67">
        <v>44749.670138888898</v>
      </c>
      <c r="C465" s="68">
        <v>44760.533333333296</v>
      </c>
    </row>
    <row r="466" spans="1:3" ht="15.75" customHeight="1" x14ac:dyDescent="0.4">
      <c r="A466" s="24" t="s">
        <v>1774</v>
      </c>
      <c r="B466" s="67">
        <v>44749.654166666704</v>
      </c>
      <c r="C466" s="24" t="s">
        <v>826</v>
      </c>
    </row>
    <row r="467" spans="1:3" ht="15.75" customHeight="1" x14ac:dyDescent="0.4">
      <c r="A467" s="24" t="s">
        <v>1363</v>
      </c>
      <c r="B467" s="67">
        <v>44749.648611111101</v>
      </c>
      <c r="C467" s="68">
        <v>44752.730555555601</v>
      </c>
    </row>
    <row r="468" spans="1:3" ht="15.75" customHeight="1" x14ac:dyDescent="0.4">
      <c r="A468" s="24" t="s">
        <v>507</v>
      </c>
      <c r="B468" s="67">
        <v>44749.637499999997</v>
      </c>
      <c r="C468" s="24" t="s">
        <v>826</v>
      </c>
    </row>
    <row r="469" spans="1:3" ht="15.75" customHeight="1" x14ac:dyDescent="0.4">
      <c r="A469" s="24" t="s">
        <v>1607</v>
      </c>
      <c r="B469" s="67">
        <v>44749.636805555601</v>
      </c>
      <c r="C469" s="68">
        <v>44767.619444444397</v>
      </c>
    </row>
    <row r="470" spans="1:3" ht="15.75" customHeight="1" x14ac:dyDescent="0.4">
      <c r="A470" s="24" t="s">
        <v>1537</v>
      </c>
      <c r="B470" s="67">
        <v>44749.631944444503</v>
      </c>
      <c r="C470" s="68">
        <v>44766.536111111098</v>
      </c>
    </row>
    <row r="471" spans="1:3" ht="15.75" customHeight="1" x14ac:dyDescent="0.4">
      <c r="A471" s="24" t="s">
        <v>1546</v>
      </c>
      <c r="B471" s="67">
        <v>44749.625694444498</v>
      </c>
      <c r="C471" s="68">
        <v>44759.584027777797</v>
      </c>
    </row>
    <row r="472" spans="1:3" ht="15.75" customHeight="1" x14ac:dyDescent="0.4">
      <c r="A472" s="24" t="s">
        <v>1321</v>
      </c>
      <c r="B472" s="67">
        <v>44749.622916666704</v>
      </c>
      <c r="C472" s="24" t="s">
        <v>826</v>
      </c>
    </row>
    <row r="473" spans="1:3" ht="15.75" customHeight="1" x14ac:dyDescent="0.4">
      <c r="A473" s="24" t="s">
        <v>1261</v>
      </c>
      <c r="B473" s="67">
        <v>44749.579166666699</v>
      </c>
      <c r="C473" s="68">
        <v>44764.758333333302</v>
      </c>
    </row>
    <row r="474" spans="1:3" ht="15.75" customHeight="1" x14ac:dyDescent="0.4">
      <c r="A474" s="24" t="s">
        <v>2043</v>
      </c>
      <c r="B474" s="67">
        <v>44749.578472222202</v>
      </c>
      <c r="C474" s="68">
        <v>44752.539583333302</v>
      </c>
    </row>
    <row r="475" spans="1:3" ht="15.75" customHeight="1" x14ac:dyDescent="0.4">
      <c r="A475" s="24" t="s">
        <v>1646</v>
      </c>
      <c r="B475" s="67">
        <v>44749.577083333301</v>
      </c>
      <c r="C475" s="24" t="s">
        <v>826</v>
      </c>
    </row>
    <row r="476" spans="1:3" ht="15.75" customHeight="1" x14ac:dyDescent="0.4">
      <c r="A476" s="24" t="s">
        <v>633</v>
      </c>
      <c r="B476" s="67">
        <v>44749.565972222197</v>
      </c>
      <c r="C476" s="68">
        <v>44759.5847222222</v>
      </c>
    </row>
    <row r="477" spans="1:3" ht="15.75" customHeight="1" x14ac:dyDescent="0.4">
      <c r="A477" s="24" t="s">
        <v>1197</v>
      </c>
      <c r="B477" s="67">
        <v>44749.565972222197</v>
      </c>
      <c r="C477" s="68">
        <v>44766.882638888899</v>
      </c>
    </row>
    <row r="478" spans="1:3" ht="15.75" customHeight="1" x14ac:dyDescent="0.4">
      <c r="A478" s="24" t="s">
        <v>379</v>
      </c>
      <c r="B478" s="67">
        <v>44749.561805555597</v>
      </c>
      <c r="C478" s="24" t="s">
        <v>826</v>
      </c>
    </row>
    <row r="479" spans="1:3" ht="15.75" customHeight="1" x14ac:dyDescent="0.4">
      <c r="A479" s="24" t="s">
        <v>1194</v>
      </c>
      <c r="B479" s="67">
        <v>44749.560416666704</v>
      </c>
      <c r="C479" s="68">
        <v>44763.538888888899</v>
      </c>
    </row>
    <row r="480" spans="1:3" ht="15.75" customHeight="1" x14ac:dyDescent="0.4">
      <c r="A480" s="24" t="s">
        <v>1659</v>
      </c>
      <c r="B480" s="67">
        <v>44749.555555555598</v>
      </c>
      <c r="C480" s="68">
        <v>44759.824999999997</v>
      </c>
    </row>
    <row r="481" spans="1:3" ht="15.75" customHeight="1" x14ac:dyDescent="0.4">
      <c r="A481" s="24" t="s">
        <v>866</v>
      </c>
      <c r="B481" s="67">
        <v>44749.551388888904</v>
      </c>
      <c r="C481" s="68">
        <v>44769.638888888898</v>
      </c>
    </row>
    <row r="482" spans="1:3" ht="15.75" customHeight="1" x14ac:dyDescent="0.4">
      <c r="A482" s="24" t="s">
        <v>1443</v>
      </c>
      <c r="B482" s="67">
        <v>44749.55</v>
      </c>
      <c r="C482" s="68">
        <v>44763.5131944444</v>
      </c>
    </row>
    <row r="483" spans="1:3" ht="15.75" customHeight="1" x14ac:dyDescent="0.4">
      <c r="A483" s="24" t="s">
        <v>746</v>
      </c>
      <c r="B483" s="67">
        <v>44749.535416666702</v>
      </c>
      <c r="C483" s="24" t="s">
        <v>826</v>
      </c>
    </row>
    <row r="484" spans="1:3" ht="15.75" customHeight="1" x14ac:dyDescent="0.4">
      <c r="A484" s="24" t="s">
        <v>1145</v>
      </c>
      <c r="B484" s="67">
        <v>44749.525000000001</v>
      </c>
      <c r="C484" s="68">
        <v>44760.690277777801</v>
      </c>
    </row>
    <row r="485" spans="1:3" ht="15.75" customHeight="1" x14ac:dyDescent="0.4">
      <c r="A485" s="24" t="s">
        <v>1691</v>
      </c>
      <c r="B485" s="67">
        <v>44749.515972222202</v>
      </c>
      <c r="C485" s="68">
        <v>44760.886111111096</v>
      </c>
    </row>
    <row r="486" spans="1:3" ht="15.75" customHeight="1" x14ac:dyDescent="0.4">
      <c r="A486" s="24" t="s">
        <v>2149</v>
      </c>
      <c r="B486" s="67">
        <v>44749.511805555601</v>
      </c>
      <c r="C486" s="68">
        <v>44757.752777777801</v>
      </c>
    </row>
    <row r="487" spans="1:3" ht="15.75" customHeight="1" x14ac:dyDescent="0.4">
      <c r="A487" s="24" t="s">
        <v>990</v>
      </c>
      <c r="B487" s="67">
        <v>44749.498611111099</v>
      </c>
      <c r="C487" s="68">
        <v>44757.921527777798</v>
      </c>
    </row>
    <row r="488" spans="1:3" ht="15.75" customHeight="1" x14ac:dyDescent="0.4">
      <c r="A488" s="24" t="s">
        <v>857</v>
      </c>
      <c r="B488" s="67">
        <v>44749.495833333298</v>
      </c>
      <c r="C488" s="68">
        <v>44762.75</v>
      </c>
    </row>
    <row r="489" spans="1:3" ht="15.75" customHeight="1" x14ac:dyDescent="0.4">
      <c r="A489" s="24" t="s">
        <v>1802</v>
      </c>
      <c r="B489" s="67">
        <v>44749.495138888902</v>
      </c>
      <c r="C489" s="68">
        <v>44764.582638888904</v>
      </c>
    </row>
    <row r="490" spans="1:3" ht="15.75" customHeight="1" x14ac:dyDescent="0.4">
      <c r="A490" s="24" t="s">
        <v>1438</v>
      </c>
      <c r="B490" s="67">
        <v>44749.489583333299</v>
      </c>
      <c r="C490" s="24" t="s">
        <v>826</v>
      </c>
    </row>
    <row r="491" spans="1:3" ht="15.75" customHeight="1" x14ac:dyDescent="0.4">
      <c r="A491" s="24" t="s">
        <v>834</v>
      </c>
      <c r="B491" s="67">
        <v>44749.487500000003</v>
      </c>
      <c r="C491" s="24" t="s">
        <v>826</v>
      </c>
    </row>
    <row r="492" spans="1:3" ht="15.75" customHeight="1" x14ac:dyDescent="0.4">
      <c r="A492" s="24" t="s">
        <v>1474</v>
      </c>
      <c r="B492" s="67">
        <v>44749.457638888904</v>
      </c>
      <c r="C492" s="68">
        <v>44757.464583333298</v>
      </c>
    </row>
    <row r="493" spans="1:3" ht="15.75" customHeight="1" x14ac:dyDescent="0.4">
      <c r="A493" s="24" t="s">
        <v>1954</v>
      </c>
      <c r="B493" s="67">
        <v>44749.439583333296</v>
      </c>
      <c r="C493" s="68">
        <v>44759.6875</v>
      </c>
    </row>
    <row r="494" spans="1:3" ht="15.75" customHeight="1" x14ac:dyDescent="0.4">
      <c r="A494" s="24" t="s">
        <v>1000</v>
      </c>
      <c r="B494" s="67">
        <v>44719.947222222203</v>
      </c>
      <c r="C494" s="68">
        <v>44758.570833333302</v>
      </c>
    </row>
    <row r="495" spans="1:3" ht="15.75" customHeight="1" x14ac:dyDescent="0.4">
      <c r="A495" s="24" t="s">
        <v>1517</v>
      </c>
      <c r="B495" s="67">
        <v>44719.936111111099</v>
      </c>
      <c r="C495" s="69">
        <v>44751.814583333296</v>
      </c>
    </row>
    <row r="496" spans="1:3" ht="15.75" customHeight="1" x14ac:dyDescent="0.4">
      <c r="A496" s="24" t="s">
        <v>1992</v>
      </c>
      <c r="B496" s="67">
        <v>44719.9152777778</v>
      </c>
      <c r="C496" s="68">
        <v>44752.59375</v>
      </c>
    </row>
    <row r="497" spans="1:3" ht="15.75" customHeight="1" x14ac:dyDescent="0.4">
      <c r="A497" s="24" t="s">
        <v>471</v>
      </c>
      <c r="B497" s="67">
        <v>44719.911805555603</v>
      </c>
      <c r="C497" s="24" t="s">
        <v>826</v>
      </c>
    </row>
    <row r="498" spans="1:3" ht="15.75" customHeight="1" x14ac:dyDescent="0.4">
      <c r="A498" s="24" t="s">
        <v>1647</v>
      </c>
      <c r="B498" s="67">
        <v>44719.911111111098</v>
      </c>
      <c r="C498" s="24" t="s">
        <v>826</v>
      </c>
    </row>
    <row r="499" spans="1:3" ht="15.75" customHeight="1" x14ac:dyDescent="0.4">
      <c r="A499" s="24" t="s">
        <v>1632</v>
      </c>
      <c r="B499" s="67">
        <v>44719.908333333296</v>
      </c>
      <c r="C499" s="68">
        <v>44752.808333333298</v>
      </c>
    </row>
    <row r="500" spans="1:3" ht="15.75" customHeight="1" x14ac:dyDescent="0.4">
      <c r="A500" s="24" t="s">
        <v>1863</v>
      </c>
      <c r="B500" s="67">
        <v>44719.907638888901</v>
      </c>
      <c r="C500" s="69">
        <v>44751.758333333302</v>
      </c>
    </row>
    <row r="501" spans="1:3" ht="15.75" customHeight="1" x14ac:dyDescent="0.4">
      <c r="A501" s="24" t="s">
        <v>1052</v>
      </c>
      <c r="B501" s="67">
        <v>44719.8972222222</v>
      </c>
      <c r="C501" s="69">
        <v>44751.739583333299</v>
      </c>
    </row>
    <row r="502" spans="1:3" ht="15.75" customHeight="1" x14ac:dyDescent="0.4">
      <c r="A502" s="24" t="s">
        <v>1885</v>
      </c>
      <c r="B502" s="67">
        <v>44719.893750000003</v>
      </c>
      <c r="C502" s="68">
        <v>44756.686111111099</v>
      </c>
    </row>
    <row r="503" spans="1:3" ht="15.75" customHeight="1" x14ac:dyDescent="0.4">
      <c r="A503" s="24" t="s">
        <v>1481</v>
      </c>
      <c r="B503" s="67">
        <v>44719.871527777803</v>
      </c>
      <c r="C503" s="68">
        <v>44758.663194444503</v>
      </c>
    </row>
    <row r="504" spans="1:3" ht="15.75" customHeight="1" x14ac:dyDescent="0.4">
      <c r="A504" s="24" t="s">
        <v>2013</v>
      </c>
      <c r="B504" s="67">
        <v>44719.869444444397</v>
      </c>
      <c r="C504" s="68">
        <v>44762.642361111102</v>
      </c>
    </row>
    <row r="505" spans="1:3" ht="15.75" customHeight="1" x14ac:dyDescent="0.4">
      <c r="A505" s="24" t="s">
        <v>1815</v>
      </c>
      <c r="B505" s="67">
        <v>44719.8618055556</v>
      </c>
      <c r="C505" s="68">
        <v>44752.538194444503</v>
      </c>
    </row>
    <row r="506" spans="1:3" ht="15.75" customHeight="1" x14ac:dyDescent="0.4">
      <c r="A506" s="24" t="s">
        <v>241</v>
      </c>
      <c r="B506" s="67">
        <v>44719.8569444444</v>
      </c>
      <c r="C506" s="69">
        <v>44751.841666666704</v>
      </c>
    </row>
    <row r="507" spans="1:3" ht="15.75" customHeight="1" x14ac:dyDescent="0.4">
      <c r="A507" s="24" t="s">
        <v>1196</v>
      </c>
      <c r="B507" s="67">
        <v>44719.856249999997</v>
      </c>
      <c r="C507" s="68">
        <v>44752.836805555598</v>
      </c>
    </row>
    <row r="508" spans="1:3" ht="15.75" customHeight="1" x14ac:dyDescent="0.4">
      <c r="A508" s="24" t="s">
        <v>1001</v>
      </c>
      <c r="B508" s="67">
        <v>44719.840972222199</v>
      </c>
      <c r="C508" s="68">
        <v>44756.552777777797</v>
      </c>
    </row>
    <row r="509" spans="1:3" ht="15.75" customHeight="1" x14ac:dyDescent="0.4">
      <c r="A509" s="24" t="s">
        <v>399</v>
      </c>
      <c r="B509" s="67">
        <v>44719.836111111101</v>
      </c>
      <c r="C509" s="69">
        <v>44751.734722222202</v>
      </c>
    </row>
    <row r="510" spans="1:3" ht="15.75" customHeight="1" x14ac:dyDescent="0.4">
      <c r="A510" s="24" t="s">
        <v>1007</v>
      </c>
      <c r="B510" s="67">
        <v>44719.8305555556</v>
      </c>
      <c r="C510" s="68">
        <v>44756.604861111096</v>
      </c>
    </row>
    <row r="511" spans="1:3" ht="15.75" customHeight="1" x14ac:dyDescent="0.4">
      <c r="A511" s="24" t="s">
        <v>1319</v>
      </c>
      <c r="B511" s="67">
        <v>44719.827083333301</v>
      </c>
      <c r="C511" s="24" t="s">
        <v>826</v>
      </c>
    </row>
    <row r="512" spans="1:3" ht="15.75" customHeight="1" x14ac:dyDescent="0.4">
      <c r="A512" s="24" t="s">
        <v>1382</v>
      </c>
      <c r="B512" s="67">
        <v>44719.8215277778</v>
      </c>
      <c r="C512" s="68">
        <v>44764.640277777798</v>
      </c>
    </row>
    <row r="513" spans="1:3" ht="15.75" customHeight="1" x14ac:dyDescent="0.4">
      <c r="A513" s="24" t="s">
        <v>1445</v>
      </c>
      <c r="B513" s="67">
        <v>44719.777083333298</v>
      </c>
      <c r="C513" s="24" t="s">
        <v>826</v>
      </c>
    </row>
    <row r="514" spans="1:3" ht="15.75" customHeight="1" x14ac:dyDescent="0.4">
      <c r="A514" s="24" t="s">
        <v>1956</v>
      </c>
      <c r="B514" s="67">
        <v>44719.7680555556</v>
      </c>
      <c r="C514" s="68">
        <v>44766.645833333299</v>
      </c>
    </row>
    <row r="515" spans="1:3" ht="15.75" customHeight="1" x14ac:dyDescent="0.4">
      <c r="A515" s="24" t="s">
        <v>1922</v>
      </c>
      <c r="B515" s="67">
        <v>44719.767361111102</v>
      </c>
      <c r="C515" s="24" t="s">
        <v>826</v>
      </c>
    </row>
    <row r="516" spans="1:3" ht="15.75" customHeight="1" x14ac:dyDescent="0.4">
      <c r="A516" s="24" t="s">
        <v>1228</v>
      </c>
      <c r="B516" s="67">
        <v>44719.766666666699</v>
      </c>
      <c r="C516" s="68">
        <v>44752.734027777798</v>
      </c>
    </row>
    <row r="517" spans="1:3" ht="15.75" customHeight="1" x14ac:dyDescent="0.4">
      <c r="A517" s="24" t="s">
        <v>621</v>
      </c>
      <c r="B517" s="67">
        <v>44719.760416666701</v>
      </c>
      <c r="C517" s="24" t="s">
        <v>826</v>
      </c>
    </row>
    <row r="518" spans="1:3" ht="15.75" customHeight="1" x14ac:dyDescent="0.4">
      <c r="A518" s="24" t="s">
        <v>1268</v>
      </c>
      <c r="B518" s="67">
        <v>44719.757638888899</v>
      </c>
      <c r="C518" s="24" t="s">
        <v>826</v>
      </c>
    </row>
    <row r="519" spans="1:3" ht="15.75" customHeight="1" x14ac:dyDescent="0.4">
      <c r="A519" s="24" t="s">
        <v>992</v>
      </c>
      <c r="B519" s="67">
        <v>44719.756249999999</v>
      </c>
      <c r="C519" s="68">
        <v>44758.495833333298</v>
      </c>
    </row>
    <row r="520" spans="1:3" ht="15.75" customHeight="1" x14ac:dyDescent="0.4">
      <c r="A520" s="24" t="s">
        <v>1147</v>
      </c>
      <c r="B520" s="67">
        <v>44719.748611111099</v>
      </c>
      <c r="C520" s="68">
        <v>44756.647916666698</v>
      </c>
    </row>
    <row r="521" spans="1:3" ht="15.75" customHeight="1" x14ac:dyDescent="0.4">
      <c r="A521" s="24" t="s">
        <v>1910</v>
      </c>
      <c r="B521" s="67">
        <v>44719.731249999997</v>
      </c>
      <c r="C521" s="68">
        <v>44760.592361111099</v>
      </c>
    </row>
    <row r="522" spans="1:3" ht="15.75" customHeight="1" x14ac:dyDescent="0.4">
      <c r="A522" s="24" t="s">
        <v>1903</v>
      </c>
      <c r="B522" s="67">
        <v>44719.730555555601</v>
      </c>
      <c r="C522" s="68">
        <v>44753.661111111098</v>
      </c>
    </row>
    <row r="523" spans="1:3" ht="15.75" customHeight="1" x14ac:dyDescent="0.4">
      <c r="A523" s="24" t="s">
        <v>1850</v>
      </c>
      <c r="B523" s="67">
        <v>44719.7277777778</v>
      </c>
      <c r="C523" s="68">
        <v>44761.707638888904</v>
      </c>
    </row>
    <row r="524" spans="1:3" ht="15.75" customHeight="1" x14ac:dyDescent="0.4">
      <c r="A524" s="24" t="s">
        <v>2163</v>
      </c>
      <c r="B524" s="67">
        <v>44719.727083333302</v>
      </c>
      <c r="C524" s="68">
        <v>44762.804861111101</v>
      </c>
    </row>
    <row r="525" spans="1:3" ht="15.75" customHeight="1" x14ac:dyDescent="0.4">
      <c r="A525" s="24" t="s">
        <v>2128</v>
      </c>
      <c r="B525" s="67">
        <v>44719.71875</v>
      </c>
      <c r="C525" s="68">
        <v>44763.667361111096</v>
      </c>
    </row>
    <row r="526" spans="1:3" ht="15.75" customHeight="1" x14ac:dyDescent="0.4">
      <c r="A526" s="24" t="s">
        <v>1136</v>
      </c>
      <c r="B526" s="67">
        <v>44719.706250000003</v>
      </c>
      <c r="C526" s="68">
        <v>44760.809722222199</v>
      </c>
    </row>
    <row r="527" spans="1:3" ht="15.75" customHeight="1" x14ac:dyDescent="0.4">
      <c r="A527" s="24" t="s">
        <v>505</v>
      </c>
      <c r="B527" s="67">
        <v>44719.697222222203</v>
      </c>
      <c r="C527" s="24" t="s">
        <v>826</v>
      </c>
    </row>
    <row r="528" spans="1:3" ht="15.75" customHeight="1" x14ac:dyDescent="0.4">
      <c r="A528" s="24" t="s">
        <v>385</v>
      </c>
      <c r="B528" s="67">
        <v>44719.684722222199</v>
      </c>
      <c r="C528" s="69">
        <v>44749.806944444397</v>
      </c>
    </row>
    <row r="529" spans="1:3" ht="15.75" customHeight="1" x14ac:dyDescent="0.4">
      <c r="A529" s="24" t="s">
        <v>1233</v>
      </c>
      <c r="B529" s="67">
        <v>44719.681944444397</v>
      </c>
      <c r="C529" s="68">
        <v>44757.805555555598</v>
      </c>
    </row>
    <row r="530" spans="1:3" ht="15.75" customHeight="1" x14ac:dyDescent="0.4">
      <c r="A530" s="24" t="s">
        <v>1260</v>
      </c>
      <c r="B530" s="67">
        <v>44719.672222222202</v>
      </c>
      <c r="C530" s="69">
        <v>44750.693055555603</v>
      </c>
    </row>
    <row r="531" spans="1:3" ht="15.75" customHeight="1" x14ac:dyDescent="0.4">
      <c r="A531" s="24" t="s">
        <v>1999</v>
      </c>
      <c r="B531" s="67">
        <v>44719.656944444498</v>
      </c>
      <c r="C531" s="68">
        <v>44763.561111111099</v>
      </c>
    </row>
    <row r="532" spans="1:3" ht="15.75" customHeight="1" x14ac:dyDescent="0.4">
      <c r="A532" s="24" t="s">
        <v>1689</v>
      </c>
      <c r="B532" s="67">
        <v>44719.656944444498</v>
      </c>
      <c r="C532" s="68">
        <v>44762.630555555603</v>
      </c>
    </row>
    <row r="533" spans="1:3" ht="15.75" customHeight="1" x14ac:dyDescent="0.4">
      <c r="A533" s="24" t="s">
        <v>909</v>
      </c>
      <c r="B533" s="67">
        <v>44719.65625</v>
      </c>
      <c r="C533" s="24" t="s">
        <v>826</v>
      </c>
    </row>
    <row r="534" spans="1:3" ht="15.75" customHeight="1" x14ac:dyDescent="0.4">
      <c r="A534" s="24" t="s">
        <v>1263</v>
      </c>
      <c r="B534" s="67">
        <v>44719.652777777803</v>
      </c>
      <c r="C534" s="68">
        <v>44758.546527777798</v>
      </c>
    </row>
    <row r="535" spans="1:3" ht="15.75" customHeight="1" x14ac:dyDescent="0.4">
      <c r="A535" s="24" t="s">
        <v>1702</v>
      </c>
      <c r="B535" s="67">
        <v>44719.626388888901</v>
      </c>
      <c r="C535" s="68">
        <v>44757.844444444498</v>
      </c>
    </row>
    <row r="536" spans="1:3" ht="15.75" customHeight="1" x14ac:dyDescent="0.4">
      <c r="A536" s="24" t="s">
        <v>1439</v>
      </c>
      <c r="B536" s="67">
        <v>44719.620138888902</v>
      </c>
      <c r="C536" s="68">
        <v>44759.704166666699</v>
      </c>
    </row>
    <row r="537" spans="1:3" ht="15.75" customHeight="1" x14ac:dyDescent="0.4">
      <c r="A537" s="24" t="s">
        <v>627</v>
      </c>
      <c r="B537" s="67">
        <v>44719.618055555598</v>
      </c>
      <c r="C537" s="68">
        <v>44752.755555555603</v>
      </c>
    </row>
    <row r="538" spans="1:3" ht="15.75" customHeight="1" x14ac:dyDescent="0.4">
      <c r="A538" s="24" t="s">
        <v>1236</v>
      </c>
      <c r="B538" s="67">
        <v>44719.6159722222</v>
      </c>
      <c r="C538" s="68">
        <v>44764.820833333302</v>
      </c>
    </row>
    <row r="539" spans="1:3" ht="15.75" customHeight="1" x14ac:dyDescent="0.4">
      <c r="A539" s="24" t="s">
        <v>1200</v>
      </c>
      <c r="B539" s="67">
        <v>44719.611111111102</v>
      </c>
      <c r="C539" s="68">
        <v>44752.688888888901</v>
      </c>
    </row>
    <row r="540" spans="1:3" ht="15.75" customHeight="1" x14ac:dyDescent="0.4">
      <c r="A540" s="24" t="s">
        <v>1759</v>
      </c>
      <c r="B540" s="67">
        <v>44719.608333333301</v>
      </c>
      <c r="C540" s="24" t="s">
        <v>826</v>
      </c>
    </row>
    <row r="541" spans="1:3" ht="15.75" customHeight="1" x14ac:dyDescent="0.4">
      <c r="A541" s="24" t="s">
        <v>1427</v>
      </c>
      <c r="B541" s="67">
        <v>44719.607638888898</v>
      </c>
      <c r="C541" s="68">
        <v>44763.879166666702</v>
      </c>
    </row>
    <row r="542" spans="1:3" ht="15.75" customHeight="1" x14ac:dyDescent="0.4">
      <c r="A542" s="24" t="s">
        <v>679</v>
      </c>
      <c r="B542" s="67">
        <v>44719.591666666704</v>
      </c>
      <c r="C542" s="24" t="s">
        <v>826</v>
      </c>
    </row>
    <row r="543" spans="1:3" ht="15.75" customHeight="1" x14ac:dyDescent="0.4">
      <c r="A543" s="24" t="s">
        <v>319</v>
      </c>
      <c r="B543" s="67">
        <v>44719.589583333298</v>
      </c>
      <c r="C543" s="69">
        <v>44749.624305555597</v>
      </c>
    </row>
    <row r="544" spans="1:3" ht="15.75" customHeight="1" x14ac:dyDescent="0.4">
      <c r="A544" s="24" t="s">
        <v>1328</v>
      </c>
      <c r="B544" s="67">
        <v>44719.547916666699</v>
      </c>
      <c r="C544" s="24" t="s">
        <v>826</v>
      </c>
    </row>
    <row r="545" spans="1:3" ht="15.75" customHeight="1" x14ac:dyDescent="0.4">
      <c r="A545" s="24" t="s">
        <v>1823</v>
      </c>
      <c r="B545" s="67">
        <v>44719.545138888898</v>
      </c>
      <c r="C545" s="69">
        <v>44749.689583333296</v>
      </c>
    </row>
    <row r="546" spans="1:3" ht="15.75" customHeight="1" x14ac:dyDescent="0.4">
      <c r="A546" s="24" t="s">
        <v>1511</v>
      </c>
      <c r="B546" s="67">
        <v>44719.538888888899</v>
      </c>
      <c r="C546" s="69">
        <v>44748.78125</v>
      </c>
    </row>
    <row r="547" spans="1:3" ht="15.75" customHeight="1" x14ac:dyDescent="0.4">
      <c r="A547" s="24" t="s">
        <v>1160</v>
      </c>
      <c r="B547" s="67">
        <v>44719.536805555603</v>
      </c>
      <c r="C547" s="68">
        <v>44752.556944444397</v>
      </c>
    </row>
    <row r="548" spans="1:3" ht="15.75" customHeight="1" x14ac:dyDescent="0.4">
      <c r="A548" s="24" t="s">
        <v>501</v>
      </c>
      <c r="B548" s="67">
        <v>44719.535416666702</v>
      </c>
      <c r="C548" s="24" t="s">
        <v>826</v>
      </c>
    </row>
    <row r="549" spans="1:3" ht="15.75" customHeight="1" x14ac:dyDescent="0.4">
      <c r="A549" s="24" t="s">
        <v>1025</v>
      </c>
      <c r="B549" s="67">
        <v>44719.534027777801</v>
      </c>
      <c r="C549" s="69">
        <v>44751.684027777803</v>
      </c>
    </row>
    <row r="550" spans="1:3" ht="15.75" customHeight="1" x14ac:dyDescent="0.4">
      <c r="A550" s="24" t="s">
        <v>1906</v>
      </c>
      <c r="B550" s="67">
        <v>44719.527777777803</v>
      </c>
      <c r="C550" s="69">
        <v>44751.8659722222</v>
      </c>
    </row>
    <row r="551" spans="1:3" ht="15.75" customHeight="1" x14ac:dyDescent="0.4">
      <c r="A551" s="24" t="s">
        <v>1217</v>
      </c>
      <c r="B551" s="67">
        <v>44719.518750000003</v>
      </c>
      <c r="C551" s="24" t="s">
        <v>826</v>
      </c>
    </row>
    <row r="552" spans="1:3" ht="15.75" customHeight="1" x14ac:dyDescent="0.4">
      <c r="A552" s="24" t="s">
        <v>1075</v>
      </c>
      <c r="B552" s="67">
        <v>44719.5180555556</v>
      </c>
      <c r="C552" s="24" t="s">
        <v>826</v>
      </c>
    </row>
    <row r="553" spans="1:3" ht="15.75" customHeight="1" x14ac:dyDescent="0.4">
      <c r="A553" s="24" t="s">
        <v>1680</v>
      </c>
      <c r="B553" s="67">
        <v>44719.501388888901</v>
      </c>
      <c r="C553" s="69">
        <v>44751.721527777801</v>
      </c>
    </row>
    <row r="554" spans="1:3" ht="15.75" customHeight="1" x14ac:dyDescent="0.4">
      <c r="A554" s="24" t="s">
        <v>1565</v>
      </c>
      <c r="B554" s="67">
        <v>44719.495138888902</v>
      </c>
      <c r="C554" s="68">
        <v>44752.627083333296</v>
      </c>
    </row>
    <row r="555" spans="1:3" ht="15.75" customHeight="1" x14ac:dyDescent="0.4">
      <c r="A555" s="24" t="s">
        <v>1003</v>
      </c>
      <c r="B555" s="67">
        <v>44719.493750000001</v>
      </c>
      <c r="C555" s="68">
        <v>44752.659027777801</v>
      </c>
    </row>
    <row r="556" spans="1:3" ht="15.75" customHeight="1" x14ac:dyDescent="0.4">
      <c r="A556" s="24" t="s">
        <v>778</v>
      </c>
      <c r="B556" s="67">
        <v>44719.4909722222</v>
      </c>
      <c r="C556" s="24" t="s">
        <v>826</v>
      </c>
    </row>
    <row r="557" spans="1:3" ht="15.75" customHeight="1" x14ac:dyDescent="0.4">
      <c r="A557" s="24" t="s">
        <v>1297</v>
      </c>
      <c r="B557" s="67">
        <v>44719.490277777797</v>
      </c>
      <c r="C557" s="68">
        <v>44752.777777777803</v>
      </c>
    </row>
    <row r="558" spans="1:3" ht="15.75" customHeight="1" x14ac:dyDescent="0.4">
      <c r="A558" s="24" t="s">
        <v>1498</v>
      </c>
      <c r="B558" s="67">
        <v>44719.486111111102</v>
      </c>
      <c r="C558" s="69">
        <v>44749.563194444498</v>
      </c>
    </row>
    <row r="559" spans="1:3" ht="15.75" customHeight="1" x14ac:dyDescent="0.4">
      <c r="A559" s="24" t="s">
        <v>1648</v>
      </c>
      <c r="B559" s="67">
        <v>44719.485416666699</v>
      </c>
      <c r="C559" s="68">
        <v>44766.538194444503</v>
      </c>
    </row>
    <row r="560" spans="1:3" ht="15.75" customHeight="1" x14ac:dyDescent="0.4">
      <c r="A560" s="24" t="s">
        <v>2059</v>
      </c>
      <c r="B560" s="67">
        <v>44719.478472222203</v>
      </c>
      <c r="C560" s="24" t="s">
        <v>826</v>
      </c>
    </row>
    <row r="561" spans="1:3" ht="15.75" customHeight="1" x14ac:dyDescent="0.4">
      <c r="A561" s="24" t="s">
        <v>989</v>
      </c>
      <c r="B561" s="67">
        <v>44719.462500000001</v>
      </c>
      <c r="C561" s="24" t="s">
        <v>826</v>
      </c>
    </row>
    <row r="562" spans="1:3" ht="15.75" customHeight="1" x14ac:dyDescent="0.4">
      <c r="A562" s="24" t="s">
        <v>1705</v>
      </c>
      <c r="B562" s="67">
        <v>44719.444444444503</v>
      </c>
      <c r="C562" s="68">
        <v>44752.590277777803</v>
      </c>
    </row>
    <row r="563" spans="1:3" ht="15.75" customHeight="1" x14ac:dyDescent="0.4">
      <c r="A563" s="24" t="s">
        <v>1079</v>
      </c>
      <c r="B563" s="67">
        <v>44688.977083333302</v>
      </c>
      <c r="C563" s="24" t="s">
        <v>826</v>
      </c>
    </row>
    <row r="564" spans="1:3" ht="15.75" customHeight="1" x14ac:dyDescent="0.4">
      <c r="A564" s="24" t="s">
        <v>2167</v>
      </c>
      <c r="B564" s="67">
        <v>44688.954166666699</v>
      </c>
      <c r="C564" s="69">
        <v>44749.699305555601</v>
      </c>
    </row>
    <row r="565" spans="1:3" ht="15.75" customHeight="1" x14ac:dyDescent="0.4">
      <c r="A565" s="24" t="s">
        <v>1492</v>
      </c>
      <c r="B565" s="67">
        <v>44688.947916666701</v>
      </c>
      <c r="C565" s="68">
        <v>44757.843055555597</v>
      </c>
    </row>
    <row r="566" spans="1:3" ht="15.75" customHeight="1" x14ac:dyDescent="0.4">
      <c r="A566" s="24" t="s">
        <v>1667</v>
      </c>
      <c r="B566" s="67">
        <v>44688.934027777803</v>
      </c>
      <c r="C566" s="68">
        <v>44756.8618055556</v>
      </c>
    </row>
    <row r="567" spans="1:3" ht="15.75" customHeight="1" x14ac:dyDescent="0.4">
      <c r="A567" s="24" t="s">
        <v>428</v>
      </c>
      <c r="B567" s="67">
        <v>44688.9</v>
      </c>
      <c r="C567" s="24" t="s">
        <v>826</v>
      </c>
    </row>
    <row r="568" spans="1:3" ht="15.75" customHeight="1" x14ac:dyDescent="0.4">
      <c r="A568" s="24" t="s">
        <v>1725</v>
      </c>
      <c r="B568" s="67">
        <v>44688.886111111096</v>
      </c>
      <c r="C568" s="69">
        <v>44751.442361111098</v>
      </c>
    </row>
    <row r="569" spans="1:3" ht="15.75" customHeight="1" x14ac:dyDescent="0.4">
      <c r="A569" s="24" t="s">
        <v>238</v>
      </c>
      <c r="B569" s="67">
        <v>44688.886111111096</v>
      </c>
      <c r="C569" s="68">
        <v>44752.776388888902</v>
      </c>
    </row>
    <row r="570" spans="1:3" ht="15.75" customHeight="1" x14ac:dyDescent="0.4">
      <c r="A570" s="24" t="s">
        <v>986</v>
      </c>
      <c r="B570" s="67">
        <v>44688.845138888901</v>
      </c>
      <c r="C570" s="69">
        <v>44751.727083333302</v>
      </c>
    </row>
    <row r="571" spans="1:3" ht="15.75" customHeight="1" x14ac:dyDescent="0.4">
      <c r="A571" s="24" t="s">
        <v>1354</v>
      </c>
      <c r="B571" s="67">
        <v>44688.841666666704</v>
      </c>
      <c r="C571" s="68">
        <v>44756.870138888902</v>
      </c>
    </row>
    <row r="572" spans="1:3" ht="15.75" customHeight="1" x14ac:dyDescent="0.4">
      <c r="A572" s="24" t="s">
        <v>690</v>
      </c>
      <c r="B572" s="67">
        <v>44688.840277777803</v>
      </c>
      <c r="C572" s="68">
        <v>44756.866666666698</v>
      </c>
    </row>
    <row r="573" spans="1:3" ht="15.75" customHeight="1" x14ac:dyDescent="0.4">
      <c r="A573" s="24" t="s">
        <v>461</v>
      </c>
      <c r="B573" s="67">
        <v>44688.831944444399</v>
      </c>
      <c r="C573" s="68">
        <v>44752.673611111102</v>
      </c>
    </row>
    <row r="574" spans="1:3" ht="15.75" customHeight="1" x14ac:dyDescent="0.4">
      <c r="A574" s="24" t="s">
        <v>730</v>
      </c>
      <c r="B574" s="67">
        <v>44688.8305555556</v>
      </c>
      <c r="C574" s="68">
        <v>44752.651388888902</v>
      </c>
    </row>
    <row r="575" spans="1:3" ht="15.75" customHeight="1" x14ac:dyDescent="0.4">
      <c r="A575" s="24" t="s">
        <v>555</v>
      </c>
      <c r="B575" s="67">
        <v>44688.827083333301</v>
      </c>
      <c r="C575" s="24" t="s">
        <v>826</v>
      </c>
    </row>
    <row r="576" spans="1:3" ht="15.75" customHeight="1" x14ac:dyDescent="0.4">
      <c r="A576" s="24" t="s">
        <v>1373</v>
      </c>
      <c r="B576" s="67">
        <v>44688.823611111096</v>
      </c>
      <c r="C576" s="68">
        <v>44759.913194444503</v>
      </c>
    </row>
    <row r="577" spans="1:3" ht="15.75" customHeight="1" x14ac:dyDescent="0.4">
      <c r="A577" s="24" t="s">
        <v>1464</v>
      </c>
      <c r="B577" s="67">
        <v>44688.822916666701</v>
      </c>
      <c r="C577" s="68">
        <v>44757.842361111099</v>
      </c>
    </row>
    <row r="578" spans="1:3" ht="15.75" customHeight="1" x14ac:dyDescent="0.4">
      <c r="A578" s="24" t="s">
        <v>1414</v>
      </c>
      <c r="B578" s="67">
        <v>44688.820138888899</v>
      </c>
      <c r="C578" s="68">
        <v>44758.701388888898</v>
      </c>
    </row>
    <row r="579" spans="1:3" ht="15.75" customHeight="1" x14ac:dyDescent="0.4">
      <c r="A579" s="24" t="s">
        <v>1951</v>
      </c>
      <c r="B579" s="67">
        <v>44688.809722222199</v>
      </c>
      <c r="C579" s="68">
        <v>44752.831250000003</v>
      </c>
    </row>
    <row r="580" spans="1:3" ht="15.75" customHeight="1" x14ac:dyDescent="0.4">
      <c r="A580" s="24" t="s">
        <v>724</v>
      </c>
      <c r="B580" s="67">
        <v>44688.791666666701</v>
      </c>
      <c r="C580" s="68">
        <v>44762.841666666704</v>
      </c>
    </row>
    <row r="581" spans="1:3" ht="15.75" customHeight="1" x14ac:dyDescent="0.4">
      <c r="A581" s="24" t="s">
        <v>1917</v>
      </c>
      <c r="B581" s="67">
        <v>44688.788194444503</v>
      </c>
      <c r="C581" s="68">
        <v>44756.864583333299</v>
      </c>
    </row>
    <row r="582" spans="1:3" ht="15.75" customHeight="1" x14ac:dyDescent="0.4">
      <c r="A582" s="24" t="s">
        <v>1463</v>
      </c>
      <c r="B582" s="67">
        <v>44688.786805555603</v>
      </c>
      <c r="C582" s="68">
        <v>44763.854166666701</v>
      </c>
    </row>
    <row r="583" spans="1:3" ht="15.75" customHeight="1" x14ac:dyDescent="0.4">
      <c r="A583" s="24" t="s">
        <v>985</v>
      </c>
      <c r="B583" s="67">
        <v>44688.756944444503</v>
      </c>
      <c r="C583" s="68">
        <v>44759.911805555603</v>
      </c>
    </row>
    <row r="584" spans="1:3" ht="15.75" customHeight="1" x14ac:dyDescent="0.4">
      <c r="A584" s="24" t="s">
        <v>2069</v>
      </c>
      <c r="B584" s="67">
        <v>44688.754861111098</v>
      </c>
      <c r="C584" s="68">
        <v>44752.829166666699</v>
      </c>
    </row>
    <row r="585" spans="1:3" ht="15.75" customHeight="1" x14ac:dyDescent="0.4">
      <c r="A585" s="24" t="s">
        <v>1234</v>
      </c>
      <c r="B585" s="67">
        <v>44688.7409722222</v>
      </c>
      <c r="C585" s="68">
        <v>44756.873611111099</v>
      </c>
    </row>
    <row r="586" spans="1:3" ht="15.75" customHeight="1" x14ac:dyDescent="0.4">
      <c r="A586" s="24" t="s">
        <v>1161</v>
      </c>
      <c r="B586" s="67">
        <v>44688.738194444399</v>
      </c>
      <c r="C586" s="69">
        <v>44750.526388888902</v>
      </c>
    </row>
    <row r="587" spans="1:3" ht="15.75" customHeight="1" x14ac:dyDescent="0.4">
      <c r="A587" s="24" t="s">
        <v>1809</v>
      </c>
      <c r="B587" s="67">
        <v>44688.727083333302</v>
      </c>
      <c r="C587" s="69">
        <v>44751.5756944444</v>
      </c>
    </row>
    <row r="588" spans="1:3" ht="15.75" customHeight="1" x14ac:dyDescent="0.4">
      <c r="A588" s="24" t="s">
        <v>1309</v>
      </c>
      <c r="B588" s="67">
        <v>44688.727083333302</v>
      </c>
      <c r="C588" s="69">
        <v>44751.6430555556</v>
      </c>
    </row>
    <row r="589" spans="1:3" ht="15.75" customHeight="1" x14ac:dyDescent="0.4">
      <c r="A589" s="24" t="s">
        <v>1688</v>
      </c>
      <c r="B589" s="67">
        <v>44688.693055555603</v>
      </c>
      <c r="C589" s="68">
        <v>44760.647916666698</v>
      </c>
    </row>
    <row r="590" spans="1:3" ht="15.75" customHeight="1" x14ac:dyDescent="0.4">
      <c r="A590" s="24" t="s">
        <v>2159</v>
      </c>
      <c r="B590" s="67">
        <v>44688.6875</v>
      </c>
      <c r="C590" s="69">
        <v>44749.595833333296</v>
      </c>
    </row>
    <row r="591" spans="1:3" ht="15.75" customHeight="1" x14ac:dyDescent="0.4">
      <c r="A591" s="24" t="s">
        <v>1819</v>
      </c>
      <c r="B591" s="67">
        <v>44688.6743055556</v>
      </c>
      <c r="C591" s="68">
        <v>44759.914583333302</v>
      </c>
    </row>
    <row r="592" spans="1:3" ht="15.75" customHeight="1" x14ac:dyDescent="0.4">
      <c r="A592" s="24" t="s">
        <v>925</v>
      </c>
      <c r="B592" s="67">
        <v>44688.670833333301</v>
      </c>
      <c r="C592" s="69">
        <v>44750.509722222203</v>
      </c>
    </row>
    <row r="593" spans="1:3" ht="15.75" customHeight="1" x14ac:dyDescent="0.4">
      <c r="A593" s="24" t="s">
        <v>1584</v>
      </c>
      <c r="B593" s="67">
        <v>44688.667361111096</v>
      </c>
      <c r="C593" s="68">
        <v>44764.903472222199</v>
      </c>
    </row>
    <row r="594" spans="1:3" ht="15.75" customHeight="1" x14ac:dyDescent="0.4">
      <c r="A594" s="24" t="s">
        <v>1619</v>
      </c>
      <c r="B594" s="67">
        <v>44688.633333333302</v>
      </c>
      <c r="C594" s="68">
        <v>44762.872916666704</v>
      </c>
    </row>
    <row r="595" spans="1:3" ht="15.75" customHeight="1" x14ac:dyDescent="0.4">
      <c r="A595" s="24" t="s">
        <v>1159</v>
      </c>
      <c r="B595" s="67">
        <v>44688.621527777803</v>
      </c>
      <c r="C595" s="68">
        <v>44763.856249999997</v>
      </c>
    </row>
    <row r="596" spans="1:3" ht="15.75" customHeight="1" x14ac:dyDescent="0.4">
      <c r="A596" s="24" t="s">
        <v>1199</v>
      </c>
      <c r="B596" s="67">
        <v>44688.597916666702</v>
      </c>
      <c r="C596" s="69">
        <v>44750.525694444397</v>
      </c>
    </row>
    <row r="597" spans="1:3" ht="15.75" customHeight="1" x14ac:dyDescent="0.4">
      <c r="A597" s="24" t="s">
        <v>900</v>
      </c>
      <c r="B597" s="67">
        <v>44688.594444444498</v>
      </c>
      <c r="C597" s="69">
        <v>44751.715972222199</v>
      </c>
    </row>
    <row r="598" spans="1:3" ht="15.75" customHeight="1" x14ac:dyDescent="0.4">
      <c r="A598" s="24" t="s">
        <v>1085</v>
      </c>
      <c r="B598" s="67">
        <v>44688.587500000001</v>
      </c>
      <c r="C598" s="69">
        <v>44751.485416666699</v>
      </c>
    </row>
    <row r="599" spans="1:3" ht="15.75" customHeight="1" x14ac:dyDescent="0.4">
      <c r="A599" s="24" t="s">
        <v>1743</v>
      </c>
      <c r="B599" s="67">
        <v>44688.583333333299</v>
      </c>
      <c r="C599" s="69">
        <v>44749.881944444503</v>
      </c>
    </row>
    <row r="600" spans="1:3" ht="15.75" customHeight="1" x14ac:dyDescent="0.4">
      <c r="A600" s="24" t="s">
        <v>1314</v>
      </c>
      <c r="B600" s="67">
        <v>44688.573611111096</v>
      </c>
      <c r="C600" s="69">
        <v>44751.6875</v>
      </c>
    </row>
    <row r="601" spans="1:3" ht="15.75" customHeight="1" x14ac:dyDescent="0.4">
      <c r="A601" s="24" t="s">
        <v>1425</v>
      </c>
      <c r="B601" s="67">
        <v>44688.5625</v>
      </c>
      <c r="C601" s="68">
        <v>44752.824305555601</v>
      </c>
    </row>
    <row r="602" spans="1:3" ht="15.75" customHeight="1" x14ac:dyDescent="0.4">
      <c r="A602" s="24" t="s">
        <v>1163</v>
      </c>
      <c r="B602" s="67">
        <v>44688.556944444397</v>
      </c>
      <c r="C602" s="68">
        <v>44752.65</v>
      </c>
    </row>
    <row r="603" spans="1:3" ht="15.75" customHeight="1" x14ac:dyDescent="0.4">
      <c r="A603" s="24" t="s">
        <v>1751</v>
      </c>
      <c r="B603" s="67">
        <v>44688.556944444397</v>
      </c>
      <c r="C603" s="68">
        <v>44752.818749999999</v>
      </c>
    </row>
    <row r="604" spans="1:3" ht="15.75" customHeight="1" x14ac:dyDescent="0.4">
      <c r="A604" s="24" t="s">
        <v>1506</v>
      </c>
      <c r="B604" s="67">
        <v>44688.555555555598</v>
      </c>
      <c r="C604" s="68">
        <v>44757.695138888899</v>
      </c>
    </row>
    <row r="605" spans="1:3" ht="15.75" customHeight="1" x14ac:dyDescent="0.4">
      <c r="A605" s="24" t="s">
        <v>625</v>
      </c>
      <c r="B605" s="67">
        <v>44688.548611111102</v>
      </c>
      <c r="C605" s="68">
        <v>44757.693055555603</v>
      </c>
    </row>
    <row r="606" spans="1:3" ht="15.75" customHeight="1" x14ac:dyDescent="0.4">
      <c r="A606" s="24" t="s">
        <v>2067</v>
      </c>
      <c r="B606" s="67">
        <v>44688.537499999999</v>
      </c>
      <c r="C606" s="69">
        <v>44750.797916666699</v>
      </c>
    </row>
    <row r="607" spans="1:3" ht="15.75" customHeight="1" x14ac:dyDescent="0.4">
      <c r="A607" s="24" t="s">
        <v>2165</v>
      </c>
      <c r="B607" s="67">
        <v>44688.527777777803</v>
      </c>
      <c r="C607" s="69">
        <v>44749.823611111096</v>
      </c>
    </row>
    <row r="608" spans="1:3" ht="15.75" customHeight="1" x14ac:dyDescent="0.4">
      <c r="A608" s="24" t="s">
        <v>1569</v>
      </c>
      <c r="B608" s="67">
        <v>44688.518750000003</v>
      </c>
      <c r="C608" s="69">
        <v>44750.661111111098</v>
      </c>
    </row>
    <row r="609" spans="1:3" ht="15.75" customHeight="1" x14ac:dyDescent="0.4">
      <c r="A609" s="24" t="s">
        <v>1645</v>
      </c>
      <c r="B609" s="67">
        <v>44688.517361111102</v>
      </c>
      <c r="C609" s="69">
        <v>44749.715972222199</v>
      </c>
    </row>
    <row r="610" spans="1:3" ht="15.75" customHeight="1" x14ac:dyDescent="0.4">
      <c r="A610" s="24" t="s">
        <v>1125</v>
      </c>
      <c r="B610" s="67">
        <v>44688.514583333301</v>
      </c>
      <c r="C610" s="69">
        <v>44751.859722222202</v>
      </c>
    </row>
    <row r="611" spans="1:3" ht="15.75" customHeight="1" x14ac:dyDescent="0.4">
      <c r="A611" s="24" t="s">
        <v>827</v>
      </c>
      <c r="B611" s="67">
        <v>44688.506249999999</v>
      </c>
      <c r="C611" s="24" t="s">
        <v>826</v>
      </c>
    </row>
    <row r="612" spans="1:3" ht="15.75" customHeight="1" x14ac:dyDescent="0.4">
      <c r="A612" s="24" t="s">
        <v>493</v>
      </c>
      <c r="B612" s="67">
        <v>44688.502777777801</v>
      </c>
      <c r="C612" s="68">
        <v>44762.895833333299</v>
      </c>
    </row>
    <row r="613" spans="1:3" ht="15.75" customHeight="1" x14ac:dyDescent="0.4">
      <c r="A613" s="24" t="s">
        <v>912</v>
      </c>
      <c r="B613" s="67">
        <v>44688.484027777798</v>
      </c>
      <c r="C613" s="24" t="s">
        <v>826</v>
      </c>
    </row>
    <row r="614" spans="1:3" ht="15.75" customHeight="1" x14ac:dyDescent="0.4">
      <c r="A614" s="24" t="s">
        <v>1034</v>
      </c>
      <c r="B614" s="67">
        <v>44688.483333333301</v>
      </c>
      <c r="C614" s="68">
        <v>44752.820833333302</v>
      </c>
    </row>
    <row r="615" spans="1:3" ht="15.75" customHeight="1" x14ac:dyDescent="0.4">
      <c r="A615" s="24" t="s">
        <v>587</v>
      </c>
      <c r="B615" s="67">
        <v>44688.474999999999</v>
      </c>
      <c r="C615" s="69">
        <v>44749.6118055556</v>
      </c>
    </row>
    <row r="616" spans="1:3" ht="15.75" customHeight="1" x14ac:dyDescent="0.4">
      <c r="A616" s="24" t="s">
        <v>1854</v>
      </c>
      <c r="B616" s="67">
        <v>44688.439583333296</v>
      </c>
      <c r="C616" s="24" t="s">
        <v>826</v>
      </c>
    </row>
    <row r="617" spans="1:3" ht="15.75" customHeight="1" x14ac:dyDescent="0.4">
      <c r="A617" s="24" t="s">
        <v>2098</v>
      </c>
      <c r="B617" s="67">
        <v>44688.324999999997</v>
      </c>
      <c r="C617" s="69">
        <v>44749.6069444444</v>
      </c>
    </row>
    <row r="618" spans="1:3" ht="15.75" customHeight="1" x14ac:dyDescent="0.4">
      <c r="A618" s="24" t="s">
        <v>235</v>
      </c>
      <c r="B618" s="67">
        <v>44688.083333333299</v>
      </c>
      <c r="C618" s="69">
        <v>44751.475694444503</v>
      </c>
    </row>
    <row r="619" spans="1:3" ht="15.75" customHeight="1" x14ac:dyDescent="0.4">
      <c r="A619" s="24" t="s">
        <v>1170</v>
      </c>
      <c r="B619" s="67">
        <v>44688.0756944444</v>
      </c>
      <c r="C619" s="69">
        <v>44751.822222222203</v>
      </c>
    </row>
    <row r="620" spans="1:3" ht="15.75" customHeight="1" x14ac:dyDescent="0.4">
      <c r="A620" s="24" t="s">
        <v>1061</v>
      </c>
      <c r="B620" s="67">
        <v>44688.0222222222</v>
      </c>
      <c r="C620" s="68">
        <v>44753.702777777798</v>
      </c>
    </row>
    <row r="621" spans="1:3" ht="15.75" customHeight="1" x14ac:dyDescent="0.4">
      <c r="A621" s="24" t="s">
        <v>2015</v>
      </c>
      <c r="B621" s="67">
        <v>44658.989583333299</v>
      </c>
      <c r="C621" s="68">
        <v>44762.840277777803</v>
      </c>
    </row>
    <row r="622" spans="1:3" ht="15.75" customHeight="1" x14ac:dyDescent="0.4">
      <c r="A622" s="24" t="s">
        <v>926</v>
      </c>
      <c r="B622" s="67">
        <v>44658.9506944444</v>
      </c>
      <c r="C622" s="68">
        <v>44756.526388888902</v>
      </c>
    </row>
    <row r="623" spans="1:3" ht="15.75" customHeight="1" x14ac:dyDescent="0.4">
      <c r="A623" s="24" t="s">
        <v>950</v>
      </c>
      <c r="B623" s="67">
        <v>44658.940972222197</v>
      </c>
      <c r="C623" s="69">
        <v>44751.659722222197</v>
      </c>
    </row>
    <row r="624" spans="1:3" ht="15.75" customHeight="1" x14ac:dyDescent="0.4">
      <c r="A624" s="24" t="s">
        <v>503</v>
      </c>
      <c r="B624" s="67">
        <v>44658.9194444444</v>
      </c>
      <c r="C624" s="24" t="s">
        <v>826</v>
      </c>
    </row>
    <row r="625" spans="1:3" ht="15.75" customHeight="1" x14ac:dyDescent="0.4">
      <c r="A625" s="24" t="s">
        <v>1866</v>
      </c>
      <c r="B625" s="67">
        <v>44658.907638888901</v>
      </c>
      <c r="C625" s="68">
        <v>44752.833333333299</v>
      </c>
    </row>
    <row r="626" spans="1:3" ht="15.75" customHeight="1" x14ac:dyDescent="0.4">
      <c r="A626" s="24" t="s">
        <v>1816</v>
      </c>
      <c r="B626" s="67">
        <v>44658.904166666704</v>
      </c>
      <c r="C626" s="69">
        <v>44748.693055555603</v>
      </c>
    </row>
    <row r="627" spans="1:3" ht="15.75" customHeight="1" x14ac:dyDescent="0.4">
      <c r="A627" s="24" t="s">
        <v>1772</v>
      </c>
      <c r="B627" s="67">
        <v>44658.904166666704</v>
      </c>
      <c r="C627" s="69">
        <v>44750.827777777798</v>
      </c>
    </row>
    <row r="628" spans="1:3" ht="15.75" customHeight="1" x14ac:dyDescent="0.4">
      <c r="A628" s="24" t="s">
        <v>961</v>
      </c>
      <c r="B628" s="67">
        <v>44658.898611111101</v>
      </c>
      <c r="C628" s="69">
        <v>44749.545833333301</v>
      </c>
    </row>
    <row r="629" spans="1:3" ht="15.75" customHeight="1" x14ac:dyDescent="0.4">
      <c r="A629" s="24" t="s">
        <v>1008</v>
      </c>
      <c r="B629" s="67">
        <v>44658.878472222197</v>
      </c>
      <c r="C629" s="68">
        <v>44756.816666666702</v>
      </c>
    </row>
    <row r="630" spans="1:3" ht="15.75" customHeight="1" x14ac:dyDescent="0.4">
      <c r="A630" s="24" t="s">
        <v>756</v>
      </c>
      <c r="B630" s="67">
        <v>44658.871527777803</v>
      </c>
      <c r="C630" s="68">
        <v>44752.625694444498</v>
      </c>
    </row>
    <row r="631" spans="1:3" ht="15.75" customHeight="1" x14ac:dyDescent="0.4">
      <c r="A631" s="24" t="s">
        <v>1699</v>
      </c>
      <c r="B631" s="67">
        <v>44658.859722222202</v>
      </c>
      <c r="C631" s="24" t="s">
        <v>826</v>
      </c>
    </row>
    <row r="632" spans="1:3" ht="15.75" customHeight="1" x14ac:dyDescent="0.4">
      <c r="A632" s="24" t="s">
        <v>831</v>
      </c>
      <c r="B632" s="67">
        <v>44658.857638888898</v>
      </c>
      <c r="C632" s="69">
        <v>44751.750694444498</v>
      </c>
    </row>
    <row r="633" spans="1:3" ht="15.75" customHeight="1" x14ac:dyDescent="0.4">
      <c r="A633" s="24" t="s">
        <v>1937</v>
      </c>
      <c r="B633" s="67">
        <v>44658.856249999997</v>
      </c>
      <c r="C633" s="69">
        <v>44749.785416666702</v>
      </c>
    </row>
    <row r="634" spans="1:3" ht="15.75" customHeight="1" x14ac:dyDescent="0.4">
      <c r="A634" s="24" t="s">
        <v>1687</v>
      </c>
      <c r="B634" s="67">
        <v>44658.851388888899</v>
      </c>
      <c r="C634" s="68">
        <v>44752.686111111099</v>
      </c>
    </row>
    <row r="635" spans="1:3" ht="15.75" customHeight="1" x14ac:dyDescent="0.4">
      <c r="A635" s="24" t="s">
        <v>435</v>
      </c>
      <c r="B635" s="67">
        <v>44658.847222222197</v>
      </c>
      <c r="C635" s="24" t="s">
        <v>826</v>
      </c>
    </row>
    <row r="636" spans="1:3" ht="15.75" customHeight="1" x14ac:dyDescent="0.4">
      <c r="A636" s="24" t="s">
        <v>1107</v>
      </c>
      <c r="B636" s="67">
        <v>44658.842361111099</v>
      </c>
      <c r="C636" s="69">
        <v>44747.646527777797</v>
      </c>
    </row>
    <row r="637" spans="1:3" ht="15.75" customHeight="1" x14ac:dyDescent="0.4">
      <c r="A637" s="24" t="s">
        <v>1351</v>
      </c>
      <c r="B637" s="67">
        <v>44658.834027777797</v>
      </c>
      <c r="C637" s="68">
        <v>44754.400000000001</v>
      </c>
    </row>
    <row r="638" spans="1:3" ht="15.75" customHeight="1" x14ac:dyDescent="0.4">
      <c r="A638" s="24" t="s">
        <v>453</v>
      </c>
      <c r="B638" s="67">
        <v>44658.823611111096</v>
      </c>
      <c r="C638" s="69">
        <v>44749.854861111096</v>
      </c>
    </row>
    <row r="639" spans="1:3" ht="15.75" customHeight="1" x14ac:dyDescent="0.4">
      <c r="A639" s="24" t="s">
        <v>1835</v>
      </c>
      <c r="B639" s="67">
        <v>44658.7944444444</v>
      </c>
      <c r="C639" s="68">
        <v>44757.463194444397</v>
      </c>
    </row>
    <row r="640" spans="1:3" ht="15.75" customHeight="1" x14ac:dyDescent="0.4">
      <c r="A640" s="24" t="s">
        <v>1269</v>
      </c>
      <c r="B640" s="67">
        <v>44658.765277777798</v>
      </c>
      <c r="C640" s="24" t="s">
        <v>826</v>
      </c>
    </row>
    <row r="641" spans="1:3" ht="15.75" customHeight="1" x14ac:dyDescent="0.4">
      <c r="A641" s="24" t="s">
        <v>1431</v>
      </c>
      <c r="B641" s="67">
        <v>44658.761805555601</v>
      </c>
      <c r="C641" s="69">
        <v>44750.618750000001</v>
      </c>
    </row>
    <row r="642" spans="1:3" ht="15.75" customHeight="1" x14ac:dyDescent="0.4">
      <c r="A642" s="24" t="s">
        <v>704</v>
      </c>
      <c r="B642" s="67">
        <v>44658.742361111101</v>
      </c>
      <c r="C642" s="68">
        <v>44757.506944444503</v>
      </c>
    </row>
    <row r="643" spans="1:3" ht="15.75" customHeight="1" x14ac:dyDescent="0.4">
      <c r="A643" s="24" t="s">
        <v>1295</v>
      </c>
      <c r="B643" s="67">
        <v>44658.7409722222</v>
      </c>
      <c r="C643" s="68">
        <v>44762.838194444397</v>
      </c>
    </row>
    <row r="644" spans="1:3" ht="15.75" customHeight="1" x14ac:dyDescent="0.4">
      <c r="A644" s="24" t="s">
        <v>902</v>
      </c>
      <c r="B644" s="67">
        <v>44658.720138888901</v>
      </c>
      <c r="C644" s="24" t="s">
        <v>826</v>
      </c>
    </row>
    <row r="645" spans="1:3" ht="15.75" customHeight="1" x14ac:dyDescent="0.4">
      <c r="A645" s="24" t="s">
        <v>849</v>
      </c>
      <c r="B645" s="67">
        <v>44658.71875</v>
      </c>
      <c r="C645" s="68">
        <v>44752.707638888904</v>
      </c>
    </row>
    <row r="646" spans="1:3" ht="15.75" customHeight="1" x14ac:dyDescent="0.4">
      <c r="A646" s="24" t="s">
        <v>1131</v>
      </c>
      <c r="B646" s="67">
        <v>44658.6965277778</v>
      </c>
      <c r="C646" s="69">
        <v>44750.630555555603</v>
      </c>
    </row>
    <row r="647" spans="1:3" ht="15.75" customHeight="1" x14ac:dyDescent="0.4">
      <c r="A647" s="24" t="s">
        <v>2022</v>
      </c>
      <c r="B647" s="67">
        <v>44658.684027777803</v>
      </c>
      <c r="C647" s="69">
        <v>44748.604166666701</v>
      </c>
    </row>
    <row r="648" spans="1:3" ht="15.75" customHeight="1" x14ac:dyDescent="0.4">
      <c r="A648" s="24" t="s">
        <v>1350</v>
      </c>
      <c r="B648" s="67">
        <v>44658.677083333299</v>
      </c>
      <c r="C648" s="69">
        <v>44751.774305555598</v>
      </c>
    </row>
    <row r="649" spans="1:3" ht="15.75" customHeight="1" x14ac:dyDescent="0.4">
      <c r="A649" s="24" t="s">
        <v>2014</v>
      </c>
      <c r="B649" s="67">
        <v>44658.661111111098</v>
      </c>
      <c r="C649" s="69">
        <v>44749.854861111096</v>
      </c>
    </row>
    <row r="650" spans="1:3" ht="15.75" customHeight="1" x14ac:dyDescent="0.4">
      <c r="A650" s="24" t="s">
        <v>547</v>
      </c>
      <c r="B650" s="67">
        <v>44658.645833333299</v>
      </c>
      <c r="C650" s="68">
        <v>44752.711111111101</v>
      </c>
    </row>
    <row r="651" spans="1:3" ht="15.75" customHeight="1" x14ac:dyDescent="0.4">
      <c r="A651" s="24" t="s">
        <v>1231</v>
      </c>
      <c r="B651" s="67">
        <v>44658.642361111102</v>
      </c>
      <c r="C651" s="69">
        <v>44750.829166666699</v>
      </c>
    </row>
    <row r="652" spans="1:3" ht="15.75" customHeight="1" x14ac:dyDescent="0.4">
      <c r="A652" s="24" t="s">
        <v>1514</v>
      </c>
      <c r="B652" s="67">
        <v>44658.609027777798</v>
      </c>
      <c r="C652" s="69">
        <v>44750.5756944444</v>
      </c>
    </row>
    <row r="653" spans="1:3" ht="15.75" customHeight="1" x14ac:dyDescent="0.4">
      <c r="A653" s="24" t="s">
        <v>1009</v>
      </c>
      <c r="B653" s="67">
        <v>44658.602083333302</v>
      </c>
      <c r="C653" s="69">
        <v>44749.750694444498</v>
      </c>
    </row>
    <row r="654" spans="1:3" ht="15.75" customHeight="1" x14ac:dyDescent="0.4">
      <c r="A654" s="24" t="s">
        <v>1808</v>
      </c>
      <c r="B654" s="67">
        <v>44658.601388888899</v>
      </c>
      <c r="C654" s="68">
        <v>44754.480555555601</v>
      </c>
    </row>
    <row r="655" spans="1:3" ht="15.75" customHeight="1" x14ac:dyDescent="0.4">
      <c r="A655" s="24" t="s">
        <v>2153</v>
      </c>
      <c r="B655" s="67">
        <v>44658.574305555601</v>
      </c>
      <c r="C655" s="69">
        <v>44749.777777777803</v>
      </c>
    </row>
    <row r="656" spans="1:3" ht="15.75" customHeight="1" x14ac:dyDescent="0.4">
      <c r="A656" s="24" t="s">
        <v>1110</v>
      </c>
      <c r="B656" s="67">
        <v>44658.559722222199</v>
      </c>
      <c r="C656" s="24" t="s">
        <v>826</v>
      </c>
    </row>
    <row r="657" spans="1:3" ht="15.75" customHeight="1" x14ac:dyDescent="0.4">
      <c r="A657" s="24" t="s">
        <v>1465</v>
      </c>
      <c r="B657" s="67">
        <v>44658.558333333298</v>
      </c>
      <c r="C657" s="69">
        <v>44751.742361111101</v>
      </c>
    </row>
    <row r="658" spans="1:3" ht="15.75" customHeight="1" x14ac:dyDescent="0.4">
      <c r="A658" s="24" t="s">
        <v>932</v>
      </c>
      <c r="B658" s="67">
        <v>44658.556944444397</v>
      </c>
      <c r="C658" s="24" t="s">
        <v>826</v>
      </c>
    </row>
    <row r="659" spans="1:3" ht="15.75" customHeight="1" x14ac:dyDescent="0.4">
      <c r="A659" s="24" t="s">
        <v>843</v>
      </c>
      <c r="B659" s="67">
        <v>44658.555555555598</v>
      </c>
      <c r="C659" s="68">
        <v>44754.543055555601</v>
      </c>
    </row>
    <row r="660" spans="1:3" ht="15.75" customHeight="1" x14ac:dyDescent="0.4">
      <c r="A660" s="24" t="s">
        <v>1681</v>
      </c>
      <c r="B660" s="67">
        <v>44658.545138888898</v>
      </c>
      <c r="C660" s="68">
        <v>44752.5534722222</v>
      </c>
    </row>
    <row r="661" spans="1:3" ht="15.75" customHeight="1" x14ac:dyDescent="0.4">
      <c r="A661" s="24" t="s">
        <v>1583</v>
      </c>
      <c r="B661" s="67">
        <v>44658.542361111096</v>
      </c>
      <c r="C661" s="68">
        <v>44752.552777777797</v>
      </c>
    </row>
    <row r="662" spans="1:3" ht="15.75" customHeight="1" x14ac:dyDescent="0.4">
      <c r="A662" s="24" t="s">
        <v>942</v>
      </c>
      <c r="B662" s="67">
        <v>44658.541666666701</v>
      </c>
      <c r="C662" s="69">
        <v>44749.668749999997</v>
      </c>
    </row>
    <row r="663" spans="1:3" ht="15.75" customHeight="1" x14ac:dyDescent="0.4">
      <c r="A663" s="24" t="s">
        <v>1763</v>
      </c>
      <c r="B663" s="67">
        <v>44658.530555555597</v>
      </c>
      <c r="C663" s="69">
        <v>44749.855555555601</v>
      </c>
    </row>
    <row r="664" spans="1:3" ht="15.75" customHeight="1" x14ac:dyDescent="0.4">
      <c r="A664" s="24" t="s">
        <v>569</v>
      </c>
      <c r="B664" s="67">
        <v>44658.525694444397</v>
      </c>
      <c r="C664" s="69">
        <v>44750.8305555556</v>
      </c>
    </row>
    <row r="665" spans="1:3" ht="15.75" customHeight="1" x14ac:dyDescent="0.4">
      <c r="A665" s="24" t="s">
        <v>947</v>
      </c>
      <c r="B665" s="67">
        <v>44658.447916666701</v>
      </c>
      <c r="C665" s="24" t="s">
        <v>826</v>
      </c>
    </row>
    <row r="666" spans="1:3" ht="15.75" customHeight="1" x14ac:dyDescent="0.4">
      <c r="A666" s="24" t="s">
        <v>1429</v>
      </c>
      <c r="B666" s="67">
        <v>44658.445833333302</v>
      </c>
      <c r="C666" s="69">
        <v>44750.3840277778</v>
      </c>
    </row>
    <row r="667" spans="1:3" ht="15.75" customHeight="1" x14ac:dyDescent="0.4">
      <c r="A667" s="24" t="s">
        <v>2151</v>
      </c>
      <c r="B667" s="67">
        <v>44658.443749999999</v>
      </c>
      <c r="C667" s="69">
        <v>44751.747916666704</v>
      </c>
    </row>
    <row r="668" spans="1:3" ht="15.75" customHeight="1" x14ac:dyDescent="0.4">
      <c r="A668" s="24" t="s">
        <v>1994</v>
      </c>
      <c r="B668" s="67">
        <v>44658.037499999999</v>
      </c>
      <c r="C668" s="24" t="s">
        <v>826</v>
      </c>
    </row>
    <row r="669" spans="1:3" ht="15.75" customHeight="1" x14ac:dyDescent="0.4">
      <c r="A669" s="24" t="s">
        <v>1138</v>
      </c>
      <c r="B669" s="67">
        <v>44658.032638888901</v>
      </c>
      <c r="C669" s="68">
        <v>44762.804166666698</v>
      </c>
    </row>
    <row r="670" spans="1:3" ht="15.75" customHeight="1" x14ac:dyDescent="0.4">
      <c r="A670" s="24" t="s">
        <v>1545</v>
      </c>
      <c r="B670" s="67">
        <v>44658.002777777801</v>
      </c>
      <c r="C670" s="68">
        <v>44759.5625</v>
      </c>
    </row>
    <row r="671" spans="1:3" ht="15.75" customHeight="1" x14ac:dyDescent="0.4">
      <c r="A671" s="24" t="s">
        <v>2090</v>
      </c>
      <c r="B671" s="67">
        <v>44627.997222222199</v>
      </c>
      <c r="C671" s="69">
        <v>44750.832638888904</v>
      </c>
    </row>
    <row r="672" spans="1:3" ht="15.75" customHeight="1" x14ac:dyDescent="0.4">
      <c r="A672" s="24" t="s">
        <v>325</v>
      </c>
      <c r="B672" s="67">
        <v>44627.982638888898</v>
      </c>
      <c r="C672" s="24" t="s">
        <v>826</v>
      </c>
    </row>
    <row r="673" spans="1:3" ht="15.75" customHeight="1" x14ac:dyDescent="0.4">
      <c r="A673" s="24" t="s">
        <v>1840</v>
      </c>
      <c r="B673" s="67">
        <v>44627.95</v>
      </c>
      <c r="C673" s="69">
        <v>44751.747916666704</v>
      </c>
    </row>
    <row r="674" spans="1:3" ht="15.75" customHeight="1" x14ac:dyDescent="0.4">
      <c r="A674" s="24" t="s">
        <v>1987</v>
      </c>
      <c r="B674" s="67">
        <v>44627.945833333302</v>
      </c>
      <c r="C674" s="69">
        <v>44750.8659722222</v>
      </c>
    </row>
    <row r="675" spans="1:3" ht="15.75" customHeight="1" x14ac:dyDescent="0.4">
      <c r="A675" s="24" t="s">
        <v>1286</v>
      </c>
      <c r="B675" s="67">
        <v>44627.939583333296</v>
      </c>
      <c r="C675" s="68">
        <v>44760.8305555556</v>
      </c>
    </row>
    <row r="676" spans="1:3" ht="15.75" customHeight="1" x14ac:dyDescent="0.4">
      <c r="A676" s="24" t="s">
        <v>1353</v>
      </c>
      <c r="B676" s="67">
        <v>44627.920833333301</v>
      </c>
      <c r="C676" s="68">
        <v>44756.472916666702</v>
      </c>
    </row>
    <row r="677" spans="1:3" ht="15.75" customHeight="1" x14ac:dyDescent="0.4">
      <c r="A677" s="24" t="s">
        <v>407</v>
      </c>
      <c r="B677" s="67">
        <v>44627.916666666701</v>
      </c>
      <c r="C677" s="69">
        <v>44750.831250000003</v>
      </c>
    </row>
    <row r="678" spans="1:3" ht="15.75" customHeight="1" x14ac:dyDescent="0.4">
      <c r="A678" s="24" t="s">
        <v>343</v>
      </c>
      <c r="B678" s="67">
        <v>44627.908333333296</v>
      </c>
      <c r="C678" s="68">
        <v>44762.801388888904</v>
      </c>
    </row>
    <row r="679" spans="1:3" ht="15.75" customHeight="1" x14ac:dyDescent="0.4">
      <c r="A679" s="24" t="s">
        <v>577</v>
      </c>
      <c r="B679" s="67">
        <v>44627.883333333302</v>
      </c>
      <c r="C679" s="24" t="s">
        <v>826</v>
      </c>
    </row>
    <row r="680" spans="1:3" ht="15.75" customHeight="1" x14ac:dyDescent="0.4">
      <c r="A680" s="24" t="s">
        <v>1467</v>
      </c>
      <c r="B680" s="67">
        <v>44627.883333333302</v>
      </c>
      <c r="C680" s="69">
        <v>44751.565972222197</v>
      </c>
    </row>
    <row r="681" spans="1:3" ht="15.75" customHeight="1" x14ac:dyDescent="0.4">
      <c r="A681" s="24" t="s">
        <v>1663</v>
      </c>
      <c r="B681" s="67">
        <v>44627.875694444498</v>
      </c>
      <c r="C681" s="69">
        <v>44748.654861111099</v>
      </c>
    </row>
    <row r="682" spans="1:3" ht="15.75" customHeight="1" x14ac:dyDescent="0.4">
      <c r="A682" s="24" t="s">
        <v>1108</v>
      </c>
      <c r="B682" s="67">
        <v>44627.872916666704</v>
      </c>
      <c r="C682" s="24" t="s">
        <v>826</v>
      </c>
    </row>
    <row r="683" spans="1:3" ht="15.75" customHeight="1" x14ac:dyDescent="0.4">
      <c r="A683" s="24" t="s">
        <v>1746</v>
      </c>
      <c r="B683" s="67">
        <v>44627.867361111101</v>
      </c>
      <c r="C683" s="68">
        <v>44753.727083333302</v>
      </c>
    </row>
    <row r="684" spans="1:3" ht="15.75" customHeight="1" x14ac:dyDescent="0.4">
      <c r="A684" s="24" t="s">
        <v>337</v>
      </c>
      <c r="B684" s="67">
        <v>44627.857638888898</v>
      </c>
      <c r="C684" s="24" t="s">
        <v>826</v>
      </c>
    </row>
    <row r="685" spans="1:3" ht="15.75" customHeight="1" x14ac:dyDescent="0.4">
      <c r="A685" s="24" t="s">
        <v>722</v>
      </c>
      <c r="B685" s="67">
        <v>44627.848611111098</v>
      </c>
      <c r="C685" s="68">
        <v>44756.441666666702</v>
      </c>
    </row>
    <row r="686" spans="1:3" ht="15.75" customHeight="1" x14ac:dyDescent="0.4">
      <c r="A686" s="24" t="s">
        <v>1462</v>
      </c>
      <c r="B686" s="67">
        <v>44627.847222222197</v>
      </c>
      <c r="C686" s="68">
        <v>44763.8972222222</v>
      </c>
    </row>
    <row r="687" spans="1:3" ht="15.75" customHeight="1" x14ac:dyDescent="0.4">
      <c r="A687" s="24" t="s">
        <v>865</v>
      </c>
      <c r="B687" s="67">
        <v>44627.845833333296</v>
      </c>
      <c r="C687" s="69">
        <v>44747.849305555603</v>
      </c>
    </row>
    <row r="688" spans="1:3" ht="15.75" customHeight="1" x14ac:dyDescent="0.4">
      <c r="A688" s="24" t="s">
        <v>1919</v>
      </c>
      <c r="B688" s="67">
        <v>44627.845138888901</v>
      </c>
      <c r="C688" s="68">
        <v>44757.690972222197</v>
      </c>
    </row>
    <row r="689" spans="1:3" ht="15.75" customHeight="1" x14ac:dyDescent="0.4">
      <c r="A689" s="24" t="s">
        <v>641</v>
      </c>
      <c r="B689" s="67">
        <v>44627.839583333298</v>
      </c>
      <c r="C689" s="69">
        <v>44746.6743055556</v>
      </c>
    </row>
    <row r="690" spans="1:3" ht="15.75" customHeight="1" x14ac:dyDescent="0.4">
      <c r="A690" s="24" t="s">
        <v>1595</v>
      </c>
      <c r="B690" s="67">
        <v>44627.831944444399</v>
      </c>
      <c r="C690" s="68">
        <v>44753.836805555598</v>
      </c>
    </row>
    <row r="691" spans="1:3" ht="15.75" customHeight="1" x14ac:dyDescent="0.4">
      <c r="A691" s="24" t="s">
        <v>599</v>
      </c>
      <c r="B691" s="67">
        <v>44627.822916666701</v>
      </c>
      <c r="C691" s="69">
        <v>44750.505555555603</v>
      </c>
    </row>
    <row r="692" spans="1:3" ht="15.75" customHeight="1" x14ac:dyDescent="0.4">
      <c r="A692" s="24" t="s">
        <v>1098</v>
      </c>
      <c r="B692" s="67">
        <v>44627.822222222203</v>
      </c>
      <c r="C692" s="68">
        <v>44760.782638888901</v>
      </c>
    </row>
    <row r="693" spans="1:3" ht="15.75" customHeight="1" x14ac:dyDescent="0.4">
      <c r="A693" s="24" t="s">
        <v>1653</v>
      </c>
      <c r="B693" s="67">
        <v>44627.820138888899</v>
      </c>
      <c r="C693" s="69">
        <v>44749.816666666702</v>
      </c>
    </row>
    <row r="694" spans="1:3" ht="15.75" customHeight="1" x14ac:dyDescent="0.4">
      <c r="A694" s="24" t="s">
        <v>1560</v>
      </c>
      <c r="B694" s="67">
        <v>44627.815277777801</v>
      </c>
      <c r="C694" s="68">
        <v>44754.807638888902</v>
      </c>
    </row>
    <row r="695" spans="1:3" ht="15.75" customHeight="1" x14ac:dyDescent="0.4">
      <c r="A695" s="24" t="s">
        <v>1925</v>
      </c>
      <c r="B695" s="67">
        <v>44627.813194444498</v>
      </c>
      <c r="C695" s="68">
        <v>44757.893750000003</v>
      </c>
    </row>
    <row r="696" spans="1:3" ht="15.75" customHeight="1" x14ac:dyDescent="0.4">
      <c r="A696" s="24" t="s">
        <v>603</v>
      </c>
      <c r="B696" s="67">
        <v>44627.811805555597</v>
      </c>
      <c r="C696" s="24" t="s">
        <v>826</v>
      </c>
    </row>
    <row r="697" spans="1:3" ht="15.75" customHeight="1" x14ac:dyDescent="0.4">
      <c r="A697" s="24" t="s">
        <v>1113</v>
      </c>
      <c r="B697" s="67">
        <v>44627.811111111099</v>
      </c>
      <c r="C697" s="69">
        <v>44749.526388888902</v>
      </c>
    </row>
    <row r="698" spans="1:3" ht="15.75" customHeight="1" x14ac:dyDescent="0.4">
      <c r="A698" s="24" t="s">
        <v>1220</v>
      </c>
      <c r="B698" s="67">
        <v>44627.807638888902</v>
      </c>
      <c r="C698" s="69">
        <v>44750.536111111098</v>
      </c>
    </row>
    <row r="699" spans="1:3" ht="15.75" customHeight="1" x14ac:dyDescent="0.4">
      <c r="A699" s="24" t="s">
        <v>1965</v>
      </c>
      <c r="B699" s="67">
        <v>44627.777777777803</v>
      </c>
      <c r="C699" s="24" t="s">
        <v>826</v>
      </c>
    </row>
    <row r="700" spans="1:3" ht="15.75" customHeight="1" x14ac:dyDescent="0.4">
      <c r="A700" s="24" t="s">
        <v>2112</v>
      </c>
      <c r="B700" s="67">
        <v>44627.765277777798</v>
      </c>
      <c r="C700" s="68">
        <v>44753.536111111098</v>
      </c>
    </row>
    <row r="701" spans="1:3" ht="15.75" customHeight="1" x14ac:dyDescent="0.4">
      <c r="A701" s="24" t="s">
        <v>973</v>
      </c>
      <c r="B701" s="67">
        <v>44627.764583333301</v>
      </c>
      <c r="C701" s="68">
        <v>44760.809722222199</v>
      </c>
    </row>
    <row r="702" spans="1:3" ht="15.75" customHeight="1" x14ac:dyDescent="0.4">
      <c r="A702" s="24" t="s">
        <v>980</v>
      </c>
      <c r="B702" s="67">
        <v>44627.760416666701</v>
      </c>
      <c r="C702" s="68">
        <v>44752.615277777797</v>
      </c>
    </row>
    <row r="703" spans="1:3" ht="15.75" customHeight="1" x14ac:dyDescent="0.4">
      <c r="A703" s="24" t="s">
        <v>1592</v>
      </c>
      <c r="B703" s="67">
        <v>44627.755555555603</v>
      </c>
      <c r="C703" s="68">
        <v>44753.6743055556</v>
      </c>
    </row>
    <row r="704" spans="1:3" ht="15.75" customHeight="1" x14ac:dyDescent="0.4">
      <c r="A704" s="24" t="s">
        <v>465</v>
      </c>
      <c r="B704" s="67">
        <v>44627.749305555597</v>
      </c>
      <c r="C704" s="24" t="s">
        <v>826</v>
      </c>
    </row>
    <row r="705" spans="1:3" ht="15.75" customHeight="1" x14ac:dyDescent="0.4">
      <c r="A705" s="24" t="s">
        <v>1765</v>
      </c>
      <c r="B705" s="67">
        <v>44627.743055555598</v>
      </c>
      <c r="C705" s="69">
        <v>44748.627083333296</v>
      </c>
    </row>
    <row r="706" spans="1:3" ht="15.75" customHeight="1" x14ac:dyDescent="0.4">
      <c r="A706" s="24" t="s">
        <v>1608</v>
      </c>
      <c r="B706" s="67">
        <v>44627.740277777797</v>
      </c>
      <c r="C706" s="68">
        <v>44767.6069444444</v>
      </c>
    </row>
    <row r="707" spans="1:3" ht="15.75" customHeight="1" x14ac:dyDescent="0.4">
      <c r="A707" s="24" t="s">
        <v>1975</v>
      </c>
      <c r="B707" s="67">
        <v>44627.739583333299</v>
      </c>
      <c r="C707" s="69">
        <v>44751.818749999999</v>
      </c>
    </row>
    <row r="708" spans="1:3" ht="15.75" customHeight="1" x14ac:dyDescent="0.4">
      <c r="A708" s="24" t="s">
        <v>2164</v>
      </c>
      <c r="B708" s="67">
        <v>44627.738194444399</v>
      </c>
      <c r="C708" s="69">
        <v>44749.805555555598</v>
      </c>
    </row>
    <row r="709" spans="1:3" ht="15.75" customHeight="1" x14ac:dyDescent="0.4">
      <c r="A709" s="24" t="s">
        <v>1273</v>
      </c>
      <c r="B709" s="67">
        <v>44627.724305555603</v>
      </c>
      <c r="C709" s="69">
        <v>44749.563194444498</v>
      </c>
    </row>
    <row r="710" spans="1:3" ht="15.75" customHeight="1" x14ac:dyDescent="0.4">
      <c r="A710" s="24" t="s">
        <v>1874</v>
      </c>
      <c r="B710" s="67">
        <v>44627.715277777803</v>
      </c>
      <c r="C710" s="68">
        <v>44756.566666666702</v>
      </c>
    </row>
    <row r="711" spans="1:3" ht="15.75" customHeight="1" x14ac:dyDescent="0.4">
      <c r="A711" s="24" t="s">
        <v>1090</v>
      </c>
      <c r="B711" s="67">
        <v>44627.7097222222</v>
      </c>
      <c r="C711" s="68">
        <v>44763.770138888904</v>
      </c>
    </row>
    <row r="712" spans="1:3" ht="15.75" customHeight="1" x14ac:dyDescent="0.4">
      <c r="A712" s="24" t="s">
        <v>770</v>
      </c>
      <c r="B712" s="67">
        <v>44627.7055555556</v>
      </c>
      <c r="C712" s="24" t="s">
        <v>826</v>
      </c>
    </row>
    <row r="713" spans="1:3" ht="15.75" customHeight="1" x14ac:dyDescent="0.4">
      <c r="A713" s="24" t="s">
        <v>1532</v>
      </c>
      <c r="B713" s="67">
        <v>44627.702083333301</v>
      </c>
      <c r="C713" s="68">
        <v>44765.476388888899</v>
      </c>
    </row>
    <row r="714" spans="1:3" ht="15.75" customHeight="1" x14ac:dyDescent="0.4">
      <c r="A714" s="24" t="s">
        <v>1880</v>
      </c>
      <c r="B714" s="67">
        <v>44627.6784722222</v>
      </c>
      <c r="C714" s="68">
        <v>44759.855555555601</v>
      </c>
    </row>
    <row r="715" spans="1:3" ht="15.75" customHeight="1" x14ac:dyDescent="0.4">
      <c r="A715" s="24" t="s">
        <v>1073</v>
      </c>
      <c r="B715" s="67">
        <v>44627.673611111102</v>
      </c>
      <c r="C715" s="24" t="s">
        <v>826</v>
      </c>
    </row>
    <row r="716" spans="1:3" ht="15.75" customHeight="1" x14ac:dyDescent="0.4">
      <c r="A716" s="24" t="s">
        <v>1576</v>
      </c>
      <c r="B716" s="67">
        <v>44627.666666666701</v>
      </c>
      <c r="C716" s="24" t="s">
        <v>826</v>
      </c>
    </row>
    <row r="717" spans="1:3" ht="15.75" customHeight="1" x14ac:dyDescent="0.4">
      <c r="A717" s="24" t="s">
        <v>1330</v>
      </c>
      <c r="B717" s="67">
        <v>44627.662499999999</v>
      </c>
      <c r="C717" s="68">
        <v>44753.796527777798</v>
      </c>
    </row>
    <row r="718" spans="1:3" ht="15.75" customHeight="1" x14ac:dyDescent="0.4">
      <c r="A718" s="24" t="s">
        <v>895</v>
      </c>
      <c r="B718" s="67">
        <v>44627.638888888898</v>
      </c>
      <c r="C718" s="24" t="s">
        <v>826</v>
      </c>
    </row>
    <row r="719" spans="1:3" ht="15.75" customHeight="1" x14ac:dyDescent="0.4">
      <c r="A719" s="24" t="s">
        <v>1010</v>
      </c>
      <c r="B719" s="67">
        <v>44627.638888888898</v>
      </c>
      <c r="C719" s="69">
        <v>44746.645833333299</v>
      </c>
    </row>
    <row r="720" spans="1:3" ht="15.75" customHeight="1" x14ac:dyDescent="0.4">
      <c r="A720" s="24" t="s">
        <v>1548</v>
      </c>
      <c r="B720" s="67">
        <v>44627.631249999999</v>
      </c>
      <c r="C720" s="24" t="s">
        <v>826</v>
      </c>
    </row>
    <row r="721" spans="1:3" ht="15.75" customHeight="1" x14ac:dyDescent="0.4">
      <c r="A721" s="24" t="s">
        <v>1186</v>
      </c>
      <c r="B721" s="67">
        <v>44627.627777777801</v>
      </c>
      <c r="C721" s="69">
        <v>44749.845138888901</v>
      </c>
    </row>
    <row r="722" spans="1:3" ht="15.75" customHeight="1" x14ac:dyDescent="0.4">
      <c r="A722" s="24" t="s">
        <v>1111</v>
      </c>
      <c r="B722" s="67">
        <v>44627.6069444444</v>
      </c>
      <c r="C722" s="24" t="s">
        <v>826</v>
      </c>
    </row>
    <row r="723" spans="1:3" ht="15.75" customHeight="1" x14ac:dyDescent="0.4">
      <c r="A723" s="24" t="s">
        <v>1070</v>
      </c>
      <c r="B723" s="67">
        <v>44627.6</v>
      </c>
      <c r="C723" s="69">
        <v>44748.618750000001</v>
      </c>
    </row>
    <row r="724" spans="1:3" ht="15.75" customHeight="1" x14ac:dyDescent="0.4">
      <c r="A724" s="24" t="s">
        <v>1216</v>
      </c>
      <c r="B724" s="67">
        <v>44627.599305555603</v>
      </c>
      <c r="C724" s="68">
        <v>44752.770138888904</v>
      </c>
    </row>
    <row r="725" spans="1:3" ht="15.75" customHeight="1" x14ac:dyDescent="0.4">
      <c r="A725" s="24" t="s">
        <v>1176</v>
      </c>
      <c r="B725" s="67">
        <v>44627.573611111096</v>
      </c>
      <c r="C725" s="68">
        <v>44763.559722222199</v>
      </c>
    </row>
    <row r="726" spans="1:3" ht="15.75" customHeight="1" x14ac:dyDescent="0.4">
      <c r="A726" s="24" t="s">
        <v>1446</v>
      </c>
      <c r="B726" s="67">
        <v>44627.568055555603</v>
      </c>
      <c r="C726" s="68">
        <v>44764.774305555598</v>
      </c>
    </row>
    <row r="727" spans="1:3" ht="15.75" customHeight="1" x14ac:dyDescent="0.4">
      <c r="A727" s="24" t="s">
        <v>1144</v>
      </c>
      <c r="B727" s="67">
        <v>44627.568055555603</v>
      </c>
      <c r="C727" s="69">
        <v>44748.855555555601</v>
      </c>
    </row>
    <row r="728" spans="1:3" ht="15.75" customHeight="1" x14ac:dyDescent="0.4">
      <c r="A728" s="24" t="s">
        <v>2029</v>
      </c>
      <c r="B728" s="67">
        <v>44627.566666666702</v>
      </c>
      <c r="C728" s="24" t="s">
        <v>826</v>
      </c>
    </row>
    <row r="729" spans="1:3" ht="15.75" customHeight="1" x14ac:dyDescent="0.4">
      <c r="A729" s="24" t="s">
        <v>1240</v>
      </c>
      <c r="B729" s="67">
        <v>44627.5625</v>
      </c>
      <c r="C729" s="24" t="s">
        <v>826</v>
      </c>
    </row>
    <row r="730" spans="1:3" ht="15.75" customHeight="1" x14ac:dyDescent="0.4">
      <c r="A730" s="24" t="s">
        <v>883</v>
      </c>
      <c r="B730" s="67">
        <v>44627.561111111099</v>
      </c>
      <c r="C730" s="68">
        <v>44769.479166666701</v>
      </c>
    </row>
    <row r="731" spans="1:3" ht="15.75" customHeight="1" x14ac:dyDescent="0.4">
      <c r="A731" s="24" t="s">
        <v>1364</v>
      </c>
      <c r="B731" s="67">
        <v>44627.560416666704</v>
      </c>
      <c r="C731" s="68">
        <v>44765.833333333299</v>
      </c>
    </row>
    <row r="732" spans="1:3" ht="15.75" customHeight="1" x14ac:dyDescent="0.4">
      <c r="A732" s="24" t="s">
        <v>1717</v>
      </c>
      <c r="B732" s="67">
        <v>44627.559722222199</v>
      </c>
      <c r="C732" s="69">
        <v>44750.792361111096</v>
      </c>
    </row>
    <row r="733" spans="1:3" ht="15.75" customHeight="1" x14ac:dyDescent="0.4">
      <c r="A733" s="24" t="s">
        <v>2007</v>
      </c>
      <c r="B733" s="67">
        <v>44627.557638888902</v>
      </c>
      <c r="C733" s="69">
        <v>44748.574999999997</v>
      </c>
    </row>
    <row r="734" spans="1:3" ht="15.75" customHeight="1" x14ac:dyDescent="0.4">
      <c r="A734" s="24" t="s">
        <v>874</v>
      </c>
      <c r="B734" s="67">
        <v>44627.556250000001</v>
      </c>
      <c r="C734" s="69">
        <v>44747.667361111096</v>
      </c>
    </row>
    <row r="735" spans="1:3" ht="15.75" customHeight="1" x14ac:dyDescent="0.4">
      <c r="A735" s="24" t="s">
        <v>871</v>
      </c>
      <c r="B735" s="67">
        <v>44627.556250000001</v>
      </c>
      <c r="C735" s="68">
        <v>44767.777777777803</v>
      </c>
    </row>
    <row r="736" spans="1:3" ht="15.75" customHeight="1" x14ac:dyDescent="0.4">
      <c r="A736" s="24" t="s">
        <v>1394</v>
      </c>
      <c r="B736" s="67">
        <v>44627.552777777797</v>
      </c>
      <c r="C736" s="24" t="s">
        <v>826</v>
      </c>
    </row>
    <row r="737" spans="1:3" ht="15.75" customHeight="1" x14ac:dyDescent="0.4">
      <c r="A737" s="24" t="s">
        <v>1670</v>
      </c>
      <c r="B737" s="67">
        <v>44627.552083333299</v>
      </c>
      <c r="C737" s="68">
        <v>44766.489583333299</v>
      </c>
    </row>
    <row r="738" spans="1:3" ht="15.75" customHeight="1" x14ac:dyDescent="0.4">
      <c r="A738" s="24" t="s">
        <v>1494</v>
      </c>
      <c r="B738" s="67">
        <v>44627.55</v>
      </c>
      <c r="C738" s="68">
        <v>44763.494444444397</v>
      </c>
    </row>
    <row r="739" spans="1:3" ht="15.75" customHeight="1" x14ac:dyDescent="0.4">
      <c r="A739" s="24" t="s">
        <v>991</v>
      </c>
      <c r="B739" s="67">
        <v>44627.542361111096</v>
      </c>
      <c r="C739" s="68">
        <v>44762.740277777797</v>
      </c>
    </row>
    <row r="740" spans="1:3" ht="15.75" customHeight="1" x14ac:dyDescent="0.4">
      <c r="A740" s="24" t="s">
        <v>517</v>
      </c>
      <c r="B740" s="67">
        <v>44627.525000000001</v>
      </c>
      <c r="C740" s="69">
        <v>44747.8</v>
      </c>
    </row>
    <row r="741" spans="1:3" ht="15.75" customHeight="1" x14ac:dyDescent="0.4">
      <c r="A741" s="24" t="s">
        <v>1267</v>
      </c>
      <c r="B741" s="67">
        <v>44627.5222222222</v>
      </c>
      <c r="C741" s="68">
        <v>44766.596527777801</v>
      </c>
    </row>
    <row r="742" spans="1:3" ht="15.75" customHeight="1" x14ac:dyDescent="0.4">
      <c r="A742" s="24" t="s">
        <v>1339</v>
      </c>
      <c r="B742" s="67">
        <v>44627.519444444399</v>
      </c>
      <c r="C742" s="68">
        <v>44763.660416666702</v>
      </c>
    </row>
    <row r="743" spans="1:3" ht="15.75" customHeight="1" x14ac:dyDescent="0.4">
      <c r="A743" s="24" t="s">
        <v>2124</v>
      </c>
      <c r="B743" s="67">
        <v>44627.5180555556</v>
      </c>
      <c r="C743" s="68">
        <v>44753.775694444397</v>
      </c>
    </row>
    <row r="744" spans="1:3" ht="15.75" customHeight="1" x14ac:dyDescent="0.4">
      <c r="A744" s="24" t="s">
        <v>1087</v>
      </c>
      <c r="B744" s="67">
        <v>44627.509722222203</v>
      </c>
      <c r="C744" s="69">
        <v>44748.503472222197</v>
      </c>
    </row>
    <row r="745" spans="1:3" ht="15.75" customHeight="1" x14ac:dyDescent="0.4">
      <c r="A745" s="24" t="s">
        <v>1915</v>
      </c>
      <c r="B745" s="67">
        <v>44627.498611111099</v>
      </c>
      <c r="C745" s="69">
        <v>44751.890277777798</v>
      </c>
    </row>
    <row r="746" spans="1:3" ht="15.75" customHeight="1" x14ac:dyDescent="0.4">
      <c r="A746" s="24" t="s">
        <v>1839</v>
      </c>
      <c r="B746" s="67">
        <v>44627.496527777803</v>
      </c>
      <c r="C746" s="68">
        <v>44762.863888888904</v>
      </c>
    </row>
    <row r="747" spans="1:3" ht="15.75" customHeight="1" x14ac:dyDescent="0.4">
      <c r="A747" s="24" t="s">
        <v>1081</v>
      </c>
      <c r="B747" s="67">
        <v>44627.494444444397</v>
      </c>
      <c r="C747" s="68">
        <v>44769.5222222222</v>
      </c>
    </row>
    <row r="748" spans="1:3" ht="15.75" customHeight="1" x14ac:dyDescent="0.4">
      <c r="A748" s="24" t="s">
        <v>1252</v>
      </c>
      <c r="B748" s="67">
        <v>44627.4909722222</v>
      </c>
      <c r="C748" s="24" t="s">
        <v>826</v>
      </c>
    </row>
    <row r="749" spans="1:3" ht="15.75" customHeight="1" x14ac:dyDescent="0.4">
      <c r="A749" s="24" t="s">
        <v>1928</v>
      </c>
      <c r="B749" s="67">
        <v>44627.463888888902</v>
      </c>
      <c r="C749" s="68">
        <v>44765.807638888902</v>
      </c>
    </row>
    <row r="750" spans="1:3" ht="15.75" customHeight="1" x14ac:dyDescent="0.4">
      <c r="A750" s="24" t="s">
        <v>2001</v>
      </c>
      <c r="B750" s="67">
        <v>44627.463194444397</v>
      </c>
      <c r="C750" s="68">
        <v>44766.565277777801</v>
      </c>
    </row>
    <row r="751" spans="1:3" ht="15.75" customHeight="1" x14ac:dyDescent="0.4">
      <c r="A751" s="24" t="s">
        <v>1958</v>
      </c>
      <c r="B751" s="67">
        <v>44627.456944444399</v>
      </c>
      <c r="C751" s="24" t="s">
        <v>826</v>
      </c>
    </row>
    <row r="752" spans="1:3" ht="15.75" customHeight="1" x14ac:dyDescent="0.4">
      <c r="A752" s="24" t="s">
        <v>1622</v>
      </c>
      <c r="B752" s="67">
        <v>44627.434722222199</v>
      </c>
      <c r="C752" s="69">
        <v>44750.633333333302</v>
      </c>
    </row>
    <row r="753" spans="1:3" ht="15.75" customHeight="1" x14ac:dyDescent="0.4">
      <c r="A753" s="24" t="s">
        <v>1695</v>
      </c>
      <c r="B753" s="67">
        <v>44627.433333333298</v>
      </c>
      <c r="C753" s="69">
        <v>44749.848611111098</v>
      </c>
    </row>
    <row r="754" spans="1:3" ht="15.75" customHeight="1" x14ac:dyDescent="0.4">
      <c r="A754" s="24" t="s">
        <v>601</v>
      </c>
      <c r="B754" s="67">
        <v>44627.390277777798</v>
      </c>
      <c r="C754" s="24" t="s">
        <v>826</v>
      </c>
    </row>
    <row r="755" spans="1:3" ht="15.75" customHeight="1" x14ac:dyDescent="0.4">
      <c r="A755" s="24" t="s">
        <v>637</v>
      </c>
      <c r="B755" s="67">
        <v>44627.345138888901</v>
      </c>
      <c r="C755" s="24" t="s">
        <v>826</v>
      </c>
    </row>
    <row r="756" spans="1:3" ht="15.75" customHeight="1" x14ac:dyDescent="0.4">
      <c r="A756" s="24" t="s">
        <v>1747</v>
      </c>
      <c r="B756" s="67">
        <v>44599.943749999999</v>
      </c>
      <c r="C756" s="24" t="s">
        <v>826</v>
      </c>
    </row>
    <row r="757" spans="1:3" ht="15.75" customHeight="1" x14ac:dyDescent="0.4">
      <c r="A757" s="24" t="s">
        <v>944</v>
      </c>
      <c r="B757" s="67">
        <v>44599.922916666699</v>
      </c>
      <c r="C757" s="69">
        <v>44750.874305555597</v>
      </c>
    </row>
    <row r="758" spans="1:3" ht="15.75" customHeight="1" x14ac:dyDescent="0.4">
      <c r="A758" s="24" t="s">
        <v>1509</v>
      </c>
      <c r="B758" s="67">
        <v>44599.915972222203</v>
      </c>
      <c r="C758" s="24" t="s">
        <v>826</v>
      </c>
    </row>
    <row r="759" spans="1:3" ht="15.75" customHeight="1" x14ac:dyDescent="0.4">
      <c r="A759" s="24" t="s">
        <v>2064</v>
      </c>
      <c r="B759" s="67">
        <v>44599.9152777778</v>
      </c>
      <c r="C759" s="69">
        <v>44751.609027777798</v>
      </c>
    </row>
    <row r="760" spans="1:3" ht="15.75" customHeight="1" x14ac:dyDescent="0.4">
      <c r="A760" s="24" t="s">
        <v>1971</v>
      </c>
      <c r="B760" s="67">
        <v>44599.904861111099</v>
      </c>
      <c r="C760" s="68">
        <v>44753.819444444503</v>
      </c>
    </row>
    <row r="761" spans="1:3" ht="15.75" customHeight="1" x14ac:dyDescent="0.4">
      <c r="A761" s="24" t="s">
        <v>1078</v>
      </c>
      <c r="B761" s="67">
        <v>44599.8972222222</v>
      </c>
      <c r="C761" s="68">
        <v>44763.895138888904</v>
      </c>
    </row>
    <row r="762" spans="1:3" ht="15.75" customHeight="1" x14ac:dyDescent="0.4">
      <c r="A762" s="24" t="s">
        <v>2074</v>
      </c>
      <c r="B762" s="67">
        <v>44599.892361111102</v>
      </c>
      <c r="C762" s="68">
        <v>44759.904861111099</v>
      </c>
    </row>
    <row r="763" spans="1:3" ht="15.75" customHeight="1" x14ac:dyDescent="0.4">
      <c r="A763" s="24" t="s">
        <v>1875</v>
      </c>
      <c r="B763" s="67">
        <v>44599.888888888898</v>
      </c>
      <c r="C763" s="68">
        <v>44764.901388888902</v>
      </c>
    </row>
    <row r="764" spans="1:3" ht="15.75" customHeight="1" x14ac:dyDescent="0.4">
      <c r="A764" s="24" t="s">
        <v>878</v>
      </c>
      <c r="B764" s="67">
        <v>44599.882638888899</v>
      </c>
      <c r="C764" s="68">
        <v>44766.695833333302</v>
      </c>
    </row>
    <row r="765" spans="1:3" ht="15.75" customHeight="1" x14ac:dyDescent="0.4">
      <c r="A765" s="24" t="s">
        <v>1390</v>
      </c>
      <c r="B765" s="67">
        <v>44599.879166666702</v>
      </c>
      <c r="C765" s="69">
        <v>44748.565277777801</v>
      </c>
    </row>
    <row r="766" spans="1:3" ht="15.75" customHeight="1" x14ac:dyDescent="0.4">
      <c r="A766" s="24" t="s">
        <v>2036</v>
      </c>
      <c r="B766" s="67">
        <v>44599.876388888901</v>
      </c>
      <c r="C766" s="69">
        <v>44750.831250000003</v>
      </c>
    </row>
    <row r="767" spans="1:3" ht="15.75" customHeight="1" x14ac:dyDescent="0.4">
      <c r="A767" s="24" t="s">
        <v>1697</v>
      </c>
      <c r="B767" s="67">
        <v>44599.871527777803</v>
      </c>
      <c r="C767" s="68">
        <v>44761.565277777801</v>
      </c>
    </row>
    <row r="768" spans="1:3" ht="15.75" customHeight="1" x14ac:dyDescent="0.4">
      <c r="A768" s="24" t="s">
        <v>1455</v>
      </c>
      <c r="B768" s="67">
        <v>44599.864583333299</v>
      </c>
      <c r="C768" s="68">
        <v>44762.84375</v>
      </c>
    </row>
    <row r="769" spans="1:3" ht="15.75" customHeight="1" x14ac:dyDescent="0.4">
      <c r="A769" s="24" t="s">
        <v>535</v>
      </c>
      <c r="B769" s="67">
        <v>44599.859722222202</v>
      </c>
      <c r="C769" s="24" t="s">
        <v>826</v>
      </c>
    </row>
    <row r="770" spans="1:3" ht="15.75" customHeight="1" x14ac:dyDescent="0.4">
      <c r="A770" s="24" t="s">
        <v>1095</v>
      </c>
      <c r="B770" s="67">
        <v>44599.857638888898</v>
      </c>
      <c r="C770" s="68">
        <v>44759.909722222197</v>
      </c>
    </row>
    <row r="771" spans="1:3" ht="15.75" customHeight="1" x14ac:dyDescent="0.4">
      <c r="A771" s="24" t="s">
        <v>311</v>
      </c>
      <c r="B771" s="67">
        <v>44599.856249999997</v>
      </c>
      <c r="C771" s="24" t="s">
        <v>826</v>
      </c>
    </row>
    <row r="772" spans="1:3" ht="15.75" customHeight="1" x14ac:dyDescent="0.4">
      <c r="A772" s="24" t="s">
        <v>1660</v>
      </c>
      <c r="B772" s="67">
        <v>44599.851388888899</v>
      </c>
      <c r="C772" s="69">
        <v>44749.75</v>
      </c>
    </row>
    <row r="773" spans="1:3" ht="15.75" customHeight="1" x14ac:dyDescent="0.4">
      <c r="A773" s="24" t="s">
        <v>351</v>
      </c>
      <c r="B773" s="67">
        <v>44599.850694444503</v>
      </c>
      <c r="C773" s="68">
        <v>44753.566666666702</v>
      </c>
    </row>
    <row r="774" spans="1:3" ht="15.75" customHeight="1" x14ac:dyDescent="0.4">
      <c r="A774" s="24" t="s">
        <v>1914</v>
      </c>
      <c r="B774" s="67">
        <v>44599.84375</v>
      </c>
      <c r="C774" s="69">
        <v>44746.609027777798</v>
      </c>
    </row>
    <row r="775" spans="1:3" ht="15.75" customHeight="1" x14ac:dyDescent="0.4">
      <c r="A775" s="24" t="s">
        <v>274</v>
      </c>
      <c r="B775" s="67">
        <v>44599.838194444397</v>
      </c>
      <c r="C775" s="24" t="s">
        <v>826</v>
      </c>
    </row>
    <row r="776" spans="1:3" ht="15.75" customHeight="1" x14ac:dyDescent="0.4">
      <c r="A776" s="24" t="s">
        <v>1046</v>
      </c>
      <c r="B776" s="67">
        <v>44599.8347222222</v>
      </c>
      <c r="C776" s="68">
        <v>44763.769444444399</v>
      </c>
    </row>
    <row r="777" spans="1:3" ht="15.75" customHeight="1" x14ac:dyDescent="0.4">
      <c r="A777" s="24" t="s">
        <v>1104</v>
      </c>
      <c r="B777" s="67">
        <v>44599.833333333299</v>
      </c>
      <c r="C777" s="68">
        <v>44765.523611111101</v>
      </c>
    </row>
    <row r="778" spans="1:3" ht="15.75" customHeight="1" x14ac:dyDescent="0.4">
      <c r="A778" s="24" t="s">
        <v>439</v>
      </c>
      <c r="B778" s="67">
        <v>44599.8305555556</v>
      </c>
      <c r="C778" s="69">
        <v>44750.475694444503</v>
      </c>
    </row>
    <row r="779" spans="1:3" ht="15.75" customHeight="1" x14ac:dyDescent="0.4">
      <c r="A779" s="24" t="s">
        <v>923</v>
      </c>
      <c r="B779" s="67">
        <v>44599.8305555556</v>
      </c>
      <c r="C779" s="68">
        <v>44766.879861111098</v>
      </c>
    </row>
    <row r="780" spans="1:3" ht="15.75" customHeight="1" x14ac:dyDescent="0.4">
      <c r="A780" s="24" t="s">
        <v>1709</v>
      </c>
      <c r="B780" s="67">
        <v>44599.826388888898</v>
      </c>
      <c r="C780" s="68">
        <v>44762.793055555601</v>
      </c>
    </row>
    <row r="781" spans="1:3" ht="15.75" customHeight="1" x14ac:dyDescent="0.4">
      <c r="A781" s="24" t="s">
        <v>1781</v>
      </c>
      <c r="B781" s="67">
        <v>44599.818055555603</v>
      </c>
      <c r="C781" s="24" t="s">
        <v>826</v>
      </c>
    </row>
    <row r="782" spans="1:3" ht="15.75" customHeight="1" x14ac:dyDescent="0.4">
      <c r="A782" s="24" t="s">
        <v>931</v>
      </c>
      <c r="B782" s="67">
        <v>44599.815277777801</v>
      </c>
      <c r="C782" s="68">
        <v>44763.522916666698</v>
      </c>
    </row>
    <row r="783" spans="1:3" ht="15.75" customHeight="1" x14ac:dyDescent="0.4">
      <c r="A783" s="24" t="s">
        <v>487</v>
      </c>
      <c r="B783" s="67">
        <v>44599.807638888902</v>
      </c>
      <c r="C783" s="24" t="s">
        <v>826</v>
      </c>
    </row>
    <row r="784" spans="1:3" ht="15.75" customHeight="1" x14ac:dyDescent="0.4">
      <c r="A784" s="24" t="s">
        <v>2076</v>
      </c>
      <c r="B784" s="67">
        <v>44599.806944444397</v>
      </c>
      <c r="C784" s="69">
        <v>44749.488888888904</v>
      </c>
    </row>
    <row r="785" spans="1:3" ht="15.75" customHeight="1" x14ac:dyDescent="0.4">
      <c r="A785" s="24" t="s">
        <v>1633</v>
      </c>
      <c r="B785" s="67">
        <v>44599.785416666702</v>
      </c>
      <c r="C785" s="69">
        <v>44751.5222222222</v>
      </c>
    </row>
    <row r="786" spans="1:3" ht="15.75" customHeight="1" x14ac:dyDescent="0.4">
      <c r="A786" s="24" t="s">
        <v>1538</v>
      </c>
      <c r="B786" s="67">
        <v>44599.775000000001</v>
      </c>
      <c r="C786" s="68">
        <v>44764.547222222202</v>
      </c>
    </row>
    <row r="787" spans="1:3" ht="15.75" customHeight="1" x14ac:dyDescent="0.4">
      <c r="A787" s="24" t="s">
        <v>971</v>
      </c>
      <c r="B787" s="67">
        <v>44599.775000000001</v>
      </c>
      <c r="C787" s="68">
        <v>44752.627083333296</v>
      </c>
    </row>
    <row r="788" spans="1:3" ht="15.75" customHeight="1" x14ac:dyDescent="0.4">
      <c r="A788" s="24" t="s">
        <v>1203</v>
      </c>
      <c r="B788" s="67">
        <v>44599.7722222222</v>
      </c>
      <c r="C788" s="68">
        <v>44762.682638888902</v>
      </c>
    </row>
    <row r="789" spans="1:3" ht="15.75" customHeight="1" x14ac:dyDescent="0.4">
      <c r="A789" s="24" t="s">
        <v>998</v>
      </c>
      <c r="B789" s="67">
        <v>44599.770138888904</v>
      </c>
      <c r="C789" s="24" t="s">
        <v>826</v>
      </c>
    </row>
    <row r="790" spans="1:3" ht="15.75" customHeight="1" x14ac:dyDescent="0.4">
      <c r="A790" s="24" t="s">
        <v>441</v>
      </c>
      <c r="B790" s="67">
        <v>44599.766666666699</v>
      </c>
      <c r="C790" s="24" t="s">
        <v>826</v>
      </c>
    </row>
    <row r="791" spans="1:3" ht="15.75" customHeight="1" x14ac:dyDescent="0.4">
      <c r="A791" s="24" t="s">
        <v>867</v>
      </c>
      <c r="B791" s="67">
        <v>44599.7631944444</v>
      </c>
      <c r="C791" s="68">
        <v>44757.864583333299</v>
      </c>
    </row>
    <row r="792" spans="1:3" ht="15.75" customHeight="1" x14ac:dyDescent="0.4">
      <c r="A792" s="24" t="s">
        <v>937</v>
      </c>
      <c r="B792" s="67">
        <v>44599.746527777803</v>
      </c>
      <c r="C792" s="24" t="s">
        <v>826</v>
      </c>
    </row>
    <row r="793" spans="1:3" ht="15.75" customHeight="1" x14ac:dyDescent="0.4">
      <c r="A793" s="24" t="s">
        <v>1162</v>
      </c>
      <c r="B793" s="67">
        <v>44599.745138888902</v>
      </c>
      <c r="C793" s="68">
        <v>44753.697222222203</v>
      </c>
    </row>
    <row r="794" spans="1:3" ht="15.75" customHeight="1" x14ac:dyDescent="0.4">
      <c r="A794" s="24" t="s">
        <v>922</v>
      </c>
      <c r="B794" s="67">
        <v>44599.741666666698</v>
      </c>
      <c r="C794" s="24" t="s">
        <v>826</v>
      </c>
    </row>
    <row r="795" spans="1:3" ht="15.75" customHeight="1" x14ac:dyDescent="0.4">
      <c r="A795" s="24" t="s">
        <v>1942</v>
      </c>
      <c r="B795" s="67">
        <v>44599.728472222203</v>
      </c>
      <c r="C795" s="68">
        <v>44760.775000000001</v>
      </c>
    </row>
    <row r="796" spans="1:3" ht="15.75" customHeight="1" x14ac:dyDescent="0.4">
      <c r="A796" s="24" t="s">
        <v>1327</v>
      </c>
      <c r="B796" s="67">
        <v>44599.724305555603</v>
      </c>
      <c r="C796" s="68">
        <v>44760.859722222202</v>
      </c>
    </row>
    <row r="797" spans="1:3" ht="15.75" customHeight="1" x14ac:dyDescent="0.4">
      <c r="A797" s="24" t="s">
        <v>1054</v>
      </c>
      <c r="B797" s="67">
        <v>44599.712500000001</v>
      </c>
      <c r="C797" s="69">
        <v>44749.570833333302</v>
      </c>
    </row>
    <row r="798" spans="1:3" ht="15.75" customHeight="1" x14ac:dyDescent="0.4">
      <c r="A798" s="24" t="s">
        <v>1271</v>
      </c>
      <c r="B798" s="67">
        <v>44599.698611111096</v>
      </c>
      <c r="C798" s="24" t="s">
        <v>826</v>
      </c>
    </row>
    <row r="799" spans="1:3" ht="15.75" customHeight="1" x14ac:dyDescent="0.4">
      <c r="A799" s="24" t="s">
        <v>1864</v>
      </c>
      <c r="B799" s="67">
        <v>44599.695833333302</v>
      </c>
      <c r="C799" s="68">
        <v>44760.445833333302</v>
      </c>
    </row>
    <row r="800" spans="1:3" ht="15.75" customHeight="1" x14ac:dyDescent="0.4">
      <c r="A800" s="24" t="s">
        <v>1518</v>
      </c>
      <c r="B800" s="67">
        <v>44599.6743055556</v>
      </c>
      <c r="C800" s="69">
        <v>44750.588194444397</v>
      </c>
    </row>
    <row r="801" spans="1:3" ht="15.75" customHeight="1" x14ac:dyDescent="0.4">
      <c r="A801" s="24" t="s">
        <v>2003</v>
      </c>
      <c r="B801" s="67">
        <v>44599.670138888898</v>
      </c>
      <c r="C801" s="69">
        <v>44748.792361111096</v>
      </c>
    </row>
    <row r="802" spans="1:3" ht="15.75" customHeight="1" x14ac:dyDescent="0.4">
      <c r="A802" s="24" t="s">
        <v>1617</v>
      </c>
      <c r="B802" s="67">
        <v>44599.663888888899</v>
      </c>
      <c r="C802" s="69">
        <v>44750.585416666698</v>
      </c>
    </row>
    <row r="803" spans="1:3" ht="15.75" customHeight="1" x14ac:dyDescent="0.4">
      <c r="A803" s="24" t="s">
        <v>2058</v>
      </c>
      <c r="B803" s="67">
        <v>44599.655555555597</v>
      </c>
      <c r="C803" s="68">
        <v>44758.5756944444</v>
      </c>
    </row>
    <row r="804" spans="1:3" ht="15.75" customHeight="1" x14ac:dyDescent="0.4">
      <c r="A804" s="24" t="s">
        <v>1852</v>
      </c>
      <c r="B804" s="67">
        <v>44599.652083333298</v>
      </c>
      <c r="C804" s="69">
        <v>44750.577777777798</v>
      </c>
    </row>
    <row r="805" spans="1:3" ht="15.75" customHeight="1" x14ac:dyDescent="0.4">
      <c r="A805" s="24" t="s">
        <v>1275</v>
      </c>
      <c r="B805" s="67">
        <v>44599.651388888902</v>
      </c>
      <c r="C805" s="68">
        <v>44760.695138888899</v>
      </c>
    </row>
    <row r="806" spans="1:3" ht="15.75" customHeight="1" x14ac:dyDescent="0.4">
      <c r="A806" s="24" t="s">
        <v>1804</v>
      </c>
      <c r="B806" s="67">
        <v>44599.6430555556</v>
      </c>
      <c r="C806" s="68">
        <v>44764.822222222203</v>
      </c>
    </row>
    <row r="807" spans="1:3" ht="15.75" customHeight="1" x14ac:dyDescent="0.4">
      <c r="A807" s="24" t="s">
        <v>1862</v>
      </c>
      <c r="B807" s="67">
        <v>44599.640972222202</v>
      </c>
      <c r="C807" s="69">
        <v>44747.535416666702</v>
      </c>
    </row>
    <row r="808" spans="1:3" ht="15.75" customHeight="1" x14ac:dyDescent="0.4">
      <c r="A808" s="24" t="s">
        <v>607</v>
      </c>
      <c r="B808" s="67">
        <v>44599.634722222203</v>
      </c>
      <c r="C808" s="24" t="s">
        <v>826</v>
      </c>
    </row>
    <row r="809" spans="1:3" ht="15.75" customHeight="1" x14ac:dyDescent="0.4">
      <c r="A809" s="24" t="s">
        <v>1821</v>
      </c>
      <c r="B809" s="67">
        <v>44599.631944444503</v>
      </c>
      <c r="C809" s="69">
        <v>44751.599305555603</v>
      </c>
    </row>
    <row r="810" spans="1:3" ht="15.75" customHeight="1" x14ac:dyDescent="0.4">
      <c r="A810" s="24" t="s">
        <v>1585</v>
      </c>
      <c r="B810" s="67">
        <v>44599.625694444498</v>
      </c>
      <c r="C810" s="68">
        <v>44765.612500000003</v>
      </c>
    </row>
    <row r="811" spans="1:3" ht="15.75" customHeight="1" x14ac:dyDescent="0.4">
      <c r="A811" s="24" t="s">
        <v>293</v>
      </c>
      <c r="B811" s="67">
        <v>44599.613888888904</v>
      </c>
      <c r="C811" s="68">
        <v>44762.851388888899</v>
      </c>
    </row>
    <row r="812" spans="1:3" ht="15.75" customHeight="1" x14ac:dyDescent="0.4">
      <c r="A812" s="24" t="s">
        <v>714</v>
      </c>
      <c r="B812" s="67">
        <v>44599.608333333301</v>
      </c>
      <c r="C812" s="68">
        <v>44757.824305555601</v>
      </c>
    </row>
    <row r="813" spans="1:3" ht="15.75" customHeight="1" x14ac:dyDescent="0.4">
      <c r="A813" s="24" t="s">
        <v>1793</v>
      </c>
      <c r="B813" s="67">
        <v>44599.6</v>
      </c>
      <c r="C813" s="69">
        <v>44750.661805555603</v>
      </c>
    </row>
    <row r="814" spans="1:3" ht="15.75" customHeight="1" x14ac:dyDescent="0.4">
      <c r="A814" s="24" t="s">
        <v>1683</v>
      </c>
      <c r="B814" s="67">
        <v>44599.596527777801</v>
      </c>
      <c r="C814" s="68">
        <v>44764.721527777801</v>
      </c>
    </row>
    <row r="815" spans="1:3" ht="15.75" customHeight="1" x14ac:dyDescent="0.4">
      <c r="A815" s="24" t="s">
        <v>1959</v>
      </c>
      <c r="B815" s="67">
        <v>44599.590277777803</v>
      </c>
      <c r="C815" s="69">
        <v>44745.870833333298</v>
      </c>
    </row>
    <row r="816" spans="1:3" ht="15.75" customHeight="1" x14ac:dyDescent="0.4">
      <c r="A816" s="24" t="s">
        <v>940</v>
      </c>
      <c r="B816" s="67">
        <v>44599.588194444397</v>
      </c>
      <c r="C816" s="68">
        <v>44766.543055555601</v>
      </c>
    </row>
    <row r="817" spans="1:3" ht="15.75" customHeight="1" x14ac:dyDescent="0.4">
      <c r="A817" s="24" t="s">
        <v>1253</v>
      </c>
      <c r="B817" s="67">
        <v>44599.579166666699</v>
      </c>
      <c r="C817" s="68">
        <v>44766.622916666704</v>
      </c>
    </row>
    <row r="818" spans="1:3" ht="15.75" customHeight="1" x14ac:dyDescent="0.4">
      <c r="A818" s="24" t="s">
        <v>237</v>
      </c>
      <c r="B818" s="67">
        <v>44599.577777777798</v>
      </c>
      <c r="C818" s="68">
        <v>44753.415972222203</v>
      </c>
    </row>
    <row r="819" spans="1:3" ht="15.75" customHeight="1" x14ac:dyDescent="0.4">
      <c r="A819" s="24" t="s">
        <v>1713</v>
      </c>
      <c r="B819" s="67">
        <v>44599.572222222203</v>
      </c>
      <c r="C819" s="68">
        <v>44763.479861111096</v>
      </c>
    </row>
    <row r="820" spans="1:3" ht="15.75" customHeight="1" x14ac:dyDescent="0.4">
      <c r="A820" s="24" t="s">
        <v>1526</v>
      </c>
      <c r="B820" s="67">
        <v>44599.554166666698</v>
      </c>
      <c r="C820" s="68">
        <v>44754.775000000001</v>
      </c>
    </row>
    <row r="821" spans="1:3" ht="15.75" customHeight="1" x14ac:dyDescent="0.4">
      <c r="A821" s="24" t="s">
        <v>1535</v>
      </c>
      <c r="B821" s="67">
        <v>44599.5534722222</v>
      </c>
      <c r="C821" s="68">
        <v>44753.661805555603</v>
      </c>
    </row>
    <row r="822" spans="1:3" ht="15.75" customHeight="1" x14ac:dyDescent="0.4">
      <c r="A822" s="24" t="s">
        <v>1064</v>
      </c>
      <c r="B822" s="67">
        <v>44599.548611111102</v>
      </c>
      <c r="C822" s="68">
        <v>44756.519444444399</v>
      </c>
    </row>
    <row r="823" spans="1:3" ht="15.75" customHeight="1" x14ac:dyDescent="0.4">
      <c r="A823" s="24" t="s">
        <v>809</v>
      </c>
      <c r="B823" s="67">
        <v>44599.547222222202</v>
      </c>
      <c r="C823" s="69">
        <v>44750.709027777797</v>
      </c>
    </row>
    <row r="824" spans="1:3" ht="15.75" customHeight="1" x14ac:dyDescent="0.4">
      <c r="A824" s="24" t="s">
        <v>1458</v>
      </c>
      <c r="B824" s="67">
        <v>44599.5402777778</v>
      </c>
      <c r="C824" s="68">
        <v>44763.561805555597</v>
      </c>
    </row>
    <row r="825" spans="1:3" ht="15.75" customHeight="1" x14ac:dyDescent="0.4">
      <c r="A825" s="24" t="s">
        <v>1693</v>
      </c>
      <c r="B825" s="67">
        <v>44599.536805555603</v>
      </c>
      <c r="C825" s="68">
        <v>44753.493750000001</v>
      </c>
    </row>
    <row r="826" spans="1:3" ht="15.75" customHeight="1" x14ac:dyDescent="0.4">
      <c r="A826" s="24" t="s">
        <v>2154</v>
      </c>
      <c r="B826" s="67">
        <v>44599.522916666698</v>
      </c>
      <c r="C826" s="69">
        <v>44749.806250000001</v>
      </c>
    </row>
    <row r="827" spans="1:3" ht="15.75" customHeight="1" x14ac:dyDescent="0.4">
      <c r="A827" s="24" t="s">
        <v>1932</v>
      </c>
      <c r="B827" s="67">
        <v>44599.5180555556</v>
      </c>
      <c r="C827" s="69">
        <v>44751.721527777801</v>
      </c>
    </row>
    <row r="828" spans="1:3" ht="15.75" customHeight="1" x14ac:dyDescent="0.4">
      <c r="A828" s="24" t="s">
        <v>716</v>
      </c>
      <c r="B828" s="67">
        <v>44599.512499999997</v>
      </c>
      <c r="C828" s="69">
        <v>44744.840277777803</v>
      </c>
    </row>
    <row r="829" spans="1:3" ht="15.75" customHeight="1" x14ac:dyDescent="0.4">
      <c r="A829" s="24" t="s">
        <v>485</v>
      </c>
      <c r="B829" s="67">
        <v>44599.505555555603</v>
      </c>
      <c r="C829" s="69">
        <v>44749.664583333302</v>
      </c>
    </row>
    <row r="830" spans="1:3" ht="15.75" customHeight="1" x14ac:dyDescent="0.4">
      <c r="A830" s="24" t="s">
        <v>1244</v>
      </c>
      <c r="B830" s="67">
        <v>44599.502777777801</v>
      </c>
      <c r="C830" s="69">
        <v>44749.572916666701</v>
      </c>
    </row>
    <row r="831" spans="1:3" ht="15.75" customHeight="1" x14ac:dyDescent="0.4">
      <c r="A831" s="24" t="s">
        <v>1378</v>
      </c>
      <c r="B831" s="67">
        <v>44599.499305555597</v>
      </c>
      <c r="C831" s="69">
        <v>44749.738194444399</v>
      </c>
    </row>
    <row r="832" spans="1:3" ht="15.75" customHeight="1" x14ac:dyDescent="0.4">
      <c r="A832" s="24" t="s">
        <v>1934</v>
      </c>
      <c r="B832" s="67">
        <v>44599.4909722222</v>
      </c>
      <c r="C832" s="68">
        <v>44757.697222222203</v>
      </c>
    </row>
    <row r="833" spans="1:3" ht="15.75" customHeight="1" x14ac:dyDescent="0.4">
      <c r="A833" s="24" t="s">
        <v>631</v>
      </c>
      <c r="B833" s="67">
        <v>44599.477083333302</v>
      </c>
      <c r="C833" s="69">
        <v>44745.538888888899</v>
      </c>
    </row>
    <row r="834" spans="1:3" ht="15.75" customHeight="1" x14ac:dyDescent="0.4">
      <c r="A834" s="24" t="s">
        <v>2158</v>
      </c>
      <c r="B834" s="67">
        <v>44599.476388888899</v>
      </c>
      <c r="C834" s="69">
        <v>44749.713888888902</v>
      </c>
    </row>
    <row r="835" spans="1:3" ht="15.75" customHeight="1" x14ac:dyDescent="0.4">
      <c r="A835" s="24" t="s">
        <v>1367</v>
      </c>
      <c r="B835" s="67">
        <v>44599.466666666704</v>
      </c>
      <c r="C835" s="69">
        <v>44745.5715277778</v>
      </c>
    </row>
    <row r="836" spans="1:3" ht="15.75" customHeight="1" x14ac:dyDescent="0.4">
      <c r="A836" s="24" t="s">
        <v>1515</v>
      </c>
      <c r="B836" s="67">
        <v>44599.454861111102</v>
      </c>
      <c r="C836" s="69">
        <v>44751.504861111098</v>
      </c>
    </row>
    <row r="837" spans="1:3" ht="15.75" customHeight="1" x14ac:dyDescent="0.4">
      <c r="A837" s="24" t="s">
        <v>1895</v>
      </c>
      <c r="B837" s="67">
        <v>44599.447916666701</v>
      </c>
      <c r="C837" s="68">
        <v>44765.767361111102</v>
      </c>
    </row>
    <row r="838" spans="1:3" ht="15.75" customHeight="1" x14ac:dyDescent="0.4">
      <c r="A838" s="24" t="s">
        <v>1396</v>
      </c>
      <c r="B838" s="67">
        <v>44599.425000000003</v>
      </c>
      <c r="C838" s="69">
        <v>44750.872222222199</v>
      </c>
    </row>
    <row r="839" spans="1:3" ht="15.75" customHeight="1" x14ac:dyDescent="0.4">
      <c r="A839" s="24" t="s">
        <v>1413</v>
      </c>
      <c r="B839" s="67">
        <v>44599.403472222199</v>
      </c>
      <c r="C839" s="69">
        <v>44748.7368055556</v>
      </c>
    </row>
    <row r="840" spans="1:3" ht="15.75" customHeight="1" x14ac:dyDescent="0.4">
      <c r="A840" s="24" t="s">
        <v>1071</v>
      </c>
      <c r="B840" s="67">
        <v>44568.979166666701</v>
      </c>
      <c r="C840" s="69">
        <v>44749.625</v>
      </c>
    </row>
    <row r="841" spans="1:3" ht="15.75" customHeight="1" x14ac:dyDescent="0.4">
      <c r="A841" s="24" t="s">
        <v>1094</v>
      </c>
      <c r="B841" s="67">
        <v>44568.956250000003</v>
      </c>
      <c r="C841" s="68">
        <v>44754.867361111101</v>
      </c>
    </row>
    <row r="842" spans="1:3" ht="15.75" customHeight="1" x14ac:dyDescent="0.4">
      <c r="A842" s="24" t="s">
        <v>1192</v>
      </c>
      <c r="B842" s="67">
        <v>44568.9465277778</v>
      </c>
      <c r="C842" s="68">
        <v>44759.745138888902</v>
      </c>
    </row>
    <row r="843" spans="1:3" ht="15.75" customHeight="1" x14ac:dyDescent="0.4">
      <c r="A843" s="24" t="s">
        <v>1401</v>
      </c>
      <c r="B843" s="67">
        <v>44568.939583333296</v>
      </c>
      <c r="C843" s="68">
        <v>44766.766666666699</v>
      </c>
    </row>
    <row r="844" spans="1:3" ht="15.75" customHeight="1" x14ac:dyDescent="0.4">
      <c r="A844" s="24" t="s">
        <v>1218</v>
      </c>
      <c r="B844" s="67">
        <v>44568.936805555597</v>
      </c>
      <c r="C844" s="24" t="s">
        <v>826</v>
      </c>
    </row>
    <row r="845" spans="1:3" ht="15.75" customHeight="1" x14ac:dyDescent="0.4">
      <c r="A845" s="24" t="s">
        <v>2017</v>
      </c>
      <c r="B845" s="67">
        <v>44568.9284722222</v>
      </c>
      <c r="C845" s="69">
        <v>44745.583333333299</v>
      </c>
    </row>
    <row r="846" spans="1:3" ht="15.75" customHeight="1" x14ac:dyDescent="0.4">
      <c r="A846" s="24" t="s">
        <v>1629</v>
      </c>
      <c r="B846" s="67">
        <v>44568.926388888904</v>
      </c>
      <c r="C846" s="69">
        <v>44748.793055555601</v>
      </c>
    </row>
    <row r="847" spans="1:3" ht="15.75" customHeight="1" x14ac:dyDescent="0.4">
      <c r="A847" s="24" t="s">
        <v>2046</v>
      </c>
      <c r="B847" s="67">
        <v>44568.918749999997</v>
      </c>
      <c r="C847" s="68">
        <v>44752.625</v>
      </c>
    </row>
    <row r="848" spans="1:3" ht="15.75" customHeight="1" x14ac:dyDescent="0.4">
      <c r="A848" s="24" t="s">
        <v>1739</v>
      </c>
      <c r="B848" s="67">
        <v>44568.914583333302</v>
      </c>
      <c r="C848" s="69">
        <v>44748.588888888902</v>
      </c>
    </row>
    <row r="849" spans="1:3" ht="15.75" customHeight="1" x14ac:dyDescent="0.4">
      <c r="A849" s="24" t="s">
        <v>1356</v>
      </c>
      <c r="B849" s="67">
        <v>44568.903472222199</v>
      </c>
      <c r="C849" s="69">
        <v>44748.715277777803</v>
      </c>
    </row>
    <row r="850" spans="1:3" ht="15.75" customHeight="1" x14ac:dyDescent="0.4">
      <c r="A850" s="24" t="s">
        <v>611</v>
      </c>
      <c r="B850" s="67">
        <v>44568.891666666699</v>
      </c>
      <c r="C850" s="24" t="s">
        <v>826</v>
      </c>
    </row>
    <row r="851" spans="1:3" ht="15.75" customHeight="1" x14ac:dyDescent="0.4">
      <c r="A851" s="24" t="s">
        <v>1232</v>
      </c>
      <c r="B851" s="67">
        <v>44568.890972222202</v>
      </c>
      <c r="C851" s="69">
        <v>44749.493055555598</v>
      </c>
    </row>
    <row r="852" spans="1:3" ht="15.75" customHeight="1" x14ac:dyDescent="0.4">
      <c r="A852" s="24" t="s">
        <v>1173</v>
      </c>
      <c r="B852" s="67">
        <v>44568.889583333301</v>
      </c>
      <c r="C852" s="69">
        <v>44749.592361111099</v>
      </c>
    </row>
    <row r="853" spans="1:3" ht="15.75" customHeight="1" x14ac:dyDescent="0.4">
      <c r="A853" s="24" t="s">
        <v>1482</v>
      </c>
      <c r="B853" s="67">
        <v>44568.885416666701</v>
      </c>
      <c r="C853" s="69">
        <v>44748.836805555598</v>
      </c>
    </row>
    <row r="854" spans="1:3" ht="15.75" customHeight="1" x14ac:dyDescent="0.4">
      <c r="A854" s="24" t="s">
        <v>2019</v>
      </c>
      <c r="B854" s="67">
        <v>44568.879861111098</v>
      </c>
      <c r="C854" s="69">
        <v>44745.722222222197</v>
      </c>
    </row>
    <row r="855" spans="1:3" ht="15.75" customHeight="1" x14ac:dyDescent="0.4">
      <c r="A855" s="24" t="s">
        <v>1139</v>
      </c>
      <c r="B855" s="67">
        <v>44568.872222222199</v>
      </c>
      <c r="C855" s="69">
        <v>44751.607638888898</v>
      </c>
    </row>
    <row r="856" spans="1:3" ht="15.75" customHeight="1" x14ac:dyDescent="0.4">
      <c r="A856" s="24" t="s">
        <v>1466</v>
      </c>
      <c r="B856" s="67">
        <v>44568.871527777803</v>
      </c>
      <c r="C856" s="69">
        <v>44751.576388888898</v>
      </c>
    </row>
    <row r="857" spans="1:3" ht="15.75" customHeight="1" x14ac:dyDescent="0.4">
      <c r="A857" s="24" t="s">
        <v>1704</v>
      </c>
      <c r="B857" s="67">
        <v>44568.870833333298</v>
      </c>
      <c r="C857" s="68">
        <v>44762.688194444498</v>
      </c>
    </row>
    <row r="858" spans="1:3" ht="15.75" customHeight="1" x14ac:dyDescent="0.4">
      <c r="A858" s="24" t="s">
        <v>1529</v>
      </c>
      <c r="B858" s="67">
        <v>44568.862500000003</v>
      </c>
      <c r="C858" s="24" t="s">
        <v>826</v>
      </c>
    </row>
    <row r="859" spans="1:3" ht="15.75" customHeight="1" x14ac:dyDescent="0.4">
      <c r="A859" s="24" t="s">
        <v>1434</v>
      </c>
      <c r="B859" s="67">
        <v>44568.858333333301</v>
      </c>
      <c r="C859" s="68">
        <v>44760.561805555597</v>
      </c>
    </row>
    <row r="860" spans="1:3" ht="15.75" customHeight="1" x14ac:dyDescent="0.4">
      <c r="A860" s="24" t="s">
        <v>959</v>
      </c>
      <c r="B860" s="67">
        <v>44568.854166666701</v>
      </c>
      <c r="C860" s="69">
        <v>44751.536111111098</v>
      </c>
    </row>
    <row r="861" spans="1:3" ht="15.75" customHeight="1" x14ac:dyDescent="0.4">
      <c r="A861" s="24" t="s">
        <v>1814</v>
      </c>
      <c r="B861" s="67">
        <v>44568.849305555603</v>
      </c>
      <c r="C861" s="69">
        <v>44749.788888888899</v>
      </c>
    </row>
    <row r="862" spans="1:3" ht="15.75" customHeight="1" x14ac:dyDescent="0.4">
      <c r="A862" s="24" t="s">
        <v>2062</v>
      </c>
      <c r="B862" s="67">
        <v>44568.849305555603</v>
      </c>
      <c r="C862" s="68">
        <v>44766.5222222222</v>
      </c>
    </row>
    <row r="863" spans="1:3" ht="15.75" customHeight="1" x14ac:dyDescent="0.4">
      <c r="A863" s="24" t="s">
        <v>915</v>
      </c>
      <c r="B863" s="67">
        <v>44568.846527777801</v>
      </c>
      <c r="C863" s="69">
        <v>44750.604861111096</v>
      </c>
    </row>
    <row r="864" spans="1:3" ht="15.75" customHeight="1" x14ac:dyDescent="0.4">
      <c r="A864" s="24" t="s">
        <v>619</v>
      </c>
      <c r="B864" s="67">
        <v>44568.844444444498</v>
      </c>
      <c r="C864" s="69">
        <v>44749.4243055556</v>
      </c>
    </row>
    <row r="865" spans="1:3" ht="15.75" customHeight="1" x14ac:dyDescent="0.4">
      <c r="A865" s="24" t="s">
        <v>369</v>
      </c>
      <c r="B865" s="67">
        <v>44568.837500000001</v>
      </c>
      <c r="C865" s="69">
        <v>44745.711111111101</v>
      </c>
    </row>
    <row r="866" spans="1:3" ht="15.75" customHeight="1" x14ac:dyDescent="0.4">
      <c r="A866" s="24" t="s">
        <v>422</v>
      </c>
      <c r="B866" s="67">
        <v>44568.834027777797</v>
      </c>
      <c r="C866" s="69">
        <v>44748.715277777803</v>
      </c>
    </row>
    <row r="867" spans="1:3" ht="15.75" customHeight="1" x14ac:dyDescent="0.4">
      <c r="A867" s="24" t="s">
        <v>1822</v>
      </c>
      <c r="B867" s="67">
        <v>44568.8305555556</v>
      </c>
      <c r="C867" s="69">
        <v>44748.545833333301</v>
      </c>
    </row>
    <row r="868" spans="1:3" ht="15.75" customHeight="1" x14ac:dyDescent="0.4">
      <c r="A868" s="24" t="s">
        <v>1581</v>
      </c>
      <c r="B868" s="67">
        <v>44568.822916666701</v>
      </c>
      <c r="C868" s="69">
        <v>44745.710416666698</v>
      </c>
    </row>
    <row r="869" spans="1:3" ht="15.75" customHeight="1" x14ac:dyDescent="0.4">
      <c r="A869" s="24" t="s">
        <v>1557</v>
      </c>
      <c r="B869" s="67">
        <v>44568.8125</v>
      </c>
      <c r="C869" s="69">
        <v>44749.855555555601</v>
      </c>
    </row>
    <row r="870" spans="1:3" ht="15.75" customHeight="1" x14ac:dyDescent="0.4">
      <c r="A870" s="24" t="s">
        <v>1884</v>
      </c>
      <c r="B870" s="67">
        <v>44568.811805555597</v>
      </c>
      <c r="C870" s="69">
        <v>44749.791666666701</v>
      </c>
    </row>
    <row r="871" spans="1:3" ht="15.75" customHeight="1" x14ac:dyDescent="0.4">
      <c r="A871" s="24" t="s">
        <v>473</v>
      </c>
      <c r="B871" s="67">
        <v>44568.809722222199</v>
      </c>
      <c r="C871" s="24" t="s">
        <v>826</v>
      </c>
    </row>
    <row r="872" spans="1:3" ht="15.75" customHeight="1" x14ac:dyDescent="0.4">
      <c r="A872" s="24" t="s">
        <v>1287</v>
      </c>
      <c r="B872" s="67">
        <v>44568.809027777803</v>
      </c>
      <c r="C872" s="69">
        <v>44750.789583333302</v>
      </c>
    </row>
    <row r="873" spans="1:3" ht="15.75" customHeight="1" x14ac:dyDescent="0.4">
      <c r="A873" s="24" t="s">
        <v>1718</v>
      </c>
      <c r="B873" s="67">
        <v>44568.8034722222</v>
      </c>
      <c r="C873" s="69">
        <v>44749.620833333298</v>
      </c>
    </row>
    <row r="874" spans="1:3" ht="15.75" customHeight="1" x14ac:dyDescent="0.4">
      <c r="A874" s="24" t="s">
        <v>2028</v>
      </c>
      <c r="B874" s="67">
        <v>44568.795833333301</v>
      </c>
      <c r="C874" s="69">
        <v>44746.695138888899</v>
      </c>
    </row>
    <row r="875" spans="1:3" ht="15.75" customHeight="1" x14ac:dyDescent="0.4">
      <c r="A875" s="24" t="s">
        <v>1027</v>
      </c>
      <c r="B875" s="67">
        <v>44568.781944444498</v>
      </c>
      <c r="C875" s="24" t="s">
        <v>826</v>
      </c>
    </row>
    <row r="876" spans="1:3" ht="15.75" customHeight="1" x14ac:dyDescent="0.4">
      <c r="A876" s="24" t="s">
        <v>1570</v>
      </c>
      <c r="B876" s="67">
        <v>44568.778472222199</v>
      </c>
      <c r="C876" s="68">
        <v>44754.4152777778</v>
      </c>
    </row>
    <row r="877" spans="1:3" ht="15.75" customHeight="1" x14ac:dyDescent="0.4">
      <c r="A877" s="24" t="s">
        <v>1955</v>
      </c>
      <c r="B877" s="67">
        <v>44568.7409722222</v>
      </c>
      <c r="C877" s="69">
        <v>44744.675000000003</v>
      </c>
    </row>
    <row r="878" spans="1:3" ht="15.75" customHeight="1" x14ac:dyDescent="0.4">
      <c r="A878" s="24" t="s">
        <v>981</v>
      </c>
      <c r="B878" s="67">
        <v>44568.733333333301</v>
      </c>
      <c r="C878" s="69">
        <v>44748.65625</v>
      </c>
    </row>
    <row r="879" spans="1:3" ht="15.75" customHeight="1" x14ac:dyDescent="0.4">
      <c r="A879" s="24" t="s">
        <v>364</v>
      </c>
      <c r="B879" s="67">
        <v>44568.730555555601</v>
      </c>
      <c r="C879" s="69">
        <v>44744.730555555601</v>
      </c>
    </row>
    <row r="880" spans="1:3" ht="15.75" customHeight="1" x14ac:dyDescent="0.4">
      <c r="A880" s="24" t="s">
        <v>1923</v>
      </c>
      <c r="B880" s="67">
        <v>44568.7277777778</v>
      </c>
      <c r="C880" s="69">
        <v>44745.534027777801</v>
      </c>
    </row>
    <row r="881" spans="1:3" ht="15.75" customHeight="1" x14ac:dyDescent="0.4">
      <c r="A881" s="24" t="s">
        <v>1977</v>
      </c>
      <c r="B881" s="67">
        <v>44568.715277777803</v>
      </c>
      <c r="C881" s="69">
        <v>44745.581944444399</v>
      </c>
    </row>
    <row r="882" spans="1:3" ht="15.75" customHeight="1" x14ac:dyDescent="0.4">
      <c r="A882" s="24" t="s">
        <v>1480</v>
      </c>
      <c r="B882" s="67">
        <v>44568.711805555598</v>
      </c>
      <c r="C882" s="69">
        <v>44744.892361111102</v>
      </c>
    </row>
    <row r="883" spans="1:3" ht="15.75" customHeight="1" x14ac:dyDescent="0.4">
      <c r="A883" s="24" t="s">
        <v>1006</v>
      </c>
      <c r="B883" s="67">
        <v>44568.677777777797</v>
      </c>
      <c r="C883" s="69">
        <v>44745.815972222197</v>
      </c>
    </row>
    <row r="884" spans="1:3" ht="15.75" customHeight="1" x14ac:dyDescent="0.4">
      <c r="A884" s="24" t="s">
        <v>728</v>
      </c>
      <c r="B884" s="67">
        <v>44568.6743055556</v>
      </c>
      <c r="C884" s="69">
        <v>44747.701388888898</v>
      </c>
    </row>
    <row r="885" spans="1:3" ht="15.75" customHeight="1" x14ac:dyDescent="0.4">
      <c r="A885" s="24" t="s">
        <v>1666</v>
      </c>
      <c r="B885" s="67">
        <v>44568.673611111102</v>
      </c>
      <c r="C885" s="69">
        <v>44747.612500000003</v>
      </c>
    </row>
    <row r="886" spans="1:3" ht="15.75" customHeight="1" x14ac:dyDescent="0.4">
      <c r="A886" s="24" t="s">
        <v>411</v>
      </c>
      <c r="B886" s="67">
        <v>44568.671527777798</v>
      </c>
      <c r="C886" s="69">
        <v>44744.7097222222</v>
      </c>
    </row>
    <row r="887" spans="1:3" ht="15.75" customHeight="1" x14ac:dyDescent="0.4">
      <c r="A887" s="24" t="s">
        <v>1124</v>
      </c>
      <c r="B887" s="67">
        <v>44568.6694444444</v>
      </c>
      <c r="C887" s="69">
        <v>44749.604861111096</v>
      </c>
    </row>
    <row r="888" spans="1:3" ht="15.75" customHeight="1" x14ac:dyDescent="0.4">
      <c r="A888" s="24" t="s">
        <v>1501</v>
      </c>
      <c r="B888" s="67">
        <v>44568.668055555601</v>
      </c>
      <c r="C888" s="24" t="s">
        <v>826</v>
      </c>
    </row>
    <row r="889" spans="1:3" ht="15.75" customHeight="1" x14ac:dyDescent="0.4">
      <c r="A889" s="24" t="s">
        <v>1137</v>
      </c>
      <c r="B889" s="67">
        <v>44568.665972222203</v>
      </c>
      <c r="C889" s="69">
        <v>44747.570138888899</v>
      </c>
    </row>
    <row r="890" spans="1:3" ht="15.75" customHeight="1" x14ac:dyDescent="0.4">
      <c r="A890" s="24" t="s">
        <v>2031</v>
      </c>
      <c r="B890" s="67">
        <v>44568.663194444503</v>
      </c>
      <c r="C890" s="69">
        <v>44745.488194444399</v>
      </c>
    </row>
    <row r="891" spans="1:3" ht="15.75" customHeight="1" x14ac:dyDescent="0.4">
      <c r="A891" s="24" t="s">
        <v>963</v>
      </c>
      <c r="B891" s="67">
        <v>44568.659027777801</v>
      </c>
      <c r="C891" s="69">
        <v>44745.690972222197</v>
      </c>
    </row>
    <row r="892" spans="1:3" ht="15.75" customHeight="1" x14ac:dyDescent="0.4">
      <c r="A892" s="24" t="s">
        <v>1388</v>
      </c>
      <c r="B892" s="67">
        <v>44568.653472222199</v>
      </c>
      <c r="C892" s="69">
        <v>44745.644444444399</v>
      </c>
    </row>
    <row r="893" spans="1:3" ht="15.75" customHeight="1" x14ac:dyDescent="0.4">
      <c r="A893" s="24" t="s">
        <v>2066</v>
      </c>
      <c r="B893" s="67">
        <v>44568.652777777803</v>
      </c>
      <c r="C893" s="69">
        <v>44747.734027777798</v>
      </c>
    </row>
    <row r="894" spans="1:3" ht="15.75" customHeight="1" x14ac:dyDescent="0.4">
      <c r="A894" s="24" t="s">
        <v>1799</v>
      </c>
      <c r="B894" s="67">
        <v>44568.642361111102</v>
      </c>
      <c r="C894" s="69">
        <v>44743.832638888904</v>
      </c>
    </row>
    <row r="895" spans="1:3" ht="15.75" customHeight="1" x14ac:dyDescent="0.4">
      <c r="A895" s="24" t="s">
        <v>994</v>
      </c>
      <c r="B895" s="67">
        <v>44568.630555555603</v>
      </c>
      <c r="C895" s="24" t="s">
        <v>826</v>
      </c>
    </row>
    <row r="896" spans="1:3" ht="15.75" customHeight="1" x14ac:dyDescent="0.4">
      <c r="A896" s="24" t="s">
        <v>1450</v>
      </c>
      <c r="B896" s="67">
        <v>44568.628472222197</v>
      </c>
      <c r="C896" s="69">
        <v>44749.724999999999</v>
      </c>
    </row>
    <row r="897" spans="1:3" ht="15.75" customHeight="1" x14ac:dyDescent="0.4">
      <c r="A897" s="24" t="s">
        <v>1180</v>
      </c>
      <c r="B897" s="67">
        <v>44568.615277777797</v>
      </c>
      <c r="C897" s="68">
        <v>44761.595138888901</v>
      </c>
    </row>
    <row r="898" spans="1:3" ht="15.75" customHeight="1" x14ac:dyDescent="0.4">
      <c r="A898" s="24" t="s">
        <v>928</v>
      </c>
      <c r="B898" s="67">
        <v>44568.6118055556</v>
      </c>
      <c r="C898" s="68">
        <v>44759.604166666701</v>
      </c>
    </row>
    <row r="899" spans="1:3" ht="15.75" customHeight="1" x14ac:dyDescent="0.4">
      <c r="A899" s="24" t="s">
        <v>1541</v>
      </c>
      <c r="B899" s="67">
        <v>44568.604861111096</v>
      </c>
      <c r="C899" s="69">
        <v>44750.699305555601</v>
      </c>
    </row>
    <row r="900" spans="1:3" ht="15.75" customHeight="1" x14ac:dyDescent="0.4">
      <c r="A900" s="24" t="s">
        <v>860</v>
      </c>
      <c r="B900" s="67">
        <v>44568.588194444397</v>
      </c>
      <c r="C900" s="69">
        <v>44749.350694444503</v>
      </c>
    </row>
    <row r="901" spans="1:3" ht="15.75" customHeight="1" x14ac:dyDescent="0.4">
      <c r="A901" s="24" t="s">
        <v>1225</v>
      </c>
      <c r="B901" s="67">
        <v>44568.559722222199</v>
      </c>
      <c r="C901" s="69">
        <v>44750.702777777798</v>
      </c>
    </row>
    <row r="902" spans="1:3" ht="15.75" customHeight="1" x14ac:dyDescent="0.4">
      <c r="A902" s="24" t="s">
        <v>898</v>
      </c>
      <c r="B902" s="67">
        <v>44568.556944444397</v>
      </c>
      <c r="C902" s="69">
        <v>44744.734027777798</v>
      </c>
    </row>
    <row r="903" spans="1:3" ht="15.75" customHeight="1" x14ac:dyDescent="0.4">
      <c r="A903" s="24" t="s">
        <v>1706</v>
      </c>
      <c r="B903" s="67">
        <v>44568.547916666699</v>
      </c>
      <c r="C903" s="69">
        <v>44748.911111111098</v>
      </c>
    </row>
    <row r="904" spans="1:3" ht="15.75" customHeight="1" x14ac:dyDescent="0.4">
      <c r="A904" s="24" t="s">
        <v>907</v>
      </c>
      <c r="B904" s="67">
        <v>44568.529861111099</v>
      </c>
      <c r="C904" s="69">
        <v>44743.736111111102</v>
      </c>
    </row>
    <row r="905" spans="1:3" ht="15.75" customHeight="1" x14ac:dyDescent="0.4">
      <c r="A905" s="24" t="s">
        <v>710</v>
      </c>
      <c r="B905" s="67">
        <v>44568.527083333298</v>
      </c>
      <c r="C905" s="69">
        <v>44745.8618055556</v>
      </c>
    </row>
    <row r="906" spans="1:3" ht="15.75" customHeight="1" x14ac:dyDescent="0.4">
      <c r="A906" s="24" t="s">
        <v>1544</v>
      </c>
      <c r="B906" s="67">
        <v>44568.5222222222</v>
      </c>
      <c r="C906" s="69">
        <v>44748.733333333301</v>
      </c>
    </row>
    <row r="907" spans="1:3" ht="15.75" customHeight="1" x14ac:dyDescent="0.4">
      <c r="A907" s="24" t="s">
        <v>1395</v>
      </c>
      <c r="B907" s="67">
        <v>44568.520138888904</v>
      </c>
      <c r="C907" s="69">
        <v>44750.786111111098</v>
      </c>
    </row>
    <row r="908" spans="1:3" ht="15.75" customHeight="1" x14ac:dyDescent="0.4">
      <c r="A908" s="24" t="s">
        <v>2038</v>
      </c>
      <c r="B908" s="67">
        <v>44568.511111111096</v>
      </c>
      <c r="C908" s="24" t="s">
        <v>826</v>
      </c>
    </row>
    <row r="909" spans="1:3" ht="15.75" customHeight="1" x14ac:dyDescent="0.4">
      <c r="A909" s="24" t="s">
        <v>1041</v>
      </c>
      <c r="B909" s="67">
        <v>44568.5</v>
      </c>
      <c r="C909" s="69">
        <v>44743.863194444399</v>
      </c>
    </row>
    <row r="910" spans="1:3" ht="15.75" customHeight="1" x14ac:dyDescent="0.4">
      <c r="A910" s="24" t="s">
        <v>1358</v>
      </c>
      <c r="B910" s="67">
        <v>44568.499305555597</v>
      </c>
      <c r="C910" s="68">
        <v>44754.438194444498</v>
      </c>
    </row>
    <row r="911" spans="1:3" ht="15.75" customHeight="1" x14ac:dyDescent="0.4">
      <c r="A911" s="24" t="s">
        <v>1023</v>
      </c>
      <c r="B911" s="67">
        <v>44568.497222222199</v>
      </c>
      <c r="C911" s="69">
        <v>44749.3972222222</v>
      </c>
    </row>
    <row r="912" spans="1:3" ht="15.75" customHeight="1" x14ac:dyDescent="0.4">
      <c r="A912" s="24" t="s">
        <v>1614</v>
      </c>
      <c r="B912" s="67">
        <v>44568.495833333298</v>
      </c>
      <c r="C912" s="68">
        <v>44752.829861111102</v>
      </c>
    </row>
    <row r="913" spans="1:3" ht="15.75" customHeight="1" x14ac:dyDescent="0.4">
      <c r="A913" s="24" t="s">
        <v>1143</v>
      </c>
      <c r="B913" s="67">
        <v>44568.488888888904</v>
      </c>
      <c r="C913" s="69">
        <v>44748.903472222199</v>
      </c>
    </row>
    <row r="914" spans="1:3" ht="15.75" customHeight="1" x14ac:dyDescent="0.4">
      <c r="A914" s="24" t="s">
        <v>1114</v>
      </c>
      <c r="B914" s="67">
        <v>44568.477083333302</v>
      </c>
      <c r="C914" s="68">
        <v>44754.463888888902</v>
      </c>
    </row>
    <row r="915" spans="1:3" ht="15.75" customHeight="1" x14ac:dyDescent="0.4">
      <c r="A915" s="24" t="s">
        <v>1135</v>
      </c>
      <c r="B915" s="67">
        <v>44568.476388888899</v>
      </c>
      <c r="C915" s="69">
        <v>44747.599305555603</v>
      </c>
    </row>
    <row r="916" spans="1:3" ht="15.75" customHeight="1" x14ac:dyDescent="0.4">
      <c r="A916" s="24" t="s">
        <v>2136</v>
      </c>
      <c r="B916" s="67">
        <v>44568.474999999999</v>
      </c>
      <c r="C916" s="69">
        <v>44746.769444444399</v>
      </c>
    </row>
    <row r="917" spans="1:3" ht="15.75" customHeight="1" x14ac:dyDescent="0.4">
      <c r="A917" s="24" t="s">
        <v>1805</v>
      </c>
      <c r="B917" s="67">
        <v>44568.465277777803</v>
      </c>
      <c r="C917" s="69">
        <v>44747.641666666699</v>
      </c>
    </row>
    <row r="918" spans="1:3" ht="15.75" customHeight="1" x14ac:dyDescent="0.4">
      <c r="A918" s="24" t="s">
        <v>1649</v>
      </c>
      <c r="B918" s="67">
        <v>44568.454166666699</v>
      </c>
      <c r="C918" s="69">
        <v>44746.565972222197</v>
      </c>
    </row>
    <row r="919" spans="1:3" ht="15.75" customHeight="1" x14ac:dyDescent="0.4">
      <c r="A919" s="24" t="s">
        <v>995</v>
      </c>
      <c r="B919" s="67">
        <v>44568.443749999999</v>
      </c>
      <c r="C919" s="69">
        <v>44746.738194444399</v>
      </c>
    </row>
    <row r="920" spans="1:3" ht="15.75" customHeight="1" x14ac:dyDescent="0.4">
      <c r="A920" s="24" t="s">
        <v>2099</v>
      </c>
      <c r="B920" s="67">
        <v>44568.443749999999</v>
      </c>
      <c r="C920" s="69">
        <v>44743.680555555598</v>
      </c>
    </row>
    <row r="921" spans="1:3" ht="15.75" customHeight="1" x14ac:dyDescent="0.4">
      <c r="A921" s="24" t="s">
        <v>1627</v>
      </c>
      <c r="B921" s="67">
        <v>44568.4375</v>
      </c>
      <c r="C921" s="68">
        <v>44757.6652777778</v>
      </c>
    </row>
    <row r="922" spans="1:3" ht="15.75" customHeight="1" x14ac:dyDescent="0.4">
      <c r="A922" s="24" t="s">
        <v>649</v>
      </c>
      <c r="B922" s="67">
        <v>44568.434027777803</v>
      </c>
      <c r="C922" s="69">
        <v>44747.729166666701</v>
      </c>
    </row>
    <row r="923" spans="1:3" ht="15.75" customHeight="1" x14ac:dyDescent="0.4">
      <c r="A923" s="24" t="s">
        <v>1858</v>
      </c>
      <c r="B923" s="67">
        <v>44568.431944444397</v>
      </c>
      <c r="C923" s="69">
        <v>44751.810416666704</v>
      </c>
    </row>
    <row r="924" spans="1:3" ht="15.75" customHeight="1" x14ac:dyDescent="0.4">
      <c r="A924" s="24" t="s">
        <v>595</v>
      </c>
      <c r="B924" s="67">
        <v>44568.431944444397</v>
      </c>
      <c r="C924" s="69">
        <v>44749.6430555556</v>
      </c>
    </row>
    <row r="925" spans="1:3" ht="15.75" customHeight="1" x14ac:dyDescent="0.4">
      <c r="A925" s="24" t="s">
        <v>997</v>
      </c>
      <c r="B925" s="67">
        <v>44568.421527777798</v>
      </c>
      <c r="C925" s="24" t="s">
        <v>826</v>
      </c>
    </row>
    <row r="926" spans="1:3" ht="15.75" customHeight="1" x14ac:dyDescent="0.4">
      <c r="A926" s="24" t="s">
        <v>409</v>
      </c>
      <c r="B926" s="67">
        <v>44568.006944444503</v>
      </c>
      <c r="C926" s="68">
        <v>44756.765972222202</v>
      </c>
    </row>
    <row r="927" spans="1:3" ht="15.75" customHeight="1" x14ac:dyDescent="0.4">
      <c r="A927" s="24" t="s">
        <v>762</v>
      </c>
      <c r="B927" s="24" t="s">
        <v>2202</v>
      </c>
      <c r="C927" s="69">
        <v>44749.721527777801</v>
      </c>
    </row>
    <row r="928" spans="1:3" ht="15.75" customHeight="1" x14ac:dyDescent="0.4">
      <c r="A928" s="24" t="s">
        <v>918</v>
      </c>
      <c r="B928" s="24" t="s">
        <v>2203</v>
      </c>
      <c r="C928" s="69">
        <v>44750.870138888902</v>
      </c>
    </row>
    <row r="929" spans="1:3" ht="15.75" customHeight="1" x14ac:dyDescent="0.4">
      <c r="A929" s="24" t="s">
        <v>1582</v>
      </c>
      <c r="B929" s="24" t="s">
        <v>2204</v>
      </c>
      <c r="C929" s="69">
        <v>44748.905555555597</v>
      </c>
    </row>
    <row r="930" spans="1:3" ht="15.75" customHeight="1" x14ac:dyDescent="0.4">
      <c r="A930" s="24" t="s">
        <v>1530</v>
      </c>
      <c r="B930" s="24" t="s">
        <v>2205</v>
      </c>
      <c r="C930" s="69">
        <v>44748.909722222197</v>
      </c>
    </row>
    <row r="931" spans="1:3" ht="15.75" customHeight="1" x14ac:dyDescent="0.4">
      <c r="A931" s="24" t="s">
        <v>1597</v>
      </c>
      <c r="B931" s="24" t="s">
        <v>2206</v>
      </c>
      <c r="C931" s="69">
        <v>44751.8215277778</v>
      </c>
    </row>
    <row r="932" spans="1:3" ht="15.75" customHeight="1" x14ac:dyDescent="0.4">
      <c r="A932" s="24" t="s">
        <v>2055</v>
      </c>
      <c r="B932" s="24" t="s">
        <v>2207</v>
      </c>
      <c r="C932" s="24" t="s">
        <v>826</v>
      </c>
    </row>
    <row r="933" spans="1:3" ht="15.75" customHeight="1" x14ac:dyDescent="0.4">
      <c r="A933" s="24" t="s">
        <v>573</v>
      </c>
      <c r="B933" s="24" t="s">
        <v>2208</v>
      </c>
      <c r="C933" s="69">
        <v>44749.602083333302</v>
      </c>
    </row>
    <row r="934" spans="1:3" ht="15.75" customHeight="1" x14ac:dyDescent="0.4">
      <c r="A934" s="24" t="s">
        <v>1502</v>
      </c>
      <c r="B934" s="24" t="s">
        <v>2209</v>
      </c>
      <c r="C934" s="69">
        <v>44743.807638888902</v>
      </c>
    </row>
    <row r="935" spans="1:3" ht="15.75" customHeight="1" x14ac:dyDescent="0.4">
      <c r="A935" s="24" t="s">
        <v>1878</v>
      </c>
      <c r="B935" s="24" t="s">
        <v>2210</v>
      </c>
      <c r="C935" s="69">
        <v>44745.7277777778</v>
      </c>
    </row>
    <row r="936" spans="1:3" ht="15.75" customHeight="1" x14ac:dyDescent="0.4">
      <c r="A936" s="24" t="s">
        <v>349</v>
      </c>
      <c r="B936" s="24" t="s">
        <v>2211</v>
      </c>
      <c r="C936" s="68">
        <v>44757.414583333302</v>
      </c>
    </row>
    <row r="937" spans="1:3" ht="15.75" customHeight="1" x14ac:dyDescent="0.4">
      <c r="A937" s="24" t="s">
        <v>1812</v>
      </c>
      <c r="B937" s="24" t="s">
        <v>2212</v>
      </c>
      <c r="C937" s="69">
        <v>44750.868055555598</v>
      </c>
    </row>
    <row r="938" spans="1:3" ht="15.75" customHeight="1" x14ac:dyDescent="0.4">
      <c r="A938" s="24" t="s">
        <v>2037</v>
      </c>
      <c r="B938" s="24" t="s">
        <v>2213</v>
      </c>
      <c r="C938" s="69">
        <v>44744.902777777803</v>
      </c>
    </row>
    <row r="939" spans="1:3" ht="15.75" customHeight="1" x14ac:dyDescent="0.4">
      <c r="A939" s="24" t="s">
        <v>1457</v>
      </c>
      <c r="B939" s="24" t="s">
        <v>2214</v>
      </c>
      <c r="C939" s="69">
        <v>44745.731249999997</v>
      </c>
    </row>
    <row r="940" spans="1:3" ht="15.75" customHeight="1" x14ac:dyDescent="0.4">
      <c r="A940" s="24" t="s">
        <v>968</v>
      </c>
      <c r="B940" s="24" t="s">
        <v>2215</v>
      </c>
      <c r="C940" s="68">
        <v>44763.491666666698</v>
      </c>
    </row>
    <row r="941" spans="1:3" ht="15.75" customHeight="1" x14ac:dyDescent="0.4">
      <c r="A941" s="24" t="s">
        <v>1305</v>
      </c>
      <c r="B941" s="24" t="s">
        <v>2216</v>
      </c>
      <c r="C941" s="69">
        <v>44746.837500000001</v>
      </c>
    </row>
    <row r="942" spans="1:3" ht="15.75" customHeight="1" x14ac:dyDescent="0.4">
      <c r="A942" s="24" t="s">
        <v>1150</v>
      </c>
      <c r="B942" s="24" t="s">
        <v>2216</v>
      </c>
      <c r="C942" s="69">
        <v>44743.607638888898</v>
      </c>
    </row>
    <row r="943" spans="1:3" ht="15.75" customHeight="1" x14ac:dyDescent="0.4">
      <c r="A943" s="24" t="s">
        <v>919</v>
      </c>
      <c r="B943" s="24" t="s">
        <v>2216</v>
      </c>
      <c r="C943" s="69">
        <v>44743.510416666701</v>
      </c>
    </row>
    <row r="944" spans="1:3" ht="15.75" customHeight="1" x14ac:dyDescent="0.4">
      <c r="A944" s="24" t="s">
        <v>1783</v>
      </c>
      <c r="B944" s="24" t="s">
        <v>2217</v>
      </c>
      <c r="C944" s="69">
        <v>44744.899305555598</v>
      </c>
    </row>
    <row r="945" spans="1:3" ht="15.75" customHeight="1" x14ac:dyDescent="0.4">
      <c r="A945" s="24" t="s">
        <v>1290</v>
      </c>
      <c r="B945" s="24" t="s">
        <v>2218</v>
      </c>
      <c r="C945" s="68">
        <v>44757.5180555556</v>
      </c>
    </row>
    <row r="946" spans="1:3" ht="15.75" customHeight="1" x14ac:dyDescent="0.4">
      <c r="A946" s="24" t="s">
        <v>1338</v>
      </c>
      <c r="B946" s="24" t="s">
        <v>2219</v>
      </c>
      <c r="C946" s="69">
        <v>44746.7409722222</v>
      </c>
    </row>
    <row r="947" spans="1:3" ht="15.75" customHeight="1" x14ac:dyDescent="0.4">
      <c r="A947" s="24" t="s">
        <v>2053</v>
      </c>
      <c r="B947" s="24" t="s">
        <v>2220</v>
      </c>
      <c r="C947" s="69">
        <v>44751.695833333302</v>
      </c>
    </row>
    <row r="948" spans="1:3" ht="15.75" customHeight="1" x14ac:dyDescent="0.4">
      <c r="A948" s="24" t="s">
        <v>1165</v>
      </c>
      <c r="B948" s="24" t="s">
        <v>2221</v>
      </c>
      <c r="C948" s="24" t="s">
        <v>826</v>
      </c>
    </row>
    <row r="949" spans="1:3" ht="15.75" customHeight="1" x14ac:dyDescent="0.4">
      <c r="A949" s="24" t="s">
        <v>1661</v>
      </c>
      <c r="B949" s="24" t="s">
        <v>2222</v>
      </c>
      <c r="C949" s="69">
        <v>44751.813888888901</v>
      </c>
    </row>
    <row r="950" spans="1:3" ht="15.75" customHeight="1" x14ac:dyDescent="0.4">
      <c r="A950" s="24" t="s">
        <v>315</v>
      </c>
      <c r="B950" s="24" t="s">
        <v>2223</v>
      </c>
      <c r="C950" s="24" t="s">
        <v>826</v>
      </c>
    </row>
    <row r="951" spans="1:3" ht="15.75" customHeight="1" x14ac:dyDescent="0.4">
      <c r="A951" s="24" t="s">
        <v>1896</v>
      </c>
      <c r="B951" s="24" t="s">
        <v>2224</v>
      </c>
      <c r="C951" s="69">
        <v>44748.693055555603</v>
      </c>
    </row>
    <row r="952" spans="1:3" ht="15.75" customHeight="1" x14ac:dyDescent="0.4">
      <c r="A952" s="24" t="s">
        <v>1615</v>
      </c>
      <c r="B952" s="24" t="s">
        <v>2225</v>
      </c>
      <c r="C952" s="69">
        <v>44746.489583333299</v>
      </c>
    </row>
    <row r="953" spans="1:3" ht="15.75" customHeight="1" x14ac:dyDescent="0.4">
      <c r="A953" s="24" t="s">
        <v>1083</v>
      </c>
      <c r="B953" s="24" t="s">
        <v>2226</v>
      </c>
      <c r="C953" s="69">
        <v>44751.779861111099</v>
      </c>
    </row>
    <row r="954" spans="1:3" ht="15.75" customHeight="1" x14ac:dyDescent="0.4">
      <c r="A954" s="24" t="s">
        <v>1299</v>
      </c>
      <c r="B954" s="24" t="s">
        <v>2227</v>
      </c>
      <c r="C954" s="69">
        <v>44749.577777777798</v>
      </c>
    </row>
    <row r="955" spans="1:3" ht="15.75" customHeight="1" x14ac:dyDescent="0.4">
      <c r="A955" s="24" t="s">
        <v>856</v>
      </c>
      <c r="B955" s="24" t="s">
        <v>2228</v>
      </c>
      <c r="C955" s="68">
        <v>44765.5</v>
      </c>
    </row>
    <row r="956" spans="1:3" ht="15.75" customHeight="1" x14ac:dyDescent="0.4">
      <c r="A956" s="24" t="s">
        <v>1408</v>
      </c>
      <c r="B956" s="24" t="s">
        <v>2228</v>
      </c>
      <c r="C956" s="69">
        <v>44749.475694444503</v>
      </c>
    </row>
    <row r="957" spans="1:3" ht="15.75" customHeight="1" x14ac:dyDescent="0.4">
      <c r="A957" s="24" t="s">
        <v>1636</v>
      </c>
      <c r="B957" s="24" t="s">
        <v>2229</v>
      </c>
      <c r="C957" s="68">
        <v>44763.520833333299</v>
      </c>
    </row>
    <row r="958" spans="1:3" ht="15.75" customHeight="1" x14ac:dyDescent="0.4">
      <c r="A958" s="24" t="s">
        <v>1948</v>
      </c>
      <c r="B958" s="24" t="s">
        <v>2230</v>
      </c>
      <c r="C958" s="69">
        <v>44750.875694444498</v>
      </c>
    </row>
    <row r="959" spans="1:3" ht="15.75" customHeight="1" x14ac:dyDescent="0.4">
      <c r="A959" s="24" t="s">
        <v>2004</v>
      </c>
      <c r="B959" s="24" t="s">
        <v>2231</v>
      </c>
      <c r="C959" s="69">
        <v>44746.651388888902</v>
      </c>
    </row>
    <row r="960" spans="1:3" ht="15.75" customHeight="1" x14ac:dyDescent="0.4">
      <c r="A960" s="24" t="s">
        <v>1818</v>
      </c>
      <c r="B960" s="24" t="s">
        <v>2232</v>
      </c>
      <c r="C960" s="69">
        <v>44750.539583333302</v>
      </c>
    </row>
    <row r="961" spans="1:3" ht="15.75" customHeight="1" x14ac:dyDescent="0.4">
      <c r="A961" s="24" t="s">
        <v>1432</v>
      </c>
      <c r="B961" s="24" t="s">
        <v>2233</v>
      </c>
      <c r="C961" s="69">
        <v>44743.487500000003</v>
      </c>
    </row>
    <row r="962" spans="1:3" ht="15.75" customHeight="1" x14ac:dyDescent="0.4">
      <c r="A962" s="24" t="s">
        <v>1100</v>
      </c>
      <c r="B962" s="24" t="s">
        <v>2234</v>
      </c>
      <c r="C962" s="24" t="s">
        <v>826</v>
      </c>
    </row>
    <row r="963" spans="1:3" ht="15.75" customHeight="1" x14ac:dyDescent="0.4">
      <c r="A963" s="24" t="s">
        <v>916</v>
      </c>
      <c r="B963" s="24" t="s">
        <v>2235</v>
      </c>
      <c r="C963" s="69">
        <v>44749.726388888899</v>
      </c>
    </row>
    <row r="964" spans="1:3" ht="15.75" customHeight="1" x14ac:dyDescent="0.4">
      <c r="A964" s="24" t="s">
        <v>972</v>
      </c>
      <c r="B964" s="24" t="s">
        <v>2236</v>
      </c>
      <c r="C964" s="69">
        <v>44748.831944444399</v>
      </c>
    </row>
    <row r="965" spans="1:3" ht="15.75" customHeight="1" x14ac:dyDescent="0.4">
      <c r="A965" s="24" t="s">
        <v>1182</v>
      </c>
      <c r="B965" s="24" t="s">
        <v>2237</v>
      </c>
      <c r="C965" s="68">
        <v>44742.828472222202</v>
      </c>
    </row>
    <row r="966" spans="1:3" ht="15.75" customHeight="1" x14ac:dyDescent="0.4">
      <c r="A966" s="24" t="s">
        <v>2168</v>
      </c>
      <c r="B966" s="24" t="s">
        <v>2238</v>
      </c>
      <c r="C966" s="69">
        <v>44743.53125</v>
      </c>
    </row>
    <row r="967" spans="1:3" ht="15.75" customHeight="1" x14ac:dyDescent="0.4">
      <c r="A967" s="24" t="s">
        <v>1559</v>
      </c>
      <c r="B967" s="24" t="s">
        <v>2238</v>
      </c>
      <c r="C967" s="69">
        <v>44743.629861111098</v>
      </c>
    </row>
    <row r="968" spans="1:3" ht="15.75" customHeight="1" x14ac:dyDescent="0.4">
      <c r="A968" s="24" t="s">
        <v>395</v>
      </c>
      <c r="B968" s="24" t="s">
        <v>2239</v>
      </c>
      <c r="C968" s="24" t="s">
        <v>826</v>
      </c>
    </row>
    <row r="969" spans="1:3" ht="15.75" customHeight="1" x14ac:dyDescent="0.4">
      <c r="A969" s="24" t="s">
        <v>1882</v>
      </c>
      <c r="B969" s="24" t="s">
        <v>2240</v>
      </c>
      <c r="C969" s="24" t="s">
        <v>826</v>
      </c>
    </row>
    <row r="970" spans="1:3" ht="15.75" customHeight="1" x14ac:dyDescent="0.4">
      <c r="A970" s="24" t="s">
        <v>1827</v>
      </c>
      <c r="B970" s="24" t="s">
        <v>2241</v>
      </c>
      <c r="C970" s="68">
        <v>44753.647916666698</v>
      </c>
    </row>
    <row r="971" spans="1:3" ht="15.75" customHeight="1" x14ac:dyDescent="0.4">
      <c r="A971" s="24" t="s">
        <v>1089</v>
      </c>
      <c r="B971" s="24" t="s">
        <v>2242</v>
      </c>
      <c r="C971" s="68">
        <v>44742.779166666704</v>
      </c>
    </row>
    <row r="972" spans="1:3" ht="15.75" customHeight="1" x14ac:dyDescent="0.4">
      <c r="A972" s="24" t="s">
        <v>1834</v>
      </c>
      <c r="B972" s="24" t="s">
        <v>2243</v>
      </c>
      <c r="C972" s="68">
        <v>44753.813194444498</v>
      </c>
    </row>
    <row r="973" spans="1:3" ht="15.75" customHeight="1" x14ac:dyDescent="0.4">
      <c r="A973" s="24" t="s">
        <v>2137</v>
      </c>
      <c r="B973" s="24" t="s">
        <v>2244</v>
      </c>
      <c r="C973" s="68">
        <v>44742.828472222202</v>
      </c>
    </row>
    <row r="974" spans="1:3" ht="15.75" customHeight="1" x14ac:dyDescent="0.4">
      <c r="A974" s="24" t="s">
        <v>1547</v>
      </c>
      <c r="B974" s="24" t="s">
        <v>2245</v>
      </c>
      <c r="C974" s="69">
        <v>44743.6875</v>
      </c>
    </row>
    <row r="975" spans="1:3" ht="15.75" customHeight="1" x14ac:dyDescent="0.4">
      <c r="A975" s="24" t="s">
        <v>371</v>
      </c>
      <c r="B975" s="24" t="s">
        <v>2246</v>
      </c>
      <c r="C975" s="68">
        <v>44753.4375</v>
      </c>
    </row>
    <row r="976" spans="1:3" ht="15.75" customHeight="1" x14ac:dyDescent="0.4">
      <c r="A976" s="24" t="s">
        <v>859</v>
      </c>
      <c r="B976" s="24" t="s">
        <v>2247</v>
      </c>
      <c r="C976" s="69">
        <v>44743.7944444444</v>
      </c>
    </row>
    <row r="977" spans="1:3" ht="15.75" customHeight="1" x14ac:dyDescent="0.4">
      <c r="A977" s="24" t="s">
        <v>2122</v>
      </c>
      <c r="B977" s="24" t="s">
        <v>2248</v>
      </c>
      <c r="C977" s="68">
        <v>44742.811111111099</v>
      </c>
    </row>
    <row r="978" spans="1:3" ht="15.75" customHeight="1" x14ac:dyDescent="0.4">
      <c r="A978" s="24" t="s">
        <v>2051</v>
      </c>
      <c r="B978" s="24" t="s">
        <v>2249</v>
      </c>
      <c r="C978" s="69">
        <v>44747.448611111096</v>
      </c>
    </row>
    <row r="979" spans="1:3" ht="15.75" customHeight="1" x14ac:dyDescent="0.4">
      <c r="A979" s="24" t="s">
        <v>738</v>
      </c>
      <c r="B979" s="24" t="s">
        <v>2250</v>
      </c>
      <c r="C979" s="69">
        <v>44746.493750000001</v>
      </c>
    </row>
    <row r="980" spans="1:3" ht="15.75" customHeight="1" x14ac:dyDescent="0.4">
      <c r="A980" s="24" t="s">
        <v>1101</v>
      </c>
      <c r="B980" s="24" t="s">
        <v>2251</v>
      </c>
      <c r="C980" s="24" t="s">
        <v>826</v>
      </c>
    </row>
    <row r="981" spans="1:3" ht="15.75" customHeight="1" x14ac:dyDescent="0.4">
      <c r="A981" s="24" t="s">
        <v>615</v>
      </c>
      <c r="B981" s="24" t="s">
        <v>2252</v>
      </c>
      <c r="C981" s="68">
        <v>44742.7097222222</v>
      </c>
    </row>
    <row r="982" spans="1:3" ht="15.75" customHeight="1" x14ac:dyDescent="0.4">
      <c r="A982" s="24" t="s">
        <v>1454</v>
      </c>
      <c r="B982" s="24" t="s">
        <v>2253</v>
      </c>
      <c r="C982" s="68">
        <v>44742.600694444503</v>
      </c>
    </row>
    <row r="983" spans="1:3" ht="15.75" customHeight="1" x14ac:dyDescent="0.4">
      <c r="A983" s="24" t="s">
        <v>1204</v>
      </c>
      <c r="B983" s="24" t="s">
        <v>2254</v>
      </c>
      <c r="C983" s="24" t="s">
        <v>826</v>
      </c>
    </row>
    <row r="984" spans="1:3" ht="15.75" customHeight="1" x14ac:dyDescent="0.4">
      <c r="A984" s="24" t="s">
        <v>1278</v>
      </c>
      <c r="B984" s="24" t="s">
        <v>2255</v>
      </c>
      <c r="C984" s="69">
        <v>44743.768750000003</v>
      </c>
    </row>
    <row r="985" spans="1:3" ht="15.75" customHeight="1" x14ac:dyDescent="0.4">
      <c r="A985" s="24" t="s">
        <v>1720</v>
      </c>
      <c r="B985" s="24" t="s">
        <v>2256</v>
      </c>
      <c r="C985" s="69">
        <v>44749.693749999999</v>
      </c>
    </row>
    <row r="986" spans="1:3" ht="15.75" customHeight="1" x14ac:dyDescent="0.4">
      <c r="A986" s="24" t="s">
        <v>1201</v>
      </c>
      <c r="B986" s="24" t="s">
        <v>2257</v>
      </c>
      <c r="C986" s="69">
        <v>44750.872222222199</v>
      </c>
    </row>
    <row r="987" spans="1:3" ht="15.75" customHeight="1" x14ac:dyDescent="0.4">
      <c r="A987" s="24" t="s">
        <v>1605</v>
      </c>
      <c r="B987" s="24" t="s">
        <v>2258</v>
      </c>
      <c r="C987" s="69">
        <v>44747.727083333302</v>
      </c>
    </row>
    <row r="988" spans="1:3" ht="15.75" customHeight="1" x14ac:dyDescent="0.4">
      <c r="A988" s="24" t="s">
        <v>2048</v>
      </c>
      <c r="B988" s="24" t="s">
        <v>2259</v>
      </c>
      <c r="C988" s="24" t="s">
        <v>826</v>
      </c>
    </row>
    <row r="989" spans="1:3" ht="15.75" customHeight="1" x14ac:dyDescent="0.4">
      <c r="A989" s="24" t="s">
        <v>1221</v>
      </c>
      <c r="B989" s="24" t="s">
        <v>2260</v>
      </c>
      <c r="C989" s="69">
        <v>44747.617361111101</v>
      </c>
    </row>
    <row r="990" spans="1:3" ht="15.75" customHeight="1" x14ac:dyDescent="0.4">
      <c r="A990" s="24" t="s">
        <v>491</v>
      </c>
      <c r="B990" s="24" t="s">
        <v>2261</v>
      </c>
      <c r="C990" s="69">
        <v>44747.564583333296</v>
      </c>
    </row>
    <row r="991" spans="1:3" ht="15.75" customHeight="1" x14ac:dyDescent="0.4">
      <c r="A991" s="24" t="s">
        <v>1346</v>
      </c>
      <c r="B991" s="24" t="s">
        <v>2262</v>
      </c>
      <c r="C991" s="69">
        <v>44747.536805555603</v>
      </c>
    </row>
    <row r="992" spans="1:3" ht="15.75" customHeight="1" x14ac:dyDescent="0.4">
      <c r="A992" s="24" t="s">
        <v>1997</v>
      </c>
      <c r="B992" s="24" t="s">
        <v>2263</v>
      </c>
      <c r="C992" s="69">
        <v>44746.622916666704</v>
      </c>
    </row>
    <row r="993" spans="1:3" ht="15.75" customHeight="1" x14ac:dyDescent="0.4">
      <c r="A993" s="24" t="s">
        <v>1998</v>
      </c>
      <c r="B993" s="24" t="s">
        <v>2264</v>
      </c>
      <c r="C993" s="69">
        <v>44751.792361111096</v>
      </c>
    </row>
    <row r="994" spans="1:3" ht="15.75" customHeight="1" x14ac:dyDescent="0.4">
      <c r="A994" s="24" t="s">
        <v>1941</v>
      </c>
      <c r="B994" s="24" t="s">
        <v>2265</v>
      </c>
      <c r="C994" s="69">
        <v>44749.5625</v>
      </c>
    </row>
    <row r="995" spans="1:3" ht="15.75" customHeight="1" x14ac:dyDescent="0.4">
      <c r="A995" s="24" t="s">
        <v>1316</v>
      </c>
      <c r="B995" s="24" t="s">
        <v>2266</v>
      </c>
      <c r="C995" s="69">
        <v>44747.690277777801</v>
      </c>
    </row>
    <row r="996" spans="1:3" ht="15.75" customHeight="1" x14ac:dyDescent="0.4">
      <c r="A996" s="24" t="s">
        <v>609</v>
      </c>
      <c r="B996" s="24" t="s">
        <v>2267</v>
      </c>
      <c r="C996" s="68">
        <v>44742.641666666699</v>
      </c>
    </row>
    <row r="997" spans="1:3" ht="15.75" customHeight="1" x14ac:dyDescent="0.4">
      <c r="A997" s="24" t="s">
        <v>431</v>
      </c>
      <c r="B997" s="24" t="s">
        <v>2268</v>
      </c>
      <c r="C997" s="24" t="s">
        <v>826</v>
      </c>
    </row>
    <row r="998" spans="1:3" ht="15.75" customHeight="1" x14ac:dyDescent="0.4">
      <c r="A998" s="24" t="s">
        <v>339</v>
      </c>
      <c r="B998" s="24" t="s">
        <v>2269</v>
      </c>
      <c r="C998" s="24" t="s">
        <v>826</v>
      </c>
    </row>
    <row r="999" spans="1:3" ht="15.75" customHeight="1" x14ac:dyDescent="0.4">
      <c r="A999" s="24" t="s">
        <v>1152</v>
      </c>
      <c r="B999" s="24" t="s">
        <v>2270</v>
      </c>
      <c r="C999" s="69">
        <v>44748.741666666698</v>
      </c>
    </row>
    <row r="1000" spans="1:3" ht="15.75" customHeight="1" x14ac:dyDescent="0.4">
      <c r="A1000" s="24" t="s">
        <v>635</v>
      </c>
      <c r="B1000" s="24" t="s">
        <v>2271</v>
      </c>
      <c r="C1000" s="69">
        <v>44747.442361111098</v>
      </c>
    </row>
    <row r="1001" spans="1:3" ht="15.75" customHeight="1" x14ac:dyDescent="0.4">
      <c r="A1001" s="24" t="s">
        <v>433</v>
      </c>
      <c r="B1001" s="24" t="s">
        <v>2272</v>
      </c>
      <c r="C1001" s="68">
        <v>44742.772916666698</v>
      </c>
    </row>
    <row r="1002" spans="1:3" ht="15.75" customHeight="1" x14ac:dyDescent="0.4">
      <c r="A1002" s="24" t="s">
        <v>313</v>
      </c>
      <c r="B1002" s="24" t="s">
        <v>2273</v>
      </c>
      <c r="C1002" s="24" t="s">
        <v>826</v>
      </c>
    </row>
    <row r="1003" spans="1:3" ht="15.75" customHeight="1" x14ac:dyDescent="0.4">
      <c r="A1003" s="24" t="s">
        <v>1375</v>
      </c>
      <c r="B1003" s="24" t="s">
        <v>2274</v>
      </c>
      <c r="C1003" s="69">
        <v>44743.604166666701</v>
      </c>
    </row>
    <row r="1004" spans="1:3" ht="15.75" customHeight="1" x14ac:dyDescent="0.4">
      <c r="A1004" s="24" t="s">
        <v>661</v>
      </c>
      <c r="B1004" s="24" t="s">
        <v>2275</v>
      </c>
      <c r="C1004" s="69">
        <v>44743.615277777797</v>
      </c>
    </row>
    <row r="1005" spans="1:3" ht="15.75" customHeight="1" x14ac:dyDescent="0.4">
      <c r="A1005" s="24" t="s">
        <v>1040</v>
      </c>
      <c r="B1005" s="24" t="s">
        <v>2276</v>
      </c>
      <c r="C1005" s="69">
        <v>44747.479166666701</v>
      </c>
    </row>
    <row r="1006" spans="1:3" ht="15.75" customHeight="1" x14ac:dyDescent="0.4">
      <c r="A1006" s="24" t="s">
        <v>2172</v>
      </c>
      <c r="B1006" s="24" t="s">
        <v>2277</v>
      </c>
      <c r="C1006" s="69">
        <v>44747.619444444397</v>
      </c>
    </row>
    <row r="1007" spans="1:3" ht="15.75" customHeight="1" x14ac:dyDescent="0.4">
      <c r="A1007" s="24" t="s">
        <v>1274</v>
      </c>
      <c r="B1007" s="24" t="s">
        <v>2278</v>
      </c>
      <c r="C1007" s="69">
        <v>44746.711805555598</v>
      </c>
    </row>
    <row r="1008" spans="1:3" ht="15.75" customHeight="1" x14ac:dyDescent="0.4">
      <c r="A1008" s="24" t="s">
        <v>914</v>
      </c>
      <c r="B1008" s="24" t="s">
        <v>2279</v>
      </c>
      <c r="C1008" s="69">
        <v>44748.690277777801</v>
      </c>
    </row>
    <row r="1009" spans="1:3" ht="15.75" customHeight="1" x14ac:dyDescent="0.4">
      <c r="A1009" s="24" t="s">
        <v>1325</v>
      </c>
      <c r="B1009" s="24" t="s">
        <v>2280</v>
      </c>
      <c r="C1009" s="68">
        <v>44742.460416666698</v>
      </c>
    </row>
    <row r="1010" spans="1:3" ht="15.75" customHeight="1" x14ac:dyDescent="0.4">
      <c r="A1010" s="24" t="s">
        <v>1601</v>
      </c>
      <c r="B1010" s="24" t="s">
        <v>2280</v>
      </c>
      <c r="C1010" s="68">
        <v>44742.479861111096</v>
      </c>
    </row>
    <row r="1011" spans="1:3" ht="15.75" customHeight="1" x14ac:dyDescent="0.4">
      <c r="A1011" s="24" t="s">
        <v>1523</v>
      </c>
      <c r="B1011" s="24" t="s">
        <v>2281</v>
      </c>
      <c r="C1011" s="69">
        <v>44743.5222222222</v>
      </c>
    </row>
    <row r="1012" spans="1:3" ht="15.75" customHeight="1" x14ac:dyDescent="0.4">
      <c r="A1012" s="24" t="s">
        <v>333</v>
      </c>
      <c r="B1012" s="24" t="s">
        <v>2282</v>
      </c>
      <c r="C1012" s="69">
        <v>44743.595138888901</v>
      </c>
    </row>
    <row r="1013" spans="1:3" ht="15.75" customHeight="1" x14ac:dyDescent="0.4">
      <c r="A1013" s="24" t="s">
        <v>1887</v>
      </c>
      <c r="B1013" s="24" t="s">
        <v>2283</v>
      </c>
      <c r="C1013" s="68">
        <v>44741.853472222203</v>
      </c>
    </row>
    <row r="1014" spans="1:3" ht="15.75" customHeight="1" x14ac:dyDescent="0.4">
      <c r="A1014" s="24" t="s">
        <v>1730</v>
      </c>
      <c r="B1014" s="24" t="s">
        <v>2284</v>
      </c>
      <c r="C1014" s="68">
        <v>44741.731249999997</v>
      </c>
    </row>
    <row r="1015" spans="1:3" ht="15.75" customHeight="1" x14ac:dyDescent="0.4">
      <c r="A1015" s="24" t="s">
        <v>2121</v>
      </c>
      <c r="B1015" s="24" t="s">
        <v>2285</v>
      </c>
      <c r="C1015" s="68">
        <v>44756.662499999999</v>
      </c>
    </row>
    <row r="1016" spans="1:3" ht="15.75" customHeight="1" x14ac:dyDescent="0.4">
      <c r="A1016" s="24" t="s">
        <v>1724</v>
      </c>
      <c r="B1016" s="24" t="s">
        <v>2286</v>
      </c>
      <c r="C1016" s="68">
        <v>44742.6381944444</v>
      </c>
    </row>
    <row r="1017" spans="1:3" ht="15.75" customHeight="1" x14ac:dyDescent="0.4">
      <c r="A1017" s="24" t="s">
        <v>1168</v>
      </c>
      <c r="B1017" s="24" t="s">
        <v>2287</v>
      </c>
      <c r="C1017" s="68">
        <v>44742.857638888898</v>
      </c>
    </row>
    <row r="1018" spans="1:3" ht="15.75" customHeight="1" x14ac:dyDescent="0.4">
      <c r="A1018" s="24" t="s">
        <v>1603</v>
      </c>
      <c r="B1018" s="24" t="s">
        <v>2288</v>
      </c>
      <c r="C1018" s="69">
        <v>44743.515277777798</v>
      </c>
    </row>
    <row r="1019" spans="1:3" ht="15.75" customHeight="1" x14ac:dyDescent="0.4">
      <c r="A1019" s="24" t="s">
        <v>1130</v>
      </c>
      <c r="B1019" s="24" t="s">
        <v>2289</v>
      </c>
      <c r="C1019" s="68">
        <v>44742.402777777803</v>
      </c>
    </row>
    <row r="1020" spans="1:3" ht="15.75" customHeight="1" x14ac:dyDescent="0.4">
      <c r="A1020" s="24" t="s">
        <v>334</v>
      </c>
      <c r="B1020" s="24" t="s">
        <v>2290</v>
      </c>
      <c r="C1020" s="24" t="s">
        <v>826</v>
      </c>
    </row>
    <row r="1021" spans="1:3" ht="15.75" customHeight="1" x14ac:dyDescent="0.4">
      <c r="A1021" s="24" t="s">
        <v>958</v>
      </c>
      <c r="B1021" s="24" t="s">
        <v>2291</v>
      </c>
      <c r="C1021" s="68">
        <v>44741.652083333298</v>
      </c>
    </row>
    <row r="1022" spans="1:3" ht="15.75" customHeight="1" x14ac:dyDescent="0.4">
      <c r="A1022" s="24" t="s">
        <v>1626</v>
      </c>
      <c r="B1022" s="24" t="s">
        <v>2292</v>
      </c>
      <c r="C1022" s="68">
        <v>44742.813194444498</v>
      </c>
    </row>
    <row r="1023" spans="1:3" ht="15.75" customHeight="1" x14ac:dyDescent="0.4">
      <c r="A1023" s="24" t="s">
        <v>876</v>
      </c>
      <c r="B1023" s="24" t="s">
        <v>2293</v>
      </c>
      <c r="C1023" s="69">
        <v>44744.65</v>
      </c>
    </row>
    <row r="1024" spans="1:3" ht="15.75" customHeight="1" x14ac:dyDescent="0.4">
      <c r="A1024" s="24" t="s">
        <v>1918</v>
      </c>
      <c r="B1024" s="24" t="s">
        <v>2294</v>
      </c>
      <c r="C1024" s="69">
        <v>44749.6694444444</v>
      </c>
    </row>
    <row r="1025" spans="1:3" ht="15.75" customHeight="1" x14ac:dyDescent="0.4">
      <c r="A1025" s="24" t="s">
        <v>623</v>
      </c>
      <c r="B1025" s="24" t="s">
        <v>2295</v>
      </c>
      <c r="C1025" s="68">
        <v>44741.685416666704</v>
      </c>
    </row>
    <row r="1026" spans="1:3" ht="15.75" customHeight="1" x14ac:dyDescent="0.4">
      <c r="A1026" s="24" t="s">
        <v>1967</v>
      </c>
      <c r="B1026" s="24" t="s">
        <v>2296</v>
      </c>
      <c r="C1026" s="68">
        <v>44741.810416666704</v>
      </c>
    </row>
    <row r="1027" spans="1:3" ht="15.75" customHeight="1" x14ac:dyDescent="0.4">
      <c r="A1027" s="24" t="s">
        <v>1825</v>
      </c>
      <c r="B1027" s="24" t="s">
        <v>2297</v>
      </c>
      <c r="C1027" s="68">
        <v>44741.777083333298</v>
      </c>
    </row>
    <row r="1028" spans="1:3" ht="15.75" customHeight="1" x14ac:dyDescent="0.4">
      <c r="A1028" s="24" t="s">
        <v>768</v>
      </c>
      <c r="B1028" s="24" t="s">
        <v>2298</v>
      </c>
      <c r="C1028" s="24" t="s">
        <v>826</v>
      </c>
    </row>
    <row r="1029" spans="1:3" ht="15.75" customHeight="1" x14ac:dyDescent="0.4">
      <c r="A1029" s="24" t="s">
        <v>643</v>
      </c>
      <c r="B1029" s="24" t="s">
        <v>2299</v>
      </c>
      <c r="C1029" s="69">
        <v>44743.808333333298</v>
      </c>
    </row>
    <row r="1030" spans="1:3" ht="15.75" customHeight="1" x14ac:dyDescent="0.4">
      <c r="A1030" s="24" t="s">
        <v>285</v>
      </c>
      <c r="B1030" s="24" t="s">
        <v>2300</v>
      </c>
      <c r="C1030" s="24" t="s">
        <v>826</v>
      </c>
    </row>
    <row r="1031" spans="1:3" ht="15.75" customHeight="1" x14ac:dyDescent="0.4">
      <c r="A1031" s="24" t="s">
        <v>903</v>
      </c>
      <c r="B1031" s="24" t="s">
        <v>2301</v>
      </c>
      <c r="C1031" s="24" t="s">
        <v>826</v>
      </c>
    </row>
    <row r="1032" spans="1:3" ht="15.75" customHeight="1" x14ac:dyDescent="0.4">
      <c r="A1032" s="24" t="s">
        <v>2140</v>
      </c>
      <c r="B1032" s="24" t="s">
        <v>2302</v>
      </c>
      <c r="C1032" s="69">
        <v>44744.552083333299</v>
      </c>
    </row>
    <row r="1033" spans="1:3" ht="15.75" customHeight="1" x14ac:dyDescent="0.4">
      <c r="A1033" s="24" t="s">
        <v>1279</v>
      </c>
      <c r="B1033" s="24" t="s">
        <v>2303</v>
      </c>
      <c r="C1033" s="68">
        <v>44742.775694444397</v>
      </c>
    </row>
    <row r="1034" spans="1:3" ht="15.75" customHeight="1" x14ac:dyDescent="0.4">
      <c r="A1034" s="24" t="s">
        <v>1227</v>
      </c>
      <c r="B1034" s="24" t="s">
        <v>2304</v>
      </c>
      <c r="C1034" s="68">
        <v>44742.889583333301</v>
      </c>
    </row>
    <row r="1035" spans="1:3" ht="15.75" customHeight="1" x14ac:dyDescent="0.4">
      <c r="A1035" s="24" t="s">
        <v>891</v>
      </c>
      <c r="B1035" s="24" t="s">
        <v>2305</v>
      </c>
      <c r="C1035" s="69">
        <v>44744.570833333302</v>
      </c>
    </row>
    <row r="1036" spans="1:3" ht="15.75" customHeight="1" x14ac:dyDescent="0.4">
      <c r="A1036" s="24" t="s">
        <v>2080</v>
      </c>
      <c r="B1036" s="24" t="s">
        <v>2306</v>
      </c>
      <c r="C1036" s="68">
        <v>44742.449305555601</v>
      </c>
    </row>
    <row r="1037" spans="1:3" ht="15.75" customHeight="1" x14ac:dyDescent="0.4">
      <c r="A1037" s="24" t="s">
        <v>1037</v>
      </c>
      <c r="B1037" s="24" t="s">
        <v>2307</v>
      </c>
      <c r="C1037" s="68">
        <v>44741.739583333299</v>
      </c>
    </row>
    <row r="1038" spans="1:3" ht="15.75" customHeight="1" x14ac:dyDescent="0.4">
      <c r="A1038" s="24" t="s">
        <v>1004</v>
      </c>
      <c r="B1038" s="24" t="s">
        <v>2308</v>
      </c>
      <c r="C1038" s="68">
        <v>44742.831250000003</v>
      </c>
    </row>
    <row r="1039" spans="1:3" ht="15.75" customHeight="1" x14ac:dyDescent="0.4">
      <c r="A1039" s="24" t="s">
        <v>1589</v>
      </c>
      <c r="B1039" s="24" t="s">
        <v>2309</v>
      </c>
      <c r="C1039" s="68">
        <v>44741.746527777803</v>
      </c>
    </row>
    <row r="1040" spans="1:3" ht="15.75" customHeight="1" x14ac:dyDescent="0.4">
      <c r="A1040" s="24" t="s">
        <v>2026</v>
      </c>
      <c r="B1040" s="24" t="s">
        <v>2310</v>
      </c>
      <c r="C1040" s="68">
        <v>44753.697916666701</v>
      </c>
    </row>
    <row r="1041" spans="1:3" ht="15.75" customHeight="1" x14ac:dyDescent="0.4">
      <c r="A1041" s="24" t="s">
        <v>2054</v>
      </c>
      <c r="B1041" s="24" t="s">
        <v>2311</v>
      </c>
      <c r="C1041" s="68">
        <v>44741.775000000001</v>
      </c>
    </row>
    <row r="1042" spans="1:3" ht="15.75" customHeight="1" x14ac:dyDescent="0.4">
      <c r="A1042" s="24" t="s">
        <v>2162</v>
      </c>
      <c r="B1042" s="24" t="s">
        <v>2312</v>
      </c>
      <c r="C1042" s="69">
        <v>44746.736111111102</v>
      </c>
    </row>
    <row r="1043" spans="1:3" ht="15.75" customHeight="1" x14ac:dyDescent="0.4">
      <c r="A1043" s="24" t="s">
        <v>1664</v>
      </c>
      <c r="B1043" s="24" t="s">
        <v>2313</v>
      </c>
      <c r="C1043" s="68">
        <v>44741.835416666698</v>
      </c>
    </row>
    <row r="1044" spans="1:3" ht="15.75" customHeight="1" x14ac:dyDescent="0.4">
      <c r="A1044" s="24" t="s">
        <v>1533</v>
      </c>
      <c r="B1044" s="24" t="s">
        <v>2314</v>
      </c>
      <c r="C1044" s="68">
        <v>44741.695138888899</v>
      </c>
    </row>
    <row r="1045" spans="1:3" ht="15.75" customHeight="1" x14ac:dyDescent="0.4">
      <c r="A1045" s="24" t="s">
        <v>893</v>
      </c>
      <c r="B1045" s="24" t="s">
        <v>2315</v>
      </c>
      <c r="C1045" s="68">
        <v>44742.607638888898</v>
      </c>
    </row>
    <row r="1046" spans="1:3" ht="15.75" customHeight="1" x14ac:dyDescent="0.4">
      <c r="A1046" s="24" t="s">
        <v>455</v>
      </c>
      <c r="B1046" s="24" t="s">
        <v>2316</v>
      </c>
      <c r="C1046" s="68">
        <v>44742.3569444444</v>
      </c>
    </row>
    <row r="1047" spans="1:3" ht="15.75" customHeight="1" x14ac:dyDescent="0.4">
      <c r="A1047" s="24" t="s">
        <v>278</v>
      </c>
      <c r="B1047" s="24" t="s">
        <v>2317</v>
      </c>
      <c r="C1047" s="68">
        <v>44742.682638888902</v>
      </c>
    </row>
    <row r="1048" spans="1:3" ht="15.75" customHeight="1" x14ac:dyDescent="0.4">
      <c r="A1048" s="24" t="s">
        <v>1270</v>
      </c>
      <c r="B1048" s="24" t="s">
        <v>2318</v>
      </c>
      <c r="C1048" s="69">
        <v>44743.713194444397</v>
      </c>
    </row>
    <row r="1049" spans="1:3" ht="15.75" customHeight="1" x14ac:dyDescent="0.4">
      <c r="A1049" s="24" t="s">
        <v>295</v>
      </c>
      <c r="B1049" s="24" t="s">
        <v>2319</v>
      </c>
      <c r="C1049" s="24" t="s">
        <v>826</v>
      </c>
    </row>
    <row r="1050" spans="1:3" ht="15.75" customHeight="1" x14ac:dyDescent="0.4">
      <c r="A1050" s="24" t="s">
        <v>1109</v>
      </c>
      <c r="B1050" s="24" t="s">
        <v>2319</v>
      </c>
      <c r="C1050" s="69">
        <v>44743.680555555598</v>
      </c>
    </row>
    <row r="1051" spans="1:3" ht="15.75" customHeight="1" x14ac:dyDescent="0.4">
      <c r="A1051" s="24" t="s">
        <v>1837</v>
      </c>
      <c r="B1051" s="24" t="s">
        <v>2320</v>
      </c>
      <c r="C1051" s="68">
        <v>44741.790972222203</v>
      </c>
    </row>
    <row r="1052" spans="1:3" ht="15.75" customHeight="1" x14ac:dyDescent="0.4">
      <c r="A1052" s="24" t="s">
        <v>855</v>
      </c>
      <c r="B1052" s="24" t="s">
        <v>2321</v>
      </c>
      <c r="C1052" s="69">
        <v>44743.648611111101</v>
      </c>
    </row>
    <row r="1053" spans="1:3" ht="15.75" customHeight="1" x14ac:dyDescent="0.4">
      <c r="A1053" s="24" t="s">
        <v>355</v>
      </c>
      <c r="B1053" s="24" t="s">
        <v>2322</v>
      </c>
      <c r="C1053" s="68">
        <v>44741.5756944444</v>
      </c>
    </row>
    <row r="1054" spans="1:3" ht="15.75" customHeight="1" x14ac:dyDescent="0.4">
      <c r="A1054" s="24" t="s">
        <v>732</v>
      </c>
      <c r="B1054" s="24" t="s">
        <v>2323</v>
      </c>
      <c r="C1054" s="69">
        <v>44743.860416666699</v>
      </c>
    </row>
    <row r="1055" spans="1:3" ht="15.75" customHeight="1" x14ac:dyDescent="0.4">
      <c r="A1055" s="24" t="s">
        <v>1174</v>
      </c>
      <c r="B1055" s="24" t="s">
        <v>2324</v>
      </c>
      <c r="C1055" s="68">
        <v>44741.619444444397</v>
      </c>
    </row>
    <row r="1056" spans="1:3" ht="15.75" customHeight="1" x14ac:dyDescent="0.4">
      <c r="A1056" s="24" t="s">
        <v>2088</v>
      </c>
      <c r="B1056" s="24" t="s">
        <v>2325</v>
      </c>
      <c r="C1056" s="68">
        <v>44741.625</v>
      </c>
    </row>
    <row r="1057" spans="1:3" ht="15.75" customHeight="1" x14ac:dyDescent="0.4">
      <c r="A1057" s="24" t="s">
        <v>1806</v>
      </c>
      <c r="B1057" s="24" t="s">
        <v>2326</v>
      </c>
      <c r="C1057" s="68">
        <v>44741.636111111096</v>
      </c>
    </row>
    <row r="1058" spans="1:3" ht="15.75" customHeight="1" x14ac:dyDescent="0.4">
      <c r="A1058" s="24" t="s">
        <v>1433</v>
      </c>
      <c r="B1058" s="24" t="s">
        <v>2327</v>
      </c>
      <c r="C1058" s="68">
        <v>44742.743055555598</v>
      </c>
    </row>
    <row r="1059" spans="1:3" ht="15.75" customHeight="1" x14ac:dyDescent="0.4">
      <c r="A1059" s="24" t="s">
        <v>671</v>
      </c>
      <c r="B1059" s="24" t="s">
        <v>2327</v>
      </c>
      <c r="C1059" s="69">
        <v>44748.723611111098</v>
      </c>
    </row>
    <row r="1060" spans="1:3" ht="15.75" customHeight="1" x14ac:dyDescent="0.4">
      <c r="A1060" s="24" t="s">
        <v>276</v>
      </c>
      <c r="B1060" s="24" t="s">
        <v>2328</v>
      </c>
      <c r="C1060" s="68">
        <v>44742.474305555603</v>
      </c>
    </row>
    <row r="1061" spans="1:3" ht="15.75" customHeight="1" x14ac:dyDescent="0.4">
      <c r="A1061" s="24" t="s">
        <v>1933</v>
      </c>
      <c r="B1061" s="24" t="s">
        <v>2329</v>
      </c>
      <c r="C1061" s="68">
        <v>44741.8125</v>
      </c>
    </row>
    <row r="1062" spans="1:3" ht="15.75" customHeight="1" x14ac:dyDescent="0.4">
      <c r="A1062" s="24" t="s">
        <v>2079</v>
      </c>
      <c r="B1062" s="24" t="s">
        <v>2330</v>
      </c>
      <c r="C1062" s="68">
        <v>44741.663194444503</v>
      </c>
    </row>
    <row r="1063" spans="1:3" ht="15.75" customHeight="1" x14ac:dyDescent="0.4">
      <c r="A1063" s="24" t="s">
        <v>1984</v>
      </c>
      <c r="B1063" s="24" t="s">
        <v>2331</v>
      </c>
      <c r="C1063" s="69">
        <v>44748.572222222203</v>
      </c>
    </row>
    <row r="1064" spans="1:3" ht="15.75" customHeight="1" x14ac:dyDescent="0.4">
      <c r="A1064" s="24" t="s">
        <v>740</v>
      </c>
      <c r="B1064" s="24" t="s">
        <v>2332</v>
      </c>
      <c r="C1064" s="24" t="s">
        <v>826</v>
      </c>
    </row>
    <row r="1065" spans="1:3" ht="15.75" customHeight="1" x14ac:dyDescent="0.4">
      <c r="A1065" s="24" t="s">
        <v>2032</v>
      </c>
      <c r="B1065" s="24" t="s">
        <v>2333</v>
      </c>
      <c r="C1065" s="68">
        <v>44742.659027777801</v>
      </c>
    </row>
    <row r="1066" spans="1:3" ht="15.75" customHeight="1" x14ac:dyDescent="0.4">
      <c r="A1066" s="24" t="s">
        <v>1028</v>
      </c>
      <c r="B1066" s="24" t="s">
        <v>2334</v>
      </c>
      <c r="C1066" s="68">
        <v>44741.686805555597</v>
      </c>
    </row>
    <row r="1067" spans="1:3" ht="15.75" customHeight="1" x14ac:dyDescent="0.4">
      <c r="A1067" s="24" t="s">
        <v>1112</v>
      </c>
      <c r="B1067" s="24" t="s">
        <v>2335</v>
      </c>
      <c r="C1067" s="68">
        <v>44741.8527777778</v>
      </c>
    </row>
    <row r="1068" spans="1:3" ht="15.75" customHeight="1" x14ac:dyDescent="0.4">
      <c r="A1068" s="24" t="s">
        <v>1376</v>
      </c>
      <c r="B1068" s="24" t="s">
        <v>2336</v>
      </c>
      <c r="C1068" s="68">
        <v>44741.753472222197</v>
      </c>
    </row>
    <row r="1069" spans="1:3" ht="15.75" customHeight="1" x14ac:dyDescent="0.4">
      <c r="A1069" s="24" t="s">
        <v>1930</v>
      </c>
      <c r="B1069" s="24" t="s">
        <v>2337</v>
      </c>
      <c r="C1069" s="24" t="s">
        <v>826</v>
      </c>
    </row>
    <row r="1070" spans="1:3" ht="15.75" customHeight="1" x14ac:dyDescent="0.4">
      <c r="A1070" s="24" t="s">
        <v>287</v>
      </c>
      <c r="B1070" s="24" t="s">
        <v>2338</v>
      </c>
      <c r="C1070" s="68">
        <v>44742.523611111101</v>
      </c>
    </row>
    <row r="1071" spans="1:3" ht="15.75" customHeight="1" x14ac:dyDescent="0.4">
      <c r="A1071" s="24" t="s">
        <v>2005</v>
      </c>
      <c r="B1071" s="24" t="s">
        <v>2339</v>
      </c>
      <c r="C1071" s="68">
        <v>44741.875694444498</v>
      </c>
    </row>
    <row r="1072" spans="1:3" ht="15.75" customHeight="1" x14ac:dyDescent="0.4">
      <c r="A1072" s="24" t="s">
        <v>1575</v>
      </c>
      <c r="B1072" s="24" t="s">
        <v>2340</v>
      </c>
      <c r="C1072" s="68">
        <v>44742.693749999999</v>
      </c>
    </row>
    <row r="1073" spans="1:3" ht="15.75" customHeight="1" x14ac:dyDescent="0.4">
      <c r="A1073" s="24" t="s">
        <v>1084</v>
      </c>
      <c r="B1073" s="24" t="s">
        <v>2341</v>
      </c>
      <c r="C1073" s="68">
        <v>44742.448611111096</v>
      </c>
    </row>
    <row r="1074" spans="1:3" ht="15.75" customHeight="1" x14ac:dyDescent="0.4">
      <c r="A1074" s="24" t="s">
        <v>2008</v>
      </c>
      <c r="B1074" s="24" t="s">
        <v>2342</v>
      </c>
      <c r="C1074" s="68">
        <v>44756.842361111099</v>
      </c>
    </row>
    <row r="1075" spans="1:3" ht="15.75" customHeight="1" x14ac:dyDescent="0.4">
      <c r="A1075" s="24" t="s">
        <v>1505</v>
      </c>
      <c r="B1075" s="24" t="s">
        <v>2343</v>
      </c>
      <c r="C1075" s="68">
        <v>44742.697916666701</v>
      </c>
    </row>
    <row r="1076" spans="1:3" ht="15.75" customHeight="1" x14ac:dyDescent="0.4">
      <c r="A1076" s="24" t="s">
        <v>833</v>
      </c>
      <c r="B1076" s="24" t="s">
        <v>2344</v>
      </c>
      <c r="C1076" s="68">
        <v>44741.675000000003</v>
      </c>
    </row>
    <row r="1077" spans="1:3" ht="15.75" customHeight="1" x14ac:dyDescent="0.4">
      <c r="A1077" s="24" t="s">
        <v>667</v>
      </c>
      <c r="B1077" s="24" t="s">
        <v>2345</v>
      </c>
      <c r="C1077" s="24" t="s">
        <v>826</v>
      </c>
    </row>
    <row r="1078" spans="1:3" ht="15.75" customHeight="1" x14ac:dyDescent="0.4">
      <c r="A1078" s="24" t="s">
        <v>1612</v>
      </c>
      <c r="B1078" s="24" t="s">
        <v>2346</v>
      </c>
      <c r="C1078" s="69">
        <v>44746.904861111099</v>
      </c>
    </row>
    <row r="1079" spans="1:3" ht="15.75" customHeight="1" x14ac:dyDescent="0.4">
      <c r="A1079" s="24" t="s">
        <v>1810</v>
      </c>
      <c r="B1079" s="24" t="s">
        <v>2347</v>
      </c>
      <c r="C1079" s="68">
        <v>44742.447916666701</v>
      </c>
    </row>
    <row r="1080" spans="1:3" ht="15.75" customHeight="1" x14ac:dyDescent="0.4">
      <c r="A1080" s="24" t="s">
        <v>803</v>
      </c>
      <c r="B1080" s="24" t="s">
        <v>2348</v>
      </c>
      <c r="C1080" s="69">
        <v>44749.590972222199</v>
      </c>
    </row>
    <row r="1081" spans="1:3" ht="15.75" customHeight="1" x14ac:dyDescent="0.4">
      <c r="A1081" s="24" t="s">
        <v>1534</v>
      </c>
      <c r="B1081" s="24" t="s">
        <v>2349</v>
      </c>
      <c r="C1081" s="69">
        <v>44743.863888888904</v>
      </c>
    </row>
    <row r="1082" spans="1:3" ht="15.75" customHeight="1" x14ac:dyDescent="0.4">
      <c r="A1082" s="24" t="s">
        <v>708</v>
      </c>
      <c r="B1082" s="24" t="s">
        <v>2350</v>
      </c>
      <c r="C1082" s="69">
        <v>44744.6875</v>
      </c>
    </row>
    <row r="1083" spans="1:3" ht="15.75" customHeight="1" x14ac:dyDescent="0.4">
      <c r="A1083" s="24" t="s">
        <v>1703</v>
      </c>
      <c r="B1083" s="24" t="s">
        <v>2351</v>
      </c>
      <c r="C1083" s="68">
        <v>44741.715277777803</v>
      </c>
    </row>
    <row r="1084" spans="1:3" ht="15.75" customHeight="1" x14ac:dyDescent="0.4">
      <c r="A1084" s="24" t="s">
        <v>2118</v>
      </c>
      <c r="B1084" s="24" t="s">
        <v>2352</v>
      </c>
      <c r="C1084" s="68">
        <v>44741.770138888904</v>
      </c>
    </row>
    <row r="1085" spans="1:3" ht="15.75" customHeight="1" x14ac:dyDescent="0.4">
      <c r="A1085" s="24" t="s">
        <v>1631</v>
      </c>
      <c r="B1085" s="24" t="s">
        <v>2353</v>
      </c>
      <c r="C1085" s="68">
        <v>44740.540972222203</v>
      </c>
    </row>
    <row r="1086" spans="1:3" ht="15.75" customHeight="1" x14ac:dyDescent="0.4">
      <c r="A1086" s="24" t="s">
        <v>1422</v>
      </c>
      <c r="B1086" s="24" t="s">
        <v>2354</v>
      </c>
      <c r="C1086" s="68">
        <v>44752.881249999999</v>
      </c>
    </row>
    <row r="1087" spans="1:3" ht="15.75" customHeight="1" x14ac:dyDescent="0.4">
      <c r="A1087" s="24" t="s">
        <v>1300</v>
      </c>
      <c r="B1087" s="24" t="s">
        <v>2355</v>
      </c>
      <c r="C1087" s="69">
        <v>44744.597916666702</v>
      </c>
    </row>
    <row r="1088" spans="1:3" ht="15.75" customHeight="1" x14ac:dyDescent="0.4">
      <c r="A1088" s="24" t="s">
        <v>297</v>
      </c>
      <c r="B1088" s="24" t="s">
        <v>2356</v>
      </c>
      <c r="C1088" s="68">
        <v>44742.472916666702</v>
      </c>
    </row>
    <row r="1089" spans="1:3" ht="15.75" customHeight="1" x14ac:dyDescent="0.4">
      <c r="A1089" s="24" t="s">
        <v>1485</v>
      </c>
      <c r="B1089" s="24" t="s">
        <v>2357</v>
      </c>
      <c r="C1089" s="69">
        <v>44748.4777777778</v>
      </c>
    </row>
    <row r="1090" spans="1:3" ht="15.75" customHeight="1" x14ac:dyDescent="0.4">
      <c r="A1090" s="24" t="s">
        <v>796</v>
      </c>
      <c r="B1090" s="24" t="s">
        <v>2358</v>
      </c>
      <c r="C1090" s="68">
        <v>44740.506249999999</v>
      </c>
    </row>
    <row r="1091" spans="1:3" ht="15.75" customHeight="1" x14ac:dyDescent="0.4">
      <c r="A1091" s="24" t="s">
        <v>987</v>
      </c>
      <c r="B1091" s="24" t="s">
        <v>2359</v>
      </c>
      <c r="C1091" s="68">
        <v>44740.613888888904</v>
      </c>
    </row>
    <row r="1092" spans="1:3" ht="15.75" customHeight="1" x14ac:dyDescent="0.4">
      <c r="A1092" s="24" t="s">
        <v>1436</v>
      </c>
      <c r="B1092" s="24" t="s">
        <v>2360</v>
      </c>
      <c r="C1092" s="68">
        <v>44741.563194444498</v>
      </c>
    </row>
    <row r="1093" spans="1:3" ht="15.75" customHeight="1" x14ac:dyDescent="0.4">
      <c r="A1093" s="24" t="s">
        <v>513</v>
      </c>
      <c r="B1093" s="24" t="s">
        <v>2361</v>
      </c>
      <c r="C1093" s="69">
        <v>44748.517361111102</v>
      </c>
    </row>
    <row r="1094" spans="1:3" ht="15.75" customHeight="1" x14ac:dyDescent="0.4">
      <c r="A1094" s="24" t="s">
        <v>1531</v>
      </c>
      <c r="B1094" s="24" t="s">
        <v>2362</v>
      </c>
      <c r="C1094" s="69">
        <v>44749.75</v>
      </c>
    </row>
    <row r="1095" spans="1:3" ht="15.75" customHeight="1" x14ac:dyDescent="0.4">
      <c r="A1095" s="24" t="s">
        <v>1248</v>
      </c>
      <c r="B1095" s="24" t="s">
        <v>2363</v>
      </c>
      <c r="C1095" s="69">
        <v>44749.5847222222</v>
      </c>
    </row>
    <row r="1096" spans="1:3" ht="15.75" customHeight="1" x14ac:dyDescent="0.4">
      <c r="A1096" s="24" t="s">
        <v>1315</v>
      </c>
      <c r="B1096" s="24" t="s">
        <v>2364</v>
      </c>
      <c r="C1096" s="69">
        <v>44749.500694444498</v>
      </c>
    </row>
    <row r="1097" spans="1:3" ht="15.75" customHeight="1" x14ac:dyDescent="0.4">
      <c r="A1097" s="24" t="s">
        <v>567</v>
      </c>
      <c r="B1097" s="24" t="s">
        <v>2365</v>
      </c>
      <c r="C1097" s="68">
        <v>44740.573611111096</v>
      </c>
    </row>
    <row r="1098" spans="1:3" ht="15.75" customHeight="1" x14ac:dyDescent="0.4">
      <c r="A1098" s="24" t="s">
        <v>1416</v>
      </c>
      <c r="B1098" s="24" t="s">
        <v>2366</v>
      </c>
      <c r="C1098" s="68">
        <v>44740.429166666698</v>
      </c>
    </row>
    <row r="1099" spans="1:3" ht="15.75" customHeight="1" x14ac:dyDescent="0.4">
      <c r="A1099" s="24" t="s">
        <v>1495</v>
      </c>
      <c r="B1099" s="24" t="s">
        <v>2367</v>
      </c>
      <c r="C1099" s="68">
        <v>44741.7409722222</v>
      </c>
    </row>
    <row r="1100" spans="1:3" ht="15.75" customHeight="1" x14ac:dyDescent="0.4">
      <c r="A1100" s="24" t="s">
        <v>327</v>
      </c>
      <c r="B1100" s="24" t="s">
        <v>2368</v>
      </c>
      <c r="C1100" s="24" t="s">
        <v>826</v>
      </c>
    </row>
    <row r="1101" spans="1:3" ht="15.75" customHeight="1" x14ac:dyDescent="0.4">
      <c r="A1101" s="24" t="s">
        <v>1096</v>
      </c>
      <c r="B1101" s="24" t="s">
        <v>2369</v>
      </c>
      <c r="C1101" s="69">
        <v>44748.613888888904</v>
      </c>
    </row>
    <row r="1102" spans="1:3" ht="15.75" customHeight="1" x14ac:dyDescent="0.4">
      <c r="A1102" s="24" t="s">
        <v>1005</v>
      </c>
      <c r="B1102" s="24" t="s">
        <v>2370</v>
      </c>
      <c r="C1102" s="69">
        <v>44747.614583333299</v>
      </c>
    </row>
    <row r="1103" spans="1:3" ht="15.75" customHeight="1" x14ac:dyDescent="0.4">
      <c r="A1103" s="24" t="s">
        <v>1905</v>
      </c>
      <c r="B1103" s="24" t="s">
        <v>2371</v>
      </c>
      <c r="C1103" s="69">
        <v>44745.745138888902</v>
      </c>
    </row>
    <row r="1104" spans="1:3" ht="15.75" customHeight="1" x14ac:dyDescent="0.4">
      <c r="A1104" s="24" t="s">
        <v>1500</v>
      </c>
      <c r="B1104" s="24" t="s">
        <v>2372</v>
      </c>
      <c r="C1104" s="69">
        <v>44749.754861111098</v>
      </c>
    </row>
    <row r="1105" spans="1:3" ht="15.75" customHeight="1" x14ac:dyDescent="0.4">
      <c r="A1105" s="24" t="s">
        <v>1102</v>
      </c>
      <c r="B1105" s="24" t="s">
        <v>2373</v>
      </c>
      <c r="C1105" s="69">
        <v>44749.536111111098</v>
      </c>
    </row>
    <row r="1106" spans="1:3" ht="15.75" customHeight="1" x14ac:dyDescent="0.4">
      <c r="A1106" s="24" t="s">
        <v>1525</v>
      </c>
      <c r="B1106" s="24" t="s">
        <v>2374</v>
      </c>
      <c r="C1106" s="69">
        <v>44748.749305555597</v>
      </c>
    </row>
    <row r="1107" spans="1:3" ht="15.75" customHeight="1" x14ac:dyDescent="0.4">
      <c r="A1107" s="24" t="s">
        <v>1417</v>
      </c>
      <c r="B1107" s="24" t="s">
        <v>2375</v>
      </c>
      <c r="C1107" s="69">
        <v>44744.426388888904</v>
      </c>
    </row>
    <row r="1108" spans="1:3" ht="15.75" customHeight="1" x14ac:dyDescent="0.4">
      <c r="A1108" s="24" t="s">
        <v>2089</v>
      </c>
      <c r="B1108" s="24" t="s">
        <v>2376</v>
      </c>
      <c r="C1108" s="69">
        <v>44747.5</v>
      </c>
    </row>
    <row r="1109" spans="1:3" ht="15.75" customHeight="1" x14ac:dyDescent="0.4">
      <c r="A1109" s="24" t="s">
        <v>835</v>
      </c>
      <c r="B1109" s="24" t="s">
        <v>2377</v>
      </c>
      <c r="C1109" s="69">
        <v>44747.704861111102</v>
      </c>
    </row>
    <row r="1110" spans="1:3" ht="15.75" customHeight="1" x14ac:dyDescent="0.4">
      <c r="A1110" s="24" t="s">
        <v>828</v>
      </c>
      <c r="B1110" s="24" t="s">
        <v>2378</v>
      </c>
      <c r="C1110" s="24" t="s">
        <v>826</v>
      </c>
    </row>
    <row r="1111" spans="1:3" ht="15.75" customHeight="1" x14ac:dyDescent="0.4">
      <c r="A1111" s="24" t="s">
        <v>1893</v>
      </c>
      <c r="B1111" s="24" t="s">
        <v>2379</v>
      </c>
      <c r="C1111" s="68">
        <v>44757.725694444503</v>
      </c>
    </row>
    <row r="1112" spans="1:3" ht="15.75" customHeight="1" x14ac:dyDescent="0.4">
      <c r="A1112" s="24" t="s">
        <v>853</v>
      </c>
      <c r="B1112" s="24" t="s">
        <v>2379</v>
      </c>
      <c r="C1112" s="68">
        <v>44741.777083333298</v>
      </c>
    </row>
    <row r="1113" spans="1:3" ht="15.75" customHeight="1" x14ac:dyDescent="0.4">
      <c r="A1113" s="24" t="s">
        <v>1312</v>
      </c>
      <c r="B1113" s="24" t="s">
        <v>2380</v>
      </c>
      <c r="C1113" s="69">
        <v>44749.480555555601</v>
      </c>
    </row>
    <row r="1114" spans="1:3" ht="15.75" customHeight="1" x14ac:dyDescent="0.4">
      <c r="A1114" s="24" t="s">
        <v>1442</v>
      </c>
      <c r="B1114" s="24" t="s">
        <v>2381</v>
      </c>
      <c r="C1114" s="69">
        <v>44747.613888888904</v>
      </c>
    </row>
    <row r="1115" spans="1:3" ht="15.75" customHeight="1" x14ac:dyDescent="0.4">
      <c r="A1115" s="24" t="s">
        <v>331</v>
      </c>
      <c r="B1115" s="24" t="s">
        <v>2382</v>
      </c>
      <c r="C1115" s="24" t="s">
        <v>826</v>
      </c>
    </row>
    <row r="1116" spans="1:3" ht="15.75" customHeight="1" x14ac:dyDescent="0.4">
      <c r="A1116" s="24" t="s">
        <v>345</v>
      </c>
      <c r="B1116" s="24" t="s">
        <v>2383</v>
      </c>
      <c r="C1116" s="69">
        <v>44748.556250000001</v>
      </c>
    </row>
    <row r="1117" spans="1:3" ht="15.75" customHeight="1" x14ac:dyDescent="0.4">
      <c r="A1117" s="24" t="s">
        <v>1235</v>
      </c>
      <c r="B1117" s="24" t="s">
        <v>2384</v>
      </c>
      <c r="C1117" s="69">
        <v>44746.701388888898</v>
      </c>
    </row>
    <row r="1118" spans="1:3" ht="15.75" customHeight="1" x14ac:dyDescent="0.4">
      <c r="A1118" s="24" t="s">
        <v>1916</v>
      </c>
      <c r="B1118" s="24" t="s">
        <v>2385</v>
      </c>
      <c r="C1118" s="68">
        <v>44741.866666666698</v>
      </c>
    </row>
    <row r="1119" spans="1:3" ht="15.75" customHeight="1" x14ac:dyDescent="0.4">
      <c r="A1119" s="24" t="s">
        <v>870</v>
      </c>
      <c r="B1119" s="24" t="s">
        <v>2386</v>
      </c>
      <c r="C1119" s="69">
        <v>44748.896527777797</v>
      </c>
    </row>
    <row r="1120" spans="1:3" ht="15.75" customHeight="1" x14ac:dyDescent="0.4">
      <c r="A1120" s="24" t="s">
        <v>1266</v>
      </c>
      <c r="B1120" s="24" t="s">
        <v>2387</v>
      </c>
      <c r="C1120" s="69">
        <v>44747.668749999997</v>
      </c>
    </row>
    <row r="1121" spans="1:3" ht="15.75" customHeight="1" x14ac:dyDescent="0.4">
      <c r="A1121" s="24" t="s">
        <v>930</v>
      </c>
      <c r="B1121" s="24" t="s">
        <v>2388</v>
      </c>
      <c r="C1121" s="24" t="s">
        <v>826</v>
      </c>
    </row>
    <row r="1122" spans="1:3" ht="15.75" customHeight="1" x14ac:dyDescent="0.4">
      <c r="A1122" s="24" t="s">
        <v>1776</v>
      </c>
      <c r="B1122" s="24" t="s">
        <v>2389</v>
      </c>
      <c r="C1122" s="69">
        <v>44744.681944444397</v>
      </c>
    </row>
    <row r="1123" spans="1:3" ht="15.75" customHeight="1" x14ac:dyDescent="0.4">
      <c r="A1123" s="24" t="s">
        <v>1949</v>
      </c>
      <c r="B1123" s="24" t="s">
        <v>2390</v>
      </c>
      <c r="C1123" s="69">
        <v>44747.869444444397</v>
      </c>
    </row>
    <row r="1124" spans="1:3" ht="15.75" customHeight="1" x14ac:dyDescent="0.4">
      <c r="A1124" s="24" t="s">
        <v>1870</v>
      </c>
      <c r="B1124" s="24" t="s">
        <v>2391</v>
      </c>
      <c r="C1124" s="68">
        <v>44741.868055555598</v>
      </c>
    </row>
    <row r="1125" spans="1:3" ht="15.75" customHeight="1" x14ac:dyDescent="0.4">
      <c r="A1125" s="24" t="s">
        <v>1901</v>
      </c>
      <c r="B1125" s="24" t="s">
        <v>2392</v>
      </c>
      <c r="C1125" s="69">
        <v>44747.6652777778</v>
      </c>
    </row>
    <row r="1126" spans="1:3" ht="15.75" customHeight="1" x14ac:dyDescent="0.4">
      <c r="A1126" s="24" t="s">
        <v>1982</v>
      </c>
      <c r="B1126" s="24" t="s">
        <v>2393</v>
      </c>
      <c r="C1126" s="69">
        <v>44748.8125</v>
      </c>
    </row>
    <row r="1127" spans="1:3" ht="15.75" customHeight="1" x14ac:dyDescent="0.4">
      <c r="A1127" s="24" t="s">
        <v>1721</v>
      </c>
      <c r="B1127" s="24" t="s">
        <v>2394</v>
      </c>
      <c r="C1127" s="69">
        <v>44750.816666666702</v>
      </c>
    </row>
    <row r="1128" spans="1:3" ht="15.75" customHeight="1" x14ac:dyDescent="0.4">
      <c r="A1128" s="24" t="s">
        <v>1983</v>
      </c>
      <c r="B1128" s="24" t="s">
        <v>2395</v>
      </c>
      <c r="C1128" s="69">
        <v>44746.770138888904</v>
      </c>
    </row>
    <row r="1129" spans="1:3" ht="15.75" customHeight="1" x14ac:dyDescent="0.4">
      <c r="A1129" s="24" t="s">
        <v>1652</v>
      </c>
      <c r="B1129" s="24" t="s">
        <v>2396</v>
      </c>
      <c r="C1129" s="68">
        <v>44742.604861111096</v>
      </c>
    </row>
    <row r="1130" spans="1:3" ht="15.75" customHeight="1" x14ac:dyDescent="0.4">
      <c r="A1130" s="24" t="s">
        <v>1289</v>
      </c>
      <c r="B1130" s="24" t="s">
        <v>2397</v>
      </c>
      <c r="C1130" s="69">
        <v>44749.713888888902</v>
      </c>
    </row>
    <row r="1131" spans="1:3" ht="15.75" customHeight="1" x14ac:dyDescent="0.4">
      <c r="A1131" s="24" t="s">
        <v>1596</v>
      </c>
      <c r="B1131" s="24" t="s">
        <v>2398</v>
      </c>
      <c r="C1131" s="69">
        <v>44743.75</v>
      </c>
    </row>
    <row r="1132" spans="1:3" ht="15.75" customHeight="1" x14ac:dyDescent="0.4">
      <c r="A1132" s="24" t="s">
        <v>1797</v>
      </c>
      <c r="B1132" s="24" t="s">
        <v>2399</v>
      </c>
      <c r="C1132" s="69">
        <v>44745.863888888904</v>
      </c>
    </row>
    <row r="1133" spans="1:3" ht="15.75" customHeight="1" x14ac:dyDescent="0.4">
      <c r="A1133" s="24" t="s">
        <v>1845</v>
      </c>
      <c r="B1133" s="24" t="s">
        <v>2400</v>
      </c>
      <c r="C1133" s="69">
        <v>44748.824999999997</v>
      </c>
    </row>
    <row r="1134" spans="1:3" ht="15.75" customHeight="1" x14ac:dyDescent="0.4">
      <c r="A1134" s="24" t="s">
        <v>1742</v>
      </c>
      <c r="B1134" s="24" t="s">
        <v>2401</v>
      </c>
      <c r="C1134" s="69">
        <v>44751.787499999999</v>
      </c>
    </row>
    <row r="1135" spans="1:3" ht="15.75" customHeight="1" x14ac:dyDescent="0.4">
      <c r="A1135" s="24" t="s">
        <v>2091</v>
      </c>
      <c r="B1135" s="24" t="s">
        <v>2402</v>
      </c>
      <c r="C1135" s="68">
        <v>44753.773611111101</v>
      </c>
    </row>
    <row r="1136" spans="1:3" ht="15.75" customHeight="1" x14ac:dyDescent="0.4">
      <c r="A1136" s="24" t="s">
        <v>1470</v>
      </c>
      <c r="B1136" s="24" t="s">
        <v>2403</v>
      </c>
      <c r="C1136" s="69">
        <v>44748.856249999997</v>
      </c>
    </row>
    <row r="1137" spans="1:3" ht="15.75" customHeight="1" x14ac:dyDescent="0.4">
      <c r="A1137" s="24" t="s">
        <v>1349</v>
      </c>
      <c r="B1137" s="24" t="s">
        <v>2404</v>
      </c>
      <c r="C1137" s="69">
        <v>44745.858333333301</v>
      </c>
    </row>
    <row r="1138" spans="1:3" ht="15.75" customHeight="1" x14ac:dyDescent="0.4">
      <c r="A1138" s="24" t="s">
        <v>1947</v>
      </c>
      <c r="B1138" s="24" t="s">
        <v>2404</v>
      </c>
      <c r="C1138" s="69">
        <v>44749.647916666698</v>
      </c>
    </row>
    <row r="1139" spans="1:3" ht="15.75" customHeight="1" x14ac:dyDescent="0.4">
      <c r="A1139" s="24" t="s">
        <v>353</v>
      </c>
      <c r="B1139" s="24" t="s">
        <v>2405</v>
      </c>
      <c r="C1139" s="68">
        <v>44741.866666666698</v>
      </c>
    </row>
    <row r="1140" spans="1:3" ht="15.75" customHeight="1" x14ac:dyDescent="0.4">
      <c r="A1140" s="24" t="s">
        <v>1024</v>
      </c>
      <c r="B1140" s="24" t="s">
        <v>2406</v>
      </c>
      <c r="C1140" s="69">
        <v>44743.8527777778</v>
      </c>
    </row>
    <row r="1141" spans="1:3" ht="15.75" customHeight="1" x14ac:dyDescent="0.4">
      <c r="A1141" s="24" t="s">
        <v>720</v>
      </c>
      <c r="B1141" s="24" t="s">
        <v>2407</v>
      </c>
      <c r="C1141" s="68">
        <v>44753.726388888899</v>
      </c>
    </row>
    <row r="1142" spans="1:3" ht="15.75" customHeight="1" x14ac:dyDescent="0.4">
      <c r="A1142" s="24" t="s">
        <v>266</v>
      </c>
      <c r="B1142" s="24" t="s">
        <v>2408</v>
      </c>
      <c r="C1142" s="24" t="s">
        <v>826</v>
      </c>
    </row>
    <row r="1143" spans="1:3" ht="15.75" customHeight="1" x14ac:dyDescent="0.4">
      <c r="A1143" s="24" t="s">
        <v>655</v>
      </c>
      <c r="B1143" s="24" t="s">
        <v>2409</v>
      </c>
      <c r="C1143" s="69">
        <v>44750.672222222202</v>
      </c>
    </row>
    <row r="1144" spans="1:3" ht="15.75" customHeight="1" x14ac:dyDescent="0.4">
      <c r="A1144" s="24" t="s">
        <v>1979</v>
      </c>
      <c r="B1144" s="24" t="s">
        <v>2410</v>
      </c>
      <c r="C1144" s="69">
        <v>44745.491666666698</v>
      </c>
    </row>
    <row r="1145" spans="1:3" ht="15.75" customHeight="1" x14ac:dyDescent="0.4">
      <c r="A1145" s="24" t="s">
        <v>653</v>
      </c>
      <c r="B1145" s="24" t="s">
        <v>2411</v>
      </c>
      <c r="C1145" s="24" t="s">
        <v>826</v>
      </c>
    </row>
    <row r="1146" spans="1:3" ht="15.75" customHeight="1" x14ac:dyDescent="0.4">
      <c r="A1146" s="24" t="s">
        <v>1843</v>
      </c>
      <c r="B1146" s="24" t="s">
        <v>2412</v>
      </c>
      <c r="C1146" s="69">
        <v>44746.768750000003</v>
      </c>
    </row>
    <row r="1147" spans="1:3" ht="15.75" customHeight="1" x14ac:dyDescent="0.4">
      <c r="A1147" s="24" t="s">
        <v>702</v>
      </c>
      <c r="B1147" s="24" t="s">
        <v>2413</v>
      </c>
      <c r="C1147" s="69">
        <v>44744.635416666701</v>
      </c>
    </row>
    <row r="1148" spans="1:3" ht="15.75" customHeight="1" x14ac:dyDescent="0.4">
      <c r="A1148" s="24" t="s">
        <v>1002</v>
      </c>
      <c r="B1148" s="24" t="s">
        <v>2414</v>
      </c>
      <c r="C1148" s="69">
        <v>44746.697916666701</v>
      </c>
    </row>
    <row r="1149" spans="1:3" ht="15.75" customHeight="1" x14ac:dyDescent="0.4">
      <c r="A1149" s="24" t="s">
        <v>1362</v>
      </c>
      <c r="B1149" s="24" t="s">
        <v>2414</v>
      </c>
      <c r="C1149" s="69">
        <v>44744.629861111098</v>
      </c>
    </row>
    <row r="1150" spans="1:3" ht="15.75" customHeight="1" x14ac:dyDescent="0.4">
      <c r="A1150" s="24" t="s">
        <v>1741</v>
      </c>
      <c r="B1150" s="24" t="s">
        <v>2415</v>
      </c>
      <c r="C1150" s="68">
        <v>44765.443055555603</v>
      </c>
    </row>
    <row r="1151" spans="1:3" ht="15.75" customHeight="1" x14ac:dyDescent="0.4">
      <c r="A1151" s="24" t="s">
        <v>847</v>
      </c>
      <c r="B1151" s="24" t="s">
        <v>2416</v>
      </c>
      <c r="C1151" s="68">
        <v>44762.8569444444</v>
      </c>
    </row>
    <row r="1152" spans="1:3" ht="15.75" customHeight="1" x14ac:dyDescent="0.4">
      <c r="A1152" s="24" t="s">
        <v>1756</v>
      </c>
      <c r="B1152" s="24" t="s">
        <v>2417</v>
      </c>
      <c r="C1152" s="68">
        <v>44769.604166666701</v>
      </c>
    </row>
    <row r="1153" spans="1:3" ht="15.75" customHeight="1" x14ac:dyDescent="0.4">
      <c r="A1153" s="24" t="s">
        <v>2056</v>
      </c>
      <c r="B1153" s="24" t="s">
        <v>2418</v>
      </c>
      <c r="C1153" s="68">
        <v>44766.770833333299</v>
      </c>
    </row>
    <row r="1154" spans="1:3" ht="15.75" customHeight="1" x14ac:dyDescent="0.4">
      <c r="A1154" s="24" t="s">
        <v>589</v>
      </c>
      <c r="B1154" s="24" t="s">
        <v>2419</v>
      </c>
      <c r="C1154" s="69">
        <v>44743.797916666699</v>
      </c>
    </row>
    <row r="1155" spans="1:3" ht="15.75" customHeight="1" x14ac:dyDescent="0.4">
      <c r="A1155" s="24" t="s">
        <v>2077</v>
      </c>
      <c r="B1155" s="24" t="s">
        <v>2420</v>
      </c>
      <c r="C1155" s="69">
        <v>44748.539583333302</v>
      </c>
    </row>
    <row r="1156" spans="1:3" ht="15.75" customHeight="1" x14ac:dyDescent="0.4">
      <c r="A1156" s="24" t="s">
        <v>1641</v>
      </c>
      <c r="B1156" s="24" t="s">
        <v>2421</v>
      </c>
      <c r="C1156" s="69">
        <v>44747.5222222222</v>
      </c>
    </row>
    <row r="1157" spans="1:3" ht="15.75" customHeight="1" x14ac:dyDescent="0.4">
      <c r="A1157" s="24" t="s">
        <v>1786</v>
      </c>
      <c r="B1157" s="24" t="s">
        <v>2422</v>
      </c>
      <c r="C1157" s="69">
        <v>44748.658333333296</v>
      </c>
    </row>
    <row r="1158" spans="1:3" ht="15.75" customHeight="1" x14ac:dyDescent="0.4">
      <c r="A1158" s="24" t="s">
        <v>2078</v>
      </c>
      <c r="B1158" s="24" t="s">
        <v>2423</v>
      </c>
      <c r="C1158" s="69">
        <v>44745.53125</v>
      </c>
    </row>
    <row r="1159" spans="1:3" ht="15.75" customHeight="1" x14ac:dyDescent="0.4">
      <c r="A1159" s="24" t="s">
        <v>1558</v>
      </c>
      <c r="B1159" s="24" t="s">
        <v>2424</v>
      </c>
      <c r="C1159" s="69">
        <v>44749.541666666701</v>
      </c>
    </row>
    <row r="1160" spans="1:3" ht="15.75" customHeight="1" x14ac:dyDescent="0.4">
      <c r="A1160" s="24" t="s">
        <v>2024</v>
      </c>
      <c r="B1160" s="24" t="s">
        <v>2425</v>
      </c>
      <c r="C1160" s="69">
        <v>44745.646527777797</v>
      </c>
    </row>
    <row r="1161" spans="1:3" ht="15.75" customHeight="1" x14ac:dyDescent="0.4">
      <c r="A1161" s="24" t="s">
        <v>1847</v>
      </c>
      <c r="B1161" s="24" t="s">
        <v>2426</v>
      </c>
      <c r="C1161" s="69">
        <v>44745.710416666698</v>
      </c>
    </row>
    <row r="1162" spans="1:3" ht="15.75" customHeight="1" x14ac:dyDescent="0.4">
      <c r="A1162" s="24" t="s">
        <v>1153</v>
      </c>
      <c r="B1162" s="24" t="s">
        <v>2427</v>
      </c>
      <c r="C1162" s="69">
        <v>44749.648611111101</v>
      </c>
    </row>
    <row r="1163" spans="1:3" ht="15.75" customHeight="1" x14ac:dyDescent="0.4">
      <c r="A1163" s="24" t="s">
        <v>1277</v>
      </c>
      <c r="B1163" s="24" t="s">
        <v>2428</v>
      </c>
      <c r="C1163" s="24" t="s">
        <v>826</v>
      </c>
    </row>
    <row r="1164" spans="1:3" ht="15.75" customHeight="1" x14ac:dyDescent="0.4">
      <c r="A1164" s="24" t="s">
        <v>948</v>
      </c>
      <c r="B1164" s="24" t="s">
        <v>2429</v>
      </c>
      <c r="C1164" s="24" t="s">
        <v>826</v>
      </c>
    </row>
    <row r="1165" spans="1:3" ht="15.75" customHeight="1" x14ac:dyDescent="0.4">
      <c r="A1165" s="24" t="s">
        <v>1209</v>
      </c>
      <c r="B1165" s="24" t="s">
        <v>2429</v>
      </c>
      <c r="C1165" s="69">
        <v>44743.528472222199</v>
      </c>
    </row>
    <row r="1166" spans="1:3" ht="15.75" customHeight="1" x14ac:dyDescent="0.4">
      <c r="A1166" s="24" t="s">
        <v>1642</v>
      </c>
      <c r="B1166" s="24" t="s">
        <v>2430</v>
      </c>
      <c r="C1166" s="69">
        <v>44749.770138888904</v>
      </c>
    </row>
    <row r="1167" spans="1:3" ht="15.75" customHeight="1" x14ac:dyDescent="0.4">
      <c r="A1167" s="24" t="s">
        <v>1103</v>
      </c>
      <c r="B1167" s="24" t="s">
        <v>2431</v>
      </c>
      <c r="C1167" s="69">
        <v>44748.582638888904</v>
      </c>
    </row>
    <row r="1168" spans="1:3" ht="15.75" customHeight="1" x14ac:dyDescent="0.4">
      <c r="A1168" s="24" t="s">
        <v>1536</v>
      </c>
      <c r="B1168" s="24" t="s">
        <v>2432</v>
      </c>
      <c r="C1168" s="68">
        <v>44766.729861111096</v>
      </c>
    </row>
    <row r="1169" spans="1:3" ht="15.75" customHeight="1" x14ac:dyDescent="0.4">
      <c r="A1169" s="24" t="s">
        <v>1404</v>
      </c>
      <c r="B1169" s="24" t="s">
        <v>2433</v>
      </c>
      <c r="C1169" s="69">
        <v>44745.5625</v>
      </c>
    </row>
    <row r="1170" spans="1:3" ht="15.75" customHeight="1" x14ac:dyDescent="0.4">
      <c r="A1170" s="24" t="s">
        <v>888</v>
      </c>
      <c r="B1170" s="24" t="s">
        <v>2434</v>
      </c>
      <c r="C1170" s="68">
        <v>44741.747222222199</v>
      </c>
    </row>
    <row r="1171" spans="1:3" ht="15.75" customHeight="1" x14ac:dyDescent="0.4">
      <c r="A1171" s="24" t="s">
        <v>1222</v>
      </c>
      <c r="B1171" s="24" t="s">
        <v>2435</v>
      </c>
      <c r="C1171" s="69">
        <v>44748.686111111099</v>
      </c>
    </row>
    <row r="1172" spans="1:3" ht="15.75" customHeight="1" x14ac:dyDescent="0.4">
      <c r="A1172" s="24" t="s">
        <v>280</v>
      </c>
      <c r="B1172" s="24" t="s">
        <v>2436</v>
      </c>
      <c r="C1172" s="69">
        <v>44749.614583333299</v>
      </c>
    </row>
    <row r="1173" spans="1:3" ht="15.75" customHeight="1" x14ac:dyDescent="0.4">
      <c r="A1173" s="24" t="s">
        <v>1484</v>
      </c>
      <c r="B1173" s="24" t="s">
        <v>2437</v>
      </c>
      <c r="C1173" s="68">
        <v>44764.654166666704</v>
      </c>
    </row>
    <row r="1174" spans="1:3" ht="15.75" customHeight="1" x14ac:dyDescent="0.4">
      <c r="A1174" s="24" t="s">
        <v>1033</v>
      </c>
      <c r="B1174" s="24" t="s">
        <v>2438</v>
      </c>
      <c r="C1174" s="69">
        <v>44746.822916666701</v>
      </c>
    </row>
    <row r="1175" spans="1:3" ht="15.75" customHeight="1" x14ac:dyDescent="0.4">
      <c r="A1175" s="24" t="s">
        <v>1036</v>
      </c>
      <c r="B1175" s="24" t="s">
        <v>2439</v>
      </c>
      <c r="C1175" s="69">
        <v>44745.731249999997</v>
      </c>
    </row>
    <row r="1176" spans="1:3" ht="15.75" customHeight="1" x14ac:dyDescent="0.4">
      <c r="A1176" s="24" t="s">
        <v>1678</v>
      </c>
      <c r="B1176" s="24" t="s">
        <v>2440</v>
      </c>
      <c r="C1176" s="24" t="s">
        <v>826</v>
      </c>
    </row>
    <row r="1177" spans="1:3" ht="15.75" customHeight="1" x14ac:dyDescent="0.4">
      <c r="A1177" s="24" t="s">
        <v>1181</v>
      </c>
      <c r="B1177" s="24" t="s">
        <v>2441</v>
      </c>
      <c r="C1177" s="69">
        <v>44750.831250000003</v>
      </c>
    </row>
    <row r="1178" spans="1:3" ht="15.75" customHeight="1" x14ac:dyDescent="0.4">
      <c r="A1178" s="24" t="s">
        <v>1871</v>
      </c>
      <c r="B1178" s="24" t="s">
        <v>2442</v>
      </c>
      <c r="C1178" s="24" t="s">
        <v>826</v>
      </c>
    </row>
    <row r="1179" spans="1:3" ht="15.75" customHeight="1" x14ac:dyDescent="0.4">
      <c r="A1179" s="24" t="s">
        <v>1980</v>
      </c>
      <c r="B1179" s="24" t="s">
        <v>2443</v>
      </c>
      <c r="C1179" s="69">
        <v>44751.811805555597</v>
      </c>
    </row>
    <row r="1180" spans="1:3" ht="15.75" customHeight="1" x14ac:dyDescent="0.4">
      <c r="A1180" s="24" t="s">
        <v>1258</v>
      </c>
      <c r="B1180" s="24" t="s">
        <v>2444</v>
      </c>
      <c r="C1180" s="69">
        <v>44746.608333333301</v>
      </c>
    </row>
    <row r="1181" spans="1:3" ht="15.75" customHeight="1" x14ac:dyDescent="0.4">
      <c r="A1181" s="24" t="s">
        <v>2035</v>
      </c>
      <c r="B1181" s="24" t="s">
        <v>2445</v>
      </c>
      <c r="C1181" s="69">
        <v>44748.671527777798</v>
      </c>
    </row>
    <row r="1182" spans="1:3" ht="15.75" customHeight="1" x14ac:dyDescent="0.4">
      <c r="A1182" s="24" t="s">
        <v>1412</v>
      </c>
      <c r="B1182" s="24" t="s">
        <v>2446</v>
      </c>
      <c r="C1182" s="69">
        <v>44743.460416666698</v>
      </c>
    </row>
    <row r="1183" spans="1:3" ht="15.75" customHeight="1" x14ac:dyDescent="0.4">
      <c r="A1183" s="24" t="s">
        <v>549</v>
      </c>
      <c r="B1183" s="24" t="s">
        <v>2447</v>
      </c>
      <c r="C1183" s="69">
        <v>44751.498611111099</v>
      </c>
    </row>
    <row r="1184" spans="1:3" ht="15.75" customHeight="1" x14ac:dyDescent="0.4">
      <c r="A1184" s="24" t="s">
        <v>805</v>
      </c>
      <c r="B1184" s="24" t="s">
        <v>2448</v>
      </c>
      <c r="C1184" s="24" t="s">
        <v>826</v>
      </c>
    </row>
    <row r="1185" spans="1:3" ht="15.75" customHeight="1" x14ac:dyDescent="0.4">
      <c r="A1185" s="24" t="s">
        <v>335</v>
      </c>
      <c r="B1185" s="24" t="s">
        <v>2449</v>
      </c>
      <c r="C1185" s="24" t="s">
        <v>826</v>
      </c>
    </row>
    <row r="1186" spans="1:3" ht="15.75" customHeight="1" x14ac:dyDescent="0.4">
      <c r="A1186" s="24" t="s">
        <v>551</v>
      </c>
      <c r="B1186" s="24" t="s">
        <v>2450</v>
      </c>
      <c r="C1186" s="68">
        <v>44742.8618055556</v>
      </c>
    </row>
    <row r="1187" spans="1:3" ht="15.75" customHeight="1" x14ac:dyDescent="0.4">
      <c r="A1187" s="24" t="s">
        <v>639</v>
      </c>
      <c r="B1187" s="24" t="s">
        <v>2451</v>
      </c>
      <c r="C1187" s="68">
        <v>44764.662499999999</v>
      </c>
    </row>
    <row r="1188" spans="1:3" ht="15.75" customHeight="1" x14ac:dyDescent="0.4">
      <c r="A1188" s="24" t="s">
        <v>264</v>
      </c>
      <c r="B1188" s="24" t="s">
        <v>2452</v>
      </c>
      <c r="C1188" s="24" t="s">
        <v>826</v>
      </c>
    </row>
    <row r="1189" spans="1:3" ht="15.75" customHeight="1" x14ac:dyDescent="0.4">
      <c r="A1189" s="24" t="s">
        <v>951</v>
      </c>
      <c r="B1189" s="24" t="s">
        <v>2453</v>
      </c>
      <c r="C1189" s="69">
        <v>44748.813888888901</v>
      </c>
    </row>
    <row r="1190" spans="1:3" ht="15.75" customHeight="1" x14ac:dyDescent="0.4">
      <c r="A1190" s="24" t="s">
        <v>1440</v>
      </c>
      <c r="B1190" s="24" t="s">
        <v>2454</v>
      </c>
      <c r="C1190" s="68">
        <v>44738.711111111101</v>
      </c>
    </row>
    <row r="1191" spans="1:3" ht="15.75" customHeight="1" x14ac:dyDescent="0.4">
      <c r="A1191" s="24" t="s">
        <v>1909</v>
      </c>
      <c r="B1191" s="24" t="s">
        <v>2455</v>
      </c>
      <c r="C1191" s="68">
        <v>44752.5493055556</v>
      </c>
    </row>
    <row r="1192" spans="1:3" ht="15.75" customHeight="1" x14ac:dyDescent="0.4">
      <c r="A1192" s="24" t="s">
        <v>1239</v>
      </c>
      <c r="B1192" s="24" t="s">
        <v>2456</v>
      </c>
      <c r="C1192" s="69">
        <v>44749.851388888899</v>
      </c>
    </row>
    <row r="1193" spans="1:3" ht="15.75" customHeight="1" x14ac:dyDescent="0.4">
      <c r="A1193" s="24" t="s">
        <v>1418</v>
      </c>
      <c r="B1193" s="24" t="s">
        <v>2457</v>
      </c>
      <c r="C1193" s="24" t="s">
        <v>826</v>
      </c>
    </row>
    <row r="1194" spans="1:3" ht="15.75" customHeight="1" x14ac:dyDescent="0.4">
      <c r="A1194" s="24" t="s">
        <v>262</v>
      </c>
      <c r="B1194" s="24" t="s">
        <v>2458</v>
      </c>
      <c r="C1194" s="24" t="s">
        <v>826</v>
      </c>
    </row>
    <row r="1195" spans="1:3" ht="15.75" customHeight="1" x14ac:dyDescent="0.4">
      <c r="A1195" s="24" t="s">
        <v>1210</v>
      </c>
      <c r="B1195" s="24" t="s">
        <v>2459</v>
      </c>
      <c r="C1195" s="69">
        <v>44748.817361111098</v>
      </c>
    </row>
    <row r="1196" spans="1:3" ht="15.75" customHeight="1" x14ac:dyDescent="0.4">
      <c r="A1196" s="24" t="s">
        <v>581</v>
      </c>
      <c r="B1196" s="24" t="s">
        <v>2460</v>
      </c>
      <c r="C1196" s="24" t="s">
        <v>826</v>
      </c>
    </row>
    <row r="1197" spans="1:3" ht="15.75" customHeight="1" x14ac:dyDescent="0.4">
      <c r="A1197" s="24" t="s">
        <v>1421</v>
      </c>
      <c r="B1197" s="24" t="s">
        <v>2461</v>
      </c>
      <c r="C1197" s="69">
        <v>44748.548611111102</v>
      </c>
    </row>
    <row r="1198" spans="1:3" ht="15.75" customHeight="1" x14ac:dyDescent="0.4">
      <c r="A1198" s="24" t="s">
        <v>579</v>
      </c>
      <c r="B1198" s="24" t="s">
        <v>2462</v>
      </c>
      <c r="C1198" s="68">
        <v>44742.664583333302</v>
      </c>
    </row>
    <row r="1199" spans="1:3" ht="15.75" customHeight="1" x14ac:dyDescent="0.4">
      <c r="A1199" s="24" t="s">
        <v>1609</v>
      </c>
      <c r="B1199" s="24" t="s">
        <v>2463</v>
      </c>
      <c r="C1199" s="69">
        <v>44746.811805555597</v>
      </c>
    </row>
    <row r="1200" spans="1:3" ht="15.75" customHeight="1" x14ac:dyDescent="0.4">
      <c r="A1200" s="24" t="s">
        <v>1768</v>
      </c>
      <c r="B1200" s="24" t="s">
        <v>2464</v>
      </c>
      <c r="C1200" s="68">
        <v>44764.662499999999</v>
      </c>
    </row>
    <row r="1201" spans="1:3" ht="15.75" customHeight="1" x14ac:dyDescent="0.4">
      <c r="A1201" s="24" t="s">
        <v>862</v>
      </c>
      <c r="B1201" s="24" t="s">
        <v>2465</v>
      </c>
      <c r="C1201" s="68">
        <v>44742.480555555601</v>
      </c>
    </row>
    <row r="1202" spans="1:3" ht="15.75" customHeight="1" x14ac:dyDescent="0.4">
      <c r="A1202" s="24" t="s">
        <v>1833</v>
      </c>
      <c r="B1202" s="24" t="s">
        <v>2466</v>
      </c>
      <c r="C1202" s="69">
        <v>44747.795833333301</v>
      </c>
    </row>
    <row r="1203" spans="1:3" ht="15.75" customHeight="1" x14ac:dyDescent="0.4">
      <c r="A1203" s="24" t="s">
        <v>260</v>
      </c>
      <c r="B1203" s="24" t="s">
        <v>2467</v>
      </c>
      <c r="C1203" s="24" t="s">
        <v>826</v>
      </c>
    </row>
    <row r="1204" spans="1:3" ht="15.75" customHeight="1" x14ac:dyDescent="0.4">
      <c r="A1204" s="24" t="s">
        <v>1624</v>
      </c>
      <c r="B1204" s="24" t="s">
        <v>2468</v>
      </c>
      <c r="C1204" s="69">
        <v>44750.797916666699</v>
      </c>
    </row>
    <row r="1205" spans="1:3" ht="15.75" customHeight="1" x14ac:dyDescent="0.4">
      <c r="A1205" s="24" t="s">
        <v>1628</v>
      </c>
      <c r="B1205" s="24" t="s">
        <v>2469</v>
      </c>
      <c r="C1205" s="69">
        <v>44749.568749999999</v>
      </c>
    </row>
    <row r="1206" spans="1:3" ht="15.75" customHeight="1" x14ac:dyDescent="0.4">
      <c r="A1206" s="24" t="s">
        <v>1740</v>
      </c>
      <c r="B1206" s="24" t="s">
        <v>2470</v>
      </c>
      <c r="C1206" s="69">
        <v>44744.652777777803</v>
      </c>
    </row>
    <row r="1207" spans="1:3" ht="15.75" customHeight="1" x14ac:dyDescent="0.4">
      <c r="A1207" s="24" t="s">
        <v>497</v>
      </c>
      <c r="B1207" s="24" t="s">
        <v>2471</v>
      </c>
      <c r="C1207" s="24" t="s">
        <v>826</v>
      </c>
    </row>
    <row r="1208" spans="1:3" ht="15.75" customHeight="1" x14ac:dyDescent="0.4">
      <c r="A1208" s="24" t="s">
        <v>748</v>
      </c>
      <c r="B1208" s="24" t="s">
        <v>2472</v>
      </c>
      <c r="C1208" s="68">
        <v>44741.677777777797</v>
      </c>
    </row>
    <row r="1209" spans="1:3" ht="15.75" customHeight="1" x14ac:dyDescent="0.4">
      <c r="A1209" s="24" t="s">
        <v>2027</v>
      </c>
      <c r="B1209" s="24" t="s">
        <v>2473</v>
      </c>
      <c r="C1209" s="69">
        <v>44743.442361111098</v>
      </c>
    </row>
    <row r="1210" spans="1:3" ht="15.75" customHeight="1" x14ac:dyDescent="0.4">
      <c r="A1210" s="24" t="s">
        <v>1503</v>
      </c>
      <c r="B1210" s="24" t="s">
        <v>2474</v>
      </c>
      <c r="C1210" s="68">
        <v>44763.802777777797</v>
      </c>
    </row>
    <row r="1211" spans="1:3" ht="15.75" customHeight="1" x14ac:dyDescent="0.4">
      <c r="A1211" s="24" t="s">
        <v>1780</v>
      </c>
      <c r="B1211" s="24" t="s">
        <v>2475</v>
      </c>
      <c r="C1211" s="69">
        <v>44746.448611111096</v>
      </c>
    </row>
    <row r="1212" spans="1:3" ht="15.75" customHeight="1" x14ac:dyDescent="0.4">
      <c r="A1212" s="24" t="s">
        <v>832</v>
      </c>
      <c r="B1212" s="24" t="s">
        <v>2476</v>
      </c>
      <c r="C1212" s="69">
        <v>44748.718055555597</v>
      </c>
    </row>
    <row r="1213" spans="1:3" ht="15.75" customHeight="1" x14ac:dyDescent="0.4">
      <c r="A1213" s="24" t="s">
        <v>1888</v>
      </c>
      <c r="B1213" s="24" t="s">
        <v>2477</v>
      </c>
      <c r="C1213" s="69">
        <v>44748.5534722222</v>
      </c>
    </row>
    <row r="1214" spans="1:3" ht="15.75" customHeight="1" x14ac:dyDescent="0.4">
      <c r="A1214" s="24" t="s">
        <v>1593</v>
      </c>
      <c r="B1214" s="24" t="s">
        <v>2478</v>
      </c>
      <c r="C1214" s="69">
        <v>44747.732638888898</v>
      </c>
    </row>
    <row r="1215" spans="1:3" ht="15.75" customHeight="1" x14ac:dyDescent="0.4">
      <c r="A1215" s="24" t="s">
        <v>329</v>
      </c>
      <c r="B1215" s="24" t="s">
        <v>2479</v>
      </c>
      <c r="C1215" s="68">
        <v>44742.8618055556</v>
      </c>
    </row>
    <row r="1216" spans="1:3" ht="15.75" customHeight="1" x14ac:dyDescent="0.4">
      <c r="A1216" s="24" t="s">
        <v>1911</v>
      </c>
      <c r="B1216" s="24" t="s">
        <v>2480</v>
      </c>
      <c r="C1216" s="69">
        <v>44744.765972222202</v>
      </c>
    </row>
    <row r="1217" spans="1:3" ht="15.75" customHeight="1" x14ac:dyDescent="0.4">
      <c r="A1217" s="24" t="s">
        <v>1849</v>
      </c>
      <c r="B1217" s="24" t="s">
        <v>2481</v>
      </c>
      <c r="C1217" s="69">
        <v>44744.810416666704</v>
      </c>
    </row>
    <row r="1218" spans="1:3" ht="15.75" customHeight="1" x14ac:dyDescent="0.4">
      <c r="A1218" s="24" t="s">
        <v>1602</v>
      </c>
      <c r="B1218" s="24" t="s">
        <v>2482</v>
      </c>
      <c r="C1218" s="69">
        <v>44749.568055555603</v>
      </c>
    </row>
    <row r="1219" spans="1:3" ht="15.75" customHeight="1" x14ac:dyDescent="0.4">
      <c r="A1219" s="24" t="s">
        <v>2061</v>
      </c>
      <c r="B1219" s="24" t="s">
        <v>2483</v>
      </c>
      <c r="C1219" s="69">
        <v>44747.441666666702</v>
      </c>
    </row>
    <row r="1220" spans="1:3" ht="15.75" customHeight="1" x14ac:dyDescent="0.4">
      <c r="A1220" s="24" t="s">
        <v>1063</v>
      </c>
      <c r="B1220" s="24" t="s">
        <v>2484</v>
      </c>
      <c r="C1220" s="68">
        <v>44741.505555555603</v>
      </c>
    </row>
    <row r="1221" spans="1:3" ht="15.75" customHeight="1" x14ac:dyDescent="0.4">
      <c r="A1221" s="24" t="s">
        <v>1775</v>
      </c>
      <c r="B1221" s="24" t="s">
        <v>2485</v>
      </c>
      <c r="C1221" s="69">
        <v>44748.854861111096</v>
      </c>
    </row>
    <row r="1222" spans="1:3" ht="15.75" customHeight="1" x14ac:dyDescent="0.4">
      <c r="A1222" s="24" t="s">
        <v>1381</v>
      </c>
      <c r="B1222" s="24" t="s">
        <v>2486</v>
      </c>
      <c r="C1222" s="69">
        <v>44743.586111111101</v>
      </c>
    </row>
    <row r="1223" spans="1:3" ht="15.75" customHeight="1" x14ac:dyDescent="0.4">
      <c r="A1223" s="24" t="s">
        <v>1477</v>
      </c>
      <c r="B1223" s="24" t="s">
        <v>2487</v>
      </c>
      <c r="C1223" s="69">
        <v>44748.864583333299</v>
      </c>
    </row>
    <row r="1224" spans="1:3" ht="15.75" customHeight="1" x14ac:dyDescent="0.4">
      <c r="A1224" s="24" t="s">
        <v>936</v>
      </c>
      <c r="B1224" s="24" t="s">
        <v>2487</v>
      </c>
      <c r="C1224" s="68">
        <v>44769.824999999997</v>
      </c>
    </row>
    <row r="1225" spans="1:3" ht="15.75" customHeight="1" x14ac:dyDescent="0.4">
      <c r="A1225" s="24" t="s">
        <v>424</v>
      </c>
      <c r="B1225" s="24" t="s">
        <v>2488</v>
      </c>
      <c r="C1225" s="24" t="s">
        <v>826</v>
      </c>
    </row>
    <row r="1226" spans="1:3" ht="15.75" customHeight="1" x14ac:dyDescent="0.4">
      <c r="A1226" s="24" t="s">
        <v>1913</v>
      </c>
      <c r="B1226" s="24" t="s">
        <v>2489</v>
      </c>
      <c r="C1226" s="69">
        <v>44750.520833333299</v>
      </c>
    </row>
    <row r="1227" spans="1:3" ht="15.75" customHeight="1" x14ac:dyDescent="0.4">
      <c r="A1227" s="24" t="s">
        <v>2150</v>
      </c>
      <c r="B1227" s="24" t="s">
        <v>2489</v>
      </c>
      <c r="C1227" s="69">
        <v>44747.775694444397</v>
      </c>
    </row>
    <row r="1228" spans="1:3" ht="15.75" customHeight="1" x14ac:dyDescent="0.4">
      <c r="A1228" s="24" t="s">
        <v>270</v>
      </c>
      <c r="B1228" s="24" t="s">
        <v>2490</v>
      </c>
      <c r="C1228" s="24" t="s">
        <v>826</v>
      </c>
    </row>
    <row r="1229" spans="1:3" ht="15.75" customHeight="1" x14ac:dyDescent="0.4">
      <c r="A1229" s="24" t="s">
        <v>419</v>
      </c>
      <c r="B1229" s="24" t="s">
        <v>2491</v>
      </c>
      <c r="C1229" s="69">
        <v>44746.784722222197</v>
      </c>
    </row>
    <row r="1230" spans="1:3" ht="15.75" customHeight="1" x14ac:dyDescent="0.4">
      <c r="A1230" s="24" t="s">
        <v>1387</v>
      </c>
      <c r="B1230" s="24" t="s">
        <v>2492</v>
      </c>
      <c r="C1230" s="69">
        <v>44744.621527777803</v>
      </c>
    </row>
    <row r="1231" spans="1:3" ht="15.75" customHeight="1" x14ac:dyDescent="0.4">
      <c r="A1231" s="24" t="s">
        <v>1869</v>
      </c>
      <c r="B1231" s="24" t="s">
        <v>2493</v>
      </c>
      <c r="C1231" s="69">
        <v>44746.779166666704</v>
      </c>
    </row>
    <row r="1232" spans="1:3" ht="15.75" customHeight="1" x14ac:dyDescent="0.4">
      <c r="A1232" s="24" t="s">
        <v>1920</v>
      </c>
      <c r="B1232" s="24" t="s">
        <v>2494</v>
      </c>
      <c r="C1232" s="69">
        <v>44748.579861111102</v>
      </c>
    </row>
    <row r="1233" spans="1:3" ht="15.75" customHeight="1" x14ac:dyDescent="0.4">
      <c r="A1233" s="24" t="s">
        <v>1281</v>
      </c>
      <c r="B1233" s="24" t="s">
        <v>2495</v>
      </c>
      <c r="C1233" s="69">
        <v>44748.574999999997</v>
      </c>
    </row>
    <row r="1234" spans="1:3" ht="15.75" customHeight="1" x14ac:dyDescent="0.4">
      <c r="A1234" s="24" t="s">
        <v>1157</v>
      </c>
      <c r="B1234" s="24" t="s">
        <v>2496</v>
      </c>
      <c r="C1234" s="69">
        <v>44748.877083333296</v>
      </c>
    </row>
    <row r="1235" spans="1:3" ht="15.75" customHeight="1" x14ac:dyDescent="0.4">
      <c r="A1235" s="24" t="s">
        <v>1539</v>
      </c>
      <c r="B1235" s="24" t="s">
        <v>2497</v>
      </c>
      <c r="C1235" s="69">
        <v>44745.868055555598</v>
      </c>
    </row>
    <row r="1236" spans="1:3" ht="15.75" customHeight="1" x14ac:dyDescent="0.4">
      <c r="A1236" s="24" t="s">
        <v>2156</v>
      </c>
      <c r="B1236" s="24" t="s">
        <v>2498</v>
      </c>
      <c r="C1236" s="68">
        <v>44770.507638888899</v>
      </c>
    </row>
    <row r="1237" spans="1:3" ht="15.75" customHeight="1" x14ac:dyDescent="0.4">
      <c r="A1237" s="24" t="s">
        <v>1490</v>
      </c>
      <c r="B1237" s="24" t="s">
        <v>2499</v>
      </c>
      <c r="C1237" s="68">
        <v>44753.481249999997</v>
      </c>
    </row>
    <row r="1238" spans="1:3" ht="15.75" customHeight="1" x14ac:dyDescent="0.4">
      <c r="A1238" s="24" t="s">
        <v>1811</v>
      </c>
      <c r="B1238" s="24" t="s">
        <v>2500</v>
      </c>
      <c r="C1238" s="69">
        <v>44747.869444444397</v>
      </c>
    </row>
    <row r="1239" spans="1:3" ht="15.75" customHeight="1" x14ac:dyDescent="0.4">
      <c r="A1239" s="24" t="s">
        <v>1123</v>
      </c>
      <c r="B1239" s="24" t="s">
        <v>2501</v>
      </c>
      <c r="C1239" s="69">
        <v>44744.7006944444</v>
      </c>
    </row>
    <row r="1240" spans="1:3" ht="15.75" customHeight="1" x14ac:dyDescent="0.4">
      <c r="A1240" s="24" t="s">
        <v>1237</v>
      </c>
      <c r="B1240" s="24" t="s">
        <v>2502</v>
      </c>
      <c r="C1240" s="68">
        <v>44742.533333333296</v>
      </c>
    </row>
    <row r="1241" spans="1:3" ht="15.75" customHeight="1" x14ac:dyDescent="0.4">
      <c r="A1241" s="24" t="s">
        <v>1892</v>
      </c>
      <c r="B1241" s="24" t="s">
        <v>2503</v>
      </c>
      <c r="C1241" s="69">
        <v>44743.876388888901</v>
      </c>
    </row>
    <row r="1242" spans="1:3" ht="15.75" customHeight="1" x14ac:dyDescent="0.4">
      <c r="A1242" s="24" t="s">
        <v>1496</v>
      </c>
      <c r="B1242" s="24" t="s">
        <v>2504</v>
      </c>
      <c r="C1242" s="68">
        <v>44737.820138888899</v>
      </c>
    </row>
    <row r="1243" spans="1:3" ht="15.75" customHeight="1" x14ac:dyDescent="0.4">
      <c r="A1243" s="24" t="s">
        <v>301</v>
      </c>
      <c r="B1243" s="24" t="s">
        <v>2505</v>
      </c>
      <c r="C1243" s="68">
        <v>44742.882638888899</v>
      </c>
    </row>
    <row r="1244" spans="1:3" ht="15.75" customHeight="1" x14ac:dyDescent="0.4">
      <c r="A1244" s="24" t="s">
        <v>1551</v>
      </c>
      <c r="B1244" s="24" t="s">
        <v>2506</v>
      </c>
      <c r="C1244" s="69">
        <v>44747.478472222203</v>
      </c>
    </row>
    <row r="1245" spans="1:3" ht="15.75" customHeight="1" x14ac:dyDescent="0.4">
      <c r="A1245" s="24" t="s">
        <v>688</v>
      </c>
      <c r="B1245" s="24" t="s">
        <v>2507</v>
      </c>
      <c r="C1245" s="68">
        <v>44742.774305555598</v>
      </c>
    </row>
    <row r="1246" spans="1:3" ht="15.75" customHeight="1" x14ac:dyDescent="0.4">
      <c r="A1246" s="24" t="s">
        <v>694</v>
      </c>
      <c r="B1246" s="24" t="s">
        <v>2508</v>
      </c>
      <c r="C1246" s="69">
        <v>44746.477083333302</v>
      </c>
    </row>
    <row r="1247" spans="1:3" ht="15.75" customHeight="1" x14ac:dyDescent="0.4">
      <c r="A1247" s="24" t="s">
        <v>377</v>
      </c>
      <c r="B1247" s="24" t="s">
        <v>2509</v>
      </c>
      <c r="C1247" s="69">
        <v>44748.845138888901</v>
      </c>
    </row>
    <row r="1248" spans="1:3" ht="15.75" customHeight="1" x14ac:dyDescent="0.4">
      <c r="A1248" s="24" t="s">
        <v>2063</v>
      </c>
      <c r="B1248" s="24" t="s">
        <v>2510</v>
      </c>
      <c r="C1248" s="69">
        <v>44749.466666666704</v>
      </c>
    </row>
    <row r="1249" spans="1:3" ht="15.75" customHeight="1" x14ac:dyDescent="0.4">
      <c r="A1249" s="24" t="s">
        <v>1406</v>
      </c>
      <c r="B1249" s="24" t="s">
        <v>2511</v>
      </c>
      <c r="C1249" s="69">
        <v>44746.524305555598</v>
      </c>
    </row>
    <row r="1250" spans="1:3" ht="15.75" customHeight="1" x14ac:dyDescent="0.4">
      <c r="A1250" s="24" t="s">
        <v>321</v>
      </c>
      <c r="B1250" s="24" t="s">
        <v>2512</v>
      </c>
      <c r="C1250" s="24" t="s">
        <v>826</v>
      </c>
    </row>
    <row r="1251" spans="1:3" ht="15.75" customHeight="1" x14ac:dyDescent="0.4">
      <c r="A1251" s="24" t="s">
        <v>2130</v>
      </c>
      <c r="B1251" s="24" t="s">
        <v>2512</v>
      </c>
      <c r="C1251" s="68">
        <v>44763.875694444498</v>
      </c>
    </row>
    <row r="1252" spans="1:3" ht="15.75" customHeight="1" x14ac:dyDescent="0.4">
      <c r="A1252" s="24" t="s">
        <v>1059</v>
      </c>
      <c r="B1252" s="24" t="s">
        <v>2513</v>
      </c>
      <c r="C1252" s="24" t="s">
        <v>826</v>
      </c>
    </row>
    <row r="1253" spans="1:3" ht="15.75" customHeight="1" x14ac:dyDescent="0.4">
      <c r="A1253" s="24" t="s">
        <v>1507</v>
      </c>
      <c r="B1253" s="24" t="s">
        <v>2514</v>
      </c>
      <c r="C1253" s="69">
        <v>44743.652777777803</v>
      </c>
    </row>
    <row r="1254" spans="1:3" ht="15.75" customHeight="1" x14ac:dyDescent="0.4">
      <c r="A1254" s="24" t="s">
        <v>1990</v>
      </c>
      <c r="B1254" s="24" t="s">
        <v>2515</v>
      </c>
      <c r="C1254" s="69">
        <v>44747.684027777803</v>
      </c>
    </row>
    <row r="1255" spans="1:3" ht="15.75" customHeight="1" x14ac:dyDescent="0.4">
      <c r="A1255" s="24" t="s">
        <v>1639</v>
      </c>
      <c r="B1255" s="24" t="s">
        <v>2516</v>
      </c>
      <c r="C1255" s="68">
        <v>44753.566666666702</v>
      </c>
    </row>
    <row r="1256" spans="1:3" ht="15.75" customHeight="1" x14ac:dyDescent="0.4">
      <c r="A1256" s="24" t="s">
        <v>841</v>
      </c>
      <c r="B1256" s="24" t="s">
        <v>2517</v>
      </c>
      <c r="C1256" s="69">
        <v>44749.738888888904</v>
      </c>
    </row>
    <row r="1257" spans="1:3" ht="15.75" customHeight="1" x14ac:dyDescent="0.4">
      <c r="A1257" s="24" t="s">
        <v>299</v>
      </c>
      <c r="B1257" s="24" t="s">
        <v>2518</v>
      </c>
      <c r="C1257" s="24" t="s">
        <v>826</v>
      </c>
    </row>
    <row r="1258" spans="1:3" ht="15.75" customHeight="1" x14ac:dyDescent="0.4">
      <c r="A1258" s="24" t="s">
        <v>1255</v>
      </c>
      <c r="B1258" s="24" t="s">
        <v>2519</v>
      </c>
      <c r="C1258" s="68">
        <v>44737.878472222197</v>
      </c>
    </row>
    <row r="1259" spans="1:3" ht="15.75" customHeight="1" x14ac:dyDescent="0.4">
      <c r="A1259" s="24" t="s">
        <v>993</v>
      </c>
      <c r="B1259" s="24" t="s">
        <v>2520</v>
      </c>
      <c r="C1259" s="69">
        <v>44746.7680555556</v>
      </c>
    </row>
    <row r="1260" spans="1:3" ht="15.75" customHeight="1" x14ac:dyDescent="0.4">
      <c r="A1260" s="24" t="s">
        <v>481</v>
      </c>
      <c r="B1260" s="24" t="s">
        <v>2521</v>
      </c>
      <c r="C1260" s="69">
        <v>44748.482638888898</v>
      </c>
    </row>
    <row r="1261" spans="1:3" ht="15.75" customHeight="1" x14ac:dyDescent="0.4">
      <c r="A1261" s="24" t="s">
        <v>1931</v>
      </c>
      <c r="B1261" s="24" t="s">
        <v>2522</v>
      </c>
      <c r="C1261" s="69">
        <v>44747.577777777798</v>
      </c>
    </row>
    <row r="1262" spans="1:3" ht="15.75" customHeight="1" x14ac:dyDescent="0.4">
      <c r="A1262" s="24" t="s">
        <v>1635</v>
      </c>
      <c r="B1262" s="24" t="s">
        <v>2523</v>
      </c>
      <c r="C1262" s="69">
        <v>44746.613194444399</v>
      </c>
    </row>
    <row r="1263" spans="1:3" ht="15.75" customHeight="1" x14ac:dyDescent="0.4">
      <c r="A1263" s="24" t="s">
        <v>283</v>
      </c>
      <c r="B1263" s="24" t="s">
        <v>2524</v>
      </c>
      <c r="C1263" s="69">
        <v>44749.543055555601</v>
      </c>
    </row>
    <row r="1264" spans="1:3" ht="15.75" customHeight="1" x14ac:dyDescent="0.4">
      <c r="A1264" s="24" t="s">
        <v>1881</v>
      </c>
      <c r="B1264" s="24" t="s">
        <v>2525</v>
      </c>
      <c r="C1264" s="68">
        <v>44742.752083333296</v>
      </c>
    </row>
    <row r="1265" spans="1:3" ht="15.75" customHeight="1" x14ac:dyDescent="0.4">
      <c r="A1265" s="24" t="s">
        <v>1400</v>
      </c>
      <c r="B1265" s="24" t="s">
        <v>2526</v>
      </c>
      <c r="C1265" s="69">
        <v>44749.672916666699</v>
      </c>
    </row>
    <row r="1266" spans="1:3" ht="15.75" customHeight="1" x14ac:dyDescent="0.4">
      <c r="A1266" s="24" t="s">
        <v>1527</v>
      </c>
      <c r="B1266" s="24" t="s">
        <v>2527</v>
      </c>
      <c r="C1266" s="69">
        <v>44748.653472222199</v>
      </c>
    </row>
    <row r="1267" spans="1:3" ht="15.75" customHeight="1" x14ac:dyDescent="0.4">
      <c r="A1267" s="24" t="s">
        <v>2073</v>
      </c>
      <c r="B1267" s="24" t="s">
        <v>2528</v>
      </c>
      <c r="C1267" s="69">
        <v>44744.697916666701</v>
      </c>
    </row>
    <row r="1268" spans="1:3" ht="15.75" customHeight="1" x14ac:dyDescent="0.4">
      <c r="A1268" s="24" t="s">
        <v>1865</v>
      </c>
      <c r="B1268" s="24" t="s">
        <v>2529</v>
      </c>
      <c r="C1268" s="24" t="s">
        <v>826</v>
      </c>
    </row>
    <row r="1269" spans="1:3" ht="15.75" customHeight="1" x14ac:dyDescent="0.4">
      <c r="A1269" s="24" t="s">
        <v>1935</v>
      </c>
      <c r="B1269" s="24" t="s">
        <v>2530</v>
      </c>
      <c r="C1269" s="69">
        <v>44746.642361111102</v>
      </c>
    </row>
    <row r="1270" spans="1:3" ht="15.75" customHeight="1" x14ac:dyDescent="0.4">
      <c r="A1270" s="24" t="s">
        <v>854</v>
      </c>
      <c r="B1270" s="24" t="s">
        <v>2531</v>
      </c>
      <c r="C1270" s="69">
        <v>44743.606249999997</v>
      </c>
    </row>
    <row r="1271" spans="1:3" ht="15.75" customHeight="1" x14ac:dyDescent="0.4">
      <c r="A1271" s="24" t="s">
        <v>794</v>
      </c>
      <c r="B1271" s="24" t="s">
        <v>2532</v>
      </c>
      <c r="C1271" s="68">
        <v>44740.701388888898</v>
      </c>
    </row>
    <row r="1272" spans="1:3" ht="15.75" customHeight="1" x14ac:dyDescent="0.4">
      <c r="A1272" s="24" t="s">
        <v>1899</v>
      </c>
      <c r="B1272" s="24" t="s">
        <v>2533</v>
      </c>
      <c r="C1272" s="69">
        <v>44743.599305555603</v>
      </c>
    </row>
    <row r="1273" spans="1:3" ht="15.75" customHeight="1" x14ac:dyDescent="0.4">
      <c r="A1273" s="24" t="s">
        <v>2119</v>
      </c>
      <c r="B1273" s="24" t="s">
        <v>2534</v>
      </c>
      <c r="C1273" s="69">
        <v>44750.484027777798</v>
      </c>
    </row>
    <row r="1274" spans="1:3" ht="15.75" customHeight="1" x14ac:dyDescent="0.4">
      <c r="A1274" s="24" t="s">
        <v>1736</v>
      </c>
      <c r="B1274" s="24" t="s">
        <v>2535</v>
      </c>
      <c r="C1274" s="24" t="s">
        <v>826</v>
      </c>
    </row>
    <row r="1275" spans="1:3" ht="15.75" customHeight="1" x14ac:dyDescent="0.4">
      <c r="A1275" s="24" t="s">
        <v>1729</v>
      </c>
      <c r="B1275" s="24" t="s">
        <v>2536</v>
      </c>
      <c r="C1275" s="69">
        <v>44744.527083333298</v>
      </c>
    </row>
    <row r="1276" spans="1:3" ht="15.75" customHeight="1" x14ac:dyDescent="0.4">
      <c r="A1276" s="24" t="s">
        <v>2144</v>
      </c>
      <c r="B1276" s="24" t="s">
        <v>2537</v>
      </c>
      <c r="C1276" s="68">
        <v>44742.527083333298</v>
      </c>
    </row>
    <row r="1277" spans="1:3" ht="15.75" customHeight="1" x14ac:dyDescent="0.4">
      <c r="A1277" s="24" t="s">
        <v>252</v>
      </c>
      <c r="B1277" s="24" t="s">
        <v>2538</v>
      </c>
      <c r="C1277" s="24" t="s">
        <v>826</v>
      </c>
    </row>
    <row r="1278" spans="1:3" ht="15.75" customHeight="1" x14ac:dyDescent="0.4">
      <c r="A1278" s="24" t="s">
        <v>226</v>
      </c>
      <c r="B1278" s="24" t="s">
        <v>2539</v>
      </c>
      <c r="C1278" s="69">
        <v>44751.745138888902</v>
      </c>
    </row>
    <row r="1279" spans="1:3" ht="15.75" customHeight="1" x14ac:dyDescent="0.4">
      <c r="A1279" s="24" t="s">
        <v>2052</v>
      </c>
      <c r="B1279" s="24" t="s">
        <v>2540</v>
      </c>
      <c r="C1279" s="69">
        <v>44743.690277777801</v>
      </c>
    </row>
    <row r="1280" spans="1:3" ht="15.75" customHeight="1" x14ac:dyDescent="0.4">
      <c r="A1280" s="24" t="s">
        <v>1329</v>
      </c>
      <c r="B1280" s="24" t="s">
        <v>2541</v>
      </c>
      <c r="C1280" s="69">
        <v>44743.541666666701</v>
      </c>
    </row>
    <row r="1281" spans="1:3" ht="15.75" customHeight="1" x14ac:dyDescent="0.4">
      <c r="A1281" s="24" t="s">
        <v>1679</v>
      </c>
      <c r="B1281" s="24" t="s">
        <v>2542</v>
      </c>
      <c r="C1281" s="69">
        <v>44748.563888888901</v>
      </c>
    </row>
    <row r="1282" spans="1:3" ht="15.75" customHeight="1" x14ac:dyDescent="0.4">
      <c r="A1282" s="24" t="s">
        <v>1754</v>
      </c>
      <c r="B1282" s="24" t="s">
        <v>2543</v>
      </c>
      <c r="C1282" s="69">
        <v>44749.475694444503</v>
      </c>
    </row>
    <row r="1283" spans="1:3" ht="15.75" customHeight="1" x14ac:dyDescent="0.4">
      <c r="A1283" s="24" t="s">
        <v>2011</v>
      </c>
      <c r="B1283" s="24" t="s">
        <v>2544</v>
      </c>
      <c r="C1283" s="69">
        <v>44744.875694444498</v>
      </c>
    </row>
    <row r="1284" spans="1:3" ht="15.75" customHeight="1" x14ac:dyDescent="0.4">
      <c r="A1284" s="24" t="s">
        <v>801</v>
      </c>
      <c r="B1284" s="24" t="s">
        <v>2545</v>
      </c>
      <c r="C1284" s="24" t="s">
        <v>826</v>
      </c>
    </row>
    <row r="1285" spans="1:3" ht="15.75" customHeight="1" x14ac:dyDescent="0.4">
      <c r="A1285" s="24" t="s">
        <v>1211</v>
      </c>
      <c r="B1285" s="24" t="s">
        <v>2546</v>
      </c>
      <c r="C1285" s="68">
        <v>44741.786805555603</v>
      </c>
    </row>
    <row r="1286" spans="1:3" ht="15.75" customHeight="1" x14ac:dyDescent="0.4">
      <c r="A1286" s="24" t="s">
        <v>754</v>
      </c>
      <c r="B1286" s="24" t="s">
        <v>2547</v>
      </c>
      <c r="C1286" s="68">
        <v>44741.788888888899</v>
      </c>
    </row>
    <row r="1287" spans="1:3" ht="15.75" customHeight="1" x14ac:dyDescent="0.4">
      <c r="A1287" s="24" t="s">
        <v>2023</v>
      </c>
      <c r="B1287" s="24" t="s">
        <v>2547</v>
      </c>
      <c r="C1287" s="68">
        <v>44738.6027777778</v>
      </c>
    </row>
    <row r="1288" spans="1:3" ht="15.75" customHeight="1" x14ac:dyDescent="0.4">
      <c r="A1288" s="24" t="s">
        <v>1177</v>
      </c>
      <c r="B1288" s="24" t="s">
        <v>2548</v>
      </c>
      <c r="C1288" s="68">
        <v>44737.809722222199</v>
      </c>
    </row>
    <row r="1289" spans="1:3" ht="15.75" customHeight="1" x14ac:dyDescent="0.4">
      <c r="A1289" s="24" t="s">
        <v>393</v>
      </c>
      <c r="B1289" s="24" t="s">
        <v>2549</v>
      </c>
      <c r="C1289" s="68">
        <v>44736.841666666704</v>
      </c>
    </row>
    <row r="1290" spans="1:3" ht="15.75" customHeight="1" x14ac:dyDescent="0.4">
      <c r="A1290" s="24" t="s">
        <v>291</v>
      </c>
      <c r="B1290" s="24" t="s">
        <v>2550</v>
      </c>
      <c r="C1290" s="68">
        <v>44738.600694444503</v>
      </c>
    </row>
    <row r="1291" spans="1:3" ht="15.75" customHeight="1" x14ac:dyDescent="0.4">
      <c r="A1291" s="24" t="s">
        <v>1520</v>
      </c>
      <c r="B1291" s="24" t="s">
        <v>2551</v>
      </c>
      <c r="C1291" s="68">
        <v>44741.785416666702</v>
      </c>
    </row>
    <row r="1292" spans="1:3" ht="15.75" customHeight="1" x14ac:dyDescent="0.4">
      <c r="A1292" s="24" t="s">
        <v>830</v>
      </c>
      <c r="B1292" s="24" t="s">
        <v>2552</v>
      </c>
      <c r="C1292" s="68">
        <v>44738.752083333296</v>
      </c>
    </row>
    <row r="1293" spans="1:3" ht="15.75" customHeight="1" x14ac:dyDescent="0.4">
      <c r="A1293" s="24" t="s">
        <v>772</v>
      </c>
      <c r="B1293" s="24" t="s">
        <v>2553</v>
      </c>
      <c r="C1293" s="68">
        <v>44736.840277777803</v>
      </c>
    </row>
    <row r="1294" spans="1:3" ht="15.75" customHeight="1" x14ac:dyDescent="0.4">
      <c r="A1294" s="24" t="s">
        <v>1370</v>
      </c>
      <c r="B1294" s="24" t="s">
        <v>2554</v>
      </c>
      <c r="C1294" s="68">
        <v>44741.788194444503</v>
      </c>
    </row>
    <row r="1295" spans="1:3" ht="15.75" customHeight="1" x14ac:dyDescent="0.4">
      <c r="A1295" s="24" t="s">
        <v>1907</v>
      </c>
      <c r="B1295" s="24" t="s">
        <v>2555</v>
      </c>
      <c r="C1295" s="68">
        <v>44742.753472222197</v>
      </c>
    </row>
    <row r="1296" spans="1:3" ht="15.75" customHeight="1" x14ac:dyDescent="0.4">
      <c r="A1296" s="24" t="s">
        <v>1191</v>
      </c>
      <c r="B1296" s="24" t="s">
        <v>2556</v>
      </c>
      <c r="C1296" s="68">
        <v>44738.538194444503</v>
      </c>
    </row>
    <row r="1297" spans="1:3" ht="15.75" customHeight="1" x14ac:dyDescent="0.4">
      <c r="A1297" s="24" t="s">
        <v>1655</v>
      </c>
      <c r="B1297" s="24" t="s">
        <v>2557</v>
      </c>
      <c r="C1297" s="68">
        <v>44736.840972222199</v>
      </c>
    </row>
    <row r="1298" spans="1:3" ht="15.75" customHeight="1" x14ac:dyDescent="0.4">
      <c r="A1298" s="24" t="s">
        <v>1873</v>
      </c>
      <c r="B1298" s="24" t="s">
        <v>2558</v>
      </c>
      <c r="C1298" s="68">
        <v>44736.839583333298</v>
      </c>
    </row>
    <row r="1299" spans="1:3" ht="15.75" customHeight="1" x14ac:dyDescent="0.4">
      <c r="A1299" s="24" t="s">
        <v>665</v>
      </c>
      <c r="B1299" s="24" t="s">
        <v>2559</v>
      </c>
      <c r="C1299" s="68">
        <v>44737.810416666704</v>
      </c>
    </row>
    <row r="1300" spans="1:3" ht="15.75" customHeight="1" x14ac:dyDescent="0.4">
      <c r="A1300" s="24" t="s">
        <v>1779</v>
      </c>
      <c r="B1300" s="24" t="s">
        <v>2560</v>
      </c>
      <c r="C1300" s="68">
        <v>44737.819444444503</v>
      </c>
    </row>
    <row r="1301" spans="1:3" ht="15.75" customHeight="1" x14ac:dyDescent="0.4">
      <c r="A1301" s="24" t="s">
        <v>1167</v>
      </c>
      <c r="B1301" s="24" t="s">
        <v>2561</v>
      </c>
      <c r="C1301" s="68">
        <v>44737.809722222199</v>
      </c>
    </row>
    <row r="1302" spans="1:3" ht="15.75" customHeight="1" x14ac:dyDescent="0.4">
      <c r="A1302" s="24" t="s">
        <v>1132</v>
      </c>
      <c r="B1302" s="24" t="s">
        <v>2562</v>
      </c>
      <c r="C1302" s="68">
        <v>44737.809722222199</v>
      </c>
    </row>
    <row r="1303" spans="1:3" ht="15.75" customHeight="1" x14ac:dyDescent="0.4">
      <c r="A1303" s="24" t="s">
        <v>1296</v>
      </c>
      <c r="B1303" s="24" t="s">
        <v>2563</v>
      </c>
      <c r="C1303" s="68">
        <v>44738.645138888904</v>
      </c>
    </row>
    <row r="1304" spans="1:3" ht="15.75" customHeight="1" x14ac:dyDescent="0.4">
      <c r="A1304" s="24" t="s">
        <v>1618</v>
      </c>
      <c r="B1304" s="24" t="s">
        <v>2564</v>
      </c>
      <c r="C1304" s="69">
        <v>44743.784722222197</v>
      </c>
    </row>
    <row r="1305" spans="1:3" ht="15.75" customHeight="1" x14ac:dyDescent="0.4">
      <c r="A1305" s="24" t="s">
        <v>978</v>
      </c>
      <c r="B1305" s="24" t="s">
        <v>2565</v>
      </c>
      <c r="C1305" s="68">
        <v>44741.771527777797</v>
      </c>
    </row>
    <row r="1306" spans="1:3" ht="15.75" customHeight="1" x14ac:dyDescent="0.4">
      <c r="A1306" s="24" t="s">
        <v>1579</v>
      </c>
      <c r="B1306" s="24" t="s">
        <v>2565</v>
      </c>
      <c r="C1306" s="68">
        <v>44741.784722222197</v>
      </c>
    </row>
    <row r="1307" spans="1:3" ht="15.75" customHeight="1" x14ac:dyDescent="0.4">
      <c r="A1307" s="24" t="s">
        <v>1573</v>
      </c>
      <c r="B1307" s="24" t="s">
        <v>2566</v>
      </c>
      <c r="C1307" s="68">
        <v>44742.787499999999</v>
      </c>
    </row>
    <row r="1308" spans="1:3" ht="15.75" customHeight="1" x14ac:dyDescent="0.4">
      <c r="A1308" s="24" t="s">
        <v>1886</v>
      </c>
      <c r="B1308" s="24" t="s">
        <v>2567</v>
      </c>
      <c r="C1308" s="68">
        <v>44738.536805555603</v>
      </c>
    </row>
    <row r="1309" spans="1:3" ht="15.75" customHeight="1" x14ac:dyDescent="0.4">
      <c r="A1309" s="24" t="s">
        <v>2109</v>
      </c>
      <c r="B1309" s="24" t="s">
        <v>2568</v>
      </c>
      <c r="C1309" s="69">
        <v>44744.004166666702</v>
      </c>
    </row>
    <row r="1310" spans="1:3" ht="15.75" customHeight="1" x14ac:dyDescent="0.4">
      <c r="A1310" s="24" t="s">
        <v>1068</v>
      </c>
      <c r="B1310" s="24" t="s">
        <v>2569</v>
      </c>
      <c r="C1310" s="69">
        <v>44746.481249999997</v>
      </c>
    </row>
    <row r="1311" spans="1:3" ht="15.75" customHeight="1" x14ac:dyDescent="0.4">
      <c r="A1311" s="24" t="s">
        <v>1276</v>
      </c>
      <c r="B1311" s="24" t="s">
        <v>2570</v>
      </c>
      <c r="C1311" s="69">
        <v>44750.481249999997</v>
      </c>
    </row>
    <row r="1312" spans="1:3" ht="15.75" customHeight="1" x14ac:dyDescent="0.4">
      <c r="A1312" s="24" t="s">
        <v>954</v>
      </c>
      <c r="B1312" s="24" t="s">
        <v>2571</v>
      </c>
      <c r="C1312" s="68">
        <v>44742.713194444397</v>
      </c>
    </row>
    <row r="1313" spans="1:3" ht="15.75" customHeight="1" x14ac:dyDescent="0.4">
      <c r="A1313" s="24" t="s">
        <v>1694</v>
      </c>
      <c r="B1313" s="24" t="s">
        <v>2572</v>
      </c>
      <c r="C1313" s="68">
        <v>44753.7993055556</v>
      </c>
    </row>
    <row r="1314" spans="1:3" ht="15.75" customHeight="1" x14ac:dyDescent="0.4">
      <c r="A1314" s="24" t="s">
        <v>1939</v>
      </c>
      <c r="B1314" s="24" t="s">
        <v>2573</v>
      </c>
      <c r="C1314" s="69">
        <v>44745.561805555597</v>
      </c>
    </row>
    <row r="1315" spans="1:3" ht="15.75" customHeight="1" x14ac:dyDescent="0.4">
      <c r="A1315" s="24" t="s">
        <v>1140</v>
      </c>
      <c r="B1315" s="24" t="s">
        <v>2574</v>
      </c>
      <c r="C1315" s="68">
        <v>44742.574999999997</v>
      </c>
    </row>
    <row r="1316" spans="1:3" ht="15.75" customHeight="1" x14ac:dyDescent="0.4">
      <c r="A1316" s="24" t="s">
        <v>1894</v>
      </c>
      <c r="B1316" s="24" t="s">
        <v>2575</v>
      </c>
      <c r="C1316" s="69">
        <v>44749.722916666702</v>
      </c>
    </row>
    <row r="1317" spans="1:3" ht="15.75" customHeight="1" x14ac:dyDescent="0.4">
      <c r="A1317" s="24" t="s">
        <v>1504</v>
      </c>
      <c r="B1317" s="24" t="s">
        <v>2576</v>
      </c>
      <c r="C1317" s="69">
        <v>44748.733333333301</v>
      </c>
    </row>
    <row r="1318" spans="1:3" ht="15.75" customHeight="1" x14ac:dyDescent="0.4">
      <c r="A1318" s="24" t="s">
        <v>1283</v>
      </c>
      <c r="B1318" s="24" t="s">
        <v>2577</v>
      </c>
      <c r="C1318" s="69">
        <v>44748.744444444397</v>
      </c>
    </row>
    <row r="1319" spans="1:3" ht="15.75" customHeight="1" x14ac:dyDescent="0.4">
      <c r="A1319" s="24" t="s">
        <v>2107</v>
      </c>
      <c r="B1319" s="24" t="s">
        <v>2578</v>
      </c>
      <c r="C1319" s="69">
        <v>44751.832638888904</v>
      </c>
    </row>
    <row r="1320" spans="1:3" ht="15.75" customHeight="1" x14ac:dyDescent="0.4">
      <c r="A1320" s="24" t="s">
        <v>1386</v>
      </c>
      <c r="B1320" s="24" t="s">
        <v>2579</v>
      </c>
      <c r="C1320" s="68">
        <v>44741.814583333296</v>
      </c>
    </row>
    <row r="1321" spans="1:3" ht="15.75" customHeight="1" x14ac:dyDescent="0.4">
      <c r="A1321" s="24" t="s">
        <v>1859</v>
      </c>
      <c r="B1321" s="24" t="s">
        <v>2580</v>
      </c>
      <c r="C1321" s="69">
        <v>44743.7680555556</v>
      </c>
    </row>
    <row r="1322" spans="1:3" ht="15.75" customHeight="1" x14ac:dyDescent="0.4">
      <c r="A1322" s="24" t="s">
        <v>1343</v>
      </c>
      <c r="B1322" s="24" t="s">
        <v>2581</v>
      </c>
      <c r="C1322" s="68">
        <v>44753.7277777778</v>
      </c>
    </row>
    <row r="1323" spans="1:3" ht="15.75" customHeight="1" x14ac:dyDescent="0.4">
      <c r="A1323" s="24" t="s">
        <v>248</v>
      </c>
      <c r="B1323" s="24" t="s">
        <v>2582</v>
      </c>
      <c r="C1323" s="24" t="s">
        <v>826</v>
      </c>
    </row>
    <row r="1324" spans="1:3" ht="15.75" customHeight="1" x14ac:dyDescent="0.4">
      <c r="A1324" s="24" t="s">
        <v>1912</v>
      </c>
      <c r="B1324" s="24" t="s">
        <v>2583</v>
      </c>
      <c r="C1324" s="68">
        <v>44738.6472222222</v>
      </c>
    </row>
    <row r="1325" spans="1:3" ht="15.75" customHeight="1" x14ac:dyDescent="0.4">
      <c r="A1325" s="24" t="s">
        <v>2169</v>
      </c>
      <c r="B1325" s="24" t="s">
        <v>2584</v>
      </c>
      <c r="C1325" s="69">
        <v>44746.767361111102</v>
      </c>
    </row>
    <row r="1326" spans="1:3" ht="15.75" customHeight="1" x14ac:dyDescent="0.4">
      <c r="A1326" s="24" t="s">
        <v>1430</v>
      </c>
      <c r="B1326" s="24" t="s">
        <v>2585</v>
      </c>
      <c r="C1326" s="69">
        <v>44748.6430555556</v>
      </c>
    </row>
    <row r="1327" spans="1:3" ht="15.75" customHeight="1" x14ac:dyDescent="0.4">
      <c r="A1327" s="24" t="s">
        <v>289</v>
      </c>
      <c r="B1327" s="24" t="s">
        <v>2586</v>
      </c>
      <c r="C1327" s="68">
        <v>44736.629861111098</v>
      </c>
    </row>
    <row r="1328" spans="1:3" ht="15.75" customHeight="1" x14ac:dyDescent="0.4">
      <c r="A1328" s="24" t="s">
        <v>1761</v>
      </c>
      <c r="B1328" s="24" t="s">
        <v>2587</v>
      </c>
      <c r="C1328" s="69">
        <v>44750.523611111101</v>
      </c>
    </row>
    <row r="1329" spans="1:3" ht="15.75" customHeight="1" x14ac:dyDescent="0.4">
      <c r="A1329" s="24" t="s">
        <v>884</v>
      </c>
      <c r="B1329" s="24" t="s">
        <v>2588</v>
      </c>
      <c r="C1329" s="69">
        <v>44748.7055555556</v>
      </c>
    </row>
    <row r="1330" spans="1:3" ht="15.75" customHeight="1" x14ac:dyDescent="0.4">
      <c r="A1330" s="24" t="s">
        <v>892</v>
      </c>
      <c r="B1330" s="24" t="s">
        <v>2589</v>
      </c>
      <c r="C1330" s="68">
        <v>44742.692361111098</v>
      </c>
    </row>
    <row r="1331" spans="1:3" ht="15.75" customHeight="1" x14ac:dyDescent="0.4">
      <c r="A1331" s="24" t="s">
        <v>858</v>
      </c>
      <c r="B1331" s="24" t="s">
        <v>2590</v>
      </c>
      <c r="C1331" s="68">
        <v>44736.6743055556</v>
      </c>
    </row>
    <row r="1332" spans="1:3" ht="15.75" customHeight="1" x14ac:dyDescent="0.4">
      <c r="A1332" s="24" t="s">
        <v>1857</v>
      </c>
      <c r="B1332" s="24" t="s">
        <v>2591</v>
      </c>
      <c r="C1332" s="24" t="s">
        <v>826</v>
      </c>
    </row>
    <row r="1333" spans="1:3" ht="15.75" customHeight="1" x14ac:dyDescent="0.4">
      <c r="A1333" s="24" t="s">
        <v>1867</v>
      </c>
      <c r="B1333" s="24" t="s">
        <v>2592</v>
      </c>
      <c r="C1333" s="68">
        <v>44741.795833333301</v>
      </c>
    </row>
    <row r="1334" spans="1:3" ht="15.75" customHeight="1" x14ac:dyDescent="0.4">
      <c r="A1334" s="24" t="s">
        <v>1014</v>
      </c>
      <c r="B1334" s="24" t="s">
        <v>2593</v>
      </c>
      <c r="C1334" s="69">
        <v>44747.486111111102</v>
      </c>
    </row>
    <row r="1335" spans="1:3" ht="15.75" customHeight="1" x14ac:dyDescent="0.4">
      <c r="A1335" s="24" t="s">
        <v>2025</v>
      </c>
      <c r="B1335" s="24" t="s">
        <v>2594</v>
      </c>
      <c r="C1335" s="69">
        <v>44743.55</v>
      </c>
    </row>
    <row r="1336" spans="1:3" ht="15.75" customHeight="1" x14ac:dyDescent="0.4">
      <c r="A1336" s="24" t="s">
        <v>1250</v>
      </c>
      <c r="B1336" s="24" t="s">
        <v>2595</v>
      </c>
      <c r="C1336" s="69">
        <v>44745.842361111099</v>
      </c>
    </row>
    <row r="1337" spans="1:3" ht="15.75" customHeight="1" x14ac:dyDescent="0.4">
      <c r="A1337" s="24" t="s">
        <v>969</v>
      </c>
      <c r="B1337" s="24" t="s">
        <v>2596</v>
      </c>
      <c r="C1337" s="69">
        <v>44750.853472222203</v>
      </c>
    </row>
    <row r="1338" spans="1:3" ht="15.75" customHeight="1" x14ac:dyDescent="0.4">
      <c r="A1338" s="24" t="s">
        <v>1448</v>
      </c>
      <c r="B1338" s="24" t="s">
        <v>2597</v>
      </c>
      <c r="C1338" s="68">
        <v>44742.730555555601</v>
      </c>
    </row>
    <row r="1339" spans="1:3" ht="15.75" customHeight="1" x14ac:dyDescent="0.4">
      <c r="A1339" s="24" t="s">
        <v>1080</v>
      </c>
      <c r="B1339" s="24" t="s">
        <v>2598</v>
      </c>
      <c r="C1339" s="69">
        <v>44748.510416666701</v>
      </c>
    </row>
    <row r="1340" spans="1:3" ht="15.75" customHeight="1" x14ac:dyDescent="0.4">
      <c r="A1340" s="24" t="s">
        <v>1420</v>
      </c>
      <c r="B1340" s="24" t="s">
        <v>2599</v>
      </c>
      <c r="C1340" s="69">
        <v>44748.521527777797</v>
      </c>
    </row>
    <row r="1341" spans="1:3" ht="15.75" customHeight="1" x14ac:dyDescent="0.4">
      <c r="A1341" s="24" t="s">
        <v>905</v>
      </c>
      <c r="B1341" s="24" t="s">
        <v>2600</v>
      </c>
      <c r="C1341" s="69">
        <v>44745.864583333299</v>
      </c>
    </row>
    <row r="1342" spans="1:3" ht="15.75" customHeight="1" x14ac:dyDescent="0.4">
      <c r="A1342" s="24" t="s">
        <v>1686</v>
      </c>
      <c r="B1342" s="24" t="s">
        <v>2600</v>
      </c>
      <c r="C1342" s="69">
        <v>44750.670138888898</v>
      </c>
    </row>
    <row r="1343" spans="1:3" ht="15.75" customHeight="1" x14ac:dyDescent="0.4">
      <c r="A1343" s="24" t="s">
        <v>2049</v>
      </c>
      <c r="B1343" s="24" t="s">
        <v>2601</v>
      </c>
      <c r="C1343" s="69">
        <v>44746.903472222199</v>
      </c>
    </row>
    <row r="1344" spans="1:3" ht="15.75" customHeight="1" x14ac:dyDescent="0.4">
      <c r="A1344" s="24" t="s">
        <v>249</v>
      </c>
      <c r="B1344" s="24" t="s">
        <v>2602</v>
      </c>
      <c r="C1344" s="24" t="s">
        <v>826</v>
      </c>
    </row>
    <row r="1345" spans="1:3" ht="15.75" customHeight="1" x14ac:dyDescent="0.4">
      <c r="A1345" s="24" t="s">
        <v>1419</v>
      </c>
      <c r="B1345" s="24" t="s">
        <v>2603</v>
      </c>
      <c r="C1345" s="69">
        <v>44744.768750000003</v>
      </c>
    </row>
    <row r="1346" spans="1:3" ht="15.75" customHeight="1" x14ac:dyDescent="0.4">
      <c r="A1346" s="24" t="s">
        <v>965</v>
      </c>
      <c r="B1346" s="24" t="s">
        <v>2604</v>
      </c>
      <c r="C1346" s="69">
        <v>44743.772916666698</v>
      </c>
    </row>
    <row r="1347" spans="1:3" ht="15.75" customHeight="1" x14ac:dyDescent="0.4">
      <c r="A1347" s="24" t="s">
        <v>2157</v>
      </c>
      <c r="B1347" s="24" t="s">
        <v>2605</v>
      </c>
      <c r="C1347" s="69">
        <v>44749.834027777797</v>
      </c>
    </row>
    <row r="1348" spans="1:3" ht="15.75" customHeight="1" x14ac:dyDescent="0.4">
      <c r="A1348" s="24" t="s">
        <v>561</v>
      </c>
      <c r="B1348" s="24" t="s">
        <v>2606</v>
      </c>
      <c r="C1348" s="69">
        <v>44744.494444444397</v>
      </c>
    </row>
    <row r="1349" spans="1:3" ht="15.75" customHeight="1" x14ac:dyDescent="0.4">
      <c r="A1349" s="24" t="s">
        <v>1727</v>
      </c>
      <c r="B1349" s="24" t="s">
        <v>2607</v>
      </c>
      <c r="C1349" s="69">
        <v>44745.735416666699</v>
      </c>
    </row>
    <row r="1350" spans="1:3" ht="15.75" customHeight="1" x14ac:dyDescent="0.4">
      <c r="A1350" s="24" t="s">
        <v>1996</v>
      </c>
      <c r="B1350" s="24" t="s">
        <v>2608</v>
      </c>
      <c r="C1350" s="69">
        <v>44743.463194444397</v>
      </c>
    </row>
    <row r="1351" spans="1:3" ht="15.75" customHeight="1" x14ac:dyDescent="0.4">
      <c r="A1351" s="24" t="s">
        <v>593</v>
      </c>
      <c r="B1351" s="24" t="s">
        <v>2609</v>
      </c>
      <c r="C1351" s="69">
        <v>44743.471527777801</v>
      </c>
    </row>
    <row r="1352" spans="1:3" ht="15.75" customHeight="1" x14ac:dyDescent="0.4">
      <c r="A1352" s="24" t="s">
        <v>417</v>
      </c>
      <c r="B1352" s="24" t="s">
        <v>2610</v>
      </c>
      <c r="C1352" s="69">
        <v>44749.509722222203</v>
      </c>
    </row>
    <row r="1353" spans="1:3" ht="15.75" customHeight="1" x14ac:dyDescent="0.4">
      <c r="A1353" s="24" t="s">
        <v>2171</v>
      </c>
      <c r="B1353" s="24" t="s">
        <v>2611</v>
      </c>
      <c r="C1353" s="68">
        <v>44740.664583333302</v>
      </c>
    </row>
    <row r="1354" spans="1:3" ht="15.75" customHeight="1" x14ac:dyDescent="0.4">
      <c r="A1354" s="24" t="s">
        <v>1550</v>
      </c>
      <c r="B1354" s="24" t="s">
        <v>2612</v>
      </c>
      <c r="C1354" s="69">
        <v>44748.8034722222</v>
      </c>
    </row>
    <row r="1355" spans="1:3" ht="15.75" customHeight="1" x14ac:dyDescent="0.4">
      <c r="A1355" s="24" t="s">
        <v>1668</v>
      </c>
      <c r="B1355" s="24" t="s">
        <v>2613</v>
      </c>
      <c r="C1355" s="69">
        <v>44743.4597222222</v>
      </c>
    </row>
    <row r="1356" spans="1:3" ht="15.75" customHeight="1" x14ac:dyDescent="0.4">
      <c r="A1356" s="24" t="s">
        <v>272</v>
      </c>
      <c r="B1356" s="24" t="s">
        <v>2614</v>
      </c>
      <c r="C1356" s="24" t="s">
        <v>826</v>
      </c>
    </row>
    <row r="1357" spans="1:3" ht="15.75" customHeight="1" x14ac:dyDescent="0.4">
      <c r="A1357" s="24" t="s">
        <v>1770</v>
      </c>
      <c r="B1357" s="24" t="s">
        <v>2615</v>
      </c>
      <c r="C1357" s="69">
        <v>44743.702083333301</v>
      </c>
    </row>
    <row r="1358" spans="1:3" ht="15.75" customHeight="1" x14ac:dyDescent="0.4">
      <c r="A1358" s="24" t="s">
        <v>1453</v>
      </c>
      <c r="B1358" s="24" t="s">
        <v>2616</v>
      </c>
      <c r="C1358" s="69">
        <v>44744.527083333298</v>
      </c>
    </row>
    <row r="1359" spans="1:3" ht="15.75" customHeight="1" x14ac:dyDescent="0.4">
      <c r="A1359" s="24" t="s">
        <v>1435</v>
      </c>
      <c r="B1359" s="24" t="s">
        <v>2617</v>
      </c>
      <c r="C1359" s="68">
        <v>44742.787499999999</v>
      </c>
    </row>
    <row r="1360" spans="1:3" ht="15.75" customHeight="1" x14ac:dyDescent="0.4">
      <c r="A1360" s="24" t="s">
        <v>1171</v>
      </c>
      <c r="B1360" s="24" t="s">
        <v>2618</v>
      </c>
      <c r="C1360" s="69">
        <v>44743.918749999997</v>
      </c>
    </row>
    <row r="1361" spans="1:3" ht="15.75" customHeight="1" x14ac:dyDescent="0.4">
      <c r="A1361" s="24" t="s">
        <v>786</v>
      </c>
      <c r="B1361" s="24" t="s">
        <v>2619</v>
      </c>
      <c r="C1361" s="24" t="s">
        <v>826</v>
      </c>
    </row>
    <row r="1362" spans="1:3" ht="15.75" customHeight="1" x14ac:dyDescent="0.4">
      <c r="A1362" s="24" t="s">
        <v>1733</v>
      </c>
      <c r="B1362" s="24" t="s">
        <v>2620</v>
      </c>
      <c r="C1362" s="68">
        <v>44737.810416666704</v>
      </c>
    </row>
    <row r="1363" spans="1:3" ht="15.75" customHeight="1" x14ac:dyDescent="0.4">
      <c r="A1363" s="24" t="s">
        <v>1964</v>
      </c>
      <c r="B1363" s="24" t="s">
        <v>2621</v>
      </c>
      <c r="C1363" s="68">
        <v>44757.476388888899</v>
      </c>
    </row>
    <row r="1364" spans="1:3" ht="15.75" customHeight="1" x14ac:dyDescent="0.4">
      <c r="A1364" s="24" t="s">
        <v>1877</v>
      </c>
      <c r="B1364" s="24" t="s">
        <v>2621</v>
      </c>
      <c r="C1364" s="69">
        <v>44743.527083333298</v>
      </c>
    </row>
    <row r="1365" spans="1:3" ht="15.75" customHeight="1" x14ac:dyDescent="0.4">
      <c r="A1365" s="24" t="s">
        <v>2145</v>
      </c>
      <c r="B1365" s="24" t="s">
        <v>2622</v>
      </c>
      <c r="C1365" s="68">
        <v>44742.8840277778</v>
      </c>
    </row>
    <row r="1366" spans="1:3" ht="15.75" customHeight="1" x14ac:dyDescent="0.4">
      <c r="A1366" s="24" t="s">
        <v>850</v>
      </c>
      <c r="B1366" s="24" t="s">
        <v>2623</v>
      </c>
      <c r="C1366" s="68">
        <v>44737.476388888899</v>
      </c>
    </row>
    <row r="1367" spans="1:3" ht="15.75" customHeight="1" x14ac:dyDescent="0.4">
      <c r="A1367" s="24" t="s">
        <v>1826</v>
      </c>
      <c r="B1367" s="24" t="s">
        <v>2624</v>
      </c>
      <c r="C1367" s="68">
        <v>44742.709027777797</v>
      </c>
    </row>
    <row r="1368" spans="1:3" ht="15.75" customHeight="1" x14ac:dyDescent="0.4">
      <c r="A1368" s="24" t="s">
        <v>1938</v>
      </c>
      <c r="B1368" s="24" t="s">
        <v>2625</v>
      </c>
      <c r="C1368" s="69">
        <v>44743.565277777801</v>
      </c>
    </row>
    <row r="1369" spans="1:3" ht="15.75" customHeight="1" x14ac:dyDescent="0.4">
      <c r="A1369" s="24" t="s">
        <v>1981</v>
      </c>
      <c r="B1369" s="24" t="s">
        <v>2626</v>
      </c>
      <c r="C1369" s="69">
        <v>44745.495138888902</v>
      </c>
    </row>
    <row r="1370" spans="1:3" ht="15.75" customHeight="1" x14ac:dyDescent="0.4">
      <c r="A1370" s="24" t="s">
        <v>1692</v>
      </c>
      <c r="B1370" s="24" t="s">
        <v>2627</v>
      </c>
      <c r="C1370" s="69">
        <v>44743.838888888902</v>
      </c>
    </row>
    <row r="1371" spans="1:3" ht="15.75" customHeight="1" x14ac:dyDescent="0.4">
      <c r="A1371" s="24" t="s">
        <v>1284</v>
      </c>
      <c r="B1371" s="24" t="s">
        <v>2628</v>
      </c>
      <c r="C1371" s="68">
        <v>44742.646527777797</v>
      </c>
    </row>
    <row r="1372" spans="1:3" ht="15.75" customHeight="1" x14ac:dyDescent="0.4">
      <c r="A1372" s="24" t="s">
        <v>1039</v>
      </c>
      <c r="B1372" s="24" t="s">
        <v>2629</v>
      </c>
      <c r="C1372" s="69">
        <v>44743.495138888902</v>
      </c>
    </row>
    <row r="1373" spans="1:3" ht="15.75" customHeight="1" x14ac:dyDescent="0.4">
      <c r="A1373" s="24" t="s">
        <v>1715</v>
      </c>
      <c r="B1373" s="24" t="s">
        <v>2630</v>
      </c>
      <c r="C1373" s="69">
        <v>44743.738888888904</v>
      </c>
    </row>
    <row r="1374" spans="1:3" ht="15.75" customHeight="1" x14ac:dyDescent="0.4">
      <c r="A1374" s="24" t="s">
        <v>1129</v>
      </c>
      <c r="B1374" s="24" t="s">
        <v>2631</v>
      </c>
      <c r="C1374" s="68">
        <v>44757.498611111099</v>
      </c>
    </row>
    <row r="1375" spans="1:3" ht="15.75" customHeight="1" x14ac:dyDescent="0.4">
      <c r="A1375" s="24" t="s">
        <v>927</v>
      </c>
      <c r="B1375" s="24" t="s">
        <v>2632</v>
      </c>
      <c r="C1375" s="68">
        <v>44760.818055555603</v>
      </c>
    </row>
    <row r="1376" spans="1:3" ht="15.75" customHeight="1" x14ac:dyDescent="0.4">
      <c r="A1376" s="24" t="s">
        <v>970</v>
      </c>
      <c r="B1376" s="24" t="s">
        <v>2633</v>
      </c>
      <c r="C1376" s="69">
        <v>44749.440277777801</v>
      </c>
    </row>
    <row r="1377" spans="1:3" ht="15.75" customHeight="1" x14ac:dyDescent="0.4">
      <c r="A1377" s="24" t="s">
        <v>1714</v>
      </c>
      <c r="B1377" s="24" t="s">
        <v>2634</v>
      </c>
      <c r="C1377" s="69">
        <v>44745.801388888904</v>
      </c>
    </row>
    <row r="1378" spans="1:3" ht="15.75" customHeight="1" x14ac:dyDescent="0.4">
      <c r="A1378" s="24" t="s">
        <v>979</v>
      </c>
      <c r="B1378" s="24" t="s">
        <v>2635</v>
      </c>
      <c r="C1378" s="68">
        <v>44741.501388888901</v>
      </c>
    </row>
    <row r="1379" spans="1:3" ht="15.75" customHeight="1" x14ac:dyDescent="0.4">
      <c r="A1379" s="24" t="s">
        <v>691</v>
      </c>
      <c r="B1379" s="24" t="s">
        <v>2636</v>
      </c>
      <c r="C1379" s="68">
        <v>44757.574999999997</v>
      </c>
    </row>
    <row r="1380" spans="1:3" ht="15.75" customHeight="1" x14ac:dyDescent="0.4">
      <c r="A1380" s="24" t="s">
        <v>924</v>
      </c>
      <c r="B1380" s="24" t="s">
        <v>2636</v>
      </c>
      <c r="C1380" s="69">
        <v>44744.733333333301</v>
      </c>
    </row>
    <row r="1381" spans="1:3" ht="15.75" customHeight="1" x14ac:dyDescent="0.4">
      <c r="A1381" s="24" t="s">
        <v>2135</v>
      </c>
      <c r="B1381" s="24" t="s">
        <v>2637</v>
      </c>
      <c r="C1381" s="69">
        <v>44748.765277777798</v>
      </c>
    </row>
    <row r="1382" spans="1:3" ht="15.75" customHeight="1" x14ac:dyDescent="0.4">
      <c r="A1382" s="24" t="s">
        <v>2060</v>
      </c>
      <c r="B1382" s="24" t="s">
        <v>2638</v>
      </c>
      <c r="C1382" s="68">
        <v>44742.745833333298</v>
      </c>
    </row>
    <row r="1383" spans="1:3" ht="15.75" customHeight="1" x14ac:dyDescent="0.4">
      <c r="A1383" s="24" t="s">
        <v>1164</v>
      </c>
      <c r="B1383" s="24" t="s">
        <v>2639</v>
      </c>
      <c r="C1383" s="69">
        <v>44743.5715277778</v>
      </c>
    </row>
    <row r="1384" spans="1:3" ht="15.75" customHeight="1" x14ac:dyDescent="0.4">
      <c r="A1384" s="24" t="s">
        <v>1074</v>
      </c>
      <c r="B1384" s="24" t="s">
        <v>2640</v>
      </c>
      <c r="C1384" s="68">
        <v>44742.699305555601</v>
      </c>
    </row>
    <row r="1385" spans="1:3" ht="15.75" customHeight="1" x14ac:dyDescent="0.4">
      <c r="A1385" s="24" t="s">
        <v>1142</v>
      </c>
      <c r="B1385" s="24" t="s">
        <v>2641</v>
      </c>
      <c r="C1385" s="69">
        <v>44744.706250000003</v>
      </c>
    </row>
    <row r="1386" spans="1:3" ht="15.75" customHeight="1" x14ac:dyDescent="0.4">
      <c r="A1386" s="24" t="s">
        <v>1208</v>
      </c>
      <c r="B1386" s="24" t="s">
        <v>2642</v>
      </c>
      <c r="C1386" s="69">
        <v>44745.5090277778</v>
      </c>
    </row>
    <row r="1387" spans="1:3" ht="15.75" customHeight="1" x14ac:dyDescent="0.4">
      <c r="A1387" s="24" t="s">
        <v>1229</v>
      </c>
      <c r="B1387" s="24" t="s">
        <v>2643</v>
      </c>
      <c r="C1387" s="69">
        <v>44747.6027777778</v>
      </c>
    </row>
    <row r="1388" spans="1:3" ht="15.75" customHeight="1" x14ac:dyDescent="0.4">
      <c r="A1388" s="24" t="s">
        <v>1415</v>
      </c>
      <c r="B1388" s="24" t="s">
        <v>2644</v>
      </c>
      <c r="C1388" s="69">
        <v>44745.554861111101</v>
      </c>
    </row>
    <row r="1389" spans="1:3" ht="15.75" customHeight="1" x14ac:dyDescent="0.4">
      <c r="A1389" s="24" t="s">
        <v>1016</v>
      </c>
      <c r="B1389" s="24" t="s">
        <v>2645</v>
      </c>
      <c r="C1389" s="69">
        <v>44751.8305555556</v>
      </c>
    </row>
    <row r="1390" spans="1:3" ht="15.75" customHeight="1" x14ac:dyDescent="0.4">
      <c r="A1390" s="24" t="s">
        <v>1306</v>
      </c>
      <c r="B1390" s="24" t="s">
        <v>2646</v>
      </c>
      <c r="C1390" s="69">
        <v>44745.770138888904</v>
      </c>
    </row>
    <row r="1391" spans="1:3" ht="15.75" customHeight="1" x14ac:dyDescent="0.4">
      <c r="A1391" s="24" t="s">
        <v>605</v>
      </c>
      <c r="B1391" s="24" t="s">
        <v>2647</v>
      </c>
      <c r="C1391" s="24" t="s">
        <v>826</v>
      </c>
    </row>
    <row r="1392" spans="1:3" ht="15.75" customHeight="1" x14ac:dyDescent="0.4">
      <c r="A1392" s="24" t="s">
        <v>1798</v>
      </c>
      <c r="B1392" s="24" t="s">
        <v>2648</v>
      </c>
      <c r="C1392" s="69">
        <v>44743.843055555597</v>
      </c>
    </row>
    <row r="1393" spans="1:3" ht="15.75" customHeight="1" x14ac:dyDescent="0.4">
      <c r="A1393" s="24" t="s">
        <v>1698</v>
      </c>
      <c r="B1393" s="24" t="s">
        <v>2649</v>
      </c>
      <c r="C1393" s="69">
        <v>44751.563888888901</v>
      </c>
    </row>
    <row r="1394" spans="1:3" ht="15.75" customHeight="1" x14ac:dyDescent="0.4">
      <c r="A1394" s="24" t="s">
        <v>359</v>
      </c>
      <c r="B1394" s="24" t="s">
        <v>2650</v>
      </c>
      <c r="C1394" s="69">
        <v>44747.518750000003</v>
      </c>
    </row>
    <row r="1395" spans="1:3" ht="15.75" customHeight="1" x14ac:dyDescent="0.4">
      <c r="A1395" s="24" t="s">
        <v>2148</v>
      </c>
      <c r="B1395" s="24" t="s">
        <v>2651</v>
      </c>
      <c r="C1395" s="69">
        <v>44743.836805555598</v>
      </c>
    </row>
    <row r="1396" spans="1:3" ht="15.75" customHeight="1" x14ac:dyDescent="0.4">
      <c r="A1396" s="24" t="s">
        <v>256</v>
      </c>
      <c r="B1396" s="24" t="s">
        <v>2652</v>
      </c>
      <c r="C1396" s="24" t="s">
        <v>826</v>
      </c>
    </row>
    <row r="1397" spans="1:3" ht="15.75" customHeight="1" x14ac:dyDescent="0.4">
      <c r="A1397" s="24" t="s">
        <v>1451</v>
      </c>
      <c r="B1397" s="24" t="s">
        <v>2653</v>
      </c>
      <c r="C1397" s="69">
        <v>44744.574999999997</v>
      </c>
    </row>
    <row r="1398" spans="1:3" ht="15.75" customHeight="1" x14ac:dyDescent="0.4">
      <c r="A1398" s="24" t="s">
        <v>696</v>
      </c>
      <c r="B1398" s="24" t="s">
        <v>2654</v>
      </c>
      <c r="C1398" s="69">
        <v>44746.870833333298</v>
      </c>
    </row>
    <row r="1399" spans="1:3" ht="15.75" customHeight="1" x14ac:dyDescent="0.4">
      <c r="A1399" s="24" t="s">
        <v>920</v>
      </c>
      <c r="B1399" s="24" t="s">
        <v>2655</v>
      </c>
      <c r="C1399" s="68">
        <v>44734.686111111099</v>
      </c>
    </row>
    <row r="1400" spans="1:3" ht="15.75" customHeight="1" x14ac:dyDescent="0.4">
      <c r="A1400" s="24" t="s">
        <v>837</v>
      </c>
      <c r="B1400" s="24" t="s">
        <v>2656</v>
      </c>
      <c r="C1400" s="69">
        <v>44748.728472222203</v>
      </c>
    </row>
    <row r="1401" spans="1:3" ht="15.75" customHeight="1" x14ac:dyDescent="0.4">
      <c r="A1401" s="24" t="s">
        <v>872</v>
      </c>
      <c r="B1401" s="24" t="s">
        <v>2657</v>
      </c>
      <c r="C1401" s="68">
        <v>44741.665972222203</v>
      </c>
    </row>
    <row r="1402" spans="1:3" ht="15.75" customHeight="1" x14ac:dyDescent="0.4">
      <c r="A1402" s="24" t="s">
        <v>1262</v>
      </c>
      <c r="B1402" s="24" t="s">
        <v>2658</v>
      </c>
      <c r="C1402" s="24" t="s">
        <v>826</v>
      </c>
    </row>
    <row r="1403" spans="1:3" ht="15.75" customHeight="1" x14ac:dyDescent="0.4">
      <c r="A1403" s="24" t="s">
        <v>1940</v>
      </c>
      <c r="B1403" s="24" t="s">
        <v>2659</v>
      </c>
      <c r="C1403" s="24" t="s">
        <v>826</v>
      </c>
    </row>
    <row r="1404" spans="1:3" ht="15.75" customHeight="1" x14ac:dyDescent="0.4">
      <c r="A1404" s="24" t="s">
        <v>2081</v>
      </c>
      <c r="B1404" s="24" t="s">
        <v>2660</v>
      </c>
      <c r="C1404" s="68">
        <v>44734.764583333301</v>
      </c>
    </row>
    <row r="1405" spans="1:3" ht="15.75" customHeight="1" x14ac:dyDescent="0.4">
      <c r="A1405" s="24" t="s">
        <v>2129</v>
      </c>
      <c r="B1405" s="24" t="s">
        <v>2661</v>
      </c>
      <c r="C1405" s="69">
        <v>44750.55</v>
      </c>
    </row>
    <row r="1406" spans="1:3" ht="15.75" customHeight="1" x14ac:dyDescent="0.4">
      <c r="A1406" s="24" t="s">
        <v>956</v>
      </c>
      <c r="B1406" s="24" t="s">
        <v>2662</v>
      </c>
      <c r="C1406" s="68">
        <v>44741.887499999997</v>
      </c>
    </row>
    <row r="1407" spans="1:3" ht="15.75" customHeight="1" x14ac:dyDescent="0.4">
      <c r="A1407" s="24" t="s">
        <v>1516</v>
      </c>
      <c r="B1407" s="24" t="s">
        <v>2663</v>
      </c>
      <c r="C1407" s="69">
        <v>44745.792361111096</v>
      </c>
    </row>
    <row r="1408" spans="1:3" ht="15.75" customHeight="1" x14ac:dyDescent="0.4">
      <c r="A1408" s="24" t="s">
        <v>229</v>
      </c>
      <c r="B1408" s="24" t="s">
        <v>2664</v>
      </c>
      <c r="C1408" s="69">
        <v>44748.561111111099</v>
      </c>
    </row>
    <row r="1409" spans="1:3" ht="15.75" customHeight="1" x14ac:dyDescent="0.4">
      <c r="A1409" s="24" t="s">
        <v>908</v>
      </c>
      <c r="B1409" s="24" t="s">
        <v>2665</v>
      </c>
      <c r="C1409" s="68">
        <v>44741.711111111101</v>
      </c>
    </row>
    <row r="1410" spans="1:3" ht="15.75" customHeight="1" x14ac:dyDescent="0.4">
      <c r="A1410" s="24" t="s">
        <v>1677</v>
      </c>
      <c r="B1410" s="24" t="s">
        <v>2666</v>
      </c>
      <c r="C1410" s="69">
        <v>44748.523611111101</v>
      </c>
    </row>
    <row r="1411" spans="1:3" ht="15.75" customHeight="1" x14ac:dyDescent="0.4">
      <c r="A1411" s="24" t="s">
        <v>881</v>
      </c>
      <c r="B1411" s="24" t="s">
        <v>2667</v>
      </c>
      <c r="C1411" s="69">
        <v>44750.885416666701</v>
      </c>
    </row>
    <row r="1412" spans="1:3" ht="15.75" customHeight="1" x14ac:dyDescent="0.4">
      <c r="A1412" s="24" t="s">
        <v>231</v>
      </c>
      <c r="B1412" s="24" t="s">
        <v>2668</v>
      </c>
      <c r="C1412" s="69">
        <v>44745.474999999999</v>
      </c>
    </row>
    <row r="1413" spans="1:3" ht="15.75" customHeight="1" x14ac:dyDescent="0.4">
      <c r="A1413" s="24" t="s">
        <v>1580</v>
      </c>
      <c r="B1413" s="24" t="s">
        <v>2669</v>
      </c>
      <c r="C1413" s="69">
        <v>44750.874305555597</v>
      </c>
    </row>
    <row r="1414" spans="1:3" ht="15.75" customHeight="1" x14ac:dyDescent="0.4">
      <c r="A1414" s="24" t="s">
        <v>228</v>
      </c>
      <c r="B1414" s="24" t="s">
        <v>2670</v>
      </c>
      <c r="C1414" s="69">
        <v>44746.688888888901</v>
      </c>
    </row>
    <row r="1415" spans="1:3" ht="15.75" customHeight="1" x14ac:dyDescent="0.4">
      <c r="A1415" s="24" t="s">
        <v>1476</v>
      </c>
      <c r="B1415" s="24" t="s">
        <v>2671</v>
      </c>
      <c r="C1415" s="69">
        <v>44748.809027777803</v>
      </c>
    </row>
    <row r="1416" spans="1:3" ht="15.75" customHeight="1" x14ac:dyDescent="0.4">
      <c r="A1416" s="24" t="s">
        <v>1029</v>
      </c>
      <c r="B1416" s="24" t="s">
        <v>2672</v>
      </c>
      <c r="C1416" s="69">
        <v>44748.709027777797</v>
      </c>
    </row>
    <row r="1417" spans="1:3" ht="15.75" customHeight="1" x14ac:dyDescent="0.4">
      <c r="A1417" s="24" t="s">
        <v>1723</v>
      </c>
      <c r="B1417" s="24" t="s">
        <v>2673</v>
      </c>
      <c r="C1417" s="69">
        <v>44750.868055555598</v>
      </c>
    </row>
    <row r="1418" spans="1:3" ht="15.75" customHeight="1" x14ac:dyDescent="0.4">
      <c r="A1418" s="24" t="s">
        <v>1634</v>
      </c>
      <c r="B1418" s="24" t="s">
        <v>2674</v>
      </c>
      <c r="C1418" s="69">
        <v>44749.565277777801</v>
      </c>
    </row>
    <row r="1419" spans="1:3" ht="15.75" customHeight="1" x14ac:dyDescent="0.4">
      <c r="A1419" s="24" t="s">
        <v>1860</v>
      </c>
      <c r="B1419" s="24" t="s">
        <v>2675</v>
      </c>
      <c r="C1419" s="68">
        <v>44742.906944444498</v>
      </c>
    </row>
    <row r="1420" spans="1:3" ht="15.75" customHeight="1" x14ac:dyDescent="0.4">
      <c r="A1420" s="24" t="s">
        <v>1682</v>
      </c>
      <c r="B1420" s="24" t="s">
        <v>2676</v>
      </c>
      <c r="C1420" s="69">
        <v>44743.78125</v>
      </c>
    </row>
    <row r="1421" spans="1:3" ht="15.75" customHeight="1" x14ac:dyDescent="0.4">
      <c r="A1421" s="24" t="s">
        <v>1973</v>
      </c>
      <c r="B1421" s="24" t="s">
        <v>2677</v>
      </c>
      <c r="C1421" s="68">
        <v>44737.543055555601</v>
      </c>
    </row>
    <row r="1422" spans="1:3" ht="15.75" customHeight="1" x14ac:dyDescent="0.4">
      <c r="A1422" s="24" t="s">
        <v>766</v>
      </c>
      <c r="B1422" s="24" t="s">
        <v>2678</v>
      </c>
      <c r="C1422" s="68">
        <v>44742.906944444498</v>
      </c>
    </row>
    <row r="1423" spans="1:3" ht="15.75" customHeight="1" x14ac:dyDescent="0.4">
      <c r="A1423" s="24" t="s">
        <v>1282</v>
      </c>
      <c r="B1423" s="24" t="s">
        <v>2679</v>
      </c>
      <c r="C1423" s="69">
        <v>44749.855555555601</v>
      </c>
    </row>
    <row r="1424" spans="1:3" ht="15.75" customHeight="1" x14ac:dyDescent="0.4">
      <c r="A1424" s="24" t="s">
        <v>1571</v>
      </c>
      <c r="B1424" s="24" t="s">
        <v>2680</v>
      </c>
      <c r="C1424" s="69">
        <v>44743.545138888898</v>
      </c>
    </row>
    <row r="1425" spans="1:3" ht="15.75" customHeight="1" x14ac:dyDescent="0.4">
      <c r="A1425" s="24" t="s">
        <v>2115</v>
      </c>
      <c r="B1425" s="24" t="s">
        <v>2681</v>
      </c>
      <c r="C1425" s="69">
        <v>44743.780555555597</v>
      </c>
    </row>
    <row r="1426" spans="1:3" ht="15.75" customHeight="1" x14ac:dyDescent="0.4">
      <c r="A1426" s="24" t="s">
        <v>1247</v>
      </c>
      <c r="B1426" s="24" t="s">
        <v>2682</v>
      </c>
      <c r="C1426" s="69">
        <v>44744.7006944444</v>
      </c>
    </row>
    <row r="1427" spans="1:3" ht="15.75" customHeight="1" x14ac:dyDescent="0.4">
      <c r="A1427" s="24" t="s">
        <v>2100</v>
      </c>
      <c r="B1427" s="24" t="s">
        <v>2683</v>
      </c>
      <c r="C1427" s="69">
        <v>44744.771527777797</v>
      </c>
    </row>
    <row r="1428" spans="1:3" ht="15.75" customHeight="1" x14ac:dyDescent="0.4">
      <c r="A1428" s="24" t="s">
        <v>467</v>
      </c>
      <c r="B1428" s="24" t="s">
        <v>2684</v>
      </c>
      <c r="C1428" s="68">
        <v>44737.787499999999</v>
      </c>
    </row>
    <row r="1429" spans="1:3" ht="15.75" customHeight="1" x14ac:dyDescent="0.4">
      <c r="A1429" s="24" t="s">
        <v>848</v>
      </c>
      <c r="B1429" s="24" t="s">
        <v>2685</v>
      </c>
      <c r="C1429" s="68">
        <v>44736.770138888904</v>
      </c>
    </row>
    <row r="1430" spans="1:3" ht="15.75" customHeight="1" x14ac:dyDescent="0.4">
      <c r="A1430" s="24" t="s">
        <v>479</v>
      </c>
      <c r="B1430" s="24" t="s">
        <v>2686</v>
      </c>
      <c r="C1430" s="69">
        <v>44748.833333333299</v>
      </c>
    </row>
    <row r="1431" spans="1:3" ht="15.75" customHeight="1" x14ac:dyDescent="0.4">
      <c r="A1431" s="24" t="s">
        <v>1038</v>
      </c>
      <c r="B1431" s="24" t="s">
        <v>2687</v>
      </c>
      <c r="C1431" s="68">
        <v>44742.906944444498</v>
      </c>
    </row>
    <row r="1432" spans="1:3" ht="15.75" customHeight="1" x14ac:dyDescent="0.4">
      <c r="A1432" s="24" t="s">
        <v>1424</v>
      </c>
      <c r="B1432" s="24" t="s">
        <v>2688</v>
      </c>
      <c r="C1432" s="24" t="s">
        <v>826</v>
      </c>
    </row>
    <row r="1433" spans="1:3" ht="15.75" customHeight="1" x14ac:dyDescent="0.4">
      <c r="A1433" s="24" t="s">
        <v>2093</v>
      </c>
      <c r="B1433" s="24" t="s">
        <v>2689</v>
      </c>
      <c r="C1433" s="68">
        <v>44737.694444444503</v>
      </c>
    </row>
    <row r="1434" spans="1:3" ht="15.75" customHeight="1" x14ac:dyDescent="0.4">
      <c r="A1434" s="24" t="s">
        <v>1307</v>
      </c>
      <c r="B1434" s="24" t="s">
        <v>2690</v>
      </c>
      <c r="C1434" s="69">
        <v>44745.702777777798</v>
      </c>
    </row>
    <row r="1435" spans="1:3" ht="15.75" customHeight="1" x14ac:dyDescent="0.4">
      <c r="A1435" s="24" t="s">
        <v>227</v>
      </c>
      <c r="B1435" s="24" t="s">
        <v>2691</v>
      </c>
      <c r="C1435" s="69">
        <v>44743.783333333296</v>
      </c>
    </row>
    <row r="1436" spans="1:3" ht="15.75" customHeight="1" x14ac:dyDescent="0.4">
      <c r="A1436" s="24" t="s">
        <v>1637</v>
      </c>
      <c r="B1436" s="24" t="s">
        <v>2692</v>
      </c>
      <c r="C1436" s="68">
        <v>44741.838194444397</v>
      </c>
    </row>
    <row r="1437" spans="1:3" ht="15.75" customHeight="1" x14ac:dyDescent="0.4">
      <c r="A1437" s="24" t="s">
        <v>531</v>
      </c>
      <c r="B1437" s="24" t="s">
        <v>2693</v>
      </c>
      <c r="C1437" s="69">
        <v>44750.523611111101</v>
      </c>
    </row>
    <row r="1438" spans="1:3" ht="15.75" customHeight="1" x14ac:dyDescent="0.4">
      <c r="A1438" s="24" t="s">
        <v>1106</v>
      </c>
      <c r="B1438" s="24" t="s">
        <v>2694</v>
      </c>
      <c r="C1438" s="69">
        <v>44743.784027777801</v>
      </c>
    </row>
    <row r="1439" spans="1:3" ht="15.75" customHeight="1" x14ac:dyDescent="0.4">
      <c r="A1439" s="24" t="s">
        <v>1335</v>
      </c>
      <c r="B1439" s="24" t="s">
        <v>2695</v>
      </c>
      <c r="C1439" s="69">
        <v>44743.746527777803</v>
      </c>
    </row>
    <row r="1440" spans="1:3" ht="15.75" customHeight="1" x14ac:dyDescent="0.4">
      <c r="A1440" s="24" t="s">
        <v>896</v>
      </c>
      <c r="B1440" s="24" t="s">
        <v>2696</v>
      </c>
      <c r="C1440" s="69">
        <v>44743.773611111101</v>
      </c>
    </row>
    <row r="1441" spans="1:3" ht="15.75" customHeight="1" x14ac:dyDescent="0.4">
      <c r="A1441" s="24" t="s">
        <v>889</v>
      </c>
      <c r="B1441" s="24" t="s">
        <v>2697</v>
      </c>
      <c r="C1441" s="68">
        <v>44735.520138888904</v>
      </c>
    </row>
    <row r="1442" spans="1:3" ht="15.75" customHeight="1" x14ac:dyDescent="0.4">
      <c r="A1442" s="24" t="s">
        <v>309</v>
      </c>
      <c r="B1442" s="24" t="s">
        <v>2698</v>
      </c>
      <c r="C1442" s="68">
        <v>44737.477083333302</v>
      </c>
    </row>
    <row r="1443" spans="1:3" ht="15.75" customHeight="1" x14ac:dyDescent="0.4">
      <c r="A1443" s="24" t="s">
        <v>1735</v>
      </c>
      <c r="B1443" s="24" t="s">
        <v>2699</v>
      </c>
      <c r="C1443" s="68">
        <v>44742.535416666702</v>
      </c>
    </row>
    <row r="1444" spans="1:3" ht="15.75" customHeight="1" x14ac:dyDescent="0.4">
      <c r="A1444" s="24" t="s">
        <v>1700</v>
      </c>
      <c r="B1444" s="24" t="s">
        <v>2700</v>
      </c>
      <c r="C1444" s="68">
        <v>44740.780555555597</v>
      </c>
    </row>
    <row r="1445" spans="1:3" ht="15.75" customHeight="1" x14ac:dyDescent="0.4">
      <c r="A1445" s="24" t="s">
        <v>2103</v>
      </c>
      <c r="B1445" s="24" t="s">
        <v>2701</v>
      </c>
      <c r="C1445" s="68">
        <v>44742.7006944444</v>
      </c>
    </row>
    <row r="1446" spans="1:3" ht="15.75" customHeight="1" x14ac:dyDescent="0.4">
      <c r="A1446" s="24" t="s">
        <v>307</v>
      </c>
      <c r="B1446" s="24" t="s">
        <v>2701</v>
      </c>
      <c r="C1446" s="24" t="s">
        <v>826</v>
      </c>
    </row>
    <row r="1447" spans="1:3" ht="15.75" customHeight="1" x14ac:dyDescent="0.4">
      <c r="A1447" s="24" t="s">
        <v>910</v>
      </c>
      <c r="B1447" s="24" t="s">
        <v>2701</v>
      </c>
      <c r="C1447" s="69">
        <v>44743.8305555556</v>
      </c>
    </row>
    <row r="1448" spans="1:3" ht="15.75" customHeight="1" x14ac:dyDescent="0.4">
      <c r="A1448" s="24" t="s">
        <v>1795</v>
      </c>
      <c r="B1448" s="24" t="s">
        <v>2702</v>
      </c>
      <c r="C1448" s="68">
        <v>44738.686805555597</v>
      </c>
    </row>
    <row r="1449" spans="1:3" ht="15.75" customHeight="1" x14ac:dyDescent="0.4">
      <c r="A1449" s="24" t="s">
        <v>1543</v>
      </c>
      <c r="B1449" s="24" t="s">
        <v>2703</v>
      </c>
      <c r="C1449" s="68">
        <v>44737.809722222199</v>
      </c>
    </row>
    <row r="1450" spans="1:3" ht="15.75" customHeight="1" x14ac:dyDescent="0.4">
      <c r="A1450" s="24" t="s">
        <v>1643</v>
      </c>
      <c r="B1450" s="24" t="s">
        <v>2704</v>
      </c>
      <c r="C1450" s="68">
        <v>44738.545833333301</v>
      </c>
    </row>
    <row r="1451" spans="1:3" ht="15.75" customHeight="1" x14ac:dyDescent="0.4">
      <c r="A1451" s="24" t="s">
        <v>1963</v>
      </c>
      <c r="B1451" s="24" t="s">
        <v>2704</v>
      </c>
      <c r="C1451" s="69">
        <v>44747.867361111101</v>
      </c>
    </row>
    <row r="1452" spans="1:3" ht="15.75" customHeight="1" x14ac:dyDescent="0.4">
      <c r="A1452" s="24" t="s">
        <v>966</v>
      </c>
      <c r="B1452" s="24" t="s">
        <v>2705</v>
      </c>
      <c r="C1452" s="69">
        <v>44745.711111111101</v>
      </c>
    </row>
    <row r="1453" spans="1:3" ht="15.75" customHeight="1" x14ac:dyDescent="0.4">
      <c r="A1453" s="24" t="s">
        <v>1030</v>
      </c>
      <c r="B1453" s="24" t="s">
        <v>2706</v>
      </c>
      <c r="C1453" s="68">
        <v>44734.856249999997</v>
      </c>
    </row>
    <row r="1454" spans="1:3" ht="15.75" customHeight="1" x14ac:dyDescent="0.4">
      <c r="A1454" s="24" t="s">
        <v>629</v>
      </c>
      <c r="B1454" s="24" t="s">
        <v>2707</v>
      </c>
      <c r="C1454" s="69">
        <v>44744.7</v>
      </c>
    </row>
    <row r="1455" spans="1:3" ht="15.75" customHeight="1" x14ac:dyDescent="0.4">
      <c r="A1455" s="24" t="s">
        <v>2009</v>
      </c>
      <c r="B1455" s="24" t="s">
        <v>2708</v>
      </c>
      <c r="C1455" s="69">
        <v>44745.722222222197</v>
      </c>
    </row>
    <row r="1456" spans="1:3" ht="15.75" customHeight="1" x14ac:dyDescent="0.4">
      <c r="A1456" s="24" t="s">
        <v>846</v>
      </c>
      <c r="B1456" s="24" t="s">
        <v>2709</v>
      </c>
      <c r="C1456" s="69">
        <v>44744.775694444397</v>
      </c>
    </row>
    <row r="1457" spans="1:3" ht="15.75" customHeight="1" x14ac:dyDescent="0.4">
      <c r="A1457" s="24" t="s">
        <v>1478</v>
      </c>
      <c r="B1457" s="24" t="s">
        <v>2710</v>
      </c>
      <c r="C1457" s="68">
        <v>44740.625</v>
      </c>
    </row>
    <row r="1458" spans="1:3" ht="15.75" customHeight="1" x14ac:dyDescent="0.4">
      <c r="A1458" s="24" t="s">
        <v>2127</v>
      </c>
      <c r="B1458" s="24" t="s">
        <v>2711</v>
      </c>
      <c r="C1458" s="69">
        <v>44743.779166666704</v>
      </c>
    </row>
    <row r="1459" spans="1:3" ht="15.75" customHeight="1" x14ac:dyDescent="0.4">
      <c r="A1459" s="24" t="s">
        <v>1552</v>
      </c>
      <c r="B1459" s="24" t="s">
        <v>2712</v>
      </c>
      <c r="C1459" s="69">
        <v>44745.586805555598</v>
      </c>
    </row>
    <row r="1460" spans="1:3" ht="15.75" customHeight="1" x14ac:dyDescent="0.4">
      <c r="A1460" s="24" t="s">
        <v>515</v>
      </c>
      <c r="B1460" s="24" t="s">
        <v>2713</v>
      </c>
      <c r="C1460" s="68">
        <v>44737.475694444503</v>
      </c>
    </row>
    <row r="1461" spans="1:3" ht="15.75" customHeight="1" x14ac:dyDescent="0.4">
      <c r="A1461" s="24" t="s">
        <v>1072</v>
      </c>
      <c r="B1461" s="24" t="s">
        <v>2714</v>
      </c>
      <c r="C1461" s="69">
        <v>44744.708333333299</v>
      </c>
    </row>
    <row r="1462" spans="1:3" ht="15.75" customHeight="1" x14ac:dyDescent="0.4">
      <c r="A1462" s="24" t="s">
        <v>242</v>
      </c>
      <c r="B1462" s="24" t="s">
        <v>2715</v>
      </c>
      <c r="C1462" s="69">
        <v>44745.706250000003</v>
      </c>
    </row>
    <row r="1463" spans="1:3" ht="15.75" customHeight="1" x14ac:dyDescent="0.4">
      <c r="A1463" s="24" t="s">
        <v>236</v>
      </c>
      <c r="B1463" s="24" t="s">
        <v>2716</v>
      </c>
      <c r="C1463" s="69">
        <v>44744.698611111096</v>
      </c>
    </row>
    <row r="1464" spans="1:3" ht="15.75" customHeight="1" x14ac:dyDescent="0.4">
      <c r="A1464" s="24" t="s">
        <v>254</v>
      </c>
      <c r="B1464" s="24" t="s">
        <v>2717</v>
      </c>
      <c r="C1464" s="24" t="s">
        <v>826</v>
      </c>
    </row>
    <row r="1465" spans="1:3" ht="15.75" customHeight="1" x14ac:dyDescent="0.4">
      <c r="A1465" s="24" t="s">
        <v>305</v>
      </c>
      <c r="B1465" s="24" t="s">
        <v>2718</v>
      </c>
      <c r="C1465" s="68">
        <v>44742.6652777778</v>
      </c>
    </row>
    <row r="1466" spans="1:3" ht="15.75" customHeight="1" x14ac:dyDescent="0.4">
      <c r="A1466" s="24" t="s">
        <v>1577</v>
      </c>
      <c r="B1466" s="24" t="s">
        <v>2719</v>
      </c>
      <c r="C1466" s="69">
        <v>44745.809027777803</v>
      </c>
    </row>
    <row r="1467" spans="1:3" ht="15.75" customHeight="1" x14ac:dyDescent="0.4">
      <c r="A1467" s="24" t="s">
        <v>1989</v>
      </c>
      <c r="B1467" s="24" t="s">
        <v>2720</v>
      </c>
      <c r="C1467" s="69">
        <v>44744.775694444397</v>
      </c>
    </row>
    <row r="1468" spans="1:3" ht="15.75" customHeight="1" x14ac:dyDescent="0.4">
      <c r="A1468" s="24" t="s">
        <v>367</v>
      </c>
      <c r="B1468" s="24" t="s">
        <v>2721</v>
      </c>
      <c r="C1468" s="24" t="s">
        <v>826</v>
      </c>
    </row>
    <row r="1469" spans="1:3" ht="15.75" customHeight="1" x14ac:dyDescent="0.4">
      <c r="A1469" s="24" t="s">
        <v>1927</v>
      </c>
      <c r="B1469" s="24" t="s">
        <v>2722</v>
      </c>
      <c r="C1469" s="69">
        <v>44747.820138888899</v>
      </c>
    </row>
    <row r="1470" spans="1:3" ht="15.75" customHeight="1" x14ac:dyDescent="0.4">
      <c r="A1470" s="24" t="s">
        <v>774</v>
      </c>
      <c r="B1470" s="24" t="s">
        <v>2723</v>
      </c>
      <c r="C1470" s="68">
        <v>44737.589583333298</v>
      </c>
    </row>
    <row r="1471" spans="1:3" ht="15.75" customHeight="1" x14ac:dyDescent="0.4">
      <c r="A1471" s="24" t="s">
        <v>445</v>
      </c>
      <c r="B1471" s="24" t="s">
        <v>2724</v>
      </c>
      <c r="C1471" s="69">
        <v>44743.829166666699</v>
      </c>
    </row>
    <row r="1472" spans="1:3" ht="15.75" customHeight="1" x14ac:dyDescent="0.4">
      <c r="A1472" s="24" t="s">
        <v>1365</v>
      </c>
      <c r="B1472" s="24" t="s">
        <v>2725</v>
      </c>
      <c r="C1472" s="69">
        <v>44745.663888888899</v>
      </c>
    </row>
    <row r="1473" spans="1:3" ht="15.75" customHeight="1" x14ac:dyDescent="0.4">
      <c r="A1473" s="24" t="s">
        <v>1568</v>
      </c>
      <c r="B1473" s="24" t="s">
        <v>2726</v>
      </c>
      <c r="C1473" s="69">
        <v>44744.663194444503</v>
      </c>
    </row>
    <row r="1474" spans="1:3" ht="15.75" customHeight="1" x14ac:dyDescent="0.4">
      <c r="A1474" s="24" t="s">
        <v>1393</v>
      </c>
      <c r="B1474" s="24" t="s">
        <v>2727</v>
      </c>
      <c r="C1474" s="68">
        <v>44753.7631944444</v>
      </c>
    </row>
    <row r="1475" spans="1:3" ht="15.75" customHeight="1" x14ac:dyDescent="0.4">
      <c r="A1475" s="24" t="s">
        <v>1574</v>
      </c>
      <c r="B1475" s="24" t="s">
        <v>2728</v>
      </c>
      <c r="C1475" s="69">
        <v>44746.667361111096</v>
      </c>
    </row>
    <row r="1476" spans="1:3" ht="15.75" customHeight="1" x14ac:dyDescent="0.4">
      <c r="A1476" s="24" t="s">
        <v>1587</v>
      </c>
      <c r="B1476" s="24" t="s">
        <v>2729</v>
      </c>
      <c r="C1476" s="68">
        <v>44742.534027777801</v>
      </c>
    </row>
    <row r="1477" spans="1:3" ht="15.75" customHeight="1" x14ac:dyDescent="0.4">
      <c r="A1477" s="24" t="s">
        <v>1978</v>
      </c>
      <c r="B1477" s="24" t="s">
        <v>2730</v>
      </c>
      <c r="C1477" s="69">
        <v>44749.840277777803</v>
      </c>
    </row>
    <row r="1478" spans="1:3" ht="15.75" customHeight="1" x14ac:dyDescent="0.4">
      <c r="A1478" s="24" t="s">
        <v>1960</v>
      </c>
      <c r="B1478" s="24" t="s">
        <v>2731</v>
      </c>
      <c r="C1478" s="69">
        <v>44749.835416666698</v>
      </c>
    </row>
    <row r="1479" spans="1:3" ht="15.75" customHeight="1" x14ac:dyDescent="0.4">
      <c r="A1479" s="24" t="s">
        <v>1428</v>
      </c>
      <c r="B1479" s="24" t="s">
        <v>2732</v>
      </c>
      <c r="C1479" s="69">
        <v>44744.904861111099</v>
      </c>
    </row>
    <row r="1480" spans="1:3" ht="15.75" customHeight="1" x14ac:dyDescent="0.4">
      <c r="A1480" s="24" t="s">
        <v>712</v>
      </c>
      <c r="B1480" s="24" t="s">
        <v>2733</v>
      </c>
      <c r="C1480" s="69">
        <v>44743.861111111102</v>
      </c>
    </row>
    <row r="1481" spans="1:3" ht="15.75" customHeight="1" x14ac:dyDescent="0.4">
      <c r="A1481" s="24" t="s">
        <v>677</v>
      </c>
      <c r="B1481" s="24" t="s">
        <v>2733</v>
      </c>
      <c r="C1481" s="69">
        <v>44748.695833333302</v>
      </c>
    </row>
    <row r="1482" spans="1:3" ht="15.75" customHeight="1" x14ac:dyDescent="0.4">
      <c r="A1482" s="24" t="s">
        <v>1796</v>
      </c>
      <c r="B1482" s="24" t="s">
        <v>2734</v>
      </c>
      <c r="C1482" s="69">
        <v>44743.872916666704</v>
      </c>
    </row>
    <row r="1483" spans="1:3" ht="15.75" customHeight="1" x14ac:dyDescent="0.4">
      <c r="A1483" s="24" t="s">
        <v>2102</v>
      </c>
      <c r="B1483" s="24" t="s">
        <v>2735</v>
      </c>
      <c r="C1483" s="68">
        <v>44757.850694444503</v>
      </c>
    </row>
    <row r="1484" spans="1:3" ht="15.75" customHeight="1" x14ac:dyDescent="0.4">
      <c r="A1484" s="24" t="s">
        <v>1460</v>
      </c>
      <c r="B1484" s="24" t="s">
        <v>2735</v>
      </c>
      <c r="C1484" s="24" t="s">
        <v>826</v>
      </c>
    </row>
    <row r="1485" spans="1:3" ht="15.75" customHeight="1" x14ac:dyDescent="0.4">
      <c r="A1485" s="24" t="s">
        <v>1613</v>
      </c>
      <c r="B1485" s="24" t="s">
        <v>2736</v>
      </c>
      <c r="C1485" s="68">
        <v>44741.579166666699</v>
      </c>
    </row>
    <row r="1486" spans="1:3" ht="15.75" customHeight="1" x14ac:dyDescent="0.4">
      <c r="A1486" s="24" t="s">
        <v>700</v>
      </c>
      <c r="B1486" s="24" t="s">
        <v>2737</v>
      </c>
      <c r="C1486" s="69">
        <v>44748.523611111101</v>
      </c>
    </row>
    <row r="1487" spans="1:3" ht="15.75" customHeight="1" x14ac:dyDescent="0.4">
      <c r="A1487" s="24" t="s">
        <v>1202</v>
      </c>
      <c r="B1487" s="24" t="s">
        <v>2738</v>
      </c>
      <c r="C1487" s="24" t="s">
        <v>826</v>
      </c>
    </row>
    <row r="1488" spans="1:3" ht="15.75" customHeight="1" x14ac:dyDescent="0.4">
      <c r="A1488" s="24" t="s">
        <v>303</v>
      </c>
      <c r="B1488" s="24" t="s">
        <v>2739</v>
      </c>
      <c r="C1488" s="24" t="s">
        <v>826</v>
      </c>
    </row>
    <row r="1489" spans="1:3" ht="15.75" customHeight="1" x14ac:dyDescent="0.4">
      <c r="A1489" s="24" t="s">
        <v>1359</v>
      </c>
      <c r="B1489" s="24" t="s">
        <v>2740</v>
      </c>
      <c r="C1489" s="69">
        <v>44745.648611111101</v>
      </c>
    </row>
    <row r="1490" spans="1:3" ht="15.75" customHeight="1" x14ac:dyDescent="0.4">
      <c r="A1490" s="24" t="s">
        <v>2173</v>
      </c>
      <c r="B1490" s="24" t="s">
        <v>2741</v>
      </c>
      <c r="C1490" s="69">
        <v>44750.822222222203</v>
      </c>
    </row>
    <row r="1491" spans="1:3" ht="15.75" customHeight="1" x14ac:dyDescent="0.4">
      <c r="A1491" s="24" t="s">
        <v>1594</v>
      </c>
      <c r="B1491" s="24" t="s">
        <v>2742</v>
      </c>
      <c r="C1491" s="24" t="s">
        <v>826</v>
      </c>
    </row>
    <row r="1492" spans="1:3" ht="15.75" customHeight="1" x14ac:dyDescent="0.4">
      <c r="A1492" s="24" t="s">
        <v>1856</v>
      </c>
      <c r="B1492" s="24" t="s">
        <v>2743</v>
      </c>
      <c r="C1492" s="68">
        <v>44741.661111111098</v>
      </c>
    </row>
    <row r="1493" spans="1:3" ht="15.75" customHeight="1" x14ac:dyDescent="0.4">
      <c r="A1493" s="24" t="s">
        <v>873</v>
      </c>
      <c r="B1493" s="24" t="s">
        <v>2744</v>
      </c>
      <c r="C1493" s="69">
        <v>44745.808333333298</v>
      </c>
    </row>
    <row r="1494" spans="1:3" ht="15.75" customHeight="1" x14ac:dyDescent="0.4">
      <c r="A1494" s="24" t="s">
        <v>1336</v>
      </c>
      <c r="B1494" s="24" t="s">
        <v>2745</v>
      </c>
      <c r="C1494" s="69">
        <v>44743.529861111099</v>
      </c>
    </row>
    <row r="1495" spans="1:3" ht="15.75" customHeight="1" x14ac:dyDescent="0.4">
      <c r="A1495" s="24" t="s">
        <v>1777</v>
      </c>
      <c r="B1495" s="24" t="s">
        <v>2746</v>
      </c>
      <c r="C1495" s="68">
        <v>44736.659027777801</v>
      </c>
    </row>
    <row r="1496" spans="1:3" ht="15.75" customHeight="1" x14ac:dyDescent="0.4">
      <c r="A1496" s="24" t="s">
        <v>1355</v>
      </c>
      <c r="B1496" s="24" t="s">
        <v>2747</v>
      </c>
      <c r="C1496" s="68">
        <v>44742.7319444444</v>
      </c>
    </row>
    <row r="1497" spans="1:3" ht="15.75" customHeight="1" x14ac:dyDescent="0.4">
      <c r="A1497" s="24" t="s">
        <v>1303</v>
      </c>
      <c r="B1497" s="24" t="s">
        <v>2748</v>
      </c>
      <c r="C1497" s="68">
        <v>44734.655555555597</v>
      </c>
    </row>
    <row r="1498" spans="1:3" ht="15.75" customHeight="1" x14ac:dyDescent="0.4">
      <c r="A1498" s="24" t="s">
        <v>1178</v>
      </c>
      <c r="B1498" s="24" t="s">
        <v>2749</v>
      </c>
      <c r="C1498" s="68">
        <v>44738.749305555597</v>
      </c>
    </row>
    <row r="1499" spans="1:3" ht="15.75" customHeight="1" x14ac:dyDescent="0.4">
      <c r="A1499" s="24" t="s">
        <v>1630</v>
      </c>
      <c r="B1499" s="24" t="s">
        <v>2750</v>
      </c>
      <c r="C1499" s="24" t="s">
        <v>826</v>
      </c>
    </row>
    <row r="1500" spans="1:3" ht="15.75" customHeight="1" x14ac:dyDescent="0.4">
      <c r="A1500" s="24" t="s">
        <v>563</v>
      </c>
      <c r="B1500" s="24" t="s">
        <v>2751</v>
      </c>
      <c r="C1500" s="69">
        <v>44750.681250000001</v>
      </c>
    </row>
    <row r="1501" spans="1:3" ht="15.75" customHeight="1" x14ac:dyDescent="0.4">
      <c r="A1501" s="24" t="s">
        <v>1831</v>
      </c>
      <c r="B1501" s="24" t="s">
        <v>2752</v>
      </c>
      <c r="C1501" s="69">
        <v>44745.611111111102</v>
      </c>
    </row>
    <row r="1502" spans="1:3" ht="15.75" customHeight="1" x14ac:dyDescent="0.4">
      <c r="A1502" s="24" t="s">
        <v>1069</v>
      </c>
      <c r="B1502" s="24" t="s">
        <v>2753</v>
      </c>
      <c r="C1502" s="69">
        <v>44744.748611111099</v>
      </c>
    </row>
    <row r="1503" spans="1:3" ht="15.75" customHeight="1" x14ac:dyDescent="0.4">
      <c r="A1503" s="24" t="s">
        <v>1189</v>
      </c>
      <c r="B1503" s="24" t="s">
        <v>2754</v>
      </c>
      <c r="C1503" s="24" t="s">
        <v>826</v>
      </c>
    </row>
    <row r="1504" spans="1:3" ht="15.75" customHeight="1" x14ac:dyDescent="0.4">
      <c r="A1504" s="24" t="s">
        <v>1491</v>
      </c>
      <c r="B1504" s="24" t="s">
        <v>2755</v>
      </c>
      <c r="C1504" s="68">
        <v>44742.827777777798</v>
      </c>
    </row>
    <row r="1505" spans="1:3" ht="15.75" customHeight="1" x14ac:dyDescent="0.4">
      <c r="A1505" s="24" t="s">
        <v>1510</v>
      </c>
      <c r="B1505" s="24" t="s">
        <v>2756</v>
      </c>
      <c r="C1505" s="24" t="s">
        <v>826</v>
      </c>
    </row>
    <row r="1506" spans="1:3" ht="15.75" customHeight="1" x14ac:dyDescent="0.4">
      <c r="A1506" s="24" t="s">
        <v>2030</v>
      </c>
      <c r="B1506" s="24" t="s">
        <v>2757</v>
      </c>
      <c r="C1506" s="69">
        <v>44748.813888888901</v>
      </c>
    </row>
    <row r="1507" spans="1:3" ht="15.75" customHeight="1" x14ac:dyDescent="0.4">
      <c r="A1507" s="24" t="s">
        <v>1968</v>
      </c>
      <c r="B1507" s="24" t="s">
        <v>2758</v>
      </c>
      <c r="C1507" s="69">
        <v>44747.822222222203</v>
      </c>
    </row>
    <row r="1508" spans="1:3" ht="15.75" customHeight="1" x14ac:dyDescent="0.4">
      <c r="A1508" s="24" t="s">
        <v>2065</v>
      </c>
      <c r="B1508" s="24" t="s">
        <v>2759</v>
      </c>
      <c r="C1508" s="69">
        <v>44748.868055555598</v>
      </c>
    </row>
    <row r="1509" spans="1:3" ht="15.75" customHeight="1" x14ac:dyDescent="0.4">
      <c r="A1509" s="24" t="s">
        <v>2116</v>
      </c>
      <c r="B1509" s="24" t="s">
        <v>2760</v>
      </c>
      <c r="C1509" s="69">
        <v>44743.740277777797</v>
      </c>
    </row>
    <row r="1510" spans="1:3" ht="15.75" customHeight="1" x14ac:dyDescent="0.4">
      <c r="A1510" s="24" t="s">
        <v>2134</v>
      </c>
      <c r="B1510" s="24" t="s">
        <v>2761</v>
      </c>
      <c r="C1510" s="69">
        <v>44747.777083333298</v>
      </c>
    </row>
    <row r="1511" spans="1:3" ht="15.75" customHeight="1" x14ac:dyDescent="0.4">
      <c r="A1511" s="24" t="s">
        <v>1352</v>
      </c>
      <c r="B1511" s="24" t="s">
        <v>2762</v>
      </c>
      <c r="C1511" s="69">
        <v>44743.671527777798</v>
      </c>
    </row>
    <row r="1512" spans="1:3" ht="15.75" customHeight="1" x14ac:dyDescent="0.4">
      <c r="A1512" s="24" t="s">
        <v>1675</v>
      </c>
      <c r="B1512" s="24" t="s">
        <v>2763</v>
      </c>
      <c r="C1512" s="69">
        <v>44743.565972222197</v>
      </c>
    </row>
    <row r="1513" spans="1:3" ht="15.75" customHeight="1" x14ac:dyDescent="0.4">
      <c r="A1513" s="24" t="s">
        <v>1891</v>
      </c>
      <c r="B1513" s="24" t="s">
        <v>2764</v>
      </c>
      <c r="C1513" s="69">
        <v>44750.588194444397</v>
      </c>
    </row>
    <row r="1514" spans="1:3" ht="15.75" customHeight="1" x14ac:dyDescent="0.4">
      <c r="A1514" s="24" t="s">
        <v>2123</v>
      </c>
      <c r="B1514" s="24" t="s">
        <v>2765</v>
      </c>
      <c r="C1514" s="69">
        <v>44744.822916666701</v>
      </c>
    </row>
    <row r="1515" spans="1:3" ht="15.75" customHeight="1" x14ac:dyDescent="0.4">
      <c r="A1515" s="24" t="s">
        <v>1855</v>
      </c>
      <c r="B1515" s="24" t="s">
        <v>2766</v>
      </c>
      <c r="C1515" s="69">
        <v>44744.831250000003</v>
      </c>
    </row>
    <row r="1516" spans="1:3" ht="15.75" customHeight="1" x14ac:dyDescent="0.4">
      <c r="A1516" s="24" t="s">
        <v>2002</v>
      </c>
      <c r="B1516" s="24" t="s">
        <v>2767</v>
      </c>
      <c r="C1516" s="24" t="s">
        <v>826</v>
      </c>
    </row>
    <row r="1517" spans="1:3" ht="15.75" customHeight="1" x14ac:dyDescent="0.4">
      <c r="A1517" s="24" t="s">
        <v>1753</v>
      </c>
      <c r="B1517" s="24" t="s">
        <v>2768</v>
      </c>
      <c r="C1517" s="24" t="s">
        <v>826</v>
      </c>
    </row>
    <row r="1518" spans="1:3" ht="15.75" customHeight="1" x14ac:dyDescent="0.4">
      <c r="A1518" s="24" t="s">
        <v>1876</v>
      </c>
      <c r="B1518" s="24" t="s">
        <v>2768</v>
      </c>
      <c r="C1518" s="69">
        <v>44747.781944444498</v>
      </c>
    </row>
    <row r="1519" spans="1:3" ht="15.75" customHeight="1" x14ac:dyDescent="0.4">
      <c r="A1519" s="24" t="s">
        <v>1738</v>
      </c>
      <c r="B1519" s="24" t="s">
        <v>2769</v>
      </c>
      <c r="C1519" s="69">
        <v>44747.902777777803</v>
      </c>
    </row>
    <row r="1520" spans="1:3" ht="15.75" customHeight="1" x14ac:dyDescent="0.4">
      <c r="A1520" s="24" t="s">
        <v>585</v>
      </c>
      <c r="B1520" s="24" t="s">
        <v>2770</v>
      </c>
      <c r="C1520" s="68">
        <v>44737.646527777797</v>
      </c>
    </row>
    <row r="1521" spans="1:3" ht="15.75" customHeight="1" x14ac:dyDescent="0.4">
      <c r="A1521" s="24" t="s">
        <v>2155</v>
      </c>
      <c r="B1521" s="24" t="s">
        <v>2771</v>
      </c>
      <c r="C1521" s="68">
        <v>44742.8618055556</v>
      </c>
    </row>
    <row r="1522" spans="1:3" ht="15.75" customHeight="1" x14ac:dyDescent="0.4">
      <c r="A1522" s="24" t="s">
        <v>477</v>
      </c>
      <c r="B1522" s="24" t="s">
        <v>2772</v>
      </c>
      <c r="C1522" s="24" t="s">
        <v>826</v>
      </c>
    </row>
    <row r="1523" spans="1:3" ht="15.75" customHeight="1" x14ac:dyDescent="0.4">
      <c r="A1523" s="24" t="s">
        <v>780</v>
      </c>
      <c r="B1523" s="24" t="s">
        <v>2773</v>
      </c>
      <c r="C1523" s="24" t="s">
        <v>826</v>
      </c>
    </row>
    <row r="1524" spans="1:3" ht="15.75" customHeight="1" x14ac:dyDescent="0.4">
      <c r="A1524" s="24" t="s">
        <v>1380</v>
      </c>
      <c r="B1524" s="24" t="s">
        <v>2774</v>
      </c>
      <c r="C1524" s="68">
        <v>44752.816666666702</v>
      </c>
    </row>
    <row r="1525" spans="1:3" ht="15.75" customHeight="1" x14ac:dyDescent="0.4">
      <c r="A1525" s="24" t="s">
        <v>1361</v>
      </c>
      <c r="B1525" s="24" t="s">
        <v>2775</v>
      </c>
      <c r="C1525" s="68">
        <v>44738.822222222203</v>
      </c>
    </row>
    <row r="1526" spans="1:3" ht="15.75" customHeight="1" x14ac:dyDescent="0.4">
      <c r="A1526" s="24" t="s">
        <v>851</v>
      </c>
      <c r="B1526" s="24" t="s">
        <v>2776</v>
      </c>
      <c r="C1526" s="24" t="s">
        <v>826</v>
      </c>
    </row>
    <row r="1527" spans="1:3" ht="15.75" customHeight="1" x14ac:dyDescent="0.4">
      <c r="A1527" s="24" t="s">
        <v>1950</v>
      </c>
      <c r="B1527" s="24" t="s">
        <v>2777</v>
      </c>
      <c r="C1527" s="24" t="s">
        <v>826</v>
      </c>
    </row>
    <row r="1528" spans="1:3" ht="15.75" customHeight="1" x14ac:dyDescent="0.4">
      <c r="A1528" s="24" t="s">
        <v>449</v>
      </c>
      <c r="B1528" s="24" t="s">
        <v>2778</v>
      </c>
      <c r="C1528" s="69">
        <v>44745.534027777801</v>
      </c>
    </row>
    <row r="1529" spans="1:3" ht="15.75" customHeight="1" x14ac:dyDescent="0.4">
      <c r="A1529" s="24" t="s">
        <v>894</v>
      </c>
      <c r="B1529" s="24" t="s">
        <v>2779</v>
      </c>
      <c r="C1529" s="69">
        <v>44746.8256944444</v>
      </c>
    </row>
    <row r="1530" spans="1:3" ht="15.75" customHeight="1" x14ac:dyDescent="0.4">
      <c r="A1530" s="24" t="s">
        <v>1224</v>
      </c>
      <c r="B1530" s="24" t="s">
        <v>2780</v>
      </c>
      <c r="C1530" s="69">
        <v>44750.795833333301</v>
      </c>
    </row>
    <row r="1531" spans="1:3" ht="15.75" customHeight="1" x14ac:dyDescent="0.4">
      <c r="A1531" s="24" t="s">
        <v>1397</v>
      </c>
      <c r="B1531" s="24" t="s">
        <v>2781</v>
      </c>
      <c r="C1531" s="69">
        <v>44744.596527777801</v>
      </c>
    </row>
    <row r="1532" spans="1:3" ht="15.75" customHeight="1" x14ac:dyDescent="0.4">
      <c r="A1532" s="24" t="s">
        <v>1035</v>
      </c>
      <c r="B1532" s="24" t="s">
        <v>2781</v>
      </c>
      <c r="C1532" s="69">
        <v>44749.516666666699</v>
      </c>
    </row>
    <row r="1533" spans="1:3" ht="15.75" customHeight="1" x14ac:dyDescent="0.4">
      <c r="A1533" s="24" t="s">
        <v>1238</v>
      </c>
      <c r="B1533" s="24" t="s">
        <v>2782</v>
      </c>
      <c r="C1533" s="69">
        <v>44744.900694444397</v>
      </c>
    </row>
    <row r="1534" spans="1:3" ht="15.75" customHeight="1" x14ac:dyDescent="0.4">
      <c r="A1534" s="24" t="s">
        <v>1610</v>
      </c>
      <c r="B1534" s="24" t="s">
        <v>2783</v>
      </c>
      <c r="C1534" s="69">
        <v>44744.908333333296</v>
      </c>
    </row>
    <row r="1535" spans="1:3" ht="15.75" customHeight="1" x14ac:dyDescent="0.4">
      <c r="A1535" s="24" t="s">
        <v>2041</v>
      </c>
      <c r="B1535" s="24" t="s">
        <v>2784</v>
      </c>
      <c r="C1535" s="69">
        <v>44743.5805555556</v>
      </c>
    </row>
    <row r="1536" spans="1:3" ht="15.75" customHeight="1" x14ac:dyDescent="0.4">
      <c r="A1536" s="24" t="s">
        <v>2040</v>
      </c>
      <c r="B1536" s="24" t="s">
        <v>2785</v>
      </c>
      <c r="C1536" s="68">
        <v>44737.827777777798</v>
      </c>
    </row>
    <row r="1537" spans="1:3" ht="15.75" customHeight="1" x14ac:dyDescent="0.4">
      <c r="A1537" s="24" t="s">
        <v>533</v>
      </c>
      <c r="B1537" s="24" t="s">
        <v>2786</v>
      </c>
      <c r="C1537" s="68">
        <v>44742.6430555556</v>
      </c>
    </row>
    <row r="1538" spans="1:3" ht="15.75" customHeight="1" x14ac:dyDescent="0.4">
      <c r="A1538" s="24" t="s">
        <v>1929</v>
      </c>
      <c r="B1538" s="24" t="s">
        <v>2787</v>
      </c>
      <c r="C1538" s="24" t="s">
        <v>826</v>
      </c>
    </row>
    <row r="1539" spans="1:3" ht="15.75" customHeight="1" x14ac:dyDescent="0.4">
      <c r="A1539" s="24" t="s">
        <v>341</v>
      </c>
      <c r="B1539" s="24" t="s">
        <v>2788</v>
      </c>
      <c r="C1539" s="68">
        <v>44742.6965277778</v>
      </c>
    </row>
    <row r="1540" spans="1:3" ht="15.75" customHeight="1" x14ac:dyDescent="0.4">
      <c r="A1540" s="24" t="s">
        <v>1672</v>
      </c>
      <c r="B1540" s="24" t="s">
        <v>2789</v>
      </c>
      <c r="C1540" s="69">
        <v>44746.651388888902</v>
      </c>
    </row>
    <row r="1541" spans="1:3" ht="15.75" customHeight="1" x14ac:dyDescent="0.4">
      <c r="A1541" s="24" t="s">
        <v>1384</v>
      </c>
      <c r="B1541" s="24" t="s">
        <v>2790</v>
      </c>
      <c r="C1541" s="68">
        <v>44740.743055555598</v>
      </c>
    </row>
    <row r="1542" spans="1:3" ht="15.75" customHeight="1" x14ac:dyDescent="0.4">
      <c r="A1542" s="24" t="s">
        <v>1311</v>
      </c>
      <c r="B1542" s="24" t="s">
        <v>2791</v>
      </c>
      <c r="C1542" s="69">
        <v>44749.878472222197</v>
      </c>
    </row>
    <row r="1543" spans="1:3" ht="15.75" customHeight="1" x14ac:dyDescent="0.4">
      <c r="A1543" s="24" t="s">
        <v>2147</v>
      </c>
      <c r="B1543" s="24" t="s">
        <v>2792</v>
      </c>
      <c r="C1543" s="69">
        <v>44748.6965277778</v>
      </c>
    </row>
    <row r="1544" spans="1:3" ht="15.75" customHeight="1" x14ac:dyDescent="0.4">
      <c r="A1544" s="24" t="s">
        <v>1625</v>
      </c>
      <c r="B1544" s="24" t="s">
        <v>2793</v>
      </c>
      <c r="C1544" s="69">
        <v>44743.875</v>
      </c>
    </row>
    <row r="1545" spans="1:3" ht="15.75" customHeight="1" x14ac:dyDescent="0.4">
      <c r="A1545" s="24" t="s">
        <v>1611</v>
      </c>
      <c r="B1545" s="24" t="s">
        <v>2794</v>
      </c>
      <c r="C1545" s="69">
        <v>44747.709027777797</v>
      </c>
    </row>
    <row r="1546" spans="1:3" ht="15.75" customHeight="1" x14ac:dyDescent="0.4">
      <c r="A1546" s="24" t="s">
        <v>788</v>
      </c>
      <c r="B1546" s="24" t="s">
        <v>2795</v>
      </c>
      <c r="C1546" s="68">
        <v>44756.676388888904</v>
      </c>
    </row>
    <row r="1547" spans="1:3" ht="15.75" customHeight="1" x14ac:dyDescent="0.4">
      <c r="A1547" s="24" t="s">
        <v>1957</v>
      </c>
      <c r="B1547" s="24" t="s">
        <v>2796</v>
      </c>
      <c r="C1547" s="68">
        <v>44741.7319444444</v>
      </c>
    </row>
    <row r="1548" spans="1:3" ht="15.75" customHeight="1" x14ac:dyDescent="0.4">
      <c r="A1548" s="24" t="s">
        <v>2018</v>
      </c>
      <c r="B1548" s="24" t="s">
        <v>2797</v>
      </c>
      <c r="C1548" s="68">
        <v>44741.874305555597</v>
      </c>
    </row>
    <row r="1549" spans="1:3" ht="15.75" customHeight="1" x14ac:dyDescent="0.4">
      <c r="A1549" s="24" t="s">
        <v>1953</v>
      </c>
      <c r="B1549" s="24" t="s">
        <v>2798</v>
      </c>
      <c r="C1549" s="69">
        <v>44743.858333333301</v>
      </c>
    </row>
    <row r="1550" spans="1:3" ht="15.75" customHeight="1" x14ac:dyDescent="0.4">
      <c r="A1550" s="24" t="s">
        <v>1861</v>
      </c>
      <c r="B1550" s="24" t="s">
        <v>2799</v>
      </c>
      <c r="C1550" s="68">
        <v>44730.840277777803</v>
      </c>
    </row>
    <row r="1551" spans="1:3" ht="15.75" customHeight="1" x14ac:dyDescent="0.4">
      <c r="A1551" s="24" t="s">
        <v>1824</v>
      </c>
      <c r="B1551" s="24" t="s">
        <v>2800</v>
      </c>
      <c r="C1551" s="69">
        <v>44744.6430555556</v>
      </c>
    </row>
    <row r="1552" spans="1:3" ht="15.75" customHeight="1" x14ac:dyDescent="0.4">
      <c r="A1552" s="24" t="s">
        <v>1120</v>
      </c>
      <c r="B1552" s="24" t="s">
        <v>2801</v>
      </c>
      <c r="C1552" s="69">
        <v>44745.829861111102</v>
      </c>
    </row>
    <row r="1553" spans="1:3" ht="15.75" customHeight="1" x14ac:dyDescent="0.4">
      <c r="A1553" s="24" t="s">
        <v>1475</v>
      </c>
      <c r="B1553" s="24" t="s">
        <v>2802</v>
      </c>
      <c r="C1553" s="68">
        <v>44737.716666666704</v>
      </c>
    </row>
    <row r="1554" spans="1:3" ht="15.75" customHeight="1" x14ac:dyDescent="0.4">
      <c r="A1554" s="24" t="s">
        <v>1665</v>
      </c>
      <c r="B1554" s="24" t="s">
        <v>2803</v>
      </c>
      <c r="C1554" s="69">
        <v>44750.606249999997</v>
      </c>
    </row>
    <row r="1555" spans="1:3" ht="15.75" customHeight="1" x14ac:dyDescent="0.4">
      <c r="A1555" s="24" t="s">
        <v>784</v>
      </c>
      <c r="B1555" s="24" t="s">
        <v>2804</v>
      </c>
      <c r="C1555" s="68">
        <v>44742.579166666699</v>
      </c>
    </row>
    <row r="1556" spans="1:3" ht="15.75" customHeight="1" x14ac:dyDescent="0.4">
      <c r="A1556" s="24" t="s">
        <v>405</v>
      </c>
      <c r="B1556" s="24" t="s">
        <v>2805</v>
      </c>
      <c r="C1556" s="24" t="s">
        <v>826</v>
      </c>
    </row>
    <row r="1557" spans="1:3" ht="15.75" customHeight="1" x14ac:dyDescent="0.4">
      <c r="A1557" s="24" t="s">
        <v>1456</v>
      </c>
      <c r="B1557" s="24" t="s">
        <v>2806</v>
      </c>
      <c r="C1557" s="69">
        <v>44748.649305555598</v>
      </c>
    </row>
    <row r="1558" spans="1:3" ht="15.75" customHeight="1" x14ac:dyDescent="0.4">
      <c r="A1558" s="24" t="s">
        <v>929</v>
      </c>
      <c r="B1558" s="24" t="s">
        <v>2807</v>
      </c>
      <c r="C1558" s="69">
        <v>44749.901388888902</v>
      </c>
    </row>
    <row r="1559" spans="1:3" ht="15.75" customHeight="1" x14ac:dyDescent="0.4">
      <c r="A1559" s="24" t="s">
        <v>258</v>
      </c>
      <c r="B1559" s="24" t="s">
        <v>2808</v>
      </c>
      <c r="C1559" s="24" t="s">
        <v>826</v>
      </c>
    </row>
    <row r="1560" spans="1:3" ht="15.75" customHeight="1" x14ac:dyDescent="0.4">
      <c r="A1560" s="24" t="s">
        <v>1403</v>
      </c>
      <c r="B1560" s="24" t="s">
        <v>2809</v>
      </c>
      <c r="C1560" s="68">
        <v>44737.507638888899</v>
      </c>
    </row>
    <row r="1561" spans="1:3" ht="15.75" customHeight="1" x14ac:dyDescent="0.4">
      <c r="A1561" s="24" t="s">
        <v>911</v>
      </c>
      <c r="B1561" s="24" t="s">
        <v>2810</v>
      </c>
      <c r="C1561" s="69">
        <v>44745.734027777798</v>
      </c>
    </row>
    <row r="1562" spans="1:3" ht="15.75" customHeight="1" x14ac:dyDescent="0.4">
      <c r="A1562" s="24" t="s">
        <v>1472</v>
      </c>
      <c r="B1562" s="24" t="s">
        <v>2811</v>
      </c>
      <c r="C1562" s="69">
        <v>44751.816666666702</v>
      </c>
    </row>
    <row r="1563" spans="1:3" ht="15.75" customHeight="1" x14ac:dyDescent="0.4">
      <c r="A1563" s="24" t="s">
        <v>1872</v>
      </c>
      <c r="B1563" s="24" t="s">
        <v>2812</v>
      </c>
      <c r="C1563" s="68">
        <v>44769.500694444498</v>
      </c>
    </row>
    <row r="1564" spans="1:3" ht="15.75" customHeight="1" x14ac:dyDescent="0.4">
      <c r="A1564" s="24" t="s">
        <v>1411</v>
      </c>
      <c r="B1564" s="24" t="s">
        <v>2813</v>
      </c>
      <c r="C1564" s="68">
        <v>44742.877777777801</v>
      </c>
    </row>
    <row r="1565" spans="1:3" ht="15.75" customHeight="1" x14ac:dyDescent="0.4">
      <c r="A1565" s="24" t="s">
        <v>1748</v>
      </c>
      <c r="B1565" s="24" t="s">
        <v>2814</v>
      </c>
      <c r="C1565" s="24" t="s">
        <v>826</v>
      </c>
    </row>
    <row r="1566" spans="1:3" ht="15.75" customHeight="1" x14ac:dyDescent="0.4">
      <c r="A1566" s="24" t="s">
        <v>268</v>
      </c>
      <c r="B1566" s="24" t="s">
        <v>2815</v>
      </c>
      <c r="C1566" s="24" t="s">
        <v>826</v>
      </c>
    </row>
    <row r="1567" spans="1:3" ht="15.75" customHeight="1" x14ac:dyDescent="0.4">
      <c r="A1567" s="24" t="s">
        <v>1794</v>
      </c>
      <c r="B1567" s="24" t="s">
        <v>2816</v>
      </c>
      <c r="C1567" s="69">
        <v>44748.815972222197</v>
      </c>
    </row>
    <row r="1568" spans="1:3" ht="15.75" customHeight="1" x14ac:dyDescent="0.4">
      <c r="A1568" s="24" t="s">
        <v>1900</v>
      </c>
      <c r="B1568" s="24" t="s">
        <v>2817</v>
      </c>
      <c r="C1568" s="69">
        <v>44744.506944444503</v>
      </c>
    </row>
    <row r="1569" spans="1:3" ht="15.75" customHeight="1" x14ac:dyDescent="0.4">
      <c r="A1569" s="24" t="s">
        <v>362</v>
      </c>
      <c r="B1569" s="24" t="s">
        <v>2818</v>
      </c>
      <c r="C1569" s="24" t="s">
        <v>826</v>
      </c>
    </row>
    <row r="1570" spans="1:3" ht="15.75" customHeight="1" x14ac:dyDescent="0.4">
      <c r="A1570" s="24" t="s">
        <v>1883</v>
      </c>
      <c r="B1570" s="24" t="s">
        <v>2819</v>
      </c>
      <c r="C1570" s="69">
        <v>44745.829861111102</v>
      </c>
    </row>
    <row r="1571" spans="1:3" ht="15.75" customHeight="1" x14ac:dyDescent="0.4">
      <c r="A1571" s="24" t="s">
        <v>1469</v>
      </c>
      <c r="B1571" s="24" t="s">
        <v>2820</v>
      </c>
      <c r="C1571" s="68">
        <v>44734.702777777798</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R305"/>
  <sheetViews>
    <sheetView zoomScaleNormal="100" workbookViewId="0"/>
  </sheetViews>
  <sheetFormatPr defaultColWidth="12.6328125" defaultRowHeight="14.5" x14ac:dyDescent="0.4"/>
  <cols>
    <col min="1" max="1" width="11.453125" customWidth="1"/>
    <col min="3" max="3" width="17.90625" customWidth="1"/>
    <col min="4" max="4" width="33.453125" customWidth="1"/>
    <col min="5" max="5" width="49.7265625" customWidth="1"/>
    <col min="6" max="6" width="27" customWidth="1"/>
    <col min="8" max="8" width="14.453125" customWidth="1"/>
    <col min="10" max="10" width="10.08984375" customWidth="1"/>
    <col min="13" max="13" width="46.36328125" customWidth="1"/>
    <col min="15" max="15" width="39.6328125" customWidth="1"/>
  </cols>
  <sheetData>
    <row r="1" spans="1:18" ht="27.75" customHeight="1" x14ac:dyDescent="0.4">
      <c r="A1" s="25" t="s">
        <v>2821</v>
      </c>
      <c r="B1" s="25" t="s">
        <v>213</v>
      </c>
      <c r="C1" s="25" t="s">
        <v>215</v>
      </c>
      <c r="D1" s="25" t="s">
        <v>2822</v>
      </c>
      <c r="E1" s="25" t="s">
        <v>2823</v>
      </c>
      <c r="F1" s="25" t="s">
        <v>2824</v>
      </c>
      <c r="G1" s="25" t="s">
        <v>2825</v>
      </c>
      <c r="H1" s="25" t="s">
        <v>811</v>
      </c>
      <c r="I1" s="25" t="s">
        <v>2826</v>
      </c>
      <c r="J1" s="25" t="s">
        <v>2827</v>
      </c>
      <c r="K1" s="25" t="s">
        <v>2828</v>
      </c>
      <c r="L1" s="25" t="s">
        <v>2829</v>
      </c>
      <c r="M1" s="25" t="s">
        <v>2830</v>
      </c>
      <c r="N1" s="25" t="s">
        <v>2831</v>
      </c>
      <c r="O1" s="70" t="s">
        <v>2832</v>
      </c>
      <c r="P1" s="25" t="s">
        <v>2833</v>
      </c>
      <c r="Q1" s="25" t="s">
        <v>2834</v>
      </c>
      <c r="R1" s="25" t="s">
        <v>2835</v>
      </c>
    </row>
    <row r="2" spans="1:18" ht="15.75" customHeight="1" x14ac:dyDescent="0.4">
      <c r="A2" s="71">
        <v>44768</v>
      </c>
      <c r="B2" s="25" t="s">
        <v>220</v>
      </c>
      <c r="C2" s="25" t="s">
        <v>221</v>
      </c>
      <c r="D2" s="25" t="s">
        <v>2836</v>
      </c>
      <c r="E2" s="25" t="s">
        <v>222</v>
      </c>
      <c r="F2" s="25" t="s">
        <v>2837</v>
      </c>
      <c r="G2" s="25" t="s">
        <v>2837</v>
      </c>
      <c r="H2" s="25" t="s">
        <v>824</v>
      </c>
      <c r="I2" s="25"/>
      <c r="J2" s="25" t="s">
        <v>2838</v>
      </c>
      <c r="K2" s="71">
        <v>44754</v>
      </c>
      <c r="L2" s="25">
        <v>14</v>
      </c>
      <c r="M2" s="25" t="s">
        <v>221</v>
      </c>
      <c r="N2" s="25"/>
      <c r="O2" s="70"/>
      <c r="P2" s="25"/>
      <c r="Q2" s="25"/>
      <c r="R2" s="25"/>
    </row>
    <row r="3" spans="1:18" ht="108.75" customHeight="1" x14ac:dyDescent="0.4">
      <c r="A3" s="71">
        <v>44767</v>
      </c>
      <c r="B3" s="25" t="s">
        <v>223</v>
      </c>
      <c r="C3" s="25" t="s">
        <v>221</v>
      </c>
      <c r="D3" s="25" t="s">
        <v>2836</v>
      </c>
      <c r="E3" s="25" t="s">
        <v>222</v>
      </c>
      <c r="F3" s="25" t="s">
        <v>2837</v>
      </c>
      <c r="G3" s="25" t="s">
        <v>2837</v>
      </c>
      <c r="H3" s="25" t="s">
        <v>824</v>
      </c>
      <c r="I3" s="25"/>
      <c r="J3" s="25" t="s">
        <v>2838</v>
      </c>
      <c r="K3" s="71">
        <v>44754</v>
      </c>
      <c r="L3" s="25">
        <v>13</v>
      </c>
      <c r="M3" s="25" t="s">
        <v>221</v>
      </c>
      <c r="N3" s="25"/>
      <c r="O3" s="70" t="s">
        <v>224</v>
      </c>
      <c r="P3" s="25" t="s">
        <v>225</v>
      </c>
      <c r="Q3" s="25" t="s">
        <v>2838</v>
      </c>
      <c r="R3" s="25"/>
    </row>
    <row r="4" spans="1:18" ht="15.75" customHeight="1" x14ac:dyDescent="0.4">
      <c r="A4" s="71">
        <v>44767</v>
      </c>
      <c r="B4" s="25" t="s">
        <v>226</v>
      </c>
      <c r="C4" s="25" t="s">
        <v>221</v>
      </c>
      <c r="D4" s="25" t="s">
        <v>2836</v>
      </c>
      <c r="E4" s="25" t="s">
        <v>222</v>
      </c>
      <c r="F4" s="25" t="s">
        <v>2837</v>
      </c>
      <c r="G4" s="25" t="s">
        <v>2837</v>
      </c>
      <c r="H4" s="25" t="s">
        <v>824</v>
      </c>
      <c r="I4" s="25"/>
      <c r="J4" s="25" t="s">
        <v>2838</v>
      </c>
      <c r="K4" s="71">
        <v>44754</v>
      </c>
      <c r="L4" s="25">
        <v>13</v>
      </c>
      <c r="M4" s="25" t="s">
        <v>221</v>
      </c>
      <c r="N4" s="25"/>
      <c r="O4" s="70"/>
      <c r="P4" s="25"/>
      <c r="Q4" s="25"/>
      <c r="R4" s="25"/>
    </row>
    <row r="5" spans="1:18" ht="15.75" customHeight="1" x14ac:dyDescent="0.4">
      <c r="A5" s="71">
        <v>44767</v>
      </c>
      <c r="B5" s="25" t="s">
        <v>227</v>
      </c>
      <c r="C5" s="25" t="s">
        <v>221</v>
      </c>
      <c r="D5" s="25" t="s">
        <v>2836</v>
      </c>
      <c r="E5" s="25" t="s">
        <v>222</v>
      </c>
      <c r="F5" s="25" t="s">
        <v>2837</v>
      </c>
      <c r="G5" s="25" t="s">
        <v>2837</v>
      </c>
      <c r="H5" s="25" t="s">
        <v>824</v>
      </c>
      <c r="I5" s="25"/>
      <c r="J5" s="25" t="s">
        <v>2838</v>
      </c>
      <c r="K5" s="71">
        <v>44754</v>
      </c>
      <c r="L5" s="25">
        <v>13</v>
      </c>
      <c r="M5" s="25" t="s">
        <v>221</v>
      </c>
      <c r="N5" s="25"/>
      <c r="O5" s="70"/>
      <c r="P5" s="25"/>
      <c r="Q5" s="25"/>
      <c r="R5" s="25"/>
    </row>
    <row r="6" spans="1:18" ht="15.75" customHeight="1" x14ac:dyDescent="0.4">
      <c r="A6" s="71">
        <v>44767</v>
      </c>
      <c r="B6" s="25" t="s">
        <v>228</v>
      </c>
      <c r="C6" s="25" t="s">
        <v>221</v>
      </c>
      <c r="D6" s="25" t="s">
        <v>2836</v>
      </c>
      <c r="E6" s="25" t="s">
        <v>222</v>
      </c>
      <c r="F6" s="25" t="s">
        <v>2837</v>
      </c>
      <c r="G6" s="25" t="s">
        <v>2837</v>
      </c>
      <c r="H6" s="25" t="s">
        <v>824</v>
      </c>
      <c r="I6" s="25"/>
      <c r="J6" s="25" t="s">
        <v>2838</v>
      </c>
      <c r="K6" s="71">
        <v>44754</v>
      </c>
      <c r="L6" s="25">
        <v>13</v>
      </c>
      <c r="M6" s="25" t="s">
        <v>221</v>
      </c>
      <c r="N6" s="25"/>
      <c r="O6" s="70"/>
      <c r="P6" s="25"/>
      <c r="Q6" s="25"/>
      <c r="R6" s="25"/>
    </row>
    <row r="7" spans="1:18" ht="15.75" customHeight="1" x14ac:dyDescent="0.4">
      <c r="A7" s="71">
        <v>44767</v>
      </c>
      <c r="B7" s="25" t="s">
        <v>229</v>
      </c>
      <c r="C7" s="25" t="s">
        <v>221</v>
      </c>
      <c r="D7" s="25" t="s">
        <v>2836</v>
      </c>
      <c r="E7" s="25" t="s">
        <v>222</v>
      </c>
      <c r="F7" s="25" t="s">
        <v>2837</v>
      </c>
      <c r="G7" s="25" t="s">
        <v>2837</v>
      </c>
      <c r="H7" s="25" t="s">
        <v>824</v>
      </c>
      <c r="I7" s="25"/>
      <c r="J7" s="25" t="s">
        <v>2838</v>
      </c>
      <c r="K7" s="71">
        <v>44754</v>
      </c>
      <c r="L7" s="25">
        <v>13</v>
      </c>
      <c r="M7" s="25" t="s">
        <v>221</v>
      </c>
      <c r="N7" s="25"/>
      <c r="O7" s="70"/>
      <c r="P7" s="25"/>
      <c r="Q7" s="25"/>
      <c r="R7" s="25"/>
    </row>
    <row r="8" spans="1:18" ht="15.75" customHeight="1" x14ac:dyDescent="0.4">
      <c r="A8" s="71">
        <v>44766</v>
      </c>
      <c r="B8" s="25" t="s">
        <v>230</v>
      </c>
      <c r="C8" s="25" t="s">
        <v>221</v>
      </c>
      <c r="D8" s="25" t="s">
        <v>2836</v>
      </c>
      <c r="E8" s="25" t="s">
        <v>222</v>
      </c>
      <c r="F8" s="25" t="s">
        <v>2837</v>
      </c>
      <c r="G8" s="25" t="s">
        <v>2837</v>
      </c>
      <c r="H8" s="25" t="s">
        <v>824</v>
      </c>
      <c r="I8" s="25"/>
      <c r="J8" s="25" t="s">
        <v>2838</v>
      </c>
      <c r="K8" s="71">
        <v>44754</v>
      </c>
      <c r="L8" s="25">
        <v>12</v>
      </c>
      <c r="M8" s="25" t="s">
        <v>221</v>
      </c>
      <c r="N8" s="25"/>
      <c r="O8" s="70"/>
      <c r="P8" s="25"/>
      <c r="Q8" s="25"/>
      <c r="R8" s="25"/>
    </row>
    <row r="9" spans="1:18" ht="15.75" customHeight="1" x14ac:dyDescent="0.4">
      <c r="A9" s="71">
        <v>44766</v>
      </c>
      <c r="B9" s="25" t="s">
        <v>231</v>
      </c>
      <c r="C9" s="25" t="s">
        <v>221</v>
      </c>
      <c r="D9" s="25" t="s">
        <v>2836</v>
      </c>
      <c r="E9" s="25" t="s">
        <v>222</v>
      </c>
      <c r="F9" s="25" t="s">
        <v>2837</v>
      </c>
      <c r="G9" s="25" t="s">
        <v>2837</v>
      </c>
      <c r="H9" s="25" t="s">
        <v>824</v>
      </c>
      <c r="I9" s="25"/>
      <c r="J9" s="25" t="s">
        <v>2838</v>
      </c>
      <c r="K9" s="71">
        <v>44754</v>
      </c>
      <c r="L9" s="25">
        <v>12</v>
      </c>
      <c r="M9" s="25" t="s">
        <v>221</v>
      </c>
      <c r="N9" s="25"/>
      <c r="O9" s="70"/>
      <c r="P9" s="25"/>
      <c r="Q9" s="25"/>
      <c r="R9" s="25"/>
    </row>
    <row r="10" spans="1:18" ht="15.75" customHeight="1" x14ac:dyDescent="0.4">
      <c r="A10" s="71">
        <v>44766</v>
      </c>
      <c r="B10" s="25" t="s">
        <v>232</v>
      </c>
      <c r="C10" s="25" t="s">
        <v>221</v>
      </c>
      <c r="D10" s="25" t="s">
        <v>2836</v>
      </c>
      <c r="E10" s="25" t="s">
        <v>222</v>
      </c>
      <c r="F10" s="25" t="s">
        <v>2837</v>
      </c>
      <c r="G10" s="25" t="s">
        <v>2837</v>
      </c>
      <c r="H10" s="25" t="s">
        <v>824</v>
      </c>
      <c r="I10" s="25"/>
      <c r="J10" s="25" t="s">
        <v>2838</v>
      </c>
      <c r="K10" s="71">
        <v>44754</v>
      </c>
      <c r="L10" s="25">
        <v>12</v>
      </c>
      <c r="M10" s="25" t="s">
        <v>221</v>
      </c>
      <c r="N10" s="25"/>
      <c r="O10" s="70"/>
      <c r="P10" s="25"/>
      <c r="Q10" s="25"/>
      <c r="R10" s="25"/>
    </row>
    <row r="11" spans="1:18" ht="15.75" customHeight="1" x14ac:dyDescent="0.4">
      <c r="A11" s="71">
        <v>44765</v>
      </c>
      <c r="B11" s="25" t="s">
        <v>233</v>
      </c>
      <c r="C11" s="25" t="s">
        <v>221</v>
      </c>
      <c r="D11" s="25" t="s">
        <v>2836</v>
      </c>
      <c r="E11" s="25" t="s">
        <v>222</v>
      </c>
      <c r="F11" s="25" t="s">
        <v>2837</v>
      </c>
      <c r="G11" s="25" t="s">
        <v>2837</v>
      </c>
      <c r="H11" s="25" t="s">
        <v>824</v>
      </c>
      <c r="I11" s="25"/>
      <c r="J11" s="25" t="s">
        <v>2838</v>
      </c>
      <c r="K11" s="71">
        <v>44754</v>
      </c>
      <c r="L11" s="25">
        <v>11</v>
      </c>
      <c r="M11" s="25" t="s">
        <v>221</v>
      </c>
      <c r="N11" s="25"/>
      <c r="O11" s="70"/>
      <c r="P11" s="25"/>
      <c r="Q11" s="25"/>
      <c r="R11" s="25"/>
    </row>
    <row r="12" spans="1:18" ht="15.75" customHeight="1" x14ac:dyDescent="0.4">
      <c r="A12" s="71">
        <v>44765</v>
      </c>
      <c r="B12" s="25" t="s">
        <v>234</v>
      </c>
      <c r="C12" s="25" t="s">
        <v>221</v>
      </c>
      <c r="D12" s="25" t="s">
        <v>2836</v>
      </c>
      <c r="E12" s="25" t="s">
        <v>222</v>
      </c>
      <c r="F12" s="25" t="s">
        <v>2837</v>
      </c>
      <c r="G12" s="25" t="s">
        <v>2837</v>
      </c>
      <c r="H12" s="25" t="s">
        <v>824</v>
      </c>
      <c r="I12" s="25"/>
      <c r="J12" s="25" t="s">
        <v>2838</v>
      </c>
      <c r="K12" s="71">
        <v>44754</v>
      </c>
      <c r="L12" s="25">
        <v>11</v>
      </c>
      <c r="M12" s="25" t="s">
        <v>221</v>
      </c>
      <c r="N12" s="25"/>
      <c r="O12" s="70"/>
      <c r="P12" s="25"/>
      <c r="Q12" s="25"/>
      <c r="R12" s="25"/>
    </row>
    <row r="13" spans="1:18" ht="15.75" customHeight="1" x14ac:dyDescent="0.4">
      <c r="A13" s="71">
        <v>44762</v>
      </c>
      <c r="B13" s="25" t="s">
        <v>235</v>
      </c>
      <c r="C13" s="25" t="s">
        <v>221</v>
      </c>
      <c r="D13" s="25" t="s">
        <v>2836</v>
      </c>
      <c r="E13" s="25" t="s">
        <v>222</v>
      </c>
      <c r="F13" s="25" t="s">
        <v>2837</v>
      </c>
      <c r="G13" s="25" t="s">
        <v>2837</v>
      </c>
      <c r="H13" s="25" t="s">
        <v>824</v>
      </c>
      <c r="I13" s="25"/>
      <c r="J13" s="25" t="s">
        <v>2838</v>
      </c>
      <c r="K13" s="71">
        <v>44754</v>
      </c>
      <c r="L13" s="25">
        <v>8</v>
      </c>
      <c r="M13" s="25" t="s">
        <v>221</v>
      </c>
      <c r="N13" s="25"/>
      <c r="O13" s="70"/>
      <c r="P13" s="25"/>
      <c r="Q13" s="25"/>
      <c r="R13" s="25"/>
    </row>
    <row r="14" spans="1:18" ht="15.75" customHeight="1" x14ac:dyDescent="0.4">
      <c r="A14" s="71">
        <v>44761</v>
      </c>
      <c r="B14" s="25" t="s">
        <v>236</v>
      </c>
      <c r="C14" s="25" t="s">
        <v>221</v>
      </c>
      <c r="D14" s="25" t="s">
        <v>2836</v>
      </c>
      <c r="E14" s="25" t="s">
        <v>222</v>
      </c>
      <c r="F14" s="25" t="s">
        <v>2837</v>
      </c>
      <c r="G14" s="25" t="s">
        <v>2837</v>
      </c>
      <c r="H14" s="25" t="s">
        <v>824</v>
      </c>
      <c r="I14" s="25"/>
      <c r="J14" s="25" t="s">
        <v>2838</v>
      </c>
      <c r="K14" s="71">
        <v>44754</v>
      </c>
      <c r="L14" s="25">
        <v>7</v>
      </c>
      <c r="M14" s="25" t="s">
        <v>221</v>
      </c>
      <c r="N14" s="25"/>
      <c r="O14" s="70"/>
      <c r="P14" s="25"/>
      <c r="Q14" s="25"/>
      <c r="R14" s="25"/>
    </row>
    <row r="15" spans="1:18" ht="15.75" customHeight="1" x14ac:dyDescent="0.4">
      <c r="A15" s="71">
        <v>44760</v>
      </c>
      <c r="B15" s="25" t="s">
        <v>237</v>
      </c>
      <c r="C15" s="25" t="s">
        <v>221</v>
      </c>
      <c r="D15" s="25" t="s">
        <v>2836</v>
      </c>
      <c r="E15" s="25" t="s">
        <v>222</v>
      </c>
      <c r="F15" s="25" t="s">
        <v>2837</v>
      </c>
      <c r="G15" s="25" t="s">
        <v>2837</v>
      </c>
      <c r="H15" s="25" t="s">
        <v>824</v>
      </c>
      <c r="I15" s="25"/>
      <c r="J15" s="25" t="s">
        <v>2838</v>
      </c>
      <c r="K15" s="71">
        <v>44754</v>
      </c>
      <c r="L15" s="25">
        <v>6</v>
      </c>
      <c r="M15" s="25" t="s">
        <v>221</v>
      </c>
      <c r="N15" s="25"/>
      <c r="O15" s="70"/>
      <c r="P15" s="25"/>
      <c r="Q15" s="25"/>
      <c r="R15" s="25"/>
    </row>
    <row r="16" spans="1:18" ht="15.75" customHeight="1" x14ac:dyDescent="0.4">
      <c r="A16" s="71">
        <v>44760</v>
      </c>
      <c r="B16" s="25" t="s">
        <v>238</v>
      </c>
      <c r="C16" s="25" t="s">
        <v>221</v>
      </c>
      <c r="D16" s="25" t="s">
        <v>2836</v>
      </c>
      <c r="E16" s="25" t="s">
        <v>222</v>
      </c>
      <c r="F16" s="25" t="s">
        <v>2837</v>
      </c>
      <c r="G16" s="25" t="s">
        <v>2837</v>
      </c>
      <c r="H16" s="25" t="s">
        <v>824</v>
      </c>
      <c r="I16" s="25"/>
      <c r="J16" s="25" t="s">
        <v>2838</v>
      </c>
      <c r="K16" s="71">
        <v>44754</v>
      </c>
      <c r="L16" s="25">
        <v>6</v>
      </c>
      <c r="M16" s="25" t="s">
        <v>221</v>
      </c>
      <c r="N16" s="25"/>
      <c r="O16" s="70"/>
      <c r="P16" s="25"/>
      <c r="Q16" s="25"/>
      <c r="R16" s="25"/>
    </row>
    <row r="17" spans="1:18" ht="15.75" customHeight="1" x14ac:dyDescent="0.4">
      <c r="A17" s="71">
        <v>44760</v>
      </c>
      <c r="B17" s="25" t="s">
        <v>239</v>
      </c>
      <c r="C17" s="25" t="s">
        <v>221</v>
      </c>
      <c r="D17" s="25" t="s">
        <v>2836</v>
      </c>
      <c r="E17" s="25" t="s">
        <v>222</v>
      </c>
      <c r="F17" s="25" t="s">
        <v>2837</v>
      </c>
      <c r="G17" s="25" t="s">
        <v>2837</v>
      </c>
      <c r="H17" s="25" t="s">
        <v>824</v>
      </c>
      <c r="I17" s="25"/>
      <c r="J17" s="25" t="s">
        <v>2838</v>
      </c>
      <c r="K17" s="71">
        <v>44754</v>
      </c>
      <c r="L17" s="25">
        <v>6</v>
      </c>
      <c r="M17" s="25" t="s">
        <v>221</v>
      </c>
      <c r="N17" s="25"/>
      <c r="O17" s="70"/>
      <c r="P17" s="25"/>
      <c r="Q17" s="25"/>
      <c r="R17" s="25"/>
    </row>
    <row r="18" spans="1:18" ht="15.75" customHeight="1" x14ac:dyDescent="0.4">
      <c r="A18" s="71">
        <v>44759</v>
      </c>
      <c r="B18" s="25" t="s">
        <v>240</v>
      </c>
      <c r="C18" s="25" t="s">
        <v>221</v>
      </c>
      <c r="D18" s="25" t="s">
        <v>2836</v>
      </c>
      <c r="E18" s="25" t="s">
        <v>222</v>
      </c>
      <c r="F18" s="25" t="s">
        <v>2837</v>
      </c>
      <c r="G18" s="25" t="s">
        <v>2837</v>
      </c>
      <c r="H18" s="25" t="s">
        <v>824</v>
      </c>
      <c r="I18" s="25"/>
      <c r="J18" s="25" t="s">
        <v>2838</v>
      </c>
      <c r="K18" s="71">
        <v>44754</v>
      </c>
      <c r="L18" s="25">
        <v>5</v>
      </c>
      <c r="M18" s="25" t="s">
        <v>221</v>
      </c>
      <c r="N18" s="25"/>
      <c r="O18" s="70"/>
      <c r="P18" s="25"/>
      <c r="Q18" s="25"/>
      <c r="R18" s="25"/>
    </row>
    <row r="19" spans="1:18" ht="15.75" customHeight="1" x14ac:dyDescent="0.4">
      <c r="A19" s="71">
        <v>44759</v>
      </c>
      <c r="B19" s="25" t="s">
        <v>241</v>
      </c>
      <c r="C19" s="25" t="s">
        <v>221</v>
      </c>
      <c r="D19" s="25" t="s">
        <v>2836</v>
      </c>
      <c r="E19" s="25" t="s">
        <v>222</v>
      </c>
      <c r="F19" s="25" t="s">
        <v>2837</v>
      </c>
      <c r="G19" s="25" t="s">
        <v>2837</v>
      </c>
      <c r="H19" s="25" t="s">
        <v>824</v>
      </c>
      <c r="I19" s="25"/>
      <c r="J19" s="25" t="s">
        <v>2838</v>
      </c>
      <c r="K19" s="71">
        <v>44754</v>
      </c>
      <c r="L19" s="25">
        <v>5</v>
      </c>
      <c r="M19" s="25" t="s">
        <v>221</v>
      </c>
      <c r="N19" s="25"/>
      <c r="O19" s="70"/>
      <c r="P19" s="25"/>
      <c r="Q19" s="25"/>
      <c r="R19" s="25"/>
    </row>
    <row r="20" spans="1:18" ht="15.75" customHeight="1" x14ac:dyDescent="0.4">
      <c r="A20" s="71">
        <v>44757</v>
      </c>
      <c r="B20" s="25" t="s">
        <v>242</v>
      </c>
      <c r="C20" s="25" t="s">
        <v>221</v>
      </c>
      <c r="D20" s="25" t="s">
        <v>2836</v>
      </c>
      <c r="E20" s="25" t="s">
        <v>222</v>
      </c>
      <c r="F20" s="25" t="s">
        <v>2837</v>
      </c>
      <c r="G20" s="25" t="s">
        <v>2837</v>
      </c>
      <c r="H20" s="25" t="s">
        <v>824</v>
      </c>
      <c r="I20" s="25"/>
      <c r="J20" s="25" t="s">
        <v>2838</v>
      </c>
      <c r="K20" s="71">
        <v>44754</v>
      </c>
      <c r="L20" s="25">
        <v>3</v>
      </c>
      <c r="M20" s="25" t="s">
        <v>221</v>
      </c>
      <c r="N20" s="25"/>
      <c r="O20" s="70"/>
      <c r="P20" s="25"/>
      <c r="Q20" s="25"/>
      <c r="R20" s="25"/>
    </row>
    <row r="21" spans="1:18" ht="15.75" customHeight="1" x14ac:dyDescent="0.4">
      <c r="A21" s="71">
        <v>44757</v>
      </c>
      <c r="B21" s="25" t="s">
        <v>243</v>
      </c>
      <c r="C21" s="25" t="s">
        <v>221</v>
      </c>
      <c r="D21" s="25" t="s">
        <v>2836</v>
      </c>
      <c r="E21" s="25" t="s">
        <v>222</v>
      </c>
      <c r="F21" s="25" t="s">
        <v>2837</v>
      </c>
      <c r="G21" s="25" t="s">
        <v>2837</v>
      </c>
      <c r="H21" s="25" t="s">
        <v>824</v>
      </c>
      <c r="I21" s="25"/>
      <c r="J21" s="25" t="s">
        <v>2838</v>
      </c>
      <c r="K21" s="71">
        <v>44754</v>
      </c>
      <c r="L21" s="25">
        <v>3</v>
      </c>
      <c r="M21" s="25" t="s">
        <v>221</v>
      </c>
      <c r="N21" s="25"/>
      <c r="O21" s="70"/>
      <c r="P21" s="25"/>
      <c r="Q21" s="25"/>
      <c r="R21" s="25"/>
    </row>
    <row r="22" spans="1:18" ht="27.75" customHeight="1" x14ac:dyDescent="0.4">
      <c r="A22" s="71">
        <v>44754</v>
      </c>
      <c r="B22" s="25" t="s">
        <v>244</v>
      </c>
      <c r="C22" s="25" t="s">
        <v>245</v>
      </c>
      <c r="D22" s="25" t="s">
        <v>2836</v>
      </c>
      <c r="E22" s="25" t="s">
        <v>222</v>
      </c>
      <c r="F22" s="25" t="s">
        <v>2837</v>
      </c>
      <c r="G22" s="25" t="s">
        <v>2837</v>
      </c>
      <c r="H22" s="25" t="s">
        <v>824</v>
      </c>
      <c r="I22" s="25"/>
      <c r="J22" s="25" t="s">
        <v>2838</v>
      </c>
      <c r="K22" s="71">
        <v>44754</v>
      </c>
      <c r="L22" s="25">
        <v>0</v>
      </c>
      <c r="M22" s="71">
        <v>44755</v>
      </c>
      <c r="N22" s="25"/>
      <c r="O22" s="70" t="s">
        <v>246</v>
      </c>
      <c r="P22" s="25" t="s">
        <v>225</v>
      </c>
      <c r="Q22" s="25" t="s">
        <v>2838</v>
      </c>
      <c r="R22" s="25"/>
    </row>
    <row r="23" spans="1:18" ht="15.75" customHeight="1" x14ac:dyDescent="0.4">
      <c r="A23" s="71">
        <v>44751</v>
      </c>
      <c r="B23" s="25" t="s">
        <v>247</v>
      </c>
      <c r="C23" s="25" t="s">
        <v>221</v>
      </c>
      <c r="D23" s="25" t="s">
        <v>2836</v>
      </c>
      <c r="E23" s="25" t="s">
        <v>222</v>
      </c>
      <c r="F23" s="25" t="s">
        <v>2837</v>
      </c>
      <c r="G23" s="25" t="s">
        <v>2837</v>
      </c>
      <c r="H23" s="25" t="s">
        <v>824</v>
      </c>
      <c r="I23" s="25"/>
      <c r="J23" s="25" t="s">
        <v>2838</v>
      </c>
      <c r="K23" s="71">
        <v>44754</v>
      </c>
      <c r="L23" s="25">
        <v>-3</v>
      </c>
      <c r="M23" s="25" t="s">
        <v>221</v>
      </c>
      <c r="N23" s="25"/>
      <c r="O23" s="70"/>
      <c r="P23" s="25"/>
      <c r="Q23" s="25"/>
      <c r="R23" s="25"/>
    </row>
    <row r="24" spans="1:18" ht="15.75" customHeight="1" x14ac:dyDescent="0.4">
      <c r="A24" s="71">
        <v>44734</v>
      </c>
      <c r="B24" s="25" t="s">
        <v>248</v>
      </c>
      <c r="C24" s="25" t="s">
        <v>221</v>
      </c>
      <c r="D24" s="25" t="s">
        <v>2836</v>
      </c>
      <c r="E24" s="25" t="s">
        <v>222</v>
      </c>
      <c r="F24" s="25" t="s">
        <v>2837</v>
      </c>
      <c r="G24" s="25" t="s">
        <v>2837</v>
      </c>
      <c r="H24" s="25" t="s">
        <v>824</v>
      </c>
      <c r="I24" s="25"/>
      <c r="J24" s="25" t="s">
        <v>2838</v>
      </c>
      <c r="K24" s="71">
        <v>44754</v>
      </c>
      <c r="L24" s="25">
        <v>-20</v>
      </c>
      <c r="M24" s="25" t="s">
        <v>221</v>
      </c>
      <c r="N24" s="25"/>
      <c r="O24" s="70"/>
      <c r="P24" s="25"/>
      <c r="Q24" s="25"/>
      <c r="R24" s="25"/>
    </row>
    <row r="25" spans="1:18" ht="54.75" customHeight="1" x14ac:dyDescent="0.4">
      <c r="A25" s="71">
        <v>44731</v>
      </c>
      <c r="B25" s="25" t="s">
        <v>249</v>
      </c>
      <c r="C25" s="25" t="s">
        <v>250</v>
      </c>
      <c r="D25" s="25" t="s">
        <v>2839</v>
      </c>
      <c r="E25" s="25" t="s">
        <v>222</v>
      </c>
      <c r="F25" s="25" t="s">
        <v>2837</v>
      </c>
      <c r="G25" s="25" t="s">
        <v>2837</v>
      </c>
      <c r="H25" s="25" t="s">
        <v>824</v>
      </c>
      <c r="I25" s="25"/>
      <c r="J25" s="25"/>
      <c r="K25" s="71">
        <v>44754</v>
      </c>
      <c r="L25" s="25">
        <v>-23</v>
      </c>
      <c r="M25" s="71">
        <v>44762</v>
      </c>
      <c r="N25" s="25"/>
      <c r="O25" s="70" t="s">
        <v>251</v>
      </c>
      <c r="P25" s="25" t="s">
        <v>225</v>
      </c>
      <c r="Q25" s="25" t="s">
        <v>2838</v>
      </c>
      <c r="R25" s="25"/>
    </row>
    <row r="26" spans="1:18" ht="41.25" customHeight="1" x14ac:dyDescent="0.4">
      <c r="A26" s="71">
        <v>44736</v>
      </c>
      <c r="B26" s="25" t="s">
        <v>252</v>
      </c>
      <c r="C26" s="25" t="s">
        <v>250</v>
      </c>
      <c r="D26" s="25" t="s">
        <v>2839</v>
      </c>
      <c r="E26" s="25" t="s">
        <v>222</v>
      </c>
      <c r="F26" s="25" t="s">
        <v>2837</v>
      </c>
      <c r="G26" s="25" t="s">
        <v>2837</v>
      </c>
      <c r="H26" s="25" t="s">
        <v>824</v>
      </c>
      <c r="I26" s="25"/>
      <c r="J26" s="25" t="s">
        <v>2838</v>
      </c>
      <c r="K26" s="71">
        <v>44754</v>
      </c>
      <c r="L26" s="25">
        <v>-18</v>
      </c>
      <c r="M26" s="71">
        <v>44739</v>
      </c>
      <c r="N26" s="25"/>
      <c r="O26" s="70" t="s">
        <v>253</v>
      </c>
      <c r="P26" s="25" t="s">
        <v>225</v>
      </c>
      <c r="Q26" s="25" t="s">
        <v>2838</v>
      </c>
      <c r="R26" s="25"/>
    </row>
    <row r="27" spans="1:18" ht="41.25" customHeight="1" x14ac:dyDescent="0.4">
      <c r="A27" s="71">
        <v>44738</v>
      </c>
      <c r="B27" s="25" t="s">
        <v>254</v>
      </c>
      <c r="C27" s="25" t="s">
        <v>250</v>
      </c>
      <c r="D27" s="25" t="s">
        <v>2839</v>
      </c>
      <c r="E27" s="25" t="s">
        <v>222</v>
      </c>
      <c r="F27" s="25" t="s">
        <v>2837</v>
      </c>
      <c r="G27" s="25" t="s">
        <v>2837</v>
      </c>
      <c r="H27" s="25" t="s">
        <v>824</v>
      </c>
      <c r="I27" s="25"/>
      <c r="J27" s="25" t="s">
        <v>2838</v>
      </c>
      <c r="K27" s="71">
        <v>44754</v>
      </c>
      <c r="L27" s="25">
        <v>-16</v>
      </c>
      <c r="M27" s="71">
        <v>44740</v>
      </c>
      <c r="N27" s="25"/>
      <c r="O27" s="70" t="s">
        <v>255</v>
      </c>
      <c r="P27" s="25" t="s">
        <v>225</v>
      </c>
      <c r="Q27" s="25" t="s">
        <v>2838</v>
      </c>
      <c r="R27" s="25"/>
    </row>
    <row r="28" spans="1:18" ht="27.75" customHeight="1" x14ac:dyDescent="0.4">
      <c r="A28" s="71">
        <v>44739</v>
      </c>
      <c r="B28" s="25" t="s">
        <v>256</v>
      </c>
      <c r="C28" s="25" t="s">
        <v>250</v>
      </c>
      <c r="D28" s="25" t="s">
        <v>2839</v>
      </c>
      <c r="E28" s="25" t="s">
        <v>222</v>
      </c>
      <c r="F28" s="25" t="s">
        <v>2837</v>
      </c>
      <c r="G28" s="25" t="s">
        <v>2837</v>
      </c>
      <c r="H28" s="25" t="s">
        <v>824</v>
      </c>
      <c r="I28" s="25"/>
      <c r="J28" s="25" t="s">
        <v>2838</v>
      </c>
      <c r="K28" s="71">
        <v>44754</v>
      </c>
      <c r="L28" s="25">
        <v>-15</v>
      </c>
      <c r="M28" s="71">
        <v>44740</v>
      </c>
      <c r="N28" s="25"/>
      <c r="O28" s="70" t="s">
        <v>257</v>
      </c>
      <c r="P28" s="25" t="s">
        <v>225</v>
      </c>
      <c r="Q28" s="25" t="s">
        <v>2838</v>
      </c>
      <c r="R28" s="25"/>
    </row>
    <row r="29" spans="1:18" ht="27.75" customHeight="1" x14ac:dyDescent="0.4">
      <c r="A29" s="71">
        <v>44739</v>
      </c>
      <c r="B29" s="25" t="s">
        <v>258</v>
      </c>
      <c r="C29" s="25" t="s">
        <v>250</v>
      </c>
      <c r="D29" s="25" t="s">
        <v>2839</v>
      </c>
      <c r="E29" s="25" t="s">
        <v>222</v>
      </c>
      <c r="F29" s="25" t="s">
        <v>2837</v>
      </c>
      <c r="G29" s="25" t="s">
        <v>2837</v>
      </c>
      <c r="H29" s="25" t="s">
        <v>824</v>
      </c>
      <c r="I29" s="25"/>
      <c r="J29" s="25" t="s">
        <v>2838</v>
      </c>
      <c r="K29" s="71">
        <v>44754</v>
      </c>
      <c r="L29" s="25">
        <v>-15</v>
      </c>
      <c r="M29" s="71">
        <v>44740</v>
      </c>
      <c r="N29" s="25"/>
      <c r="O29" s="70" t="s">
        <v>259</v>
      </c>
      <c r="P29" s="25" t="s">
        <v>225</v>
      </c>
      <c r="Q29" s="25" t="s">
        <v>2838</v>
      </c>
      <c r="R29" s="25"/>
    </row>
    <row r="30" spans="1:18" ht="81.75" customHeight="1" x14ac:dyDescent="0.4">
      <c r="A30" s="71">
        <v>44739</v>
      </c>
      <c r="B30" s="25" t="s">
        <v>260</v>
      </c>
      <c r="C30" s="25" t="s">
        <v>250</v>
      </c>
      <c r="D30" s="25" t="s">
        <v>2839</v>
      </c>
      <c r="E30" s="25" t="s">
        <v>222</v>
      </c>
      <c r="F30" s="25" t="s">
        <v>2837</v>
      </c>
      <c r="G30" s="25" t="s">
        <v>2837</v>
      </c>
      <c r="H30" s="25" t="s">
        <v>824</v>
      </c>
      <c r="I30" s="25"/>
      <c r="J30" s="25" t="s">
        <v>2838</v>
      </c>
      <c r="K30" s="71">
        <v>44754</v>
      </c>
      <c r="L30" s="25">
        <v>-15</v>
      </c>
      <c r="M30" s="71">
        <v>44768</v>
      </c>
      <c r="N30" s="25"/>
      <c r="O30" s="70" t="s">
        <v>261</v>
      </c>
      <c r="P30" s="25" t="s">
        <v>225</v>
      </c>
      <c r="Q30" s="25" t="s">
        <v>2838</v>
      </c>
      <c r="R30" s="25"/>
    </row>
    <row r="31" spans="1:18" ht="41.25" customHeight="1" x14ac:dyDescent="0.4">
      <c r="A31" s="71">
        <v>44739</v>
      </c>
      <c r="B31" s="25" t="s">
        <v>262</v>
      </c>
      <c r="C31" s="25" t="s">
        <v>250</v>
      </c>
      <c r="D31" s="25" t="s">
        <v>2839</v>
      </c>
      <c r="E31" s="25" t="s">
        <v>222</v>
      </c>
      <c r="F31" s="25" t="s">
        <v>2837</v>
      </c>
      <c r="G31" s="25" t="s">
        <v>2837</v>
      </c>
      <c r="H31" s="25" t="s">
        <v>824</v>
      </c>
      <c r="I31" s="25"/>
      <c r="J31" s="25" t="s">
        <v>2838</v>
      </c>
      <c r="K31" s="71">
        <v>44754</v>
      </c>
      <c r="L31" s="25">
        <v>-15</v>
      </c>
      <c r="M31" s="71">
        <v>44741</v>
      </c>
      <c r="N31" s="25"/>
      <c r="O31" s="70" t="s">
        <v>263</v>
      </c>
      <c r="P31" s="25" t="s">
        <v>225</v>
      </c>
      <c r="Q31" s="25" t="s">
        <v>2838</v>
      </c>
      <c r="R31" s="25"/>
    </row>
    <row r="32" spans="1:18" ht="54.75" customHeight="1" x14ac:dyDescent="0.4">
      <c r="A32" s="71">
        <v>44738</v>
      </c>
      <c r="B32" s="25" t="s">
        <v>264</v>
      </c>
      <c r="C32" s="25" t="s">
        <v>250</v>
      </c>
      <c r="D32" s="25" t="s">
        <v>2839</v>
      </c>
      <c r="E32" s="25" t="s">
        <v>222</v>
      </c>
      <c r="F32" s="25" t="s">
        <v>2837</v>
      </c>
      <c r="G32" s="25" t="s">
        <v>2837</v>
      </c>
      <c r="H32" s="25" t="s">
        <v>824</v>
      </c>
      <c r="I32" s="25"/>
      <c r="J32" s="25" t="s">
        <v>2838</v>
      </c>
      <c r="K32" s="71">
        <v>44754</v>
      </c>
      <c r="L32" s="25">
        <v>-16</v>
      </c>
      <c r="M32" s="71">
        <v>44741</v>
      </c>
      <c r="N32" s="25"/>
      <c r="O32" s="70" t="s">
        <v>265</v>
      </c>
      <c r="P32" s="25" t="s">
        <v>225</v>
      </c>
      <c r="Q32" s="25" t="s">
        <v>2838</v>
      </c>
      <c r="R32" s="25"/>
    </row>
    <row r="33" spans="1:18" ht="41.25" customHeight="1" x14ac:dyDescent="0.4">
      <c r="A33" s="71">
        <v>44741</v>
      </c>
      <c r="B33" s="25" t="s">
        <v>266</v>
      </c>
      <c r="C33" s="25" t="s">
        <v>250</v>
      </c>
      <c r="D33" s="25" t="s">
        <v>2839</v>
      </c>
      <c r="E33" s="25" t="s">
        <v>222</v>
      </c>
      <c r="F33" s="25" t="s">
        <v>2837</v>
      </c>
      <c r="G33" s="25" t="s">
        <v>2837</v>
      </c>
      <c r="H33" s="25" t="s">
        <v>824</v>
      </c>
      <c r="I33" s="25"/>
      <c r="J33" s="25" t="s">
        <v>2838</v>
      </c>
      <c r="K33" s="71">
        <v>44754</v>
      </c>
      <c r="L33" s="25">
        <v>-13</v>
      </c>
      <c r="M33" s="71">
        <v>44753</v>
      </c>
      <c r="N33" s="25"/>
      <c r="O33" s="70" t="s">
        <v>267</v>
      </c>
      <c r="P33" s="25" t="s">
        <v>225</v>
      </c>
      <c r="Q33" s="25" t="s">
        <v>2838</v>
      </c>
      <c r="R33" s="25"/>
    </row>
    <row r="34" spans="1:18" ht="54.75" customHeight="1" x14ac:dyDescent="0.4">
      <c r="A34" s="71">
        <v>44741</v>
      </c>
      <c r="B34" s="25" t="s">
        <v>268</v>
      </c>
      <c r="C34" s="25" t="s">
        <v>250</v>
      </c>
      <c r="D34" s="25" t="s">
        <v>2839</v>
      </c>
      <c r="E34" s="25" t="s">
        <v>222</v>
      </c>
      <c r="F34" s="25" t="s">
        <v>2837</v>
      </c>
      <c r="G34" s="25" t="s">
        <v>2837</v>
      </c>
      <c r="H34" s="25" t="s">
        <v>824</v>
      </c>
      <c r="I34" s="25"/>
      <c r="J34" s="25" t="s">
        <v>2838</v>
      </c>
      <c r="K34" s="71">
        <v>44754</v>
      </c>
      <c r="L34" s="25">
        <v>-13</v>
      </c>
      <c r="M34" s="71">
        <v>44760</v>
      </c>
      <c r="N34" s="25"/>
      <c r="O34" s="70" t="s">
        <v>269</v>
      </c>
      <c r="P34" s="25" t="s">
        <v>225</v>
      </c>
      <c r="Q34" s="25" t="s">
        <v>2838</v>
      </c>
      <c r="R34" s="25"/>
    </row>
    <row r="35" spans="1:18" ht="54.75" customHeight="1" x14ac:dyDescent="0.4">
      <c r="A35" s="71">
        <v>44742</v>
      </c>
      <c r="B35" s="25" t="s">
        <v>270</v>
      </c>
      <c r="C35" s="25" t="s">
        <v>250</v>
      </c>
      <c r="D35" s="25" t="s">
        <v>2839</v>
      </c>
      <c r="E35" s="25" t="s">
        <v>222</v>
      </c>
      <c r="F35" s="25" t="s">
        <v>2837</v>
      </c>
      <c r="G35" s="25" t="s">
        <v>2837</v>
      </c>
      <c r="H35" s="25" t="s">
        <v>824</v>
      </c>
      <c r="I35" s="25"/>
      <c r="J35" s="25" t="s">
        <v>2838</v>
      </c>
      <c r="K35" s="71">
        <v>44754</v>
      </c>
      <c r="L35" s="25">
        <v>-12</v>
      </c>
      <c r="M35" s="71">
        <v>44743</v>
      </c>
      <c r="N35" s="25"/>
      <c r="O35" s="70" t="s">
        <v>271</v>
      </c>
      <c r="P35" s="25" t="s">
        <v>225</v>
      </c>
      <c r="Q35" s="25" t="s">
        <v>2838</v>
      </c>
      <c r="R35" s="25"/>
    </row>
    <row r="36" spans="1:18" ht="122.25" customHeight="1" x14ac:dyDescent="0.4">
      <c r="A36" s="71">
        <v>44742</v>
      </c>
      <c r="B36" s="25" t="s">
        <v>272</v>
      </c>
      <c r="C36" s="25" t="s">
        <v>250</v>
      </c>
      <c r="D36" s="25" t="s">
        <v>2839</v>
      </c>
      <c r="E36" s="25" t="s">
        <v>222</v>
      </c>
      <c r="F36" s="25" t="s">
        <v>2837</v>
      </c>
      <c r="G36" s="25" t="s">
        <v>2837</v>
      </c>
      <c r="H36" s="25" t="s">
        <v>824</v>
      </c>
      <c r="I36" s="25"/>
      <c r="J36" s="25" t="s">
        <v>2838</v>
      </c>
      <c r="K36" s="71">
        <v>44754</v>
      </c>
      <c r="L36" s="25">
        <v>-12</v>
      </c>
      <c r="M36" s="71">
        <v>44769</v>
      </c>
      <c r="N36" s="25"/>
      <c r="O36" s="70" t="s">
        <v>273</v>
      </c>
      <c r="P36" s="25" t="s">
        <v>225</v>
      </c>
      <c r="Q36" s="25" t="s">
        <v>2838</v>
      </c>
      <c r="R36" s="25"/>
    </row>
    <row r="37" spans="1:18" ht="27.75" customHeight="1" x14ac:dyDescent="0.4">
      <c r="A37" s="71">
        <v>44742</v>
      </c>
      <c r="B37" s="25" t="s">
        <v>274</v>
      </c>
      <c r="C37" s="25" t="s">
        <v>250</v>
      </c>
      <c r="D37" s="25" t="s">
        <v>2839</v>
      </c>
      <c r="E37" s="25" t="s">
        <v>222</v>
      </c>
      <c r="F37" s="25" t="s">
        <v>2837</v>
      </c>
      <c r="G37" s="25" t="s">
        <v>2837</v>
      </c>
      <c r="H37" s="25" t="s">
        <v>824</v>
      </c>
      <c r="I37" s="25"/>
      <c r="J37" s="25" t="s">
        <v>2838</v>
      </c>
      <c r="K37" s="71">
        <v>44754</v>
      </c>
      <c r="L37" s="25">
        <v>-12</v>
      </c>
      <c r="M37" s="71">
        <v>44754</v>
      </c>
      <c r="N37" s="25" t="s">
        <v>2840</v>
      </c>
      <c r="O37" s="70" t="s">
        <v>275</v>
      </c>
      <c r="P37" s="25" t="s">
        <v>225</v>
      </c>
      <c r="Q37" s="25" t="s">
        <v>2838</v>
      </c>
      <c r="R37" s="25"/>
    </row>
    <row r="38" spans="1:18" ht="54.75" customHeight="1" x14ac:dyDescent="0.4">
      <c r="A38" s="71">
        <v>44743</v>
      </c>
      <c r="B38" s="25" t="s">
        <v>276</v>
      </c>
      <c r="C38" s="25" t="s">
        <v>250</v>
      </c>
      <c r="D38" s="25" t="s">
        <v>2839</v>
      </c>
      <c r="E38" s="25" t="s">
        <v>222</v>
      </c>
      <c r="F38" s="25" t="s">
        <v>2837</v>
      </c>
      <c r="G38" s="25" t="s">
        <v>2837</v>
      </c>
      <c r="H38" s="25" t="s">
        <v>824</v>
      </c>
      <c r="I38" s="25"/>
      <c r="J38" s="25" t="s">
        <v>2838</v>
      </c>
      <c r="K38" s="71">
        <v>44754</v>
      </c>
      <c r="L38" s="25">
        <v>-11</v>
      </c>
      <c r="M38" s="71">
        <v>44744</v>
      </c>
      <c r="N38" s="25"/>
      <c r="O38" s="70" t="s">
        <v>277</v>
      </c>
      <c r="P38" s="25" t="s">
        <v>225</v>
      </c>
      <c r="Q38" s="25" t="s">
        <v>2838</v>
      </c>
      <c r="R38" s="25"/>
    </row>
    <row r="39" spans="1:18" ht="135.75" customHeight="1" x14ac:dyDescent="0.4">
      <c r="A39" s="71">
        <v>44743</v>
      </c>
      <c r="B39" s="25" t="s">
        <v>278</v>
      </c>
      <c r="C39" s="25" t="s">
        <v>250</v>
      </c>
      <c r="D39" s="25" t="s">
        <v>2839</v>
      </c>
      <c r="E39" s="25" t="s">
        <v>222</v>
      </c>
      <c r="F39" s="25" t="s">
        <v>2837</v>
      </c>
      <c r="G39" s="25" t="s">
        <v>2837</v>
      </c>
      <c r="H39" s="25" t="s">
        <v>824</v>
      </c>
      <c r="I39" s="25"/>
      <c r="J39" s="25" t="s">
        <v>2838</v>
      </c>
      <c r="K39" s="71">
        <v>44754</v>
      </c>
      <c r="L39" s="25">
        <v>-11</v>
      </c>
      <c r="M39" s="71">
        <v>44764</v>
      </c>
      <c r="N39" s="25"/>
      <c r="O39" s="70" t="s">
        <v>279</v>
      </c>
      <c r="P39" s="25" t="s">
        <v>225</v>
      </c>
      <c r="Q39" s="25" t="s">
        <v>2838</v>
      </c>
      <c r="R39" s="25"/>
    </row>
    <row r="40" spans="1:18" ht="81.75" customHeight="1" x14ac:dyDescent="0.4">
      <c r="A40" s="71">
        <v>44743</v>
      </c>
      <c r="B40" s="25" t="s">
        <v>280</v>
      </c>
      <c r="C40" s="25" t="s">
        <v>281</v>
      </c>
      <c r="D40" s="25" t="s">
        <v>2841</v>
      </c>
      <c r="E40" s="25" t="s">
        <v>222</v>
      </c>
      <c r="F40" s="25" t="s">
        <v>2837</v>
      </c>
      <c r="G40" s="25" t="s">
        <v>2837</v>
      </c>
      <c r="H40" s="25" t="s">
        <v>824</v>
      </c>
      <c r="I40" s="25"/>
      <c r="J40" s="25" t="s">
        <v>2838</v>
      </c>
      <c r="K40" s="71">
        <v>44754</v>
      </c>
      <c r="L40" s="25">
        <v>-11</v>
      </c>
      <c r="M40" s="71">
        <v>44775</v>
      </c>
      <c r="N40" s="25"/>
      <c r="O40" s="70" t="s">
        <v>282</v>
      </c>
      <c r="P40" s="25" t="s">
        <v>225</v>
      </c>
      <c r="Q40" s="25" t="s">
        <v>2838</v>
      </c>
      <c r="R40" s="25"/>
    </row>
    <row r="41" spans="1:18" ht="41.25" customHeight="1" x14ac:dyDescent="0.4">
      <c r="A41" s="71">
        <v>44743</v>
      </c>
      <c r="B41" s="25" t="s">
        <v>283</v>
      </c>
      <c r="C41" s="25" t="s">
        <v>250</v>
      </c>
      <c r="D41" s="25" t="s">
        <v>2839</v>
      </c>
      <c r="E41" s="25" t="s">
        <v>222</v>
      </c>
      <c r="F41" s="25" t="s">
        <v>2837</v>
      </c>
      <c r="G41" s="25" t="s">
        <v>2837</v>
      </c>
      <c r="H41" s="25" t="s">
        <v>824</v>
      </c>
      <c r="I41" s="25"/>
      <c r="J41" s="25" t="s">
        <v>2838</v>
      </c>
      <c r="K41" s="71">
        <v>44754</v>
      </c>
      <c r="L41" s="25">
        <v>-11</v>
      </c>
      <c r="M41" s="71">
        <v>44751</v>
      </c>
      <c r="N41" s="25"/>
      <c r="O41" s="70" t="s">
        <v>284</v>
      </c>
      <c r="P41" s="25" t="s">
        <v>225</v>
      </c>
      <c r="Q41" s="25" t="s">
        <v>2838</v>
      </c>
      <c r="R41" s="25"/>
    </row>
    <row r="42" spans="1:18" ht="202.5" customHeight="1" x14ac:dyDescent="0.4">
      <c r="A42" s="71">
        <v>44743</v>
      </c>
      <c r="B42" s="25" t="s">
        <v>285</v>
      </c>
      <c r="C42" s="25" t="s">
        <v>250</v>
      </c>
      <c r="D42" s="25" t="s">
        <v>2839</v>
      </c>
      <c r="E42" s="25" t="s">
        <v>222</v>
      </c>
      <c r="F42" s="25" t="s">
        <v>2837</v>
      </c>
      <c r="G42" s="25" t="s">
        <v>2837</v>
      </c>
      <c r="H42" s="25" t="s">
        <v>824</v>
      </c>
      <c r="I42" s="25"/>
      <c r="J42" s="25" t="s">
        <v>2838</v>
      </c>
      <c r="K42" s="71">
        <v>44754</v>
      </c>
      <c r="L42" s="25">
        <v>-11</v>
      </c>
      <c r="M42" s="71">
        <v>44750</v>
      </c>
      <c r="N42" s="25"/>
      <c r="O42" s="70" t="s">
        <v>286</v>
      </c>
      <c r="P42" s="25" t="s">
        <v>225</v>
      </c>
      <c r="Q42" s="25" t="s">
        <v>2838</v>
      </c>
      <c r="R42" s="25"/>
    </row>
    <row r="43" spans="1:18" ht="41.25" customHeight="1" x14ac:dyDescent="0.4">
      <c r="A43" s="71">
        <v>44743</v>
      </c>
      <c r="B43" s="25" t="s">
        <v>287</v>
      </c>
      <c r="C43" s="25" t="s">
        <v>250</v>
      </c>
      <c r="D43" s="25" t="s">
        <v>2839</v>
      </c>
      <c r="E43" s="25" t="s">
        <v>222</v>
      </c>
      <c r="F43" s="25" t="s">
        <v>2837</v>
      </c>
      <c r="G43" s="25" t="s">
        <v>2837</v>
      </c>
      <c r="H43" s="25" t="s">
        <v>824</v>
      </c>
      <c r="I43" s="25"/>
      <c r="J43" s="25" t="s">
        <v>2838</v>
      </c>
      <c r="K43" s="71">
        <v>44754</v>
      </c>
      <c r="L43" s="25">
        <v>-11</v>
      </c>
      <c r="M43" s="71">
        <v>44769</v>
      </c>
      <c r="N43" s="25"/>
      <c r="O43" s="70" t="s">
        <v>288</v>
      </c>
      <c r="P43" s="25" t="s">
        <v>225</v>
      </c>
      <c r="Q43" s="25" t="s">
        <v>2838</v>
      </c>
      <c r="R43" s="25"/>
    </row>
    <row r="44" spans="1:18" ht="27.75" customHeight="1" x14ac:dyDescent="0.4">
      <c r="A44" s="71">
        <v>44744</v>
      </c>
      <c r="B44" s="25" t="s">
        <v>289</v>
      </c>
      <c r="C44" s="25" t="s">
        <v>250</v>
      </c>
      <c r="D44" s="25" t="s">
        <v>2839</v>
      </c>
      <c r="E44" s="25" t="s">
        <v>222</v>
      </c>
      <c r="F44" s="25" t="s">
        <v>2837</v>
      </c>
      <c r="G44" s="25" t="s">
        <v>2837</v>
      </c>
      <c r="H44" s="25" t="s">
        <v>824</v>
      </c>
      <c r="I44" s="25"/>
      <c r="J44" s="25" t="s">
        <v>2838</v>
      </c>
      <c r="K44" s="71">
        <v>44754</v>
      </c>
      <c r="L44" s="25">
        <v>-10</v>
      </c>
      <c r="M44" s="71">
        <v>44759</v>
      </c>
      <c r="N44" s="25"/>
      <c r="O44" s="70" t="s">
        <v>290</v>
      </c>
      <c r="P44" s="25" t="s">
        <v>225</v>
      </c>
      <c r="Q44" s="25" t="s">
        <v>2838</v>
      </c>
      <c r="R44" s="25"/>
    </row>
    <row r="45" spans="1:18" ht="95.25" customHeight="1" x14ac:dyDescent="0.4">
      <c r="A45" s="71">
        <v>44744</v>
      </c>
      <c r="B45" s="25" t="s">
        <v>291</v>
      </c>
      <c r="C45" s="25" t="s">
        <v>250</v>
      </c>
      <c r="D45" s="25" t="s">
        <v>2839</v>
      </c>
      <c r="E45" s="25" t="s">
        <v>222</v>
      </c>
      <c r="F45" s="25" t="s">
        <v>2837</v>
      </c>
      <c r="G45" s="25" t="s">
        <v>2837</v>
      </c>
      <c r="H45" s="25" t="s">
        <v>824</v>
      </c>
      <c r="I45" s="25"/>
      <c r="J45" s="25" t="s">
        <v>2838</v>
      </c>
      <c r="K45" s="71">
        <v>44754</v>
      </c>
      <c r="L45" s="25">
        <v>-10</v>
      </c>
      <c r="M45" s="71">
        <v>44763</v>
      </c>
      <c r="N45" s="25"/>
      <c r="O45" s="70" t="s">
        <v>292</v>
      </c>
      <c r="P45" s="25" t="s">
        <v>225</v>
      </c>
      <c r="Q45" s="25" t="s">
        <v>2838</v>
      </c>
      <c r="R45" s="25"/>
    </row>
    <row r="46" spans="1:18" ht="27.75" customHeight="1" x14ac:dyDescent="0.4">
      <c r="A46" s="71">
        <v>44744</v>
      </c>
      <c r="B46" s="25" t="s">
        <v>293</v>
      </c>
      <c r="C46" s="25" t="s">
        <v>250</v>
      </c>
      <c r="D46" s="25" t="s">
        <v>2839</v>
      </c>
      <c r="E46" s="25" t="s">
        <v>222</v>
      </c>
      <c r="F46" s="25" t="s">
        <v>2837</v>
      </c>
      <c r="G46" s="25" t="s">
        <v>2837</v>
      </c>
      <c r="H46" s="25" t="s">
        <v>824</v>
      </c>
      <c r="I46" s="25"/>
      <c r="J46" s="25" t="s">
        <v>2838</v>
      </c>
      <c r="K46" s="71">
        <v>44754</v>
      </c>
      <c r="L46" s="25">
        <v>-10</v>
      </c>
      <c r="M46" s="71">
        <v>44750</v>
      </c>
      <c r="N46" s="25"/>
      <c r="O46" s="70" t="s">
        <v>294</v>
      </c>
      <c r="P46" s="25" t="s">
        <v>225</v>
      </c>
      <c r="Q46" s="25" t="s">
        <v>2838</v>
      </c>
      <c r="R46" s="25"/>
    </row>
    <row r="47" spans="1:18" ht="54.75" customHeight="1" x14ac:dyDescent="0.4">
      <c r="A47" s="71">
        <v>44745</v>
      </c>
      <c r="B47" s="25" t="s">
        <v>295</v>
      </c>
      <c r="C47" s="25" t="s">
        <v>250</v>
      </c>
      <c r="D47" s="25" t="s">
        <v>2839</v>
      </c>
      <c r="E47" s="25" t="s">
        <v>222</v>
      </c>
      <c r="F47" s="25" t="s">
        <v>2837</v>
      </c>
      <c r="G47" s="25" t="s">
        <v>2837</v>
      </c>
      <c r="H47" s="25" t="s">
        <v>824</v>
      </c>
      <c r="I47" s="25"/>
      <c r="J47" s="25" t="s">
        <v>2838</v>
      </c>
      <c r="K47" s="71">
        <v>44754</v>
      </c>
      <c r="L47" s="25">
        <v>-9</v>
      </c>
      <c r="M47" s="71">
        <v>44745</v>
      </c>
      <c r="N47" s="25"/>
      <c r="O47" s="70" t="s">
        <v>296</v>
      </c>
      <c r="P47" s="25" t="s">
        <v>225</v>
      </c>
      <c r="Q47" s="25" t="s">
        <v>2838</v>
      </c>
      <c r="R47" s="25"/>
    </row>
    <row r="48" spans="1:18" ht="27.75" customHeight="1" x14ac:dyDescent="0.4">
      <c r="A48" s="71">
        <v>44747</v>
      </c>
      <c r="B48" s="25" t="s">
        <v>297</v>
      </c>
      <c r="C48" s="25" t="s">
        <v>250</v>
      </c>
      <c r="D48" s="25" t="s">
        <v>2839</v>
      </c>
      <c r="E48" s="25" t="s">
        <v>222</v>
      </c>
      <c r="F48" s="25" t="s">
        <v>2837</v>
      </c>
      <c r="G48" s="25" t="s">
        <v>2837</v>
      </c>
      <c r="H48" s="25" t="s">
        <v>824</v>
      </c>
      <c r="I48" s="25"/>
      <c r="J48" s="25" t="s">
        <v>2838</v>
      </c>
      <c r="K48" s="71">
        <v>44754</v>
      </c>
      <c r="L48" s="25">
        <v>-7</v>
      </c>
      <c r="M48" s="71">
        <v>44752</v>
      </c>
      <c r="N48" s="25"/>
      <c r="O48" s="70" t="s">
        <v>298</v>
      </c>
      <c r="P48" s="25" t="s">
        <v>225</v>
      </c>
      <c r="Q48" s="25" t="s">
        <v>2838</v>
      </c>
      <c r="R48" s="25"/>
    </row>
    <row r="49" spans="1:18" ht="41.25" customHeight="1" x14ac:dyDescent="0.4">
      <c r="A49" s="71">
        <v>44747</v>
      </c>
      <c r="B49" s="25" t="s">
        <v>299</v>
      </c>
      <c r="C49" s="25" t="s">
        <v>250</v>
      </c>
      <c r="D49" s="25" t="s">
        <v>2839</v>
      </c>
      <c r="E49" s="25" t="s">
        <v>222</v>
      </c>
      <c r="F49" s="25" t="s">
        <v>2837</v>
      </c>
      <c r="G49" s="25" t="s">
        <v>2837</v>
      </c>
      <c r="H49" s="25" t="s">
        <v>824</v>
      </c>
      <c r="I49" s="25"/>
      <c r="J49" s="25" t="s">
        <v>2838</v>
      </c>
      <c r="K49" s="71">
        <v>44754</v>
      </c>
      <c r="L49" s="25">
        <v>-7</v>
      </c>
      <c r="M49" s="71">
        <v>44761</v>
      </c>
      <c r="N49" s="25"/>
      <c r="O49" s="70" t="s">
        <v>300</v>
      </c>
      <c r="P49" s="25" t="s">
        <v>225</v>
      </c>
      <c r="Q49" s="25" t="s">
        <v>2838</v>
      </c>
      <c r="R49" s="25"/>
    </row>
    <row r="50" spans="1:18" ht="54.75" customHeight="1" x14ac:dyDescent="0.4">
      <c r="A50" s="71">
        <v>44747</v>
      </c>
      <c r="B50" s="25" t="s">
        <v>301</v>
      </c>
      <c r="C50" s="25" t="s">
        <v>250</v>
      </c>
      <c r="D50" s="25" t="s">
        <v>2839</v>
      </c>
      <c r="E50" s="25" t="s">
        <v>222</v>
      </c>
      <c r="F50" s="25" t="s">
        <v>2837</v>
      </c>
      <c r="G50" s="25" t="s">
        <v>2837</v>
      </c>
      <c r="H50" s="25" t="s">
        <v>824</v>
      </c>
      <c r="I50" s="25"/>
      <c r="J50" s="25" t="s">
        <v>2838</v>
      </c>
      <c r="K50" s="71">
        <v>44754</v>
      </c>
      <c r="L50" s="25">
        <v>-7</v>
      </c>
      <c r="M50" s="71">
        <v>44758</v>
      </c>
      <c r="N50" s="25"/>
      <c r="O50" s="70" t="s">
        <v>302</v>
      </c>
      <c r="P50" s="25" t="s">
        <v>225</v>
      </c>
      <c r="Q50" s="25" t="s">
        <v>2838</v>
      </c>
      <c r="R50" s="25"/>
    </row>
    <row r="51" spans="1:18" ht="27.75" customHeight="1" x14ac:dyDescent="0.4">
      <c r="A51" s="71">
        <v>44748</v>
      </c>
      <c r="B51" s="25" t="s">
        <v>303</v>
      </c>
      <c r="C51" s="25" t="s">
        <v>250</v>
      </c>
      <c r="D51" s="25" t="s">
        <v>2839</v>
      </c>
      <c r="E51" s="25" t="s">
        <v>222</v>
      </c>
      <c r="F51" s="25" t="s">
        <v>2837</v>
      </c>
      <c r="G51" s="25" t="s">
        <v>2837</v>
      </c>
      <c r="H51" s="25" t="s">
        <v>824</v>
      </c>
      <c r="I51" s="25"/>
      <c r="J51" s="25" t="s">
        <v>2838</v>
      </c>
      <c r="K51" s="71">
        <v>44754</v>
      </c>
      <c r="L51" s="25">
        <v>-6</v>
      </c>
      <c r="M51" s="71">
        <v>44753</v>
      </c>
      <c r="N51" s="25"/>
      <c r="O51" s="70" t="s">
        <v>304</v>
      </c>
      <c r="P51" s="25" t="s">
        <v>225</v>
      </c>
      <c r="Q51" s="25" t="s">
        <v>2838</v>
      </c>
      <c r="R51" s="25"/>
    </row>
    <row r="52" spans="1:18" ht="81.75" customHeight="1" x14ac:dyDescent="0.4">
      <c r="A52" s="71">
        <v>44748</v>
      </c>
      <c r="B52" s="25" t="s">
        <v>305</v>
      </c>
      <c r="C52" s="25" t="s">
        <v>250</v>
      </c>
      <c r="D52" s="25" t="s">
        <v>2839</v>
      </c>
      <c r="E52" s="25" t="s">
        <v>222</v>
      </c>
      <c r="F52" s="25" t="s">
        <v>2837</v>
      </c>
      <c r="G52" s="25" t="s">
        <v>2837</v>
      </c>
      <c r="H52" s="25" t="s">
        <v>824</v>
      </c>
      <c r="I52" s="25"/>
      <c r="J52" s="25" t="s">
        <v>2838</v>
      </c>
      <c r="K52" s="71">
        <v>44754</v>
      </c>
      <c r="L52" s="25">
        <v>-6</v>
      </c>
      <c r="M52" s="71">
        <v>44749</v>
      </c>
      <c r="N52" s="25"/>
      <c r="O52" s="70" t="s">
        <v>306</v>
      </c>
      <c r="P52" s="25" t="s">
        <v>225</v>
      </c>
      <c r="Q52" s="25" t="s">
        <v>2838</v>
      </c>
      <c r="R52" s="25"/>
    </row>
    <row r="53" spans="1:18" ht="95.25" customHeight="1" x14ac:dyDescent="0.4">
      <c r="A53" s="71">
        <v>44748</v>
      </c>
      <c r="B53" s="25" t="s">
        <v>307</v>
      </c>
      <c r="C53" s="25" t="s">
        <v>250</v>
      </c>
      <c r="D53" s="25" t="s">
        <v>2839</v>
      </c>
      <c r="E53" s="25" t="s">
        <v>222</v>
      </c>
      <c r="F53" s="25" t="s">
        <v>2837</v>
      </c>
      <c r="G53" s="25" t="s">
        <v>2837</v>
      </c>
      <c r="H53" s="25" t="s">
        <v>824</v>
      </c>
      <c r="I53" s="25"/>
      <c r="J53" s="25" t="s">
        <v>2838</v>
      </c>
      <c r="K53" s="71">
        <v>44754</v>
      </c>
      <c r="L53" s="25">
        <v>-6</v>
      </c>
      <c r="M53" s="71">
        <v>44750</v>
      </c>
      <c r="N53" s="25"/>
      <c r="O53" s="70" t="s">
        <v>308</v>
      </c>
      <c r="P53" s="25" t="s">
        <v>225</v>
      </c>
      <c r="Q53" s="25" t="s">
        <v>2838</v>
      </c>
      <c r="R53" s="25"/>
    </row>
    <row r="54" spans="1:18" ht="27.75" customHeight="1" x14ac:dyDescent="0.4">
      <c r="A54" s="71">
        <v>44748</v>
      </c>
      <c r="B54" s="25" t="s">
        <v>309</v>
      </c>
      <c r="C54" s="25" t="s">
        <v>250</v>
      </c>
      <c r="D54" s="25" t="s">
        <v>2839</v>
      </c>
      <c r="E54" s="25" t="s">
        <v>222</v>
      </c>
      <c r="F54" s="25" t="s">
        <v>2837</v>
      </c>
      <c r="G54" s="25" t="s">
        <v>2837</v>
      </c>
      <c r="H54" s="25" t="s">
        <v>824</v>
      </c>
      <c r="I54" s="25"/>
      <c r="J54" s="25" t="s">
        <v>2838</v>
      </c>
      <c r="K54" s="71">
        <v>44754</v>
      </c>
      <c r="L54" s="25">
        <v>-6</v>
      </c>
      <c r="M54" s="71">
        <v>44750</v>
      </c>
      <c r="N54" s="25"/>
      <c r="O54" s="70" t="s">
        <v>310</v>
      </c>
      <c r="P54" s="25" t="s">
        <v>225</v>
      </c>
      <c r="Q54" s="25" t="s">
        <v>2838</v>
      </c>
      <c r="R54" s="25"/>
    </row>
    <row r="55" spans="1:18" ht="108.75" customHeight="1" x14ac:dyDescent="0.4">
      <c r="A55" s="71">
        <v>44746</v>
      </c>
      <c r="B55" s="25" t="s">
        <v>311</v>
      </c>
      <c r="C55" s="25" t="s">
        <v>250</v>
      </c>
      <c r="D55" s="25" t="s">
        <v>2839</v>
      </c>
      <c r="E55" s="25" t="s">
        <v>222</v>
      </c>
      <c r="F55" s="25"/>
      <c r="G55" s="25"/>
      <c r="H55" s="25" t="s">
        <v>824</v>
      </c>
      <c r="I55" s="25"/>
      <c r="J55" s="25" t="s">
        <v>2838</v>
      </c>
      <c r="K55" s="25"/>
      <c r="L55" s="25"/>
      <c r="M55" s="71">
        <v>44750</v>
      </c>
      <c r="N55" s="25"/>
      <c r="O55" s="70" t="s">
        <v>312</v>
      </c>
      <c r="P55" s="25" t="s">
        <v>225</v>
      </c>
      <c r="Q55" s="25" t="s">
        <v>2838</v>
      </c>
      <c r="R55" s="25"/>
    </row>
    <row r="56" spans="1:18" ht="27.75" customHeight="1" x14ac:dyDescent="0.4">
      <c r="A56" s="71">
        <v>44746</v>
      </c>
      <c r="B56" s="25" t="s">
        <v>313</v>
      </c>
      <c r="C56" s="25" t="s">
        <v>250</v>
      </c>
      <c r="D56" s="25" t="s">
        <v>2839</v>
      </c>
      <c r="E56" s="25" t="s">
        <v>222</v>
      </c>
      <c r="F56" s="25"/>
      <c r="G56" s="25"/>
      <c r="H56" s="25" t="s">
        <v>824</v>
      </c>
      <c r="I56" s="25"/>
      <c r="J56" s="25" t="s">
        <v>2838</v>
      </c>
      <c r="K56" s="25"/>
      <c r="L56" s="25"/>
      <c r="M56" s="71">
        <v>44750</v>
      </c>
      <c r="N56" s="25"/>
      <c r="O56" s="70" t="s">
        <v>314</v>
      </c>
      <c r="P56" s="25" t="s">
        <v>225</v>
      </c>
      <c r="Q56" s="25" t="s">
        <v>2838</v>
      </c>
      <c r="R56" s="25"/>
    </row>
    <row r="57" spans="1:18" ht="41.25" customHeight="1" x14ac:dyDescent="0.4">
      <c r="A57" s="71">
        <v>44746</v>
      </c>
      <c r="B57" s="25" t="s">
        <v>315</v>
      </c>
      <c r="C57" s="25" t="s">
        <v>250</v>
      </c>
      <c r="D57" s="25" t="s">
        <v>2839</v>
      </c>
      <c r="E57" s="25" t="s">
        <v>222</v>
      </c>
      <c r="F57" s="25"/>
      <c r="G57" s="25"/>
      <c r="H57" s="25" t="s">
        <v>824</v>
      </c>
      <c r="I57" s="25"/>
      <c r="J57" s="25" t="s">
        <v>2838</v>
      </c>
      <c r="K57" s="25"/>
      <c r="L57" s="25"/>
      <c r="M57" s="71">
        <v>44755</v>
      </c>
      <c r="N57" s="25"/>
      <c r="O57" s="70" t="s">
        <v>316</v>
      </c>
      <c r="P57" s="25" t="s">
        <v>225</v>
      </c>
      <c r="Q57" s="25" t="s">
        <v>2838</v>
      </c>
      <c r="R57" s="25"/>
    </row>
    <row r="58" spans="1:18" ht="15.75" customHeight="1" x14ac:dyDescent="0.4">
      <c r="A58" s="71">
        <v>44745</v>
      </c>
      <c r="B58" s="25" t="s">
        <v>295</v>
      </c>
      <c r="C58" s="25" t="s">
        <v>317</v>
      </c>
      <c r="D58" s="25" t="s">
        <v>2842</v>
      </c>
      <c r="E58" s="25" t="s">
        <v>222</v>
      </c>
      <c r="F58" s="25"/>
      <c r="G58" s="25"/>
      <c r="H58" s="25" t="s">
        <v>824</v>
      </c>
      <c r="I58" s="25"/>
      <c r="J58" s="25" t="s">
        <v>2838</v>
      </c>
      <c r="K58" s="25"/>
      <c r="L58" s="25"/>
      <c r="M58" s="25" t="s">
        <v>2837</v>
      </c>
      <c r="N58" s="25" t="s">
        <v>318</v>
      </c>
      <c r="O58" s="70" t="s">
        <v>318</v>
      </c>
      <c r="P58" s="25"/>
      <c r="Q58" s="25"/>
      <c r="R58" s="25"/>
    </row>
    <row r="59" spans="1:18" ht="15.75" customHeight="1" x14ac:dyDescent="0.4">
      <c r="A59" s="71">
        <v>44745</v>
      </c>
      <c r="B59" s="25" t="s">
        <v>319</v>
      </c>
      <c r="C59" s="25" t="s">
        <v>250</v>
      </c>
      <c r="D59" s="25" t="s">
        <v>2839</v>
      </c>
      <c r="E59" s="25" t="s">
        <v>222</v>
      </c>
      <c r="F59" s="25"/>
      <c r="G59" s="25"/>
      <c r="H59" s="25" t="s">
        <v>824</v>
      </c>
      <c r="I59" s="25"/>
      <c r="J59" s="25" t="s">
        <v>2838</v>
      </c>
      <c r="K59" s="25"/>
      <c r="L59" s="25"/>
      <c r="M59" s="71">
        <v>44756</v>
      </c>
      <c r="N59" s="25"/>
      <c r="O59" s="70" t="s">
        <v>320</v>
      </c>
      <c r="P59" s="25" t="s">
        <v>225</v>
      </c>
      <c r="Q59" s="25" t="s">
        <v>2838</v>
      </c>
      <c r="R59" s="25"/>
    </row>
    <row r="60" spans="1:18" ht="27.75" customHeight="1" x14ac:dyDescent="0.4">
      <c r="A60" s="71">
        <v>44749</v>
      </c>
      <c r="B60" s="25" t="s">
        <v>321</v>
      </c>
      <c r="C60" s="25" t="s">
        <v>250</v>
      </c>
      <c r="D60" s="25" t="s">
        <v>2839</v>
      </c>
      <c r="E60" s="25" t="s">
        <v>222</v>
      </c>
      <c r="F60" s="25" t="s">
        <v>2837</v>
      </c>
      <c r="G60" s="25" t="s">
        <v>2837</v>
      </c>
      <c r="H60" s="25" t="s">
        <v>824</v>
      </c>
      <c r="I60" s="25"/>
      <c r="J60" s="25" t="s">
        <v>2838</v>
      </c>
      <c r="K60" s="71">
        <v>44754</v>
      </c>
      <c r="L60" s="25">
        <v>-5</v>
      </c>
      <c r="M60" s="71">
        <v>44752</v>
      </c>
      <c r="N60" s="25"/>
      <c r="O60" s="70" t="s">
        <v>322</v>
      </c>
      <c r="P60" s="25" t="s">
        <v>225</v>
      </c>
      <c r="Q60" s="25" t="s">
        <v>2838</v>
      </c>
      <c r="R60" s="25"/>
    </row>
    <row r="61" spans="1:18" ht="27.75" customHeight="1" x14ac:dyDescent="0.4">
      <c r="A61" s="71">
        <v>44749</v>
      </c>
      <c r="B61" s="25" t="s">
        <v>323</v>
      </c>
      <c r="C61" s="25" t="s">
        <v>250</v>
      </c>
      <c r="D61" s="25" t="s">
        <v>2839</v>
      </c>
      <c r="E61" s="25" t="s">
        <v>222</v>
      </c>
      <c r="F61" s="25" t="s">
        <v>2837</v>
      </c>
      <c r="G61" s="25" t="s">
        <v>2837</v>
      </c>
      <c r="H61" s="25" t="s">
        <v>824</v>
      </c>
      <c r="I61" s="25"/>
      <c r="J61" s="25"/>
      <c r="K61" s="71">
        <v>44754</v>
      </c>
      <c r="L61" s="25">
        <v>-5</v>
      </c>
      <c r="M61" s="71">
        <v>44750</v>
      </c>
      <c r="N61" s="25"/>
      <c r="O61" s="70" t="s">
        <v>324</v>
      </c>
      <c r="P61" s="25" t="s">
        <v>225</v>
      </c>
      <c r="Q61" s="25" t="s">
        <v>2838</v>
      </c>
      <c r="R61" s="25"/>
    </row>
    <row r="62" spans="1:18" ht="27.75" customHeight="1" x14ac:dyDescent="0.4">
      <c r="A62" s="71">
        <v>44750</v>
      </c>
      <c r="B62" s="25" t="s">
        <v>325</v>
      </c>
      <c r="C62" s="25" t="s">
        <v>250</v>
      </c>
      <c r="D62" s="25" t="s">
        <v>2839</v>
      </c>
      <c r="E62" s="25" t="s">
        <v>222</v>
      </c>
      <c r="F62" s="25" t="s">
        <v>2837</v>
      </c>
      <c r="G62" s="25" t="s">
        <v>2837</v>
      </c>
      <c r="H62" s="25" t="s">
        <v>824</v>
      </c>
      <c r="I62" s="25"/>
      <c r="J62" s="25" t="s">
        <v>2838</v>
      </c>
      <c r="K62" s="71">
        <v>44754</v>
      </c>
      <c r="L62" s="25">
        <v>-4</v>
      </c>
      <c r="M62" s="71">
        <v>44754</v>
      </c>
      <c r="N62" s="25"/>
      <c r="O62" s="70" t="s">
        <v>326</v>
      </c>
      <c r="P62" s="25" t="s">
        <v>225</v>
      </c>
      <c r="Q62" s="25" t="s">
        <v>2838</v>
      </c>
      <c r="R62" s="25"/>
    </row>
    <row r="63" spans="1:18" ht="41.25" customHeight="1" x14ac:dyDescent="0.4">
      <c r="A63" s="71">
        <v>44749</v>
      </c>
      <c r="B63" s="25" t="s">
        <v>327</v>
      </c>
      <c r="C63" s="25" t="s">
        <v>250</v>
      </c>
      <c r="D63" s="25" t="s">
        <v>2839</v>
      </c>
      <c r="E63" s="25" t="s">
        <v>222</v>
      </c>
      <c r="F63" s="25" t="s">
        <v>2837</v>
      </c>
      <c r="G63" s="25" t="s">
        <v>2837</v>
      </c>
      <c r="H63" s="25" t="s">
        <v>824</v>
      </c>
      <c r="I63" s="25"/>
      <c r="J63" s="25" t="s">
        <v>2838</v>
      </c>
      <c r="K63" s="71">
        <v>44754</v>
      </c>
      <c r="L63" s="25">
        <v>-5</v>
      </c>
      <c r="M63" s="71">
        <v>44751</v>
      </c>
      <c r="N63" s="25"/>
      <c r="O63" s="70" t="s">
        <v>328</v>
      </c>
      <c r="P63" s="25" t="s">
        <v>225</v>
      </c>
      <c r="Q63" s="25" t="s">
        <v>2838</v>
      </c>
      <c r="R63" s="25"/>
    </row>
    <row r="64" spans="1:18" ht="54.75" customHeight="1" x14ac:dyDescent="0.4">
      <c r="A64" s="71">
        <v>44747</v>
      </c>
      <c r="B64" s="25" t="s">
        <v>329</v>
      </c>
      <c r="C64" s="25" t="s">
        <v>250</v>
      </c>
      <c r="D64" s="25" t="s">
        <v>2839</v>
      </c>
      <c r="E64" s="25" t="s">
        <v>222</v>
      </c>
      <c r="F64" s="25" t="s">
        <v>2837</v>
      </c>
      <c r="G64" s="25" t="s">
        <v>2837</v>
      </c>
      <c r="H64" s="25" t="s">
        <v>824</v>
      </c>
      <c r="I64" s="25"/>
      <c r="J64" s="25" t="s">
        <v>2838</v>
      </c>
      <c r="K64" s="71">
        <v>44754</v>
      </c>
      <c r="L64" s="25">
        <v>-7</v>
      </c>
      <c r="M64" s="71">
        <v>44750</v>
      </c>
      <c r="N64" s="25"/>
      <c r="O64" s="70" t="s">
        <v>330</v>
      </c>
      <c r="P64" s="25" t="s">
        <v>225</v>
      </c>
      <c r="Q64" s="25" t="s">
        <v>2838</v>
      </c>
      <c r="R64" s="25"/>
    </row>
    <row r="65" spans="1:18" ht="122.25" customHeight="1" x14ac:dyDescent="0.4">
      <c r="A65" s="71">
        <v>44750</v>
      </c>
      <c r="B65" s="25" t="s">
        <v>331</v>
      </c>
      <c r="C65" s="25" t="s">
        <v>250</v>
      </c>
      <c r="D65" s="25" t="s">
        <v>2839</v>
      </c>
      <c r="E65" s="25" t="s">
        <v>222</v>
      </c>
      <c r="F65" s="25" t="s">
        <v>2837</v>
      </c>
      <c r="G65" s="25" t="s">
        <v>2837</v>
      </c>
      <c r="H65" s="25" t="s">
        <v>824</v>
      </c>
      <c r="I65" s="25"/>
      <c r="J65" s="25" t="s">
        <v>2838</v>
      </c>
      <c r="K65" s="71">
        <v>44754</v>
      </c>
      <c r="L65" s="25">
        <v>-4</v>
      </c>
      <c r="M65" s="71">
        <v>44750</v>
      </c>
      <c r="N65" s="25"/>
      <c r="O65" s="70" t="s">
        <v>332</v>
      </c>
      <c r="P65" s="25" t="s">
        <v>225</v>
      </c>
      <c r="Q65" s="25" t="s">
        <v>2838</v>
      </c>
      <c r="R65" s="25"/>
    </row>
    <row r="66" spans="1:18" ht="15.75" customHeight="1" x14ac:dyDescent="0.4">
      <c r="A66" s="71">
        <v>44750</v>
      </c>
      <c r="B66" s="25" t="s">
        <v>333</v>
      </c>
      <c r="C66" s="25" t="s">
        <v>317</v>
      </c>
      <c r="D66" s="25" t="s">
        <v>2842</v>
      </c>
      <c r="E66" s="25" t="s">
        <v>222</v>
      </c>
      <c r="F66" s="25" t="s">
        <v>2837</v>
      </c>
      <c r="G66" s="25" t="s">
        <v>2837</v>
      </c>
      <c r="H66" s="25" t="s">
        <v>824</v>
      </c>
      <c r="I66" s="25"/>
      <c r="J66" s="25" t="s">
        <v>2838</v>
      </c>
      <c r="K66" s="71">
        <v>44754</v>
      </c>
      <c r="L66" s="25">
        <v>-4</v>
      </c>
      <c r="M66" s="71">
        <v>44750</v>
      </c>
      <c r="N66" s="25"/>
      <c r="O66" s="70"/>
      <c r="P66" s="25" t="s">
        <v>225</v>
      </c>
      <c r="Q66" s="25" t="s">
        <v>2838</v>
      </c>
      <c r="R66" s="25"/>
    </row>
    <row r="67" spans="1:18" ht="15.75" customHeight="1" x14ac:dyDescent="0.4">
      <c r="A67" s="71">
        <v>44751</v>
      </c>
      <c r="B67" s="25" t="s">
        <v>334</v>
      </c>
      <c r="C67" s="25" t="s">
        <v>250</v>
      </c>
      <c r="D67" s="25" t="s">
        <v>2839</v>
      </c>
      <c r="E67" s="25" t="s">
        <v>222</v>
      </c>
      <c r="F67" s="25" t="s">
        <v>2837</v>
      </c>
      <c r="G67" s="25" t="s">
        <v>2837</v>
      </c>
      <c r="H67" s="25" t="s">
        <v>824</v>
      </c>
      <c r="I67" s="25"/>
      <c r="J67" s="25" t="s">
        <v>2838</v>
      </c>
      <c r="K67" s="71">
        <v>44754</v>
      </c>
      <c r="L67" s="25">
        <v>-3</v>
      </c>
      <c r="M67" s="71">
        <v>44756</v>
      </c>
      <c r="N67" s="25"/>
      <c r="O67" s="70"/>
      <c r="P67" s="25" t="s">
        <v>225</v>
      </c>
      <c r="Q67" s="25" t="s">
        <v>2838</v>
      </c>
      <c r="R67" s="25"/>
    </row>
    <row r="68" spans="1:18" ht="54.75" customHeight="1" x14ac:dyDescent="0.4">
      <c r="A68" s="71">
        <v>44751</v>
      </c>
      <c r="B68" s="25" t="s">
        <v>335</v>
      </c>
      <c r="C68" s="25" t="s">
        <v>250</v>
      </c>
      <c r="D68" s="25" t="s">
        <v>2839</v>
      </c>
      <c r="E68" s="25" t="s">
        <v>222</v>
      </c>
      <c r="F68" s="25" t="s">
        <v>2837</v>
      </c>
      <c r="G68" s="25" t="s">
        <v>2837</v>
      </c>
      <c r="H68" s="25" t="s">
        <v>824</v>
      </c>
      <c r="I68" s="25"/>
      <c r="J68" s="25" t="s">
        <v>2838</v>
      </c>
      <c r="K68" s="71">
        <v>44754</v>
      </c>
      <c r="L68" s="25">
        <v>-3</v>
      </c>
      <c r="M68" s="71">
        <v>44769</v>
      </c>
      <c r="N68" s="25"/>
      <c r="O68" s="70" t="s">
        <v>336</v>
      </c>
      <c r="P68" s="25" t="s">
        <v>225</v>
      </c>
      <c r="Q68" s="25" t="s">
        <v>2838</v>
      </c>
      <c r="R68" s="25"/>
    </row>
    <row r="69" spans="1:18" ht="41.25" customHeight="1" x14ac:dyDescent="0.4">
      <c r="A69" s="71">
        <v>44751</v>
      </c>
      <c r="B69" s="25" t="s">
        <v>337</v>
      </c>
      <c r="C69" s="25" t="s">
        <v>250</v>
      </c>
      <c r="D69" s="25" t="s">
        <v>2839</v>
      </c>
      <c r="E69" s="25" t="s">
        <v>222</v>
      </c>
      <c r="F69" s="25" t="s">
        <v>2837</v>
      </c>
      <c r="G69" s="25" t="s">
        <v>2837</v>
      </c>
      <c r="H69" s="25" t="s">
        <v>824</v>
      </c>
      <c r="I69" s="25"/>
      <c r="J69" s="25" t="s">
        <v>2838</v>
      </c>
      <c r="K69" s="71">
        <v>44754</v>
      </c>
      <c r="L69" s="25">
        <v>-3</v>
      </c>
      <c r="M69" s="71">
        <v>44752</v>
      </c>
      <c r="N69" s="25"/>
      <c r="O69" s="70" t="s">
        <v>338</v>
      </c>
      <c r="P69" s="25" t="s">
        <v>225</v>
      </c>
      <c r="Q69" s="25" t="s">
        <v>2838</v>
      </c>
      <c r="R69" s="25"/>
    </row>
    <row r="70" spans="1:18" ht="27.75" customHeight="1" x14ac:dyDescent="0.4">
      <c r="A70" s="71">
        <v>44746</v>
      </c>
      <c r="B70" s="25" t="s">
        <v>339</v>
      </c>
      <c r="C70" s="25" t="s">
        <v>250</v>
      </c>
      <c r="D70" s="25" t="s">
        <v>2839</v>
      </c>
      <c r="E70" s="25" t="s">
        <v>222</v>
      </c>
      <c r="F70" s="25" t="s">
        <v>2837</v>
      </c>
      <c r="G70" s="25" t="s">
        <v>2837</v>
      </c>
      <c r="H70" s="25" t="s">
        <v>824</v>
      </c>
      <c r="I70" s="25"/>
      <c r="J70" s="25" t="s">
        <v>2838</v>
      </c>
      <c r="K70" s="71">
        <v>44754</v>
      </c>
      <c r="L70" s="25">
        <v>-8</v>
      </c>
      <c r="M70" s="71">
        <v>44752</v>
      </c>
      <c r="N70" s="25"/>
      <c r="O70" s="70" t="s">
        <v>340</v>
      </c>
      <c r="P70" s="25" t="s">
        <v>225</v>
      </c>
      <c r="Q70" s="25" t="s">
        <v>2838</v>
      </c>
      <c r="R70" s="25"/>
    </row>
    <row r="71" spans="1:18" ht="54.75" customHeight="1" x14ac:dyDescent="0.4">
      <c r="A71" s="71">
        <v>44751</v>
      </c>
      <c r="B71" s="25" t="s">
        <v>341</v>
      </c>
      <c r="C71" s="25" t="s">
        <v>250</v>
      </c>
      <c r="D71" s="25" t="s">
        <v>2839</v>
      </c>
      <c r="E71" s="25" t="s">
        <v>222</v>
      </c>
      <c r="F71" s="25" t="s">
        <v>2837</v>
      </c>
      <c r="G71" s="25" t="s">
        <v>2837</v>
      </c>
      <c r="H71" s="25" t="s">
        <v>824</v>
      </c>
      <c r="I71" s="25"/>
      <c r="J71" s="25" t="s">
        <v>2838</v>
      </c>
      <c r="K71" s="71">
        <v>44754</v>
      </c>
      <c r="L71" s="25">
        <v>-3</v>
      </c>
      <c r="M71" s="71">
        <v>44753</v>
      </c>
      <c r="N71" s="25"/>
      <c r="O71" s="70" t="s">
        <v>342</v>
      </c>
      <c r="P71" s="25" t="s">
        <v>225</v>
      </c>
      <c r="Q71" s="25" t="s">
        <v>2838</v>
      </c>
      <c r="R71" s="25"/>
    </row>
    <row r="72" spans="1:18" ht="162" customHeight="1" x14ac:dyDescent="0.4">
      <c r="A72" s="71">
        <v>44752</v>
      </c>
      <c r="B72" s="25" t="s">
        <v>343</v>
      </c>
      <c r="C72" s="25" t="s">
        <v>250</v>
      </c>
      <c r="D72" s="25" t="s">
        <v>2839</v>
      </c>
      <c r="E72" s="25" t="s">
        <v>222</v>
      </c>
      <c r="F72" s="25" t="s">
        <v>2837</v>
      </c>
      <c r="G72" s="25" t="s">
        <v>2837</v>
      </c>
      <c r="H72" s="25" t="s">
        <v>824</v>
      </c>
      <c r="I72" s="25"/>
      <c r="J72" s="25" t="s">
        <v>2838</v>
      </c>
      <c r="K72" s="71">
        <v>44754</v>
      </c>
      <c r="L72" s="25">
        <v>-2</v>
      </c>
      <c r="M72" s="71">
        <v>44756</v>
      </c>
      <c r="N72" s="25"/>
      <c r="O72" s="70" t="s">
        <v>344</v>
      </c>
      <c r="P72" s="25" t="s">
        <v>225</v>
      </c>
      <c r="Q72" s="25" t="s">
        <v>2838</v>
      </c>
      <c r="R72" s="25"/>
    </row>
    <row r="73" spans="1:18" ht="189" customHeight="1" x14ac:dyDescent="0.4">
      <c r="A73" s="71">
        <v>44753</v>
      </c>
      <c r="B73" s="25" t="s">
        <v>345</v>
      </c>
      <c r="C73" s="25" t="s">
        <v>250</v>
      </c>
      <c r="D73" s="25" t="s">
        <v>2839</v>
      </c>
      <c r="E73" s="25" t="s">
        <v>222</v>
      </c>
      <c r="F73" s="25" t="s">
        <v>2837</v>
      </c>
      <c r="G73" s="25" t="s">
        <v>2837</v>
      </c>
      <c r="H73" s="25" t="s">
        <v>824</v>
      </c>
      <c r="I73" s="25"/>
      <c r="J73" s="25" t="s">
        <v>2838</v>
      </c>
      <c r="K73" s="71">
        <v>44754</v>
      </c>
      <c r="L73" s="25">
        <v>-1</v>
      </c>
      <c r="M73" s="71">
        <v>44763</v>
      </c>
      <c r="N73" s="25"/>
      <c r="O73" s="70" t="s">
        <v>346</v>
      </c>
      <c r="P73" s="25" t="s">
        <v>225</v>
      </c>
      <c r="Q73" s="25" t="s">
        <v>2838</v>
      </c>
      <c r="R73" s="25"/>
    </row>
    <row r="74" spans="1:18" ht="41.25" customHeight="1" x14ac:dyDescent="0.4">
      <c r="A74" s="71">
        <v>44753</v>
      </c>
      <c r="B74" s="25" t="s">
        <v>347</v>
      </c>
      <c r="C74" s="25" t="s">
        <v>250</v>
      </c>
      <c r="D74" s="25" t="s">
        <v>2839</v>
      </c>
      <c r="E74" s="25" t="s">
        <v>222</v>
      </c>
      <c r="F74" s="25" t="s">
        <v>2837</v>
      </c>
      <c r="G74" s="25" t="s">
        <v>2837</v>
      </c>
      <c r="H74" s="25" t="s">
        <v>824</v>
      </c>
      <c r="I74" s="25"/>
      <c r="J74" s="25" t="s">
        <v>2838</v>
      </c>
      <c r="K74" s="71">
        <v>44754</v>
      </c>
      <c r="L74" s="25">
        <v>-1</v>
      </c>
      <c r="M74" s="71">
        <v>44761</v>
      </c>
      <c r="N74" s="25"/>
      <c r="O74" s="70" t="s">
        <v>348</v>
      </c>
      <c r="P74" s="25" t="s">
        <v>225</v>
      </c>
      <c r="Q74" s="25" t="s">
        <v>2838</v>
      </c>
      <c r="R74" s="25"/>
    </row>
    <row r="75" spans="1:18" ht="41.25" customHeight="1" x14ac:dyDescent="0.4">
      <c r="A75" s="71">
        <v>44753</v>
      </c>
      <c r="B75" s="25" t="s">
        <v>349</v>
      </c>
      <c r="C75" s="25" t="s">
        <v>250</v>
      </c>
      <c r="D75" s="25" t="s">
        <v>2839</v>
      </c>
      <c r="E75" s="25" t="s">
        <v>222</v>
      </c>
      <c r="F75" s="25" t="s">
        <v>2837</v>
      </c>
      <c r="G75" s="25" t="s">
        <v>2837</v>
      </c>
      <c r="H75" s="25" t="s">
        <v>824</v>
      </c>
      <c r="I75" s="25"/>
      <c r="J75" s="25" t="s">
        <v>2838</v>
      </c>
      <c r="K75" s="71">
        <v>44754</v>
      </c>
      <c r="L75" s="25">
        <v>-1</v>
      </c>
      <c r="M75" s="71">
        <v>44753</v>
      </c>
      <c r="N75" s="25"/>
      <c r="O75" s="70" t="s">
        <v>350</v>
      </c>
      <c r="P75" s="25" t="s">
        <v>225</v>
      </c>
      <c r="Q75" s="25" t="s">
        <v>2838</v>
      </c>
      <c r="R75" s="25"/>
    </row>
    <row r="76" spans="1:18" ht="27.75" customHeight="1" x14ac:dyDescent="0.4">
      <c r="A76" s="71">
        <v>44753</v>
      </c>
      <c r="B76" s="25" t="s">
        <v>351</v>
      </c>
      <c r="C76" s="25" t="s">
        <v>250</v>
      </c>
      <c r="D76" s="25" t="s">
        <v>2839</v>
      </c>
      <c r="E76" s="25" t="s">
        <v>222</v>
      </c>
      <c r="F76" s="25" t="s">
        <v>2837</v>
      </c>
      <c r="G76" s="25" t="s">
        <v>2837</v>
      </c>
      <c r="H76" s="25" t="s">
        <v>824</v>
      </c>
      <c r="I76" s="25"/>
      <c r="J76" s="25" t="s">
        <v>2838</v>
      </c>
      <c r="K76" s="71">
        <v>44754</v>
      </c>
      <c r="L76" s="25">
        <v>-1</v>
      </c>
      <c r="M76" s="71">
        <v>44757</v>
      </c>
      <c r="N76" s="25"/>
      <c r="O76" s="70" t="s">
        <v>352</v>
      </c>
      <c r="P76" s="25" t="s">
        <v>225</v>
      </c>
      <c r="Q76" s="25" t="s">
        <v>2838</v>
      </c>
      <c r="R76" s="25"/>
    </row>
    <row r="77" spans="1:18" ht="54.75" customHeight="1" x14ac:dyDescent="0.4">
      <c r="A77" s="71">
        <v>44753</v>
      </c>
      <c r="B77" s="25" t="s">
        <v>353</v>
      </c>
      <c r="C77" s="25" t="s">
        <v>250</v>
      </c>
      <c r="D77" s="25" t="s">
        <v>2839</v>
      </c>
      <c r="E77" s="25" t="s">
        <v>222</v>
      </c>
      <c r="F77" s="25" t="s">
        <v>2837</v>
      </c>
      <c r="G77" s="25" t="s">
        <v>2837</v>
      </c>
      <c r="H77" s="25" t="s">
        <v>824</v>
      </c>
      <c r="I77" s="25"/>
      <c r="J77" s="25" t="s">
        <v>2838</v>
      </c>
      <c r="K77" s="71">
        <v>44754</v>
      </c>
      <c r="L77" s="25">
        <v>-1</v>
      </c>
      <c r="M77" s="71">
        <v>44755</v>
      </c>
      <c r="N77" s="25"/>
      <c r="O77" s="70" t="s">
        <v>354</v>
      </c>
      <c r="P77" s="25" t="s">
        <v>225</v>
      </c>
      <c r="Q77" s="25" t="s">
        <v>2838</v>
      </c>
      <c r="R77" s="25"/>
    </row>
    <row r="78" spans="1:18" ht="81.75" customHeight="1" x14ac:dyDescent="0.4">
      <c r="A78" s="71">
        <v>44754</v>
      </c>
      <c r="B78" s="25" t="s">
        <v>355</v>
      </c>
      <c r="C78" s="25" t="s">
        <v>250</v>
      </c>
      <c r="D78" s="25" t="s">
        <v>2839</v>
      </c>
      <c r="E78" s="25" t="s">
        <v>222</v>
      </c>
      <c r="F78" s="25" t="s">
        <v>2837</v>
      </c>
      <c r="G78" s="25" t="s">
        <v>2837</v>
      </c>
      <c r="H78" s="25" t="s">
        <v>824</v>
      </c>
      <c r="I78" s="25"/>
      <c r="J78" s="25" t="s">
        <v>2838</v>
      </c>
      <c r="K78" s="71">
        <v>44754</v>
      </c>
      <c r="L78" s="25">
        <v>0</v>
      </c>
      <c r="M78" s="71">
        <v>44754</v>
      </c>
      <c r="N78" s="25"/>
      <c r="O78" s="70" t="s">
        <v>356</v>
      </c>
      <c r="P78" s="25" t="s">
        <v>225</v>
      </c>
      <c r="Q78" s="25" t="s">
        <v>2838</v>
      </c>
      <c r="R78" s="25"/>
    </row>
    <row r="79" spans="1:18" ht="41.25" customHeight="1" x14ac:dyDescent="0.4">
      <c r="A79" s="71">
        <v>44754</v>
      </c>
      <c r="B79" s="25" t="s">
        <v>357</v>
      </c>
      <c r="C79" s="25" t="s">
        <v>250</v>
      </c>
      <c r="D79" s="25" t="s">
        <v>2839</v>
      </c>
      <c r="E79" s="25" t="s">
        <v>222</v>
      </c>
      <c r="F79" s="25" t="s">
        <v>2837</v>
      </c>
      <c r="G79" s="25" t="s">
        <v>2837</v>
      </c>
      <c r="H79" s="25" t="s">
        <v>824</v>
      </c>
      <c r="I79" s="25"/>
      <c r="J79" s="25" t="s">
        <v>2838</v>
      </c>
      <c r="K79" s="71">
        <v>44754</v>
      </c>
      <c r="L79" s="25">
        <v>0</v>
      </c>
      <c r="M79" s="71">
        <v>44755</v>
      </c>
      <c r="N79" s="25"/>
      <c r="O79" s="70" t="s">
        <v>358</v>
      </c>
      <c r="P79" s="25" t="s">
        <v>225</v>
      </c>
      <c r="Q79" s="25" t="s">
        <v>2838</v>
      </c>
      <c r="R79" s="25"/>
    </row>
    <row r="80" spans="1:18" ht="41.25" customHeight="1" x14ac:dyDescent="0.4">
      <c r="A80" s="71">
        <v>44754</v>
      </c>
      <c r="B80" s="25" t="s">
        <v>359</v>
      </c>
      <c r="C80" s="25" t="s">
        <v>250</v>
      </c>
      <c r="D80" s="25" t="s">
        <v>2839</v>
      </c>
      <c r="E80" s="25" t="s">
        <v>222</v>
      </c>
      <c r="F80" s="25" t="s">
        <v>2837</v>
      </c>
      <c r="G80" s="25" t="s">
        <v>2837</v>
      </c>
      <c r="H80" s="25" t="s">
        <v>824</v>
      </c>
      <c r="I80" s="25"/>
      <c r="J80" s="25" t="s">
        <v>2838</v>
      </c>
      <c r="K80" s="71">
        <v>44754</v>
      </c>
      <c r="L80" s="25">
        <v>0</v>
      </c>
      <c r="M80" s="71">
        <v>44761</v>
      </c>
      <c r="N80" s="25"/>
      <c r="O80" s="70" t="s">
        <v>360</v>
      </c>
      <c r="P80" s="25" t="s">
        <v>225</v>
      </c>
      <c r="Q80" s="25" t="s">
        <v>2838</v>
      </c>
      <c r="R80" s="25"/>
    </row>
    <row r="81" spans="1:18" ht="15.75" customHeight="1" x14ac:dyDescent="0.4">
      <c r="A81" s="71">
        <v>44754</v>
      </c>
      <c r="B81" s="25" t="s">
        <v>361</v>
      </c>
      <c r="C81" s="25" t="s">
        <v>250</v>
      </c>
      <c r="D81" s="25" t="s">
        <v>2839</v>
      </c>
      <c r="E81" s="25" t="s">
        <v>222</v>
      </c>
      <c r="F81" s="25" t="s">
        <v>2837</v>
      </c>
      <c r="G81" s="25" t="s">
        <v>2837</v>
      </c>
      <c r="H81" s="25" t="s">
        <v>824</v>
      </c>
      <c r="I81" s="25"/>
      <c r="J81" s="25" t="s">
        <v>2838</v>
      </c>
      <c r="K81" s="71">
        <v>44754</v>
      </c>
      <c r="L81" s="25">
        <v>0</v>
      </c>
      <c r="M81" s="71">
        <v>44759</v>
      </c>
      <c r="N81" s="25"/>
      <c r="O81" s="70" t="s">
        <v>320</v>
      </c>
      <c r="P81" s="25" t="s">
        <v>225</v>
      </c>
      <c r="Q81" s="25" t="s">
        <v>2838</v>
      </c>
      <c r="R81" s="25"/>
    </row>
    <row r="82" spans="1:18" ht="68.25" customHeight="1" x14ac:dyDescent="0.4">
      <c r="A82" s="71">
        <v>44745</v>
      </c>
      <c r="B82" s="25" t="s">
        <v>362</v>
      </c>
      <c r="C82" s="25" t="s">
        <v>250</v>
      </c>
      <c r="D82" s="25" t="s">
        <v>2839</v>
      </c>
      <c r="E82" s="25" t="s">
        <v>222</v>
      </c>
      <c r="F82" s="25" t="s">
        <v>2837</v>
      </c>
      <c r="G82" s="25" t="s">
        <v>2837</v>
      </c>
      <c r="H82" s="25" t="s">
        <v>824</v>
      </c>
      <c r="I82" s="25"/>
      <c r="J82" s="25" t="s">
        <v>2838</v>
      </c>
      <c r="K82" s="71">
        <v>44754</v>
      </c>
      <c r="L82" s="25">
        <v>-9</v>
      </c>
      <c r="M82" s="71">
        <v>44755</v>
      </c>
      <c r="N82" s="25"/>
      <c r="O82" s="70" t="s">
        <v>363</v>
      </c>
      <c r="P82" s="25" t="s">
        <v>225</v>
      </c>
      <c r="Q82" s="25" t="s">
        <v>2838</v>
      </c>
      <c r="R82" s="25"/>
    </row>
    <row r="83" spans="1:18" ht="15.75" customHeight="1" x14ac:dyDescent="0.4">
      <c r="A83" s="71">
        <v>44754</v>
      </c>
      <c r="B83" s="25" t="s">
        <v>364</v>
      </c>
      <c r="C83" s="25" t="s">
        <v>250</v>
      </c>
      <c r="D83" s="25" t="s">
        <v>2839</v>
      </c>
      <c r="E83" s="25" t="s">
        <v>222</v>
      </c>
      <c r="F83" s="25" t="s">
        <v>2837</v>
      </c>
      <c r="G83" s="25" t="s">
        <v>2837</v>
      </c>
      <c r="H83" s="25" t="s">
        <v>824</v>
      </c>
      <c r="I83" s="25"/>
      <c r="J83" s="25" t="s">
        <v>2838</v>
      </c>
      <c r="K83" s="71">
        <v>44754</v>
      </c>
      <c r="L83" s="25">
        <v>0</v>
      </c>
      <c r="M83" s="71">
        <v>44756</v>
      </c>
      <c r="N83" s="25"/>
      <c r="O83" s="70" t="s">
        <v>320</v>
      </c>
      <c r="P83" s="25" t="s">
        <v>225</v>
      </c>
      <c r="Q83" s="25" t="s">
        <v>2838</v>
      </c>
      <c r="R83" s="25"/>
    </row>
    <row r="84" spans="1:18" ht="27.75" customHeight="1" x14ac:dyDescent="0.4">
      <c r="A84" s="71">
        <v>44754</v>
      </c>
      <c r="B84" s="25" t="s">
        <v>365</v>
      </c>
      <c r="C84" s="25" t="s">
        <v>250</v>
      </c>
      <c r="D84" s="25" t="s">
        <v>2839</v>
      </c>
      <c r="E84" s="25" t="s">
        <v>222</v>
      </c>
      <c r="F84" s="25" t="s">
        <v>2837</v>
      </c>
      <c r="G84" s="25" t="s">
        <v>2837</v>
      </c>
      <c r="H84" s="25" t="s">
        <v>824</v>
      </c>
      <c r="I84" s="25"/>
      <c r="J84" s="25" t="s">
        <v>2838</v>
      </c>
      <c r="K84" s="71">
        <v>44754</v>
      </c>
      <c r="L84" s="25">
        <v>0</v>
      </c>
      <c r="M84" s="71">
        <v>44766</v>
      </c>
      <c r="N84" s="25"/>
      <c r="O84" s="70" t="s">
        <v>366</v>
      </c>
      <c r="P84" s="25" t="s">
        <v>225</v>
      </c>
      <c r="Q84" s="25" t="s">
        <v>2838</v>
      </c>
      <c r="R84" s="25"/>
    </row>
    <row r="85" spans="1:18" ht="108.75" customHeight="1" x14ac:dyDescent="0.4">
      <c r="A85" s="71">
        <v>44754</v>
      </c>
      <c r="B85" s="25" t="s">
        <v>367</v>
      </c>
      <c r="C85" s="25" t="s">
        <v>250</v>
      </c>
      <c r="D85" s="25" t="s">
        <v>2839</v>
      </c>
      <c r="E85" s="25" t="s">
        <v>222</v>
      </c>
      <c r="F85" s="25" t="s">
        <v>2837</v>
      </c>
      <c r="G85" s="25" t="s">
        <v>2837</v>
      </c>
      <c r="H85" s="25" t="s">
        <v>824</v>
      </c>
      <c r="I85" s="25"/>
      <c r="J85" s="25" t="s">
        <v>2838</v>
      </c>
      <c r="K85" s="71">
        <v>44754</v>
      </c>
      <c r="L85" s="25">
        <v>0</v>
      </c>
      <c r="M85" s="71">
        <v>44755</v>
      </c>
      <c r="N85" s="25"/>
      <c r="O85" s="70" t="s">
        <v>368</v>
      </c>
      <c r="P85" s="25" t="s">
        <v>225</v>
      </c>
      <c r="Q85" s="25" t="s">
        <v>2838</v>
      </c>
      <c r="R85" s="25"/>
    </row>
    <row r="86" spans="1:18" ht="27.75" customHeight="1" x14ac:dyDescent="0.4">
      <c r="A86" s="71">
        <v>44755</v>
      </c>
      <c r="B86" s="25" t="s">
        <v>369</v>
      </c>
      <c r="C86" s="25" t="s">
        <v>250</v>
      </c>
      <c r="D86" s="25" t="s">
        <v>2839</v>
      </c>
      <c r="E86" s="25" t="s">
        <v>222</v>
      </c>
      <c r="F86" s="25" t="s">
        <v>2837</v>
      </c>
      <c r="G86" s="25" t="s">
        <v>2837</v>
      </c>
      <c r="H86" s="25" t="s">
        <v>824</v>
      </c>
      <c r="I86" s="25"/>
      <c r="J86" s="25" t="s">
        <v>2838</v>
      </c>
      <c r="K86" s="71">
        <v>44754</v>
      </c>
      <c r="L86" s="25">
        <v>1</v>
      </c>
      <c r="M86" s="71">
        <v>44760</v>
      </c>
      <c r="N86" s="25"/>
      <c r="O86" s="70" t="s">
        <v>370</v>
      </c>
      <c r="P86" s="25" t="s">
        <v>225</v>
      </c>
      <c r="Q86" s="25" t="s">
        <v>2838</v>
      </c>
      <c r="R86" s="25"/>
    </row>
    <row r="87" spans="1:18" ht="95.25" customHeight="1" x14ac:dyDescent="0.4">
      <c r="A87" s="71">
        <v>44755</v>
      </c>
      <c r="B87" s="25" t="s">
        <v>371</v>
      </c>
      <c r="C87" s="25" t="s">
        <v>250</v>
      </c>
      <c r="D87" s="25" t="s">
        <v>2839</v>
      </c>
      <c r="E87" s="25" t="s">
        <v>222</v>
      </c>
      <c r="F87" s="25" t="s">
        <v>2837</v>
      </c>
      <c r="G87" s="25" t="s">
        <v>2837</v>
      </c>
      <c r="H87" s="25" t="s">
        <v>824</v>
      </c>
      <c r="I87" s="25"/>
      <c r="J87" s="25" t="s">
        <v>2838</v>
      </c>
      <c r="K87" s="71">
        <v>44754</v>
      </c>
      <c r="L87" s="25">
        <v>1</v>
      </c>
      <c r="M87" s="71">
        <v>44761</v>
      </c>
      <c r="N87" s="25"/>
      <c r="O87" s="70" t="s">
        <v>372</v>
      </c>
      <c r="P87" s="25" t="s">
        <v>225</v>
      </c>
      <c r="Q87" s="25" t="s">
        <v>2838</v>
      </c>
      <c r="R87" s="25"/>
    </row>
    <row r="88" spans="1:18" ht="41.25" customHeight="1" x14ac:dyDescent="0.4">
      <c r="A88" s="71">
        <v>44756</v>
      </c>
      <c r="B88" s="25" t="s">
        <v>373</v>
      </c>
      <c r="C88" s="25" t="s">
        <v>250</v>
      </c>
      <c r="D88" s="25" t="s">
        <v>2839</v>
      </c>
      <c r="E88" s="25" t="s">
        <v>222</v>
      </c>
      <c r="F88" s="25" t="s">
        <v>2837</v>
      </c>
      <c r="G88" s="25" t="s">
        <v>2837</v>
      </c>
      <c r="H88" s="25" t="s">
        <v>824</v>
      </c>
      <c r="I88" s="25"/>
      <c r="J88" s="25" t="s">
        <v>2838</v>
      </c>
      <c r="K88" s="71">
        <v>44754</v>
      </c>
      <c r="L88" s="25">
        <v>2</v>
      </c>
      <c r="M88" s="71">
        <v>44757</v>
      </c>
      <c r="N88" s="25"/>
      <c r="O88" s="70" t="s">
        <v>374</v>
      </c>
      <c r="P88" s="25" t="s">
        <v>225</v>
      </c>
      <c r="Q88" s="25" t="s">
        <v>2838</v>
      </c>
      <c r="R88" s="25"/>
    </row>
    <row r="89" spans="1:18" ht="27.75" customHeight="1" x14ac:dyDescent="0.4">
      <c r="A89" s="71">
        <v>44756</v>
      </c>
      <c r="B89" s="25" t="s">
        <v>375</v>
      </c>
      <c r="C89" s="25" t="s">
        <v>250</v>
      </c>
      <c r="D89" s="25" t="s">
        <v>2839</v>
      </c>
      <c r="E89" s="25" t="s">
        <v>222</v>
      </c>
      <c r="F89" s="25" t="s">
        <v>2837</v>
      </c>
      <c r="G89" s="25" t="s">
        <v>2837</v>
      </c>
      <c r="H89" s="25" t="s">
        <v>824</v>
      </c>
      <c r="I89" s="25"/>
      <c r="J89" s="25" t="s">
        <v>2838</v>
      </c>
      <c r="K89" s="71">
        <v>44754</v>
      </c>
      <c r="L89" s="25">
        <v>2</v>
      </c>
      <c r="M89" s="71">
        <v>44756</v>
      </c>
      <c r="N89" s="25"/>
      <c r="O89" s="70" t="s">
        <v>376</v>
      </c>
      <c r="P89" s="25" t="s">
        <v>225</v>
      </c>
      <c r="Q89" s="25" t="s">
        <v>2838</v>
      </c>
      <c r="R89" s="25"/>
    </row>
    <row r="90" spans="1:18" ht="68.25" customHeight="1" x14ac:dyDescent="0.4">
      <c r="A90" s="71">
        <v>44756</v>
      </c>
      <c r="B90" s="25" t="s">
        <v>377</v>
      </c>
      <c r="C90" s="25" t="s">
        <v>250</v>
      </c>
      <c r="D90" s="25" t="s">
        <v>2839</v>
      </c>
      <c r="E90" s="25" t="s">
        <v>222</v>
      </c>
      <c r="F90" s="25" t="s">
        <v>2837</v>
      </c>
      <c r="G90" s="25" t="s">
        <v>2837</v>
      </c>
      <c r="H90" s="25" t="s">
        <v>824</v>
      </c>
      <c r="I90" s="25"/>
      <c r="J90" s="25" t="s">
        <v>2838</v>
      </c>
      <c r="K90" s="71">
        <v>44754</v>
      </c>
      <c r="L90" s="25">
        <v>2</v>
      </c>
      <c r="M90" s="71">
        <v>44762</v>
      </c>
      <c r="N90" s="25"/>
      <c r="O90" s="70" t="s">
        <v>378</v>
      </c>
      <c r="P90" s="25" t="s">
        <v>225</v>
      </c>
      <c r="Q90" s="25" t="s">
        <v>2838</v>
      </c>
      <c r="R90" s="25"/>
    </row>
    <row r="91" spans="1:18" ht="81.75" customHeight="1" x14ac:dyDescent="0.4">
      <c r="A91" s="71">
        <v>44756</v>
      </c>
      <c r="B91" s="25" t="s">
        <v>379</v>
      </c>
      <c r="C91" s="25" t="s">
        <v>250</v>
      </c>
      <c r="D91" s="25" t="s">
        <v>2839</v>
      </c>
      <c r="E91" s="25" t="s">
        <v>222</v>
      </c>
      <c r="F91" s="25" t="s">
        <v>2837</v>
      </c>
      <c r="G91" s="25" t="s">
        <v>2837</v>
      </c>
      <c r="H91" s="25" t="s">
        <v>824</v>
      </c>
      <c r="I91" s="25"/>
      <c r="J91" s="25" t="s">
        <v>2838</v>
      </c>
      <c r="K91" s="71">
        <v>44754</v>
      </c>
      <c r="L91" s="25">
        <v>2</v>
      </c>
      <c r="M91" s="71">
        <v>44763</v>
      </c>
      <c r="N91" s="25"/>
      <c r="O91" s="70" t="s">
        <v>380</v>
      </c>
      <c r="P91" s="25" t="s">
        <v>225</v>
      </c>
      <c r="Q91" s="25" t="s">
        <v>2838</v>
      </c>
      <c r="R91" s="25"/>
    </row>
    <row r="92" spans="1:18" ht="15.75" customHeight="1" x14ac:dyDescent="0.4">
      <c r="A92" s="71">
        <v>44756</v>
      </c>
      <c r="B92" s="25" t="s">
        <v>381</v>
      </c>
      <c r="C92" s="25" t="s">
        <v>250</v>
      </c>
      <c r="D92" s="25" t="s">
        <v>2839</v>
      </c>
      <c r="E92" s="25" t="s">
        <v>222</v>
      </c>
      <c r="F92" s="25" t="s">
        <v>2837</v>
      </c>
      <c r="G92" s="25" t="s">
        <v>2837</v>
      </c>
      <c r="H92" s="25" t="s">
        <v>824</v>
      </c>
      <c r="I92" s="25"/>
      <c r="J92" s="25" t="s">
        <v>2838</v>
      </c>
      <c r="K92" s="71">
        <v>44754</v>
      </c>
      <c r="L92" s="25">
        <v>2</v>
      </c>
      <c r="M92" s="71">
        <v>44756</v>
      </c>
      <c r="N92" s="25"/>
      <c r="O92" s="70" t="s">
        <v>382</v>
      </c>
      <c r="P92" s="25" t="s">
        <v>225</v>
      </c>
      <c r="Q92" s="25" t="s">
        <v>2838</v>
      </c>
      <c r="R92" s="25"/>
    </row>
    <row r="93" spans="1:18" ht="15.75" customHeight="1" x14ac:dyDescent="0.4">
      <c r="A93" s="71">
        <v>44756</v>
      </c>
      <c r="B93" s="25" t="s">
        <v>383</v>
      </c>
      <c r="C93" s="25" t="s">
        <v>250</v>
      </c>
      <c r="D93" s="25" t="s">
        <v>2839</v>
      </c>
      <c r="E93" s="25" t="s">
        <v>222</v>
      </c>
      <c r="F93" s="25" t="s">
        <v>2837</v>
      </c>
      <c r="G93" s="25" t="s">
        <v>2837</v>
      </c>
      <c r="H93" s="25" t="s">
        <v>824</v>
      </c>
      <c r="I93" s="25"/>
      <c r="J93" s="25" t="s">
        <v>2838</v>
      </c>
      <c r="K93" s="71">
        <v>44754</v>
      </c>
      <c r="L93" s="25">
        <v>2</v>
      </c>
      <c r="M93" s="71">
        <v>44756</v>
      </c>
      <c r="N93" s="25"/>
      <c r="O93" s="70" t="s">
        <v>384</v>
      </c>
      <c r="P93" s="25" t="s">
        <v>225</v>
      </c>
      <c r="Q93" s="25" t="s">
        <v>2838</v>
      </c>
      <c r="R93" s="25"/>
    </row>
    <row r="94" spans="1:18" ht="41.25" customHeight="1" x14ac:dyDescent="0.4">
      <c r="A94" s="71">
        <v>44756</v>
      </c>
      <c r="B94" s="25" t="s">
        <v>385</v>
      </c>
      <c r="C94" s="25" t="s">
        <v>250</v>
      </c>
      <c r="D94" s="25" t="s">
        <v>2839</v>
      </c>
      <c r="E94" s="25" t="s">
        <v>222</v>
      </c>
      <c r="F94" s="25" t="s">
        <v>2837</v>
      </c>
      <c r="G94" s="25" t="s">
        <v>2837</v>
      </c>
      <c r="H94" s="25" t="s">
        <v>824</v>
      </c>
      <c r="I94" s="25"/>
      <c r="J94" s="25" t="s">
        <v>2838</v>
      </c>
      <c r="K94" s="71">
        <v>44754</v>
      </c>
      <c r="L94" s="25">
        <v>2</v>
      </c>
      <c r="M94" s="71">
        <v>44768</v>
      </c>
      <c r="N94" s="25"/>
      <c r="O94" s="70" t="s">
        <v>386</v>
      </c>
      <c r="P94" s="25" t="s">
        <v>225</v>
      </c>
      <c r="Q94" s="25" t="s">
        <v>2838</v>
      </c>
      <c r="R94" s="25"/>
    </row>
    <row r="95" spans="1:18" ht="41.25" customHeight="1" x14ac:dyDescent="0.4">
      <c r="A95" s="71">
        <v>44756</v>
      </c>
      <c r="B95" s="25" t="s">
        <v>387</v>
      </c>
      <c r="C95" s="25" t="s">
        <v>250</v>
      </c>
      <c r="D95" s="25" t="s">
        <v>2839</v>
      </c>
      <c r="E95" s="25" t="s">
        <v>222</v>
      </c>
      <c r="F95" s="25" t="s">
        <v>2837</v>
      </c>
      <c r="G95" s="25" t="s">
        <v>2837</v>
      </c>
      <c r="H95" s="25" t="s">
        <v>824</v>
      </c>
      <c r="I95" s="25"/>
      <c r="J95" s="25" t="s">
        <v>2838</v>
      </c>
      <c r="K95" s="71">
        <v>44754</v>
      </c>
      <c r="L95" s="25">
        <v>2</v>
      </c>
      <c r="M95" s="71">
        <v>44761</v>
      </c>
      <c r="N95" s="25"/>
      <c r="O95" s="70" t="s">
        <v>388</v>
      </c>
      <c r="P95" s="25" t="s">
        <v>225</v>
      </c>
      <c r="Q95" s="25" t="s">
        <v>2838</v>
      </c>
      <c r="R95" s="25"/>
    </row>
    <row r="96" spans="1:18" ht="95.25" customHeight="1" x14ac:dyDescent="0.4">
      <c r="A96" s="71">
        <v>44756</v>
      </c>
      <c r="B96" s="25" t="s">
        <v>389</v>
      </c>
      <c r="C96" s="25" t="s">
        <v>250</v>
      </c>
      <c r="D96" s="25" t="s">
        <v>2839</v>
      </c>
      <c r="E96" s="25" t="s">
        <v>222</v>
      </c>
      <c r="F96" s="25" t="s">
        <v>2837</v>
      </c>
      <c r="G96" s="25" t="s">
        <v>2837</v>
      </c>
      <c r="H96" s="25" t="s">
        <v>824</v>
      </c>
      <c r="I96" s="25"/>
      <c r="J96" s="25" t="s">
        <v>2838</v>
      </c>
      <c r="K96" s="71">
        <v>44754</v>
      </c>
      <c r="L96" s="25">
        <v>2</v>
      </c>
      <c r="M96" s="71">
        <v>44762</v>
      </c>
      <c r="N96" s="25"/>
      <c r="O96" s="70" t="s">
        <v>390</v>
      </c>
      <c r="P96" s="25" t="s">
        <v>225</v>
      </c>
      <c r="Q96" s="25" t="s">
        <v>2838</v>
      </c>
      <c r="R96" s="25"/>
    </row>
    <row r="97" spans="1:18" ht="41.25" customHeight="1" x14ac:dyDescent="0.4">
      <c r="A97" s="71">
        <v>44756</v>
      </c>
      <c r="B97" s="25" t="s">
        <v>391</v>
      </c>
      <c r="C97" s="25" t="s">
        <v>250</v>
      </c>
      <c r="D97" s="25" t="s">
        <v>2839</v>
      </c>
      <c r="E97" s="25" t="s">
        <v>222</v>
      </c>
      <c r="F97" s="25" t="s">
        <v>2837</v>
      </c>
      <c r="G97" s="25" t="s">
        <v>2837</v>
      </c>
      <c r="H97" s="25" t="s">
        <v>824</v>
      </c>
      <c r="I97" s="25"/>
      <c r="J97" s="25" t="s">
        <v>2838</v>
      </c>
      <c r="K97" s="71">
        <v>44754</v>
      </c>
      <c r="L97" s="25">
        <v>2</v>
      </c>
      <c r="M97" s="71">
        <v>44756</v>
      </c>
      <c r="N97" s="25"/>
      <c r="O97" s="70" t="s">
        <v>392</v>
      </c>
      <c r="P97" s="25" t="s">
        <v>225</v>
      </c>
      <c r="Q97" s="25" t="s">
        <v>2838</v>
      </c>
      <c r="R97" s="25"/>
    </row>
    <row r="98" spans="1:18" ht="54.75" customHeight="1" x14ac:dyDescent="0.4">
      <c r="A98" s="71">
        <v>44756</v>
      </c>
      <c r="B98" s="25" t="s">
        <v>393</v>
      </c>
      <c r="C98" s="25" t="s">
        <v>250</v>
      </c>
      <c r="D98" s="25" t="s">
        <v>2839</v>
      </c>
      <c r="E98" s="25" t="s">
        <v>222</v>
      </c>
      <c r="F98" s="25" t="s">
        <v>2837</v>
      </c>
      <c r="G98" s="25" t="s">
        <v>2837</v>
      </c>
      <c r="H98" s="25" t="s">
        <v>824</v>
      </c>
      <c r="I98" s="25"/>
      <c r="J98" s="25" t="s">
        <v>2838</v>
      </c>
      <c r="K98" s="71">
        <v>44754</v>
      </c>
      <c r="L98" s="25">
        <v>2</v>
      </c>
      <c r="M98" s="71">
        <v>44756</v>
      </c>
      <c r="N98" s="25"/>
      <c r="O98" s="70" t="s">
        <v>394</v>
      </c>
      <c r="P98" s="25" t="s">
        <v>225</v>
      </c>
      <c r="Q98" s="25" t="s">
        <v>2838</v>
      </c>
      <c r="R98" s="25"/>
    </row>
    <row r="99" spans="1:18" ht="175.5" customHeight="1" x14ac:dyDescent="0.4">
      <c r="A99" s="71">
        <v>44756</v>
      </c>
      <c r="B99" s="25" t="s">
        <v>395</v>
      </c>
      <c r="C99" s="25" t="s">
        <v>250</v>
      </c>
      <c r="D99" s="25" t="s">
        <v>2839</v>
      </c>
      <c r="E99" s="25" t="s">
        <v>222</v>
      </c>
      <c r="F99" s="25" t="s">
        <v>2837</v>
      </c>
      <c r="G99" s="25" t="s">
        <v>2837</v>
      </c>
      <c r="H99" s="25" t="s">
        <v>824</v>
      </c>
      <c r="I99" s="25"/>
      <c r="J99" s="25" t="s">
        <v>2838</v>
      </c>
      <c r="K99" s="71">
        <v>44754</v>
      </c>
      <c r="L99" s="25">
        <v>2</v>
      </c>
      <c r="M99" s="71">
        <v>44762</v>
      </c>
      <c r="N99" s="25"/>
      <c r="O99" s="70" t="s">
        <v>396</v>
      </c>
      <c r="P99" s="25" t="s">
        <v>225</v>
      </c>
      <c r="Q99" s="25" t="s">
        <v>2838</v>
      </c>
      <c r="R99" s="25"/>
    </row>
    <row r="100" spans="1:18" ht="68.25" customHeight="1" x14ac:dyDescent="0.4">
      <c r="A100" s="71">
        <v>44756</v>
      </c>
      <c r="B100" s="25" t="s">
        <v>397</v>
      </c>
      <c r="C100" s="25" t="s">
        <v>250</v>
      </c>
      <c r="D100" s="25" t="s">
        <v>2839</v>
      </c>
      <c r="E100" s="25" t="s">
        <v>222</v>
      </c>
      <c r="F100" s="25" t="s">
        <v>2837</v>
      </c>
      <c r="G100" s="25" t="s">
        <v>2837</v>
      </c>
      <c r="H100" s="25" t="s">
        <v>824</v>
      </c>
      <c r="I100" s="25"/>
      <c r="J100" s="25" t="s">
        <v>2838</v>
      </c>
      <c r="K100" s="71">
        <v>44754</v>
      </c>
      <c r="L100" s="25">
        <v>2</v>
      </c>
      <c r="M100" s="71">
        <v>44757</v>
      </c>
      <c r="N100" s="25"/>
      <c r="O100" s="70" t="s">
        <v>398</v>
      </c>
      <c r="P100" s="25" t="s">
        <v>225</v>
      </c>
      <c r="Q100" s="25" t="s">
        <v>2838</v>
      </c>
      <c r="R100" s="25"/>
    </row>
    <row r="101" spans="1:18" ht="27.75" customHeight="1" x14ac:dyDescent="0.4">
      <c r="A101" s="71">
        <v>44756</v>
      </c>
      <c r="B101" s="25" t="s">
        <v>399</v>
      </c>
      <c r="C101" s="25" t="s">
        <v>250</v>
      </c>
      <c r="D101" s="25" t="s">
        <v>2839</v>
      </c>
      <c r="E101" s="25" t="s">
        <v>222</v>
      </c>
      <c r="F101" s="25" t="s">
        <v>2837</v>
      </c>
      <c r="G101" s="25" t="s">
        <v>2837</v>
      </c>
      <c r="H101" s="25" t="s">
        <v>824</v>
      </c>
      <c r="I101" s="25"/>
      <c r="J101" s="25" t="s">
        <v>2838</v>
      </c>
      <c r="K101" s="71">
        <v>44754</v>
      </c>
      <c r="L101" s="25">
        <v>2</v>
      </c>
      <c r="M101" s="71">
        <v>44764</v>
      </c>
      <c r="N101" s="25"/>
      <c r="O101" s="70" t="s">
        <v>400</v>
      </c>
      <c r="P101" s="25" t="s">
        <v>225</v>
      </c>
      <c r="Q101" s="25" t="s">
        <v>2838</v>
      </c>
      <c r="R101" s="25"/>
    </row>
    <row r="102" spans="1:18" ht="15.75" customHeight="1" x14ac:dyDescent="0.4">
      <c r="A102" s="71">
        <v>44756</v>
      </c>
      <c r="B102" s="25" t="s">
        <v>401</v>
      </c>
      <c r="C102" s="25" t="s">
        <v>250</v>
      </c>
      <c r="D102" s="25" t="s">
        <v>2839</v>
      </c>
      <c r="E102" s="25" t="s">
        <v>222</v>
      </c>
      <c r="F102" s="25" t="s">
        <v>2837</v>
      </c>
      <c r="G102" s="25" t="s">
        <v>2837</v>
      </c>
      <c r="H102" s="25" t="s">
        <v>824</v>
      </c>
      <c r="I102" s="25"/>
      <c r="J102" s="25" t="s">
        <v>2838</v>
      </c>
      <c r="K102" s="71">
        <v>44754</v>
      </c>
      <c r="L102" s="25">
        <v>2</v>
      </c>
      <c r="M102" s="71">
        <v>44760</v>
      </c>
      <c r="N102" s="25"/>
      <c r="O102" s="70" t="s">
        <v>402</v>
      </c>
      <c r="P102" s="25" t="s">
        <v>225</v>
      </c>
      <c r="Q102" s="25" t="s">
        <v>2838</v>
      </c>
      <c r="R102" s="25"/>
    </row>
    <row r="103" spans="1:18" ht="68.25" customHeight="1" x14ac:dyDescent="0.4">
      <c r="A103" s="71">
        <v>44756</v>
      </c>
      <c r="B103" s="25" t="s">
        <v>403</v>
      </c>
      <c r="C103" s="25" t="s">
        <v>250</v>
      </c>
      <c r="D103" s="25" t="s">
        <v>2839</v>
      </c>
      <c r="E103" s="25" t="s">
        <v>222</v>
      </c>
      <c r="F103" s="25" t="s">
        <v>2837</v>
      </c>
      <c r="G103" s="25" t="s">
        <v>2837</v>
      </c>
      <c r="H103" s="25" t="s">
        <v>824</v>
      </c>
      <c r="I103" s="25"/>
      <c r="J103" s="25" t="s">
        <v>2838</v>
      </c>
      <c r="K103" s="71">
        <v>44754</v>
      </c>
      <c r="L103" s="25">
        <v>2</v>
      </c>
      <c r="M103" s="71">
        <v>44759</v>
      </c>
      <c r="N103" s="25"/>
      <c r="O103" s="70" t="s">
        <v>404</v>
      </c>
      <c r="P103" s="25" t="s">
        <v>225</v>
      </c>
      <c r="Q103" s="25" t="s">
        <v>2838</v>
      </c>
      <c r="R103" s="25"/>
    </row>
    <row r="104" spans="1:18" ht="41.25" customHeight="1" x14ac:dyDescent="0.4">
      <c r="A104" s="71">
        <v>44756</v>
      </c>
      <c r="B104" s="25" t="s">
        <v>405</v>
      </c>
      <c r="C104" s="25" t="s">
        <v>250</v>
      </c>
      <c r="D104" s="25" t="s">
        <v>2839</v>
      </c>
      <c r="E104" s="25" t="s">
        <v>222</v>
      </c>
      <c r="F104" s="25" t="s">
        <v>2837</v>
      </c>
      <c r="G104" s="25" t="s">
        <v>2837</v>
      </c>
      <c r="H104" s="25" t="s">
        <v>824</v>
      </c>
      <c r="I104" s="25"/>
      <c r="J104" s="25" t="s">
        <v>2838</v>
      </c>
      <c r="K104" s="71">
        <v>44754</v>
      </c>
      <c r="L104" s="25">
        <v>2</v>
      </c>
      <c r="M104" s="71">
        <v>44760</v>
      </c>
      <c r="N104" s="25"/>
      <c r="O104" s="70" t="s">
        <v>406</v>
      </c>
      <c r="P104" s="25" t="s">
        <v>225</v>
      </c>
      <c r="Q104" s="25" t="s">
        <v>2838</v>
      </c>
      <c r="R104" s="25"/>
    </row>
    <row r="105" spans="1:18" ht="27.75" customHeight="1" x14ac:dyDescent="0.4">
      <c r="A105" s="71">
        <v>44755</v>
      </c>
      <c r="B105" s="25" t="s">
        <v>407</v>
      </c>
      <c r="C105" s="25" t="s">
        <v>250</v>
      </c>
      <c r="D105" s="25" t="s">
        <v>2839</v>
      </c>
      <c r="E105" s="25" t="s">
        <v>222</v>
      </c>
      <c r="F105" s="25" t="s">
        <v>2837</v>
      </c>
      <c r="G105" s="25" t="s">
        <v>2837</v>
      </c>
      <c r="H105" s="25" t="s">
        <v>824</v>
      </c>
      <c r="I105" s="25"/>
      <c r="J105" s="25" t="s">
        <v>2838</v>
      </c>
      <c r="K105" s="71">
        <v>44754</v>
      </c>
      <c r="L105" s="25">
        <v>1</v>
      </c>
      <c r="M105" s="71">
        <v>44768</v>
      </c>
      <c r="N105" s="25"/>
      <c r="O105" s="70" t="s">
        <v>408</v>
      </c>
      <c r="P105" s="25" t="s">
        <v>225</v>
      </c>
      <c r="Q105" s="25" t="s">
        <v>2838</v>
      </c>
      <c r="R105" s="25"/>
    </row>
    <row r="106" spans="1:18" ht="41.25" customHeight="1" x14ac:dyDescent="0.4">
      <c r="A106" s="71">
        <v>44756</v>
      </c>
      <c r="B106" s="25" t="s">
        <v>409</v>
      </c>
      <c r="C106" s="25" t="s">
        <v>250</v>
      </c>
      <c r="D106" s="25" t="s">
        <v>2839</v>
      </c>
      <c r="E106" s="25" t="s">
        <v>222</v>
      </c>
      <c r="F106" s="25" t="s">
        <v>2837</v>
      </c>
      <c r="G106" s="25" t="s">
        <v>2837</v>
      </c>
      <c r="H106" s="25" t="s">
        <v>824</v>
      </c>
      <c r="I106" s="25"/>
      <c r="J106" s="25" t="s">
        <v>2838</v>
      </c>
      <c r="K106" s="71">
        <v>44754</v>
      </c>
      <c r="L106" s="25">
        <v>2</v>
      </c>
      <c r="M106" s="71">
        <v>44762</v>
      </c>
      <c r="N106" s="25"/>
      <c r="O106" s="70" t="s">
        <v>410</v>
      </c>
      <c r="P106" s="25" t="s">
        <v>225</v>
      </c>
      <c r="Q106" s="25" t="s">
        <v>2838</v>
      </c>
      <c r="R106" s="25"/>
    </row>
    <row r="107" spans="1:18" ht="27.75" customHeight="1" x14ac:dyDescent="0.4">
      <c r="A107" s="71">
        <v>44756</v>
      </c>
      <c r="B107" s="25" t="s">
        <v>411</v>
      </c>
      <c r="C107" s="25" t="s">
        <v>250</v>
      </c>
      <c r="D107" s="25" t="s">
        <v>2839</v>
      </c>
      <c r="E107" s="25" t="s">
        <v>222</v>
      </c>
      <c r="F107" s="25" t="s">
        <v>2837</v>
      </c>
      <c r="G107" s="25" t="s">
        <v>2837</v>
      </c>
      <c r="H107" s="25" t="s">
        <v>824</v>
      </c>
      <c r="I107" s="25"/>
      <c r="J107" s="25" t="s">
        <v>2838</v>
      </c>
      <c r="K107" s="71">
        <v>44754</v>
      </c>
      <c r="L107" s="25">
        <v>2</v>
      </c>
      <c r="M107" s="71">
        <v>44766</v>
      </c>
      <c r="N107" s="25"/>
      <c r="O107" s="70" t="s">
        <v>412</v>
      </c>
      <c r="P107" s="25" t="s">
        <v>225</v>
      </c>
      <c r="Q107" s="25" t="s">
        <v>2838</v>
      </c>
      <c r="R107" s="25"/>
    </row>
    <row r="108" spans="1:18" ht="175.5" customHeight="1" x14ac:dyDescent="0.4">
      <c r="A108" s="71">
        <v>44756</v>
      </c>
      <c r="B108" s="25" t="s">
        <v>413</v>
      </c>
      <c r="C108" s="25" t="s">
        <v>250</v>
      </c>
      <c r="D108" s="25" t="s">
        <v>2839</v>
      </c>
      <c r="E108" s="25" t="s">
        <v>222</v>
      </c>
      <c r="F108" s="25" t="s">
        <v>2837</v>
      </c>
      <c r="G108" s="25" t="s">
        <v>2837</v>
      </c>
      <c r="H108" s="25" t="s">
        <v>824</v>
      </c>
      <c r="I108" s="25"/>
      <c r="J108" s="25" t="s">
        <v>2838</v>
      </c>
      <c r="K108" s="71">
        <v>44754</v>
      </c>
      <c r="L108" s="25">
        <v>2</v>
      </c>
      <c r="M108" s="71">
        <v>44763</v>
      </c>
      <c r="N108" s="25"/>
      <c r="O108" s="70" t="s">
        <v>414</v>
      </c>
      <c r="P108" s="25" t="s">
        <v>225</v>
      </c>
      <c r="Q108" s="25" t="s">
        <v>2838</v>
      </c>
      <c r="R108" s="25"/>
    </row>
    <row r="109" spans="1:18" ht="95.25" customHeight="1" x14ac:dyDescent="0.4">
      <c r="A109" s="71">
        <v>44756</v>
      </c>
      <c r="B109" s="25" t="s">
        <v>415</v>
      </c>
      <c r="C109" s="25" t="s">
        <v>250</v>
      </c>
      <c r="D109" s="25" t="s">
        <v>2839</v>
      </c>
      <c r="E109" s="25" t="s">
        <v>222</v>
      </c>
      <c r="F109" s="25" t="s">
        <v>2837</v>
      </c>
      <c r="G109" s="25" t="s">
        <v>2837</v>
      </c>
      <c r="H109" s="25" t="s">
        <v>824</v>
      </c>
      <c r="I109" s="25"/>
      <c r="J109" s="25" t="s">
        <v>2838</v>
      </c>
      <c r="K109" s="71">
        <v>44754</v>
      </c>
      <c r="L109" s="25">
        <v>2</v>
      </c>
      <c r="M109" s="71">
        <v>44762</v>
      </c>
      <c r="N109" s="25"/>
      <c r="O109" s="70" t="s">
        <v>416</v>
      </c>
      <c r="P109" s="25" t="s">
        <v>225</v>
      </c>
      <c r="Q109" s="25" t="s">
        <v>2838</v>
      </c>
      <c r="R109" s="25"/>
    </row>
    <row r="110" spans="1:18" ht="122.25" customHeight="1" x14ac:dyDescent="0.4">
      <c r="A110" s="71">
        <v>44757</v>
      </c>
      <c r="B110" s="25" t="s">
        <v>417</v>
      </c>
      <c r="C110" s="25" t="s">
        <v>250</v>
      </c>
      <c r="D110" s="25" t="s">
        <v>2839</v>
      </c>
      <c r="E110" s="25" t="s">
        <v>222</v>
      </c>
      <c r="F110" s="25" t="s">
        <v>2837</v>
      </c>
      <c r="G110" s="25" t="s">
        <v>2837</v>
      </c>
      <c r="H110" s="25" t="s">
        <v>824</v>
      </c>
      <c r="I110" s="25"/>
      <c r="J110" s="25" t="s">
        <v>2838</v>
      </c>
      <c r="K110" s="71">
        <v>44754</v>
      </c>
      <c r="L110" s="25">
        <v>3</v>
      </c>
      <c r="M110" s="71">
        <v>44764</v>
      </c>
      <c r="N110" s="25"/>
      <c r="O110" s="70" t="s">
        <v>418</v>
      </c>
      <c r="P110" s="25" t="s">
        <v>225</v>
      </c>
      <c r="Q110" s="25" t="s">
        <v>2838</v>
      </c>
      <c r="R110" s="25"/>
    </row>
    <row r="111" spans="1:18" ht="15.75" customHeight="1" x14ac:dyDescent="0.4">
      <c r="A111" s="71">
        <v>44757</v>
      </c>
      <c r="B111" s="25" t="s">
        <v>419</v>
      </c>
      <c r="C111" s="25" t="s">
        <v>250</v>
      </c>
      <c r="D111" s="25" t="s">
        <v>2839</v>
      </c>
      <c r="E111" s="25" t="s">
        <v>222</v>
      </c>
      <c r="F111" s="25" t="s">
        <v>2837</v>
      </c>
      <c r="G111" s="25" t="s">
        <v>2837</v>
      </c>
      <c r="H111" s="25" t="s">
        <v>824</v>
      </c>
      <c r="I111" s="25"/>
      <c r="J111" s="25" t="s">
        <v>2838</v>
      </c>
      <c r="K111" s="71">
        <v>44754</v>
      </c>
      <c r="L111" s="25">
        <v>3</v>
      </c>
      <c r="M111" s="71">
        <v>44759</v>
      </c>
      <c r="N111" s="25"/>
      <c r="O111" s="70" t="s">
        <v>320</v>
      </c>
      <c r="P111" s="25" t="s">
        <v>225</v>
      </c>
      <c r="Q111" s="25" t="s">
        <v>2838</v>
      </c>
      <c r="R111" s="25"/>
    </row>
    <row r="112" spans="1:18" ht="41.25" customHeight="1" x14ac:dyDescent="0.4">
      <c r="A112" s="71">
        <v>44757</v>
      </c>
      <c r="B112" s="25" t="s">
        <v>420</v>
      </c>
      <c r="C112" s="25" t="s">
        <v>250</v>
      </c>
      <c r="D112" s="25" t="s">
        <v>2839</v>
      </c>
      <c r="E112" s="25" t="s">
        <v>222</v>
      </c>
      <c r="F112" s="25" t="s">
        <v>2837</v>
      </c>
      <c r="G112" s="25" t="s">
        <v>2837</v>
      </c>
      <c r="H112" s="25" t="s">
        <v>824</v>
      </c>
      <c r="I112" s="25"/>
      <c r="J112" s="25" t="s">
        <v>2838</v>
      </c>
      <c r="K112" s="71">
        <v>44754</v>
      </c>
      <c r="L112" s="25">
        <v>3</v>
      </c>
      <c r="M112" s="71">
        <v>44758</v>
      </c>
      <c r="N112" s="25"/>
      <c r="O112" s="70" t="s">
        <v>421</v>
      </c>
      <c r="P112" s="25" t="s">
        <v>225</v>
      </c>
      <c r="Q112" s="25" t="s">
        <v>2838</v>
      </c>
      <c r="R112" s="25"/>
    </row>
    <row r="113" spans="1:18" ht="41.25" customHeight="1" x14ac:dyDescent="0.4">
      <c r="A113" s="71">
        <v>44757</v>
      </c>
      <c r="B113" s="25" t="s">
        <v>422</v>
      </c>
      <c r="C113" s="25" t="s">
        <v>250</v>
      </c>
      <c r="D113" s="25" t="s">
        <v>2839</v>
      </c>
      <c r="E113" s="25" t="s">
        <v>222</v>
      </c>
      <c r="F113" s="25" t="s">
        <v>2837</v>
      </c>
      <c r="G113" s="25" t="s">
        <v>2837</v>
      </c>
      <c r="H113" s="25" t="s">
        <v>824</v>
      </c>
      <c r="I113" s="25"/>
      <c r="J113" s="25" t="s">
        <v>2838</v>
      </c>
      <c r="K113" s="71">
        <v>44754</v>
      </c>
      <c r="L113" s="25">
        <v>3</v>
      </c>
      <c r="M113" s="71">
        <v>44758</v>
      </c>
      <c r="N113" s="25"/>
      <c r="O113" s="70" t="s">
        <v>423</v>
      </c>
      <c r="P113" s="25" t="s">
        <v>225</v>
      </c>
      <c r="Q113" s="25" t="s">
        <v>2838</v>
      </c>
      <c r="R113" s="25"/>
    </row>
    <row r="114" spans="1:18" ht="41.25" customHeight="1" x14ac:dyDescent="0.4">
      <c r="A114" s="71">
        <v>44757</v>
      </c>
      <c r="B114" s="25" t="s">
        <v>424</v>
      </c>
      <c r="C114" s="25" t="s">
        <v>250</v>
      </c>
      <c r="D114" s="25" t="s">
        <v>2839</v>
      </c>
      <c r="E114" s="25" t="s">
        <v>222</v>
      </c>
      <c r="F114" s="25" t="s">
        <v>2837</v>
      </c>
      <c r="G114" s="25" t="s">
        <v>2837</v>
      </c>
      <c r="H114" s="25" t="s">
        <v>824</v>
      </c>
      <c r="I114" s="25"/>
      <c r="J114" s="25" t="s">
        <v>2838</v>
      </c>
      <c r="K114" s="71">
        <v>44754</v>
      </c>
      <c r="L114" s="25">
        <v>3</v>
      </c>
      <c r="M114" s="71">
        <v>44767</v>
      </c>
      <c r="N114" s="25"/>
      <c r="O114" s="70" t="s">
        <v>425</v>
      </c>
      <c r="P114" s="25" t="s">
        <v>225</v>
      </c>
      <c r="Q114" s="25" t="s">
        <v>2838</v>
      </c>
      <c r="R114" s="25"/>
    </row>
    <row r="115" spans="1:18" ht="122.25" customHeight="1" x14ac:dyDescent="0.4">
      <c r="A115" s="71">
        <v>44757</v>
      </c>
      <c r="B115" s="25" t="s">
        <v>426</v>
      </c>
      <c r="C115" s="25" t="s">
        <v>250</v>
      </c>
      <c r="D115" s="25" t="s">
        <v>2839</v>
      </c>
      <c r="E115" s="25" t="s">
        <v>222</v>
      </c>
      <c r="F115" s="25" t="s">
        <v>2837</v>
      </c>
      <c r="G115" s="25" t="s">
        <v>2837</v>
      </c>
      <c r="H115" s="25" t="s">
        <v>824</v>
      </c>
      <c r="I115" s="25"/>
      <c r="J115" s="25" t="s">
        <v>2838</v>
      </c>
      <c r="K115" s="71">
        <v>44754</v>
      </c>
      <c r="L115" s="25">
        <v>3</v>
      </c>
      <c r="M115" s="71">
        <v>44767</v>
      </c>
      <c r="N115" s="25"/>
      <c r="O115" s="70" t="s">
        <v>427</v>
      </c>
      <c r="P115" s="25" t="s">
        <v>225</v>
      </c>
      <c r="Q115" s="25" t="s">
        <v>2838</v>
      </c>
      <c r="R115" s="25"/>
    </row>
    <row r="116" spans="1:18" ht="27.75" customHeight="1" x14ac:dyDescent="0.4">
      <c r="A116" s="71">
        <v>44757</v>
      </c>
      <c r="B116" s="25" t="s">
        <v>428</v>
      </c>
      <c r="C116" s="25" t="s">
        <v>429</v>
      </c>
      <c r="D116" s="25" t="s">
        <v>2841</v>
      </c>
      <c r="E116" s="25" t="s">
        <v>222</v>
      </c>
      <c r="F116" s="25" t="s">
        <v>2837</v>
      </c>
      <c r="G116" s="25" t="s">
        <v>2837</v>
      </c>
      <c r="H116" s="25" t="s">
        <v>824</v>
      </c>
      <c r="I116" s="25"/>
      <c r="J116" s="25" t="s">
        <v>2838</v>
      </c>
      <c r="K116" s="71">
        <v>44754</v>
      </c>
      <c r="L116" s="25">
        <v>3</v>
      </c>
      <c r="M116" s="71">
        <v>44764</v>
      </c>
      <c r="N116" s="25"/>
      <c r="O116" s="70" t="s">
        <v>430</v>
      </c>
      <c r="P116" s="25" t="s">
        <v>225</v>
      </c>
      <c r="Q116" s="25" t="s">
        <v>2838</v>
      </c>
      <c r="R116" s="25"/>
    </row>
    <row r="117" spans="1:18" ht="15.75" customHeight="1" x14ac:dyDescent="0.4">
      <c r="A117" s="71">
        <v>44757</v>
      </c>
      <c r="B117" s="25" t="s">
        <v>431</v>
      </c>
      <c r="C117" s="25" t="s">
        <v>250</v>
      </c>
      <c r="D117" s="25" t="s">
        <v>2839</v>
      </c>
      <c r="E117" s="25" t="s">
        <v>222</v>
      </c>
      <c r="F117" s="25" t="s">
        <v>2837</v>
      </c>
      <c r="G117" s="25" t="s">
        <v>2837</v>
      </c>
      <c r="H117" s="25" t="s">
        <v>824</v>
      </c>
      <c r="I117" s="25"/>
      <c r="J117" s="25" t="s">
        <v>2838</v>
      </c>
      <c r="K117" s="71">
        <v>44754</v>
      </c>
      <c r="L117" s="25">
        <v>3</v>
      </c>
      <c r="M117" s="71">
        <v>44758</v>
      </c>
      <c r="N117" s="25"/>
      <c r="O117" s="70" t="s">
        <v>432</v>
      </c>
      <c r="P117" s="25" t="s">
        <v>225</v>
      </c>
      <c r="Q117" s="25" t="s">
        <v>2838</v>
      </c>
      <c r="R117" s="25"/>
    </row>
    <row r="118" spans="1:18" ht="68.25" customHeight="1" x14ac:dyDescent="0.4">
      <c r="A118" s="71">
        <v>44757</v>
      </c>
      <c r="B118" s="25" t="s">
        <v>433</v>
      </c>
      <c r="C118" s="25" t="s">
        <v>250</v>
      </c>
      <c r="D118" s="25" t="s">
        <v>2839</v>
      </c>
      <c r="E118" s="25" t="s">
        <v>222</v>
      </c>
      <c r="F118" s="25" t="s">
        <v>2837</v>
      </c>
      <c r="G118" s="25" t="s">
        <v>2837</v>
      </c>
      <c r="H118" s="25" t="s">
        <v>824</v>
      </c>
      <c r="I118" s="25"/>
      <c r="J118" s="25" t="s">
        <v>2838</v>
      </c>
      <c r="K118" s="71">
        <v>44754</v>
      </c>
      <c r="L118" s="25">
        <v>3</v>
      </c>
      <c r="M118" s="71">
        <v>44764</v>
      </c>
      <c r="N118" s="25"/>
      <c r="O118" s="70" t="s">
        <v>434</v>
      </c>
      <c r="P118" s="25" t="s">
        <v>225</v>
      </c>
      <c r="Q118" s="25" t="s">
        <v>2838</v>
      </c>
      <c r="R118" s="25"/>
    </row>
    <row r="119" spans="1:18" ht="54.75" customHeight="1" x14ac:dyDescent="0.4">
      <c r="A119" s="71">
        <v>44757</v>
      </c>
      <c r="B119" s="25" t="s">
        <v>435</v>
      </c>
      <c r="C119" s="25" t="s">
        <v>250</v>
      </c>
      <c r="D119" s="25" t="s">
        <v>2839</v>
      </c>
      <c r="E119" s="25" t="s">
        <v>222</v>
      </c>
      <c r="F119" s="25" t="s">
        <v>2837</v>
      </c>
      <c r="G119" s="25" t="s">
        <v>2837</v>
      </c>
      <c r="H119" s="25" t="s">
        <v>824</v>
      </c>
      <c r="I119" s="25"/>
      <c r="J119" s="25" t="s">
        <v>2838</v>
      </c>
      <c r="K119" s="71">
        <v>44754</v>
      </c>
      <c r="L119" s="25">
        <v>3</v>
      </c>
      <c r="M119" s="71">
        <v>44762</v>
      </c>
      <c r="N119" s="25"/>
      <c r="O119" s="70" t="s">
        <v>436</v>
      </c>
      <c r="P119" s="25" t="s">
        <v>225</v>
      </c>
      <c r="Q119" s="25" t="s">
        <v>2838</v>
      </c>
      <c r="R119" s="25"/>
    </row>
    <row r="120" spans="1:18" ht="81.75" customHeight="1" x14ac:dyDescent="0.4">
      <c r="A120" s="71">
        <v>44758</v>
      </c>
      <c r="B120" s="25" t="s">
        <v>437</v>
      </c>
      <c r="C120" s="25" t="s">
        <v>250</v>
      </c>
      <c r="D120" s="25" t="s">
        <v>2839</v>
      </c>
      <c r="E120" s="25" t="s">
        <v>222</v>
      </c>
      <c r="F120" s="25" t="s">
        <v>2837</v>
      </c>
      <c r="G120" s="25" t="s">
        <v>2837</v>
      </c>
      <c r="H120" s="25" t="s">
        <v>824</v>
      </c>
      <c r="I120" s="25"/>
      <c r="J120" s="25" t="s">
        <v>2838</v>
      </c>
      <c r="K120" s="71">
        <v>44754</v>
      </c>
      <c r="L120" s="25">
        <v>4</v>
      </c>
      <c r="M120" s="71">
        <v>44761</v>
      </c>
      <c r="N120" s="25"/>
      <c r="O120" s="70" t="s">
        <v>438</v>
      </c>
      <c r="P120" s="25" t="s">
        <v>225</v>
      </c>
      <c r="Q120" s="25" t="s">
        <v>2838</v>
      </c>
      <c r="R120" s="25"/>
    </row>
    <row r="121" spans="1:18" ht="54.75" customHeight="1" x14ac:dyDescent="0.4">
      <c r="A121" s="71">
        <v>44758</v>
      </c>
      <c r="B121" s="25" t="s">
        <v>439</v>
      </c>
      <c r="C121" s="25" t="s">
        <v>250</v>
      </c>
      <c r="D121" s="25" t="s">
        <v>2839</v>
      </c>
      <c r="E121" s="25" t="s">
        <v>222</v>
      </c>
      <c r="F121" s="25" t="s">
        <v>2837</v>
      </c>
      <c r="G121" s="25" t="s">
        <v>2837</v>
      </c>
      <c r="H121" s="25" t="s">
        <v>824</v>
      </c>
      <c r="I121" s="25"/>
      <c r="J121" s="25" t="s">
        <v>2838</v>
      </c>
      <c r="K121" s="71">
        <v>44754</v>
      </c>
      <c r="L121" s="25">
        <v>4</v>
      </c>
      <c r="M121" s="71">
        <v>44761</v>
      </c>
      <c r="N121" s="25"/>
      <c r="O121" s="70" t="s">
        <v>440</v>
      </c>
      <c r="P121" s="25" t="s">
        <v>225</v>
      </c>
      <c r="Q121" s="25" t="s">
        <v>2838</v>
      </c>
      <c r="R121" s="25"/>
    </row>
    <row r="122" spans="1:18" ht="68.25" customHeight="1" x14ac:dyDescent="0.4">
      <c r="A122" s="71">
        <v>44758</v>
      </c>
      <c r="B122" s="25" t="s">
        <v>441</v>
      </c>
      <c r="C122" s="25" t="s">
        <v>250</v>
      </c>
      <c r="D122" s="25" t="s">
        <v>2839</v>
      </c>
      <c r="E122" s="25" t="s">
        <v>222</v>
      </c>
      <c r="F122" s="25" t="s">
        <v>2837</v>
      </c>
      <c r="G122" s="25" t="s">
        <v>2837</v>
      </c>
      <c r="H122" s="25" t="s">
        <v>824</v>
      </c>
      <c r="I122" s="25"/>
      <c r="J122" s="25" t="s">
        <v>2838</v>
      </c>
      <c r="K122" s="71">
        <v>44754</v>
      </c>
      <c r="L122" s="25">
        <v>4</v>
      </c>
      <c r="M122" s="71">
        <v>44760</v>
      </c>
      <c r="N122" s="25"/>
      <c r="O122" s="70" t="s">
        <v>442</v>
      </c>
      <c r="P122" s="25" t="s">
        <v>225</v>
      </c>
      <c r="Q122" s="25" t="s">
        <v>2838</v>
      </c>
      <c r="R122" s="25"/>
    </row>
    <row r="123" spans="1:18" ht="27.75" customHeight="1" x14ac:dyDescent="0.4">
      <c r="A123" s="71">
        <v>44758</v>
      </c>
      <c r="B123" s="25" t="s">
        <v>443</v>
      </c>
      <c r="C123" s="25" t="s">
        <v>281</v>
      </c>
      <c r="D123" s="25" t="s">
        <v>2841</v>
      </c>
      <c r="E123" s="25" t="s">
        <v>222</v>
      </c>
      <c r="F123" s="25" t="s">
        <v>2837</v>
      </c>
      <c r="G123" s="25" t="s">
        <v>2837</v>
      </c>
      <c r="H123" s="25" t="s">
        <v>824</v>
      </c>
      <c r="I123" s="25"/>
      <c r="J123" s="25" t="s">
        <v>2838</v>
      </c>
      <c r="K123" s="71">
        <v>44754</v>
      </c>
      <c r="L123" s="25">
        <v>4</v>
      </c>
      <c r="M123" s="71">
        <v>44771</v>
      </c>
      <c r="N123" s="25"/>
      <c r="O123" s="70" t="s">
        <v>444</v>
      </c>
      <c r="P123" s="25" t="s">
        <v>225</v>
      </c>
      <c r="Q123" s="25" t="s">
        <v>2838</v>
      </c>
      <c r="R123" s="25"/>
    </row>
    <row r="124" spans="1:18" ht="54.75" customHeight="1" x14ac:dyDescent="0.4">
      <c r="A124" s="71">
        <v>44758</v>
      </c>
      <c r="B124" s="25" t="s">
        <v>445</v>
      </c>
      <c r="C124" s="25" t="s">
        <v>250</v>
      </c>
      <c r="D124" s="25" t="s">
        <v>2839</v>
      </c>
      <c r="E124" s="25" t="s">
        <v>222</v>
      </c>
      <c r="F124" s="25" t="s">
        <v>2837</v>
      </c>
      <c r="G124" s="25" t="s">
        <v>2837</v>
      </c>
      <c r="H124" s="25" t="s">
        <v>824</v>
      </c>
      <c r="I124" s="25"/>
      <c r="J124" s="25" t="s">
        <v>2838</v>
      </c>
      <c r="K124" s="71">
        <v>44754</v>
      </c>
      <c r="L124" s="25">
        <v>4</v>
      </c>
      <c r="M124" s="71">
        <v>44760</v>
      </c>
      <c r="N124" s="25"/>
      <c r="O124" s="70" t="s">
        <v>446</v>
      </c>
      <c r="P124" s="25" t="s">
        <v>225</v>
      </c>
      <c r="Q124" s="25" t="s">
        <v>2838</v>
      </c>
      <c r="R124" s="25"/>
    </row>
    <row r="125" spans="1:18" ht="41.25" customHeight="1" x14ac:dyDescent="0.4">
      <c r="A125" s="71">
        <v>44758</v>
      </c>
      <c r="B125" s="25" t="s">
        <v>447</v>
      </c>
      <c r="C125" s="25" t="s">
        <v>250</v>
      </c>
      <c r="D125" s="25" t="s">
        <v>2839</v>
      </c>
      <c r="E125" s="25" t="s">
        <v>222</v>
      </c>
      <c r="F125" s="25" t="s">
        <v>2837</v>
      </c>
      <c r="G125" s="25" t="s">
        <v>2837</v>
      </c>
      <c r="H125" s="25" t="s">
        <v>824</v>
      </c>
      <c r="I125" s="25"/>
      <c r="J125" s="25" t="s">
        <v>2838</v>
      </c>
      <c r="K125" s="71">
        <v>44754</v>
      </c>
      <c r="L125" s="25">
        <v>4</v>
      </c>
      <c r="M125" s="71">
        <v>44760</v>
      </c>
      <c r="N125" s="25"/>
      <c r="O125" s="70" t="s">
        <v>448</v>
      </c>
      <c r="P125" s="25" t="s">
        <v>225</v>
      </c>
      <c r="Q125" s="25" t="s">
        <v>2838</v>
      </c>
      <c r="R125" s="25"/>
    </row>
    <row r="126" spans="1:18" ht="27.75" customHeight="1" x14ac:dyDescent="0.4">
      <c r="A126" s="71">
        <v>44758</v>
      </c>
      <c r="B126" s="25" t="s">
        <v>449</v>
      </c>
      <c r="C126" s="25" t="s">
        <v>250</v>
      </c>
      <c r="D126" s="25" t="s">
        <v>2839</v>
      </c>
      <c r="E126" s="25" t="s">
        <v>222</v>
      </c>
      <c r="F126" s="25" t="s">
        <v>2837</v>
      </c>
      <c r="G126" s="25" t="s">
        <v>2837</v>
      </c>
      <c r="H126" s="25" t="s">
        <v>824</v>
      </c>
      <c r="I126" s="25"/>
      <c r="J126" s="25" t="s">
        <v>2838</v>
      </c>
      <c r="K126" s="71">
        <v>44754</v>
      </c>
      <c r="L126" s="25">
        <v>4</v>
      </c>
      <c r="M126" s="71">
        <v>44762</v>
      </c>
      <c r="N126" s="25"/>
      <c r="O126" s="70" t="s">
        <v>450</v>
      </c>
      <c r="P126" s="25" t="s">
        <v>225</v>
      </c>
      <c r="Q126" s="25" t="s">
        <v>2838</v>
      </c>
      <c r="R126" s="25"/>
    </row>
    <row r="127" spans="1:18" ht="122.25" customHeight="1" x14ac:dyDescent="0.4">
      <c r="A127" s="71">
        <v>44758</v>
      </c>
      <c r="B127" s="25" t="s">
        <v>451</v>
      </c>
      <c r="C127" s="25" t="s">
        <v>250</v>
      </c>
      <c r="D127" s="25" t="s">
        <v>2839</v>
      </c>
      <c r="E127" s="25" t="s">
        <v>222</v>
      </c>
      <c r="F127" s="25" t="s">
        <v>2837</v>
      </c>
      <c r="G127" s="25" t="s">
        <v>2837</v>
      </c>
      <c r="H127" s="25" t="s">
        <v>824</v>
      </c>
      <c r="I127" s="25"/>
      <c r="J127" s="25" t="s">
        <v>2838</v>
      </c>
      <c r="K127" s="71">
        <v>44754</v>
      </c>
      <c r="L127" s="25">
        <v>4</v>
      </c>
      <c r="M127" s="71">
        <v>44764</v>
      </c>
      <c r="N127" s="25"/>
      <c r="O127" s="70" t="s">
        <v>452</v>
      </c>
      <c r="P127" s="25" t="s">
        <v>225</v>
      </c>
      <c r="Q127" s="25" t="s">
        <v>2838</v>
      </c>
      <c r="R127" s="25"/>
    </row>
    <row r="128" spans="1:18" ht="54.75" customHeight="1" x14ac:dyDescent="0.4">
      <c r="A128" s="71">
        <v>44759</v>
      </c>
      <c r="B128" s="25" t="s">
        <v>453</v>
      </c>
      <c r="C128" s="25" t="s">
        <v>250</v>
      </c>
      <c r="D128" s="25" t="s">
        <v>2839</v>
      </c>
      <c r="E128" s="25" t="s">
        <v>222</v>
      </c>
      <c r="F128" s="25" t="s">
        <v>2837</v>
      </c>
      <c r="G128" s="25" t="s">
        <v>2837</v>
      </c>
      <c r="H128" s="25" t="s">
        <v>824</v>
      </c>
      <c r="I128" s="25"/>
      <c r="J128" s="25" t="s">
        <v>2838</v>
      </c>
      <c r="K128" s="71">
        <v>44754</v>
      </c>
      <c r="L128" s="25">
        <v>5</v>
      </c>
      <c r="M128" s="71">
        <v>44762</v>
      </c>
      <c r="N128" s="25"/>
      <c r="O128" s="70" t="s">
        <v>454</v>
      </c>
      <c r="P128" s="25" t="s">
        <v>225</v>
      </c>
      <c r="Q128" s="25" t="s">
        <v>2838</v>
      </c>
      <c r="R128" s="25"/>
    </row>
    <row r="129" spans="1:18" ht="95.25" customHeight="1" x14ac:dyDescent="0.4">
      <c r="A129" s="71">
        <v>44759</v>
      </c>
      <c r="B129" s="25" t="s">
        <v>455</v>
      </c>
      <c r="C129" s="25" t="s">
        <v>281</v>
      </c>
      <c r="D129" s="25" t="s">
        <v>2841</v>
      </c>
      <c r="E129" s="25" t="s">
        <v>222</v>
      </c>
      <c r="F129" s="25" t="s">
        <v>2837</v>
      </c>
      <c r="G129" s="25" t="s">
        <v>2837</v>
      </c>
      <c r="H129" s="25" t="s">
        <v>824</v>
      </c>
      <c r="I129" s="25"/>
      <c r="J129" s="25" t="s">
        <v>2838</v>
      </c>
      <c r="K129" s="71">
        <v>44754</v>
      </c>
      <c r="L129" s="25">
        <v>5</v>
      </c>
      <c r="M129" s="71">
        <v>44775</v>
      </c>
      <c r="N129" s="25"/>
      <c r="O129" s="70" t="s">
        <v>456</v>
      </c>
      <c r="P129" s="25" t="s">
        <v>225</v>
      </c>
      <c r="Q129" s="25" t="s">
        <v>2838</v>
      </c>
      <c r="R129" s="25"/>
    </row>
    <row r="130" spans="1:18" ht="95.25" customHeight="1" x14ac:dyDescent="0.4">
      <c r="A130" s="71">
        <v>44759</v>
      </c>
      <c r="B130" s="25" t="s">
        <v>457</v>
      </c>
      <c r="C130" s="25" t="s">
        <v>250</v>
      </c>
      <c r="D130" s="25" t="s">
        <v>2839</v>
      </c>
      <c r="E130" s="25" t="s">
        <v>222</v>
      </c>
      <c r="F130" s="25" t="s">
        <v>2837</v>
      </c>
      <c r="G130" s="25" t="s">
        <v>2837</v>
      </c>
      <c r="H130" s="25" t="s">
        <v>824</v>
      </c>
      <c r="I130" s="25"/>
      <c r="J130" s="25" t="s">
        <v>2838</v>
      </c>
      <c r="K130" s="71">
        <v>44754</v>
      </c>
      <c r="L130" s="25">
        <v>5</v>
      </c>
      <c r="M130" s="71">
        <v>44761</v>
      </c>
      <c r="N130" s="25"/>
      <c r="O130" s="70" t="s">
        <v>458</v>
      </c>
      <c r="P130" s="25" t="s">
        <v>225</v>
      </c>
      <c r="Q130" s="25" t="s">
        <v>2838</v>
      </c>
      <c r="R130" s="25"/>
    </row>
    <row r="131" spans="1:18" ht="41.25" customHeight="1" x14ac:dyDescent="0.4">
      <c r="A131" s="71">
        <v>44759</v>
      </c>
      <c r="B131" s="25" t="s">
        <v>459</v>
      </c>
      <c r="C131" s="25" t="s">
        <v>281</v>
      </c>
      <c r="D131" s="25" t="s">
        <v>2841</v>
      </c>
      <c r="E131" s="25" t="s">
        <v>222</v>
      </c>
      <c r="F131" s="25" t="s">
        <v>2837</v>
      </c>
      <c r="G131" s="25" t="s">
        <v>2837</v>
      </c>
      <c r="H131" s="25" t="s">
        <v>824</v>
      </c>
      <c r="I131" s="25"/>
      <c r="J131" s="25" t="s">
        <v>2838</v>
      </c>
      <c r="K131" s="71">
        <v>44754</v>
      </c>
      <c r="L131" s="25">
        <v>5</v>
      </c>
      <c r="M131" s="71">
        <v>44776</v>
      </c>
      <c r="N131" s="25"/>
      <c r="O131" s="70" t="s">
        <v>460</v>
      </c>
      <c r="P131" s="25" t="s">
        <v>225</v>
      </c>
      <c r="Q131" s="25" t="s">
        <v>2838</v>
      </c>
      <c r="R131" s="25"/>
    </row>
    <row r="132" spans="1:18" ht="54.75" customHeight="1" x14ac:dyDescent="0.4">
      <c r="A132" s="71">
        <v>44759</v>
      </c>
      <c r="B132" s="25" t="s">
        <v>461</v>
      </c>
      <c r="C132" s="25" t="s">
        <v>429</v>
      </c>
      <c r="D132" s="25" t="s">
        <v>2841</v>
      </c>
      <c r="E132" s="25" t="s">
        <v>222</v>
      </c>
      <c r="F132" s="25" t="s">
        <v>2837</v>
      </c>
      <c r="G132" s="25" t="s">
        <v>2837</v>
      </c>
      <c r="H132" s="25" t="s">
        <v>824</v>
      </c>
      <c r="I132" s="25"/>
      <c r="J132" s="25" t="s">
        <v>2838</v>
      </c>
      <c r="K132" s="71">
        <v>44754</v>
      </c>
      <c r="L132" s="25">
        <v>5</v>
      </c>
      <c r="M132" s="71">
        <v>44760</v>
      </c>
      <c r="N132" s="25"/>
      <c r="O132" s="70" t="s">
        <v>462</v>
      </c>
      <c r="P132" s="25" t="s">
        <v>225</v>
      </c>
      <c r="Q132" s="25" t="s">
        <v>2838</v>
      </c>
      <c r="R132" s="25"/>
    </row>
    <row r="133" spans="1:18" ht="122.25" customHeight="1" x14ac:dyDescent="0.4">
      <c r="A133" s="71">
        <v>44759</v>
      </c>
      <c r="B133" s="25" t="s">
        <v>463</v>
      </c>
      <c r="C133" s="25" t="s">
        <v>250</v>
      </c>
      <c r="D133" s="25" t="s">
        <v>2839</v>
      </c>
      <c r="E133" s="25" t="s">
        <v>222</v>
      </c>
      <c r="F133" s="25" t="s">
        <v>2837</v>
      </c>
      <c r="G133" s="25" t="s">
        <v>2837</v>
      </c>
      <c r="H133" s="25" t="s">
        <v>824</v>
      </c>
      <c r="I133" s="25"/>
      <c r="J133" s="25" t="s">
        <v>2838</v>
      </c>
      <c r="K133" s="71">
        <v>44754</v>
      </c>
      <c r="L133" s="25">
        <v>5</v>
      </c>
      <c r="M133" s="71">
        <v>44760</v>
      </c>
      <c r="N133" s="25"/>
      <c r="O133" s="70" t="s">
        <v>464</v>
      </c>
      <c r="P133" s="25" t="s">
        <v>225</v>
      </c>
      <c r="Q133" s="25" t="s">
        <v>2838</v>
      </c>
      <c r="R133" s="25"/>
    </row>
    <row r="134" spans="1:18" ht="54.75" customHeight="1" x14ac:dyDescent="0.4">
      <c r="A134" s="71">
        <v>44758</v>
      </c>
      <c r="B134" s="25" t="s">
        <v>465</v>
      </c>
      <c r="C134" s="25" t="s">
        <v>250</v>
      </c>
      <c r="D134" s="25" t="s">
        <v>2839</v>
      </c>
      <c r="E134" s="25" t="s">
        <v>222</v>
      </c>
      <c r="F134" s="25" t="s">
        <v>2837</v>
      </c>
      <c r="G134" s="25" t="s">
        <v>2837</v>
      </c>
      <c r="H134" s="25" t="s">
        <v>824</v>
      </c>
      <c r="I134" s="25"/>
      <c r="J134" s="25" t="s">
        <v>2838</v>
      </c>
      <c r="K134" s="71">
        <v>44754</v>
      </c>
      <c r="L134" s="25">
        <v>4</v>
      </c>
      <c r="M134" s="71">
        <v>44763</v>
      </c>
      <c r="N134" s="25"/>
      <c r="O134" s="70" t="s">
        <v>466</v>
      </c>
      <c r="P134" s="25" t="s">
        <v>225</v>
      </c>
      <c r="Q134" s="25" t="s">
        <v>2838</v>
      </c>
      <c r="R134" s="25"/>
    </row>
    <row r="135" spans="1:18" ht="41.25" customHeight="1" x14ac:dyDescent="0.4">
      <c r="A135" s="71">
        <v>44759</v>
      </c>
      <c r="B135" s="25" t="s">
        <v>467</v>
      </c>
      <c r="C135" s="25" t="s">
        <v>250</v>
      </c>
      <c r="D135" s="25" t="s">
        <v>2839</v>
      </c>
      <c r="E135" s="25" t="s">
        <v>222</v>
      </c>
      <c r="F135" s="25" t="s">
        <v>2837</v>
      </c>
      <c r="G135" s="25" t="s">
        <v>2837</v>
      </c>
      <c r="H135" s="25" t="s">
        <v>824</v>
      </c>
      <c r="I135" s="25"/>
      <c r="J135" s="25" t="s">
        <v>2838</v>
      </c>
      <c r="K135" s="71">
        <v>44754</v>
      </c>
      <c r="L135" s="25">
        <v>5</v>
      </c>
      <c r="M135" s="71">
        <v>44764</v>
      </c>
      <c r="N135" s="25"/>
      <c r="O135" s="70" t="s">
        <v>468</v>
      </c>
      <c r="P135" s="25" t="s">
        <v>225</v>
      </c>
      <c r="Q135" s="25" t="s">
        <v>2838</v>
      </c>
      <c r="R135" s="25"/>
    </row>
    <row r="136" spans="1:18" ht="135.75" customHeight="1" x14ac:dyDescent="0.4">
      <c r="A136" s="71">
        <v>44759</v>
      </c>
      <c r="B136" s="25" t="s">
        <v>469</v>
      </c>
      <c r="C136" s="25" t="s">
        <v>250</v>
      </c>
      <c r="D136" s="25" t="s">
        <v>2839</v>
      </c>
      <c r="E136" s="25" t="s">
        <v>222</v>
      </c>
      <c r="F136" s="25" t="s">
        <v>2837</v>
      </c>
      <c r="G136" s="25" t="s">
        <v>2837</v>
      </c>
      <c r="H136" s="25" t="s">
        <v>824</v>
      </c>
      <c r="I136" s="25"/>
      <c r="J136" s="25" t="s">
        <v>2838</v>
      </c>
      <c r="K136" s="71">
        <v>44754</v>
      </c>
      <c r="L136" s="25">
        <v>5</v>
      </c>
      <c r="M136" s="71">
        <v>44762</v>
      </c>
      <c r="N136" s="25"/>
      <c r="O136" s="70" t="s">
        <v>470</v>
      </c>
      <c r="P136" s="25" t="s">
        <v>225</v>
      </c>
      <c r="Q136" s="25" t="s">
        <v>2838</v>
      </c>
      <c r="R136" s="25"/>
    </row>
    <row r="137" spans="1:18" ht="27.75" customHeight="1" x14ac:dyDescent="0.4">
      <c r="A137" s="71">
        <v>44759</v>
      </c>
      <c r="B137" s="25" t="s">
        <v>471</v>
      </c>
      <c r="C137" s="25" t="s">
        <v>250</v>
      </c>
      <c r="D137" s="25" t="s">
        <v>2839</v>
      </c>
      <c r="E137" s="25" t="s">
        <v>222</v>
      </c>
      <c r="F137" s="25" t="s">
        <v>2837</v>
      </c>
      <c r="G137" s="25" t="s">
        <v>2837</v>
      </c>
      <c r="H137" s="25" t="s">
        <v>824</v>
      </c>
      <c r="I137" s="25"/>
      <c r="J137" s="25" t="s">
        <v>2838</v>
      </c>
      <c r="K137" s="71">
        <v>44754</v>
      </c>
      <c r="L137" s="25">
        <v>5</v>
      </c>
      <c r="M137" s="71">
        <v>44767</v>
      </c>
      <c r="N137" s="25"/>
      <c r="O137" s="70" t="s">
        <v>472</v>
      </c>
      <c r="P137" s="25" t="s">
        <v>225</v>
      </c>
      <c r="Q137" s="25" t="s">
        <v>2838</v>
      </c>
      <c r="R137" s="25"/>
    </row>
    <row r="138" spans="1:18" ht="27.75" customHeight="1" x14ac:dyDescent="0.4">
      <c r="A138" s="71">
        <v>44759</v>
      </c>
      <c r="B138" s="25" t="s">
        <v>473</v>
      </c>
      <c r="C138" s="25" t="s">
        <v>250</v>
      </c>
      <c r="D138" s="25" t="s">
        <v>2839</v>
      </c>
      <c r="E138" s="25" t="s">
        <v>222</v>
      </c>
      <c r="F138" s="25" t="s">
        <v>2837</v>
      </c>
      <c r="G138" s="25" t="s">
        <v>2837</v>
      </c>
      <c r="H138" s="25" t="s">
        <v>824</v>
      </c>
      <c r="I138" s="25"/>
      <c r="J138" s="25" t="s">
        <v>2838</v>
      </c>
      <c r="K138" s="71">
        <v>44754</v>
      </c>
      <c r="L138" s="25">
        <v>5</v>
      </c>
      <c r="M138" s="71">
        <v>44760</v>
      </c>
      <c r="N138" s="25"/>
      <c r="O138" s="70" t="s">
        <v>474</v>
      </c>
      <c r="P138" s="25" t="s">
        <v>225</v>
      </c>
      <c r="Q138" s="25" t="s">
        <v>2838</v>
      </c>
      <c r="R138" s="25"/>
    </row>
    <row r="139" spans="1:18" ht="27.75" customHeight="1" x14ac:dyDescent="0.4">
      <c r="A139" s="71">
        <v>44759</v>
      </c>
      <c r="B139" s="25" t="s">
        <v>475</v>
      </c>
      <c r="C139" s="25" t="s">
        <v>250</v>
      </c>
      <c r="D139" s="25" t="s">
        <v>2839</v>
      </c>
      <c r="E139" s="25" t="s">
        <v>222</v>
      </c>
      <c r="F139" s="25" t="s">
        <v>2837</v>
      </c>
      <c r="G139" s="25" t="s">
        <v>2837</v>
      </c>
      <c r="H139" s="25" t="s">
        <v>824</v>
      </c>
      <c r="I139" s="25"/>
      <c r="J139" s="25" t="s">
        <v>2838</v>
      </c>
      <c r="K139" s="71">
        <v>44754</v>
      </c>
      <c r="L139" s="25">
        <v>5</v>
      </c>
      <c r="M139" s="71">
        <v>44766</v>
      </c>
      <c r="N139" s="25"/>
      <c r="O139" s="70" t="s">
        <v>476</v>
      </c>
      <c r="P139" s="25" t="s">
        <v>225</v>
      </c>
      <c r="Q139" s="25" t="s">
        <v>2838</v>
      </c>
      <c r="R139" s="25"/>
    </row>
    <row r="140" spans="1:18" ht="27.75" customHeight="1" x14ac:dyDescent="0.4">
      <c r="A140" s="71">
        <v>44758</v>
      </c>
      <c r="B140" s="25" t="s">
        <v>477</v>
      </c>
      <c r="C140" s="25" t="s">
        <v>250</v>
      </c>
      <c r="D140" s="25" t="s">
        <v>2839</v>
      </c>
      <c r="E140" s="25" t="s">
        <v>222</v>
      </c>
      <c r="F140" s="25" t="s">
        <v>2837</v>
      </c>
      <c r="G140" s="25" t="s">
        <v>2837</v>
      </c>
      <c r="H140" s="25" t="s">
        <v>824</v>
      </c>
      <c r="I140" s="25"/>
      <c r="J140" s="25" t="s">
        <v>2838</v>
      </c>
      <c r="K140" s="71">
        <v>44754</v>
      </c>
      <c r="L140" s="25">
        <v>4</v>
      </c>
      <c r="M140" s="71">
        <v>44760</v>
      </c>
      <c r="N140" s="25"/>
      <c r="O140" s="70" t="s">
        <v>478</v>
      </c>
      <c r="P140" s="25" t="s">
        <v>225</v>
      </c>
      <c r="Q140" s="25" t="s">
        <v>2838</v>
      </c>
      <c r="R140" s="25"/>
    </row>
    <row r="141" spans="1:18" ht="41.25" customHeight="1" x14ac:dyDescent="0.4">
      <c r="A141" s="71">
        <v>44760</v>
      </c>
      <c r="B141" s="25" t="s">
        <v>479</v>
      </c>
      <c r="C141" s="25" t="s">
        <v>250</v>
      </c>
      <c r="D141" s="25" t="s">
        <v>2839</v>
      </c>
      <c r="E141" s="25" t="s">
        <v>222</v>
      </c>
      <c r="F141" s="25" t="s">
        <v>2837</v>
      </c>
      <c r="G141" s="25" t="s">
        <v>2837</v>
      </c>
      <c r="H141" s="25" t="s">
        <v>824</v>
      </c>
      <c r="I141" s="25"/>
      <c r="J141" s="25" t="s">
        <v>2838</v>
      </c>
      <c r="K141" s="71">
        <v>44754</v>
      </c>
      <c r="L141" s="25">
        <v>6</v>
      </c>
      <c r="M141" s="71">
        <v>44764</v>
      </c>
      <c r="N141" s="25"/>
      <c r="O141" s="70" t="s">
        <v>480</v>
      </c>
      <c r="P141" s="25" t="s">
        <v>225</v>
      </c>
      <c r="Q141" s="25" t="s">
        <v>2838</v>
      </c>
      <c r="R141" s="25"/>
    </row>
    <row r="142" spans="1:18" ht="162" customHeight="1" x14ac:dyDescent="0.4">
      <c r="A142" s="71">
        <v>44760</v>
      </c>
      <c r="B142" s="25" t="s">
        <v>481</v>
      </c>
      <c r="C142" s="25" t="s">
        <v>250</v>
      </c>
      <c r="D142" s="25" t="s">
        <v>2839</v>
      </c>
      <c r="E142" s="25" t="s">
        <v>222</v>
      </c>
      <c r="F142" s="25" t="s">
        <v>2837</v>
      </c>
      <c r="G142" s="25" t="s">
        <v>2837</v>
      </c>
      <c r="H142" s="25" t="s">
        <v>824</v>
      </c>
      <c r="I142" s="25"/>
      <c r="J142" s="25" t="s">
        <v>2838</v>
      </c>
      <c r="K142" s="71">
        <v>44754</v>
      </c>
      <c r="L142" s="25">
        <v>6</v>
      </c>
      <c r="M142" s="71">
        <v>44762</v>
      </c>
      <c r="N142" s="25"/>
      <c r="O142" s="70" t="s">
        <v>482</v>
      </c>
      <c r="P142" s="25" t="s">
        <v>225</v>
      </c>
      <c r="Q142" s="25" t="s">
        <v>2838</v>
      </c>
      <c r="R142" s="25"/>
    </row>
    <row r="143" spans="1:18" ht="135.75" customHeight="1" x14ac:dyDescent="0.4">
      <c r="A143" s="71">
        <v>44760</v>
      </c>
      <c r="B143" s="25" t="s">
        <v>483</v>
      </c>
      <c r="C143" s="25" t="s">
        <v>250</v>
      </c>
      <c r="D143" s="25" t="s">
        <v>2839</v>
      </c>
      <c r="E143" s="25" t="s">
        <v>222</v>
      </c>
      <c r="F143" s="25" t="s">
        <v>2837</v>
      </c>
      <c r="G143" s="25" t="s">
        <v>2837</v>
      </c>
      <c r="H143" s="25" t="s">
        <v>824</v>
      </c>
      <c r="I143" s="25"/>
      <c r="J143" s="25" t="s">
        <v>2838</v>
      </c>
      <c r="K143" s="71">
        <v>44754</v>
      </c>
      <c r="L143" s="25">
        <v>6</v>
      </c>
      <c r="M143" s="71">
        <v>44762</v>
      </c>
      <c r="N143" s="25"/>
      <c r="O143" s="70" t="s">
        <v>484</v>
      </c>
      <c r="P143" s="25" t="s">
        <v>225</v>
      </c>
      <c r="Q143" s="25" t="s">
        <v>2838</v>
      </c>
      <c r="R143" s="25"/>
    </row>
    <row r="144" spans="1:18" ht="95.25" customHeight="1" x14ac:dyDescent="0.4">
      <c r="A144" s="71">
        <v>44760</v>
      </c>
      <c r="B144" s="25" t="s">
        <v>485</v>
      </c>
      <c r="C144" s="25" t="s">
        <v>250</v>
      </c>
      <c r="D144" s="25" t="s">
        <v>2839</v>
      </c>
      <c r="E144" s="25" t="s">
        <v>222</v>
      </c>
      <c r="F144" s="25" t="s">
        <v>2837</v>
      </c>
      <c r="G144" s="25" t="s">
        <v>2837</v>
      </c>
      <c r="H144" s="25" t="s">
        <v>824</v>
      </c>
      <c r="I144" s="25"/>
      <c r="J144" s="25" t="s">
        <v>2838</v>
      </c>
      <c r="K144" s="71">
        <v>44754</v>
      </c>
      <c r="L144" s="25">
        <v>6</v>
      </c>
      <c r="M144" s="71">
        <v>44762</v>
      </c>
      <c r="N144" s="25"/>
      <c r="O144" s="70" t="s">
        <v>486</v>
      </c>
      <c r="P144" s="25" t="s">
        <v>225</v>
      </c>
      <c r="Q144" s="25" t="s">
        <v>2838</v>
      </c>
      <c r="R144" s="25"/>
    </row>
    <row r="145" spans="1:18" ht="54.75" customHeight="1" x14ac:dyDescent="0.4">
      <c r="A145" s="71">
        <v>44760</v>
      </c>
      <c r="B145" s="25" t="s">
        <v>487</v>
      </c>
      <c r="C145" s="25" t="s">
        <v>250</v>
      </c>
      <c r="D145" s="25" t="s">
        <v>2839</v>
      </c>
      <c r="E145" s="25" t="s">
        <v>222</v>
      </c>
      <c r="F145" s="25" t="s">
        <v>2837</v>
      </c>
      <c r="G145" s="25" t="s">
        <v>2837</v>
      </c>
      <c r="H145" s="25" t="s">
        <v>824</v>
      </c>
      <c r="I145" s="25"/>
      <c r="J145" s="25" t="s">
        <v>2838</v>
      </c>
      <c r="K145" s="71">
        <v>44754</v>
      </c>
      <c r="L145" s="25">
        <v>6</v>
      </c>
      <c r="M145" s="71">
        <v>44764</v>
      </c>
      <c r="N145" s="25"/>
      <c r="O145" s="70" t="s">
        <v>488</v>
      </c>
      <c r="P145" s="25" t="s">
        <v>225</v>
      </c>
      <c r="Q145" s="25" t="s">
        <v>2838</v>
      </c>
      <c r="R145" s="25"/>
    </row>
    <row r="146" spans="1:18" ht="41.25" customHeight="1" x14ac:dyDescent="0.4">
      <c r="A146" s="71">
        <v>44760</v>
      </c>
      <c r="B146" s="25" t="s">
        <v>489</v>
      </c>
      <c r="C146" s="25" t="s">
        <v>250</v>
      </c>
      <c r="D146" s="25" t="s">
        <v>2839</v>
      </c>
      <c r="E146" s="25" t="s">
        <v>222</v>
      </c>
      <c r="F146" s="25" t="s">
        <v>2837</v>
      </c>
      <c r="G146" s="25" t="s">
        <v>2837</v>
      </c>
      <c r="H146" s="25" t="s">
        <v>824</v>
      </c>
      <c r="I146" s="25"/>
      <c r="J146" s="25" t="s">
        <v>2838</v>
      </c>
      <c r="K146" s="71">
        <v>44754</v>
      </c>
      <c r="L146" s="25">
        <v>6</v>
      </c>
      <c r="M146" s="71">
        <v>44763</v>
      </c>
      <c r="N146" s="25"/>
      <c r="O146" s="70" t="s">
        <v>490</v>
      </c>
      <c r="P146" s="25" t="s">
        <v>225</v>
      </c>
      <c r="Q146" s="25" t="s">
        <v>2838</v>
      </c>
      <c r="R146" s="25"/>
    </row>
    <row r="147" spans="1:18" ht="135.75" customHeight="1" x14ac:dyDescent="0.4">
      <c r="A147" s="71">
        <v>44760</v>
      </c>
      <c r="B147" s="25" t="s">
        <v>491</v>
      </c>
      <c r="C147" s="25" t="s">
        <v>250</v>
      </c>
      <c r="D147" s="25" t="s">
        <v>2839</v>
      </c>
      <c r="E147" s="25" t="s">
        <v>222</v>
      </c>
      <c r="F147" s="25" t="s">
        <v>2837</v>
      </c>
      <c r="G147" s="25" t="s">
        <v>2837</v>
      </c>
      <c r="H147" s="25" t="s">
        <v>824</v>
      </c>
      <c r="I147" s="25"/>
      <c r="J147" s="25" t="s">
        <v>2838</v>
      </c>
      <c r="K147" s="71">
        <v>44754</v>
      </c>
      <c r="L147" s="25">
        <v>6</v>
      </c>
      <c r="M147" s="71">
        <v>44768</v>
      </c>
      <c r="N147" s="25"/>
      <c r="O147" s="70" t="s">
        <v>492</v>
      </c>
      <c r="P147" s="25" t="s">
        <v>225</v>
      </c>
      <c r="Q147" s="25" t="s">
        <v>2838</v>
      </c>
      <c r="R147" s="25"/>
    </row>
    <row r="148" spans="1:18" ht="95.25" customHeight="1" x14ac:dyDescent="0.4">
      <c r="A148" s="71">
        <v>44760</v>
      </c>
      <c r="B148" s="25" t="s">
        <v>493</v>
      </c>
      <c r="C148" s="25" t="s">
        <v>250</v>
      </c>
      <c r="D148" s="25" t="s">
        <v>2839</v>
      </c>
      <c r="E148" s="25" t="s">
        <v>222</v>
      </c>
      <c r="F148" s="25" t="s">
        <v>2837</v>
      </c>
      <c r="G148" s="25" t="s">
        <v>2837</v>
      </c>
      <c r="H148" s="25" t="s">
        <v>824</v>
      </c>
      <c r="I148" s="25"/>
      <c r="J148" s="25" t="s">
        <v>2838</v>
      </c>
      <c r="K148" s="71">
        <v>44754</v>
      </c>
      <c r="L148" s="25">
        <v>6</v>
      </c>
      <c r="M148" s="71">
        <v>44763</v>
      </c>
      <c r="N148" s="25"/>
      <c r="O148" s="70" t="s">
        <v>494</v>
      </c>
      <c r="P148" s="25" t="s">
        <v>225</v>
      </c>
      <c r="Q148" s="25" t="s">
        <v>2838</v>
      </c>
      <c r="R148" s="25"/>
    </row>
    <row r="149" spans="1:18" ht="27.75" customHeight="1" x14ac:dyDescent="0.4">
      <c r="A149" s="71">
        <v>44760</v>
      </c>
      <c r="B149" s="25" t="s">
        <v>495</v>
      </c>
      <c r="C149" s="25" t="s">
        <v>250</v>
      </c>
      <c r="D149" s="25" t="s">
        <v>2839</v>
      </c>
      <c r="E149" s="25" t="s">
        <v>222</v>
      </c>
      <c r="F149" s="25" t="s">
        <v>2837</v>
      </c>
      <c r="G149" s="25" t="s">
        <v>2837</v>
      </c>
      <c r="H149" s="25" t="s">
        <v>824</v>
      </c>
      <c r="I149" s="25"/>
      <c r="J149" s="25" t="s">
        <v>2838</v>
      </c>
      <c r="K149" s="71">
        <v>44754</v>
      </c>
      <c r="L149" s="25">
        <v>6</v>
      </c>
      <c r="M149" s="71">
        <v>44760</v>
      </c>
      <c r="N149" s="25"/>
      <c r="O149" s="70" t="s">
        <v>496</v>
      </c>
      <c r="P149" s="25" t="s">
        <v>225</v>
      </c>
      <c r="Q149" s="25" t="s">
        <v>2838</v>
      </c>
      <c r="R149" s="25"/>
    </row>
    <row r="150" spans="1:18" ht="149.25" customHeight="1" x14ac:dyDescent="0.4">
      <c r="A150" s="71">
        <v>44760</v>
      </c>
      <c r="B150" s="25" t="s">
        <v>497</v>
      </c>
      <c r="C150" s="25" t="s">
        <v>250</v>
      </c>
      <c r="D150" s="25" t="s">
        <v>2839</v>
      </c>
      <c r="E150" s="25" t="s">
        <v>222</v>
      </c>
      <c r="F150" s="25" t="s">
        <v>2837</v>
      </c>
      <c r="G150" s="25" t="s">
        <v>2837</v>
      </c>
      <c r="H150" s="25" t="s">
        <v>824</v>
      </c>
      <c r="I150" s="25"/>
      <c r="J150" s="25" t="s">
        <v>2838</v>
      </c>
      <c r="K150" s="71">
        <v>44754</v>
      </c>
      <c r="L150" s="25">
        <v>6</v>
      </c>
      <c r="M150" s="71">
        <v>44764</v>
      </c>
      <c r="N150" s="25"/>
      <c r="O150" s="70" t="s">
        <v>498</v>
      </c>
      <c r="P150" s="25" t="s">
        <v>225</v>
      </c>
      <c r="Q150" s="25" t="s">
        <v>2838</v>
      </c>
      <c r="R150" s="25"/>
    </row>
    <row r="151" spans="1:18" ht="54.75" customHeight="1" x14ac:dyDescent="0.4">
      <c r="A151" s="71">
        <v>44760</v>
      </c>
      <c r="B151" s="25" t="s">
        <v>499</v>
      </c>
      <c r="C151" s="25" t="s">
        <v>2843</v>
      </c>
      <c r="D151" s="25"/>
      <c r="E151" s="25" t="s">
        <v>222</v>
      </c>
      <c r="F151" s="25" t="s">
        <v>2837</v>
      </c>
      <c r="G151" s="25" t="s">
        <v>2837</v>
      </c>
      <c r="H151" s="25" t="s">
        <v>824</v>
      </c>
      <c r="I151" s="25"/>
      <c r="J151" s="25" t="s">
        <v>2838</v>
      </c>
      <c r="K151" s="71">
        <v>44754</v>
      </c>
      <c r="L151" s="25">
        <v>6</v>
      </c>
      <c r="M151" s="71">
        <v>44762</v>
      </c>
      <c r="N151" s="25"/>
      <c r="O151" s="70" t="s">
        <v>500</v>
      </c>
      <c r="P151" s="25" t="s">
        <v>225</v>
      </c>
      <c r="Q151" s="25" t="s">
        <v>2838</v>
      </c>
      <c r="R151" s="25"/>
    </row>
    <row r="152" spans="1:18" ht="27.75" customHeight="1" x14ac:dyDescent="0.4">
      <c r="A152" s="71">
        <v>44760</v>
      </c>
      <c r="B152" s="25" t="s">
        <v>501</v>
      </c>
      <c r="C152" s="25" t="s">
        <v>250</v>
      </c>
      <c r="D152" s="25" t="s">
        <v>2839</v>
      </c>
      <c r="E152" s="25" t="s">
        <v>222</v>
      </c>
      <c r="F152" s="25" t="s">
        <v>2837</v>
      </c>
      <c r="G152" s="25" t="s">
        <v>2837</v>
      </c>
      <c r="H152" s="25" t="s">
        <v>824</v>
      </c>
      <c r="I152" s="25"/>
      <c r="J152" s="25" t="s">
        <v>2838</v>
      </c>
      <c r="K152" s="71">
        <v>44754</v>
      </c>
      <c r="L152" s="25">
        <v>6</v>
      </c>
      <c r="M152" s="71">
        <v>44767</v>
      </c>
      <c r="N152" s="25"/>
      <c r="O152" s="70" t="s">
        <v>502</v>
      </c>
      <c r="P152" s="25" t="s">
        <v>225</v>
      </c>
      <c r="Q152" s="25" t="s">
        <v>2838</v>
      </c>
      <c r="R152" s="25"/>
    </row>
    <row r="153" spans="1:18" ht="54.75" customHeight="1" x14ac:dyDescent="0.4">
      <c r="A153" s="71">
        <v>44760</v>
      </c>
      <c r="B153" s="25" t="s">
        <v>503</v>
      </c>
      <c r="C153" s="25" t="s">
        <v>250</v>
      </c>
      <c r="D153" s="25" t="s">
        <v>2839</v>
      </c>
      <c r="E153" s="25" t="s">
        <v>222</v>
      </c>
      <c r="F153" s="25" t="s">
        <v>2837</v>
      </c>
      <c r="G153" s="25" t="s">
        <v>2837</v>
      </c>
      <c r="H153" s="25" t="s">
        <v>824</v>
      </c>
      <c r="I153" s="25"/>
      <c r="J153" s="25" t="s">
        <v>2838</v>
      </c>
      <c r="K153" s="71">
        <v>44754</v>
      </c>
      <c r="L153" s="25">
        <v>6</v>
      </c>
      <c r="M153" s="71">
        <v>44762</v>
      </c>
      <c r="N153" s="25"/>
      <c r="O153" s="70" t="s">
        <v>504</v>
      </c>
      <c r="P153" s="25" t="s">
        <v>225</v>
      </c>
      <c r="Q153" s="25" t="s">
        <v>2838</v>
      </c>
      <c r="R153" s="25"/>
    </row>
    <row r="154" spans="1:18" ht="27.75" customHeight="1" x14ac:dyDescent="0.4">
      <c r="A154" s="71">
        <v>44760</v>
      </c>
      <c r="B154" s="25" t="s">
        <v>505</v>
      </c>
      <c r="C154" s="25" t="s">
        <v>250</v>
      </c>
      <c r="D154" s="25" t="s">
        <v>2839</v>
      </c>
      <c r="E154" s="25" t="s">
        <v>222</v>
      </c>
      <c r="F154" s="25" t="s">
        <v>2837</v>
      </c>
      <c r="G154" s="25" t="s">
        <v>2837</v>
      </c>
      <c r="H154" s="25" t="s">
        <v>824</v>
      </c>
      <c r="I154" s="25"/>
      <c r="J154" s="25" t="s">
        <v>2838</v>
      </c>
      <c r="K154" s="71">
        <v>44754</v>
      </c>
      <c r="L154" s="25">
        <v>6</v>
      </c>
      <c r="M154" s="71">
        <v>44766</v>
      </c>
      <c r="N154" s="25"/>
      <c r="O154" s="70" t="s">
        <v>506</v>
      </c>
      <c r="P154" s="25" t="s">
        <v>225</v>
      </c>
      <c r="Q154" s="25" t="s">
        <v>2838</v>
      </c>
      <c r="R154" s="25"/>
    </row>
    <row r="155" spans="1:18" ht="27.75" customHeight="1" x14ac:dyDescent="0.4">
      <c r="A155" s="71">
        <v>44760</v>
      </c>
      <c r="B155" s="25" t="s">
        <v>507</v>
      </c>
      <c r="C155" s="25" t="s">
        <v>281</v>
      </c>
      <c r="D155" s="25" t="s">
        <v>2841</v>
      </c>
      <c r="E155" s="25" t="s">
        <v>222</v>
      </c>
      <c r="F155" s="25" t="s">
        <v>2837</v>
      </c>
      <c r="G155" s="25" t="s">
        <v>2837</v>
      </c>
      <c r="H155" s="25" t="s">
        <v>824</v>
      </c>
      <c r="I155" s="25"/>
      <c r="J155" s="25" t="s">
        <v>2838</v>
      </c>
      <c r="K155" s="71">
        <v>44754</v>
      </c>
      <c r="L155" s="25">
        <v>6</v>
      </c>
      <c r="M155" s="71">
        <v>44772</v>
      </c>
      <c r="N155" s="25"/>
      <c r="O155" s="70" t="s">
        <v>508</v>
      </c>
      <c r="P155" s="25" t="s">
        <v>225</v>
      </c>
      <c r="Q155" s="25" t="s">
        <v>2838</v>
      </c>
      <c r="R155" s="25"/>
    </row>
    <row r="156" spans="1:18" ht="27.75" customHeight="1" x14ac:dyDescent="0.4">
      <c r="A156" s="71">
        <v>44760</v>
      </c>
      <c r="B156" s="25" t="s">
        <v>509</v>
      </c>
      <c r="C156" s="25" t="s">
        <v>281</v>
      </c>
      <c r="D156" s="25" t="s">
        <v>2841</v>
      </c>
      <c r="E156" s="25" t="s">
        <v>222</v>
      </c>
      <c r="F156" s="25" t="s">
        <v>2837</v>
      </c>
      <c r="G156" s="25" t="s">
        <v>2837</v>
      </c>
      <c r="H156" s="25" t="s">
        <v>824</v>
      </c>
      <c r="I156" s="25"/>
      <c r="J156" s="25" t="s">
        <v>2838</v>
      </c>
      <c r="K156" s="71">
        <v>44754</v>
      </c>
      <c r="L156" s="25">
        <v>6</v>
      </c>
      <c r="M156" s="71">
        <v>44774</v>
      </c>
      <c r="N156" s="25"/>
      <c r="O156" s="70" t="s">
        <v>510</v>
      </c>
      <c r="P156" s="25" t="s">
        <v>225</v>
      </c>
      <c r="Q156" s="25" t="s">
        <v>2838</v>
      </c>
      <c r="R156" s="25"/>
    </row>
    <row r="157" spans="1:18" ht="68.25" customHeight="1" x14ac:dyDescent="0.4">
      <c r="A157" s="71">
        <v>44760</v>
      </c>
      <c r="B157" s="25" t="s">
        <v>511</v>
      </c>
      <c r="C157" s="25" t="s">
        <v>281</v>
      </c>
      <c r="D157" s="25" t="s">
        <v>2841</v>
      </c>
      <c r="E157" s="25" t="s">
        <v>222</v>
      </c>
      <c r="F157" s="25" t="s">
        <v>2837</v>
      </c>
      <c r="G157" s="25" t="s">
        <v>2837</v>
      </c>
      <c r="H157" s="25" t="s">
        <v>824</v>
      </c>
      <c r="I157" s="25"/>
      <c r="J157" s="25" t="s">
        <v>2838</v>
      </c>
      <c r="K157" s="71">
        <v>44754</v>
      </c>
      <c r="L157" s="25">
        <v>6</v>
      </c>
      <c r="M157" s="71">
        <v>44769</v>
      </c>
      <c r="N157" s="25"/>
      <c r="O157" s="70" t="s">
        <v>512</v>
      </c>
      <c r="P157" s="25" t="s">
        <v>225</v>
      </c>
      <c r="Q157" s="25" t="s">
        <v>2838</v>
      </c>
      <c r="R157" s="25"/>
    </row>
    <row r="158" spans="1:18" ht="27.75" customHeight="1" x14ac:dyDescent="0.4">
      <c r="A158" s="71">
        <v>44761</v>
      </c>
      <c r="B158" s="25" t="s">
        <v>513</v>
      </c>
      <c r="C158" s="25" t="s">
        <v>250</v>
      </c>
      <c r="D158" s="25" t="s">
        <v>2839</v>
      </c>
      <c r="E158" s="25" t="s">
        <v>222</v>
      </c>
      <c r="F158" s="25" t="s">
        <v>2837</v>
      </c>
      <c r="G158" s="25" t="s">
        <v>2837</v>
      </c>
      <c r="H158" s="25" t="s">
        <v>824</v>
      </c>
      <c r="I158" s="25"/>
      <c r="J158" s="25" t="s">
        <v>2838</v>
      </c>
      <c r="K158" s="71">
        <v>44754</v>
      </c>
      <c r="L158" s="25">
        <v>7</v>
      </c>
      <c r="M158" s="71">
        <v>44767</v>
      </c>
      <c r="N158" s="25"/>
      <c r="O158" s="70" t="s">
        <v>514</v>
      </c>
      <c r="P158" s="25" t="s">
        <v>225</v>
      </c>
      <c r="Q158" s="25" t="s">
        <v>2838</v>
      </c>
      <c r="R158" s="25"/>
    </row>
    <row r="159" spans="1:18" ht="41.25" customHeight="1" x14ac:dyDescent="0.4">
      <c r="A159" s="71">
        <v>44761</v>
      </c>
      <c r="B159" s="25" t="s">
        <v>515</v>
      </c>
      <c r="C159" s="25" t="s">
        <v>250</v>
      </c>
      <c r="D159" s="25" t="s">
        <v>2839</v>
      </c>
      <c r="E159" s="25" t="s">
        <v>222</v>
      </c>
      <c r="F159" s="25" t="s">
        <v>2837</v>
      </c>
      <c r="G159" s="25" t="s">
        <v>2837</v>
      </c>
      <c r="H159" s="25" t="s">
        <v>824</v>
      </c>
      <c r="I159" s="25"/>
      <c r="J159" s="25" t="s">
        <v>2838</v>
      </c>
      <c r="K159" s="71">
        <v>44754</v>
      </c>
      <c r="L159" s="25">
        <v>7</v>
      </c>
      <c r="M159" s="71">
        <v>44761</v>
      </c>
      <c r="N159" s="25"/>
      <c r="O159" s="70" t="s">
        <v>516</v>
      </c>
      <c r="P159" s="25" t="s">
        <v>225</v>
      </c>
      <c r="Q159" s="25" t="s">
        <v>2838</v>
      </c>
      <c r="R159" s="25"/>
    </row>
    <row r="160" spans="1:18" ht="202.5" customHeight="1" x14ac:dyDescent="0.4">
      <c r="A160" s="71">
        <v>44761</v>
      </c>
      <c r="B160" s="25" t="s">
        <v>517</v>
      </c>
      <c r="C160" s="25" t="s">
        <v>250</v>
      </c>
      <c r="D160" s="25" t="s">
        <v>2839</v>
      </c>
      <c r="E160" s="25" t="s">
        <v>222</v>
      </c>
      <c r="F160" s="25" t="s">
        <v>2837</v>
      </c>
      <c r="G160" s="25" t="s">
        <v>2837</v>
      </c>
      <c r="H160" s="25" t="s">
        <v>824</v>
      </c>
      <c r="I160" s="25"/>
      <c r="J160" s="25" t="s">
        <v>2838</v>
      </c>
      <c r="K160" s="71">
        <v>44754</v>
      </c>
      <c r="L160" s="25">
        <v>7</v>
      </c>
      <c r="M160" s="71">
        <v>44761</v>
      </c>
      <c r="N160" s="25"/>
      <c r="O160" s="70" t="s">
        <v>518</v>
      </c>
      <c r="P160" s="25" t="s">
        <v>225</v>
      </c>
      <c r="Q160" s="25" t="s">
        <v>2838</v>
      </c>
      <c r="R160" s="25"/>
    </row>
    <row r="161" spans="1:18" ht="256.5" customHeight="1" x14ac:dyDescent="0.4">
      <c r="A161" s="71">
        <v>44761</v>
      </c>
      <c r="B161" s="25" t="s">
        <v>519</v>
      </c>
      <c r="C161" s="25" t="s">
        <v>250</v>
      </c>
      <c r="D161" s="25" t="s">
        <v>2839</v>
      </c>
      <c r="E161" s="25" t="s">
        <v>222</v>
      </c>
      <c r="F161" s="25" t="s">
        <v>2837</v>
      </c>
      <c r="G161" s="25" t="s">
        <v>2837</v>
      </c>
      <c r="H161" s="25" t="s">
        <v>824</v>
      </c>
      <c r="I161" s="25"/>
      <c r="J161" s="25" t="s">
        <v>2838</v>
      </c>
      <c r="K161" s="71">
        <v>44754</v>
      </c>
      <c r="L161" s="25">
        <v>7</v>
      </c>
      <c r="M161" s="71">
        <v>44761</v>
      </c>
      <c r="N161" s="25"/>
      <c r="O161" s="70" t="s">
        <v>520</v>
      </c>
      <c r="P161" s="25" t="s">
        <v>225</v>
      </c>
      <c r="Q161" s="25" t="s">
        <v>2838</v>
      </c>
      <c r="R161" s="25"/>
    </row>
    <row r="162" spans="1:18" ht="41.25" customHeight="1" x14ac:dyDescent="0.4">
      <c r="A162" s="71">
        <v>44761</v>
      </c>
      <c r="B162" s="25" t="s">
        <v>521</v>
      </c>
      <c r="C162" s="25" t="s">
        <v>250</v>
      </c>
      <c r="D162" s="25" t="s">
        <v>2839</v>
      </c>
      <c r="E162" s="25" t="s">
        <v>222</v>
      </c>
      <c r="F162" s="25" t="s">
        <v>2837</v>
      </c>
      <c r="G162" s="25" t="s">
        <v>2837</v>
      </c>
      <c r="H162" s="25" t="s">
        <v>824</v>
      </c>
      <c r="I162" s="25"/>
      <c r="J162" s="25" t="s">
        <v>2838</v>
      </c>
      <c r="K162" s="71">
        <v>44754</v>
      </c>
      <c r="L162" s="25">
        <v>7</v>
      </c>
      <c r="M162" s="71">
        <v>44762</v>
      </c>
      <c r="N162" s="25"/>
      <c r="O162" s="70" t="s">
        <v>522</v>
      </c>
      <c r="P162" s="25" t="s">
        <v>225</v>
      </c>
      <c r="Q162" s="25" t="s">
        <v>2838</v>
      </c>
      <c r="R162" s="25"/>
    </row>
    <row r="163" spans="1:18" ht="68.25" customHeight="1" x14ac:dyDescent="0.4">
      <c r="A163" s="71">
        <v>44761</v>
      </c>
      <c r="B163" s="25" t="s">
        <v>523</v>
      </c>
      <c r="C163" s="25" t="s">
        <v>281</v>
      </c>
      <c r="D163" s="25" t="s">
        <v>2841</v>
      </c>
      <c r="E163" s="25" t="s">
        <v>222</v>
      </c>
      <c r="F163" s="25" t="s">
        <v>2837</v>
      </c>
      <c r="G163" s="25" t="s">
        <v>2837</v>
      </c>
      <c r="H163" s="25" t="s">
        <v>824</v>
      </c>
      <c r="I163" s="25"/>
      <c r="J163" s="25" t="s">
        <v>2838</v>
      </c>
      <c r="K163" s="71">
        <v>44754</v>
      </c>
      <c r="L163" s="25">
        <v>7</v>
      </c>
      <c r="M163" s="71">
        <v>44771</v>
      </c>
      <c r="N163" s="25"/>
      <c r="O163" s="70" t="s">
        <v>524</v>
      </c>
      <c r="P163" s="25" t="s">
        <v>225</v>
      </c>
      <c r="Q163" s="25" t="s">
        <v>2838</v>
      </c>
      <c r="R163" s="25"/>
    </row>
    <row r="164" spans="1:18" ht="41.25" customHeight="1" x14ac:dyDescent="0.4">
      <c r="A164" s="71">
        <v>44761</v>
      </c>
      <c r="B164" s="25" t="s">
        <v>525</v>
      </c>
      <c r="C164" s="25" t="s">
        <v>250</v>
      </c>
      <c r="D164" s="25" t="s">
        <v>2839</v>
      </c>
      <c r="E164" s="25" t="s">
        <v>222</v>
      </c>
      <c r="F164" s="25" t="s">
        <v>2837</v>
      </c>
      <c r="G164" s="25" t="s">
        <v>2837</v>
      </c>
      <c r="H164" s="25" t="s">
        <v>824</v>
      </c>
      <c r="I164" s="25"/>
      <c r="J164" s="25" t="s">
        <v>2838</v>
      </c>
      <c r="K164" s="71">
        <v>44754</v>
      </c>
      <c r="L164" s="25">
        <v>7</v>
      </c>
      <c r="M164" s="71">
        <v>44766</v>
      </c>
      <c r="N164" s="25"/>
      <c r="O164" s="70" t="s">
        <v>526</v>
      </c>
      <c r="P164" s="25" t="s">
        <v>225</v>
      </c>
      <c r="Q164" s="25" t="s">
        <v>2838</v>
      </c>
      <c r="R164" s="25"/>
    </row>
    <row r="165" spans="1:18" ht="41.25" customHeight="1" x14ac:dyDescent="0.4">
      <c r="A165" s="71">
        <v>44761</v>
      </c>
      <c r="B165" s="25" t="s">
        <v>527</v>
      </c>
      <c r="C165" s="25" t="s">
        <v>281</v>
      </c>
      <c r="D165" s="25" t="s">
        <v>2841</v>
      </c>
      <c r="E165" s="25" t="s">
        <v>222</v>
      </c>
      <c r="F165" s="25" t="s">
        <v>2837</v>
      </c>
      <c r="G165" s="25" t="s">
        <v>2837</v>
      </c>
      <c r="H165" s="25" t="s">
        <v>824</v>
      </c>
      <c r="I165" s="25"/>
      <c r="J165" s="25" t="s">
        <v>2838</v>
      </c>
      <c r="K165" s="71">
        <v>44754</v>
      </c>
      <c r="L165" s="25">
        <v>7</v>
      </c>
      <c r="M165" s="71">
        <v>44771</v>
      </c>
      <c r="N165" s="25"/>
      <c r="O165" s="70" t="s">
        <v>528</v>
      </c>
      <c r="P165" s="25" t="s">
        <v>225</v>
      </c>
      <c r="Q165" s="25" t="s">
        <v>2838</v>
      </c>
      <c r="R165" s="25"/>
    </row>
    <row r="166" spans="1:18" ht="27.75" customHeight="1" x14ac:dyDescent="0.4">
      <c r="A166" s="71">
        <v>44761</v>
      </c>
      <c r="B166" s="25" t="s">
        <v>529</v>
      </c>
      <c r="C166" s="25" t="s">
        <v>250</v>
      </c>
      <c r="D166" s="25" t="s">
        <v>2839</v>
      </c>
      <c r="E166" s="25" t="s">
        <v>222</v>
      </c>
      <c r="F166" s="25" t="s">
        <v>2837</v>
      </c>
      <c r="G166" s="25" t="s">
        <v>2837</v>
      </c>
      <c r="H166" s="25" t="s">
        <v>824</v>
      </c>
      <c r="I166" s="25"/>
      <c r="J166" s="25" t="s">
        <v>2838</v>
      </c>
      <c r="K166" s="71">
        <v>44754</v>
      </c>
      <c r="L166" s="25">
        <v>7</v>
      </c>
      <c r="M166" s="71">
        <v>44762</v>
      </c>
      <c r="N166" s="25"/>
      <c r="O166" s="70" t="s">
        <v>530</v>
      </c>
      <c r="P166" s="25" t="s">
        <v>225</v>
      </c>
      <c r="Q166" s="25" t="s">
        <v>2838</v>
      </c>
      <c r="R166" s="25"/>
    </row>
    <row r="167" spans="1:18" ht="27.75" customHeight="1" x14ac:dyDescent="0.4">
      <c r="A167" s="71">
        <v>44761</v>
      </c>
      <c r="B167" s="25" t="s">
        <v>531</v>
      </c>
      <c r="C167" s="25" t="s">
        <v>250</v>
      </c>
      <c r="D167" s="25" t="s">
        <v>2839</v>
      </c>
      <c r="E167" s="25" t="s">
        <v>222</v>
      </c>
      <c r="F167" s="25" t="s">
        <v>2837</v>
      </c>
      <c r="G167" s="25" t="s">
        <v>2837</v>
      </c>
      <c r="H167" s="25" t="s">
        <v>824</v>
      </c>
      <c r="I167" s="25"/>
      <c r="J167" s="25" t="s">
        <v>2838</v>
      </c>
      <c r="K167" s="71">
        <v>44754</v>
      </c>
      <c r="L167" s="25">
        <v>7</v>
      </c>
      <c r="M167" s="71">
        <v>44768</v>
      </c>
      <c r="N167" s="25"/>
      <c r="O167" s="70" t="s">
        <v>532</v>
      </c>
      <c r="P167" s="25" t="s">
        <v>225</v>
      </c>
      <c r="Q167" s="25" t="s">
        <v>2838</v>
      </c>
      <c r="R167" s="25"/>
    </row>
    <row r="168" spans="1:18" ht="54.75" customHeight="1" x14ac:dyDescent="0.4">
      <c r="A168" s="71">
        <v>44761</v>
      </c>
      <c r="B168" s="25" t="s">
        <v>533</v>
      </c>
      <c r="C168" s="25" t="s">
        <v>250</v>
      </c>
      <c r="D168" s="25" t="s">
        <v>2839</v>
      </c>
      <c r="E168" s="25" t="s">
        <v>222</v>
      </c>
      <c r="F168" s="25" t="s">
        <v>2837</v>
      </c>
      <c r="G168" s="25" t="s">
        <v>2837</v>
      </c>
      <c r="H168" s="25" t="s">
        <v>824</v>
      </c>
      <c r="I168" s="25"/>
      <c r="J168" s="25" t="s">
        <v>2838</v>
      </c>
      <c r="K168" s="71">
        <v>44754</v>
      </c>
      <c r="L168" s="25">
        <v>7</v>
      </c>
      <c r="M168" s="71">
        <v>44764</v>
      </c>
      <c r="N168" s="25"/>
      <c r="O168" s="70" t="s">
        <v>534</v>
      </c>
      <c r="P168" s="25" t="s">
        <v>225</v>
      </c>
      <c r="Q168" s="25" t="s">
        <v>2838</v>
      </c>
      <c r="R168" s="25"/>
    </row>
    <row r="169" spans="1:18" ht="122.25" customHeight="1" x14ac:dyDescent="0.4">
      <c r="A169" s="71">
        <v>44761</v>
      </c>
      <c r="B169" s="25" t="s">
        <v>535</v>
      </c>
      <c r="C169" s="25" t="s">
        <v>250</v>
      </c>
      <c r="D169" s="25" t="s">
        <v>2839</v>
      </c>
      <c r="E169" s="25" t="s">
        <v>222</v>
      </c>
      <c r="F169" s="25" t="s">
        <v>2837</v>
      </c>
      <c r="G169" s="25" t="s">
        <v>2837</v>
      </c>
      <c r="H169" s="25" t="s">
        <v>824</v>
      </c>
      <c r="I169" s="25"/>
      <c r="J169" s="25" t="s">
        <v>2838</v>
      </c>
      <c r="K169" s="71">
        <v>44754</v>
      </c>
      <c r="L169" s="25">
        <v>7</v>
      </c>
      <c r="M169" s="71">
        <v>44763</v>
      </c>
      <c r="N169" s="25"/>
      <c r="O169" s="70" t="s">
        <v>536</v>
      </c>
      <c r="P169" s="25" t="s">
        <v>225</v>
      </c>
      <c r="Q169" s="25" t="s">
        <v>2838</v>
      </c>
      <c r="R169" s="25"/>
    </row>
    <row r="170" spans="1:18" ht="95.25" customHeight="1" x14ac:dyDescent="0.4">
      <c r="A170" s="71">
        <v>44761</v>
      </c>
      <c r="B170" s="25" t="s">
        <v>537</v>
      </c>
      <c r="C170" s="25" t="s">
        <v>250</v>
      </c>
      <c r="D170" s="25" t="s">
        <v>2839</v>
      </c>
      <c r="E170" s="25" t="s">
        <v>222</v>
      </c>
      <c r="F170" s="25" t="s">
        <v>2837</v>
      </c>
      <c r="G170" s="25" t="s">
        <v>2837</v>
      </c>
      <c r="H170" s="25" t="s">
        <v>824</v>
      </c>
      <c r="I170" s="25"/>
      <c r="J170" s="25" t="s">
        <v>2838</v>
      </c>
      <c r="K170" s="71">
        <v>44754</v>
      </c>
      <c r="L170" s="25">
        <v>7</v>
      </c>
      <c r="M170" s="71">
        <v>44762</v>
      </c>
      <c r="N170" s="25"/>
      <c r="O170" s="70" t="s">
        <v>538</v>
      </c>
      <c r="P170" s="25" t="s">
        <v>225</v>
      </c>
      <c r="Q170" s="25" t="s">
        <v>2838</v>
      </c>
      <c r="R170" s="25"/>
    </row>
    <row r="171" spans="1:18" ht="41.25" customHeight="1" x14ac:dyDescent="0.4">
      <c r="A171" s="71">
        <v>44761</v>
      </c>
      <c r="B171" s="25" t="s">
        <v>539</v>
      </c>
      <c r="C171" s="25" t="s">
        <v>250</v>
      </c>
      <c r="D171" s="25" t="s">
        <v>2839</v>
      </c>
      <c r="E171" s="25" t="s">
        <v>222</v>
      </c>
      <c r="F171" s="25" t="s">
        <v>2837</v>
      </c>
      <c r="G171" s="25" t="s">
        <v>2837</v>
      </c>
      <c r="H171" s="25" t="s">
        <v>824</v>
      </c>
      <c r="I171" s="25"/>
      <c r="J171" s="25" t="s">
        <v>2838</v>
      </c>
      <c r="K171" s="71">
        <v>44754</v>
      </c>
      <c r="L171" s="25">
        <v>7</v>
      </c>
      <c r="M171" s="71">
        <v>44763</v>
      </c>
      <c r="N171" s="25"/>
      <c r="O171" s="70" t="s">
        <v>540</v>
      </c>
      <c r="P171" s="25" t="s">
        <v>225</v>
      </c>
      <c r="Q171" s="25" t="s">
        <v>2838</v>
      </c>
      <c r="R171" s="25"/>
    </row>
    <row r="172" spans="1:18" ht="175.5" customHeight="1" x14ac:dyDescent="0.4">
      <c r="A172" s="71">
        <v>44761</v>
      </c>
      <c r="B172" s="25" t="s">
        <v>541</v>
      </c>
      <c r="C172" s="25" t="s">
        <v>250</v>
      </c>
      <c r="D172" s="25" t="s">
        <v>2839</v>
      </c>
      <c r="E172" s="25" t="s">
        <v>222</v>
      </c>
      <c r="F172" s="25" t="s">
        <v>2837</v>
      </c>
      <c r="G172" s="25" t="s">
        <v>2837</v>
      </c>
      <c r="H172" s="25" t="s">
        <v>824</v>
      </c>
      <c r="I172" s="25"/>
      <c r="J172" s="25" t="s">
        <v>2838</v>
      </c>
      <c r="K172" s="71">
        <v>44754</v>
      </c>
      <c r="L172" s="25">
        <v>7</v>
      </c>
      <c r="M172" s="71">
        <v>44764</v>
      </c>
      <c r="N172" s="25"/>
      <c r="O172" s="70" t="s">
        <v>542</v>
      </c>
      <c r="P172" s="25" t="s">
        <v>225</v>
      </c>
      <c r="Q172" s="25" t="s">
        <v>2838</v>
      </c>
      <c r="R172" s="25"/>
    </row>
    <row r="173" spans="1:18" ht="54.75" customHeight="1" x14ac:dyDescent="0.4">
      <c r="A173" s="71">
        <v>44761</v>
      </c>
      <c r="B173" s="25" t="s">
        <v>543</v>
      </c>
      <c r="C173" s="25" t="s">
        <v>250</v>
      </c>
      <c r="D173" s="25" t="s">
        <v>2839</v>
      </c>
      <c r="E173" s="25" t="s">
        <v>222</v>
      </c>
      <c r="F173" s="25" t="s">
        <v>2837</v>
      </c>
      <c r="G173" s="25" t="s">
        <v>2837</v>
      </c>
      <c r="H173" s="25" t="s">
        <v>824</v>
      </c>
      <c r="I173" s="25"/>
      <c r="J173" s="25" t="s">
        <v>2838</v>
      </c>
      <c r="K173" s="71">
        <v>44754</v>
      </c>
      <c r="L173" s="25">
        <v>7</v>
      </c>
      <c r="M173" s="71">
        <v>44763</v>
      </c>
      <c r="N173" s="25"/>
      <c r="O173" s="70" t="s">
        <v>544</v>
      </c>
      <c r="P173" s="25" t="s">
        <v>225</v>
      </c>
      <c r="Q173" s="25" t="s">
        <v>2838</v>
      </c>
      <c r="R173" s="25"/>
    </row>
    <row r="174" spans="1:18" ht="27.75" customHeight="1" x14ac:dyDescent="0.4">
      <c r="A174" s="71">
        <v>44761</v>
      </c>
      <c r="B174" s="25" t="s">
        <v>545</v>
      </c>
      <c r="C174" s="25" t="s">
        <v>250</v>
      </c>
      <c r="D174" s="25" t="s">
        <v>2839</v>
      </c>
      <c r="E174" s="25" t="s">
        <v>222</v>
      </c>
      <c r="F174" s="25" t="s">
        <v>2837</v>
      </c>
      <c r="G174" s="25" t="s">
        <v>2837</v>
      </c>
      <c r="H174" s="25" t="s">
        <v>824</v>
      </c>
      <c r="I174" s="25"/>
      <c r="J174" s="25" t="s">
        <v>2838</v>
      </c>
      <c r="K174" s="71">
        <v>44754</v>
      </c>
      <c r="L174" s="25">
        <v>7</v>
      </c>
      <c r="M174" s="71">
        <v>44764</v>
      </c>
      <c r="N174" s="25"/>
      <c r="O174" s="70" t="s">
        <v>546</v>
      </c>
      <c r="P174" s="25" t="s">
        <v>225</v>
      </c>
      <c r="Q174" s="25" t="s">
        <v>2838</v>
      </c>
      <c r="R174" s="25"/>
    </row>
    <row r="175" spans="1:18" ht="54.75" customHeight="1" x14ac:dyDescent="0.4">
      <c r="A175" s="71">
        <v>44761</v>
      </c>
      <c r="B175" s="25" t="s">
        <v>547</v>
      </c>
      <c r="C175" s="25" t="s">
        <v>250</v>
      </c>
      <c r="D175" s="25" t="s">
        <v>2839</v>
      </c>
      <c r="E175" s="25" t="s">
        <v>222</v>
      </c>
      <c r="F175" s="25" t="s">
        <v>2837</v>
      </c>
      <c r="G175" s="25" t="s">
        <v>2837</v>
      </c>
      <c r="H175" s="25" t="s">
        <v>824</v>
      </c>
      <c r="I175" s="25"/>
      <c r="J175" s="25" t="s">
        <v>2838</v>
      </c>
      <c r="K175" s="71">
        <v>44754</v>
      </c>
      <c r="L175" s="25">
        <v>7</v>
      </c>
      <c r="M175" s="71">
        <v>44763</v>
      </c>
      <c r="N175" s="25"/>
      <c r="O175" s="70" t="s">
        <v>548</v>
      </c>
      <c r="P175" s="25" t="s">
        <v>225</v>
      </c>
      <c r="Q175" s="25" t="s">
        <v>2838</v>
      </c>
      <c r="R175" s="25"/>
    </row>
    <row r="176" spans="1:18" ht="135.75" customHeight="1" x14ac:dyDescent="0.4">
      <c r="A176" s="71">
        <v>44761</v>
      </c>
      <c r="B176" s="25" t="s">
        <v>549</v>
      </c>
      <c r="C176" s="25" t="s">
        <v>250</v>
      </c>
      <c r="D176" s="25" t="s">
        <v>2839</v>
      </c>
      <c r="E176" s="25" t="s">
        <v>222</v>
      </c>
      <c r="F176" s="25" t="s">
        <v>2837</v>
      </c>
      <c r="G176" s="25" t="s">
        <v>2837</v>
      </c>
      <c r="H176" s="25" t="s">
        <v>824</v>
      </c>
      <c r="I176" s="25"/>
      <c r="J176" s="25" t="s">
        <v>2838</v>
      </c>
      <c r="K176" s="71">
        <v>44754</v>
      </c>
      <c r="L176" s="25">
        <v>7</v>
      </c>
      <c r="M176" s="71">
        <v>44763</v>
      </c>
      <c r="N176" s="25"/>
      <c r="O176" s="70" t="s">
        <v>550</v>
      </c>
      <c r="P176" s="25" t="s">
        <v>225</v>
      </c>
      <c r="Q176" s="25" t="s">
        <v>2838</v>
      </c>
      <c r="R176" s="25"/>
    </row>
    <row r="177" spans="1:18" ht="54.75" customHeight="1" x14ac:dyDescent="0.4">
      <c r="A177" s="71">
        <v>44761</v>
      </c>
      <c r="B177" s="25" t="s">
        <v>551</v>
      </c>
      <c r="C177" s="25" t="s">
        <v>250</v>
      </c>
      <c r="D177" s="25" t="s">
        <v>2839</v>
      </c>
      <c r="E177" s="25" t="s">
        <v>222</v>
      </c>
      <c r="F177" s="25" t="s">
        <v>2837</v>
      </c>
      <c r="G177" s="25" t="s">
        <v>2837</v>
      </c>
      <c r="H177" s="25" t="s">
        <v>824</v>
      </c>
      <c r="I177" s="25"/>
      <c r="J177" s="25" t="s">
        <v>2838</v>
      </c>
      <c r="K177" s="71">
        <v>44754</v>
      </c>
      <c r="L177" s="25">
        <v>7</v>
      </c>
      <c r="M177" s="71">
        <v>44762</v>
      </c>
      <c r="N177" s="25"/>
      <c r="O177" s="70" t="s">
        <v>552</v>
      </c>
      <c r="P177" s="25" t="s">
        <v>225</v>
      </c>
      <c r="Q177" s="25" t="s">
        <v>2838</v>
      </c>
      <c r="R177" s="25"/>
    </row>
    <row r="178" spans="1:18" ht="27.75" customHeight="1" x14ac:dyDescent="0.4">
      <c r="A178" s="71">
        <v>44762</v>
      </c>
      <c r="B178" s="25" t="s">
        <v>553</v>
      </c>
      <c r="C178" s="25" t="s">
        <v>250</v>
      </c>
      <c r="D178" s="25" t="s">
        <v>2839</v>
      </c>
      <c r="E178" s="25" t="s">
        <v>222</v>
      </c>
      <c r="F178" s="25" t="s">
        <v>2837</v>
      </c>
      <c r="G178" s="25" t="s">
        <v>2837</v>
      </c>
      <c r="H178" s="25" t="s">
        <v>824</v>
      </c>
      <c r="I178" s="25"/>
      <c r="J178" s="25" t="s">
        <v>2838</v>
      </c>
      <c r="K178" s="71">
        <v>44754</v>
      </c>
      <c r="L178" s="25">
        <v>8</v>
      </c>
      <c r="M178" s="71">
        <v>44768</v>
      </c>
      <c r="N178" s="25"/>
      <c r="O178" s="70" t="s">
        <v>554</v>
      </c>
      <c r="P178" s="25" t="s">
        <v>225</v>
      </c>
      <c r="Q178" s="25" t="s">
        <v>2838</v>
      </c>
      <c r="R178" s="25"/>
    </row>
    <row r="179" spans="1:18" ht="108.75" customHeight="1" x14ac:dyDescent="0.4">
      <c r="A179" s="71">
        <v>44762</v>
      </c>
      <c r="B179" s="25" t="s">
        <v>555</v>
      </c>
      <c r="C179" s="25" t="s">
        <v>250</v>
      </c>
      <c r="D179" s="25" t="s">
        <v>2839</v>
      </c>
      <c r="E179" s="25" t="s">
        <v>222</v>
      </c>
      <c r="F179" s="25" t="s">
        <v>2837</v>
      </c>
      <c r="G179" s="25" t="s">
        <v>2837</v>
      </c>
      <c r="H179" s="25" t="s">
        <v>824</v>
      </c>
      <c r="I179" s="25"/>
      <c r="J179" s="25" t="s">
        <v>2838</v>
      </c>
      <c r="K179" s="71">
        <v>44754</v>
      </c>
      <c r="L179" s="25">
        <v>8</v>
      </c>
      <c r="M179" s="71">
        <v>44769</v>
      </c>
      <c r="N179" s="25"/>
      <c r="O179" s="70" t="s">
        <v>556</v>
      </c>
      <c r="P179" s="25" t="s">
        <v>225</v>
      </c>
      <c r="Q179" s="25" t="s">
        <v>2838</v>
      </c>
      <c r="R179" s="25"/>
    </row>
    <row r="180" spans="1:18" ht="54.75" customHeight="1" x14ac:dyDescent="0.4">
      <c r="A180" s="71">
        <v>44762</v>
      </c>
      <c r="B180" s="25" t="s">
        <v>557</v>
      </c>
      <c r="C180" s="25" t="s">
        <v>250</v>
      </c>
      <c r="D180" s="25" t="s">
        <v>2839</v>
      </c>
      <c r="E180" s="25" t="s">
        <v>222</v>
      </c>
      <c r="F180" s="25" t="s">
        <v>2837</v>
      </c>
      <c r="G180" s="25" t="s">
        <v>2837</v>
      </c>
      <c r="H180" s="25" t="s">
        <v>824</v>
      </c>
      <c r="I180" s="25"/>
      <c r="J180" s="25" t="s">
        <v>2838</v>
      </c>
      <c r="K180" s="71">
        <v>44754</v>
      </c>
      <c r="L180" s="25">
        <v>8</v>
      </c>
      <c r="M180" s="71">
        <v>44767</v>
      </c>
      <c r="N180" s="25"/>
      <c r="O180" s="70" t="s">
        <v>558</v>
      </c>
      <c r="P180" s="25" t="s">
        <v>225</v>
      </c>
      <c r="Q180" s="25" t="s">
        <v>2838</v>
      </c>
      <c r="R180" s="25"/>
    </row>
    <row r="181" spans="1:18" ht="27.75" customHeight="1" x14ac:dyDescent="0.4">
      <c r="A181" s="71">
        <v>44762</v>
      </c>
      <c r="B181" s="25" t="s">
        <v>559</v>
      </c>
      <c r="C181" s="25" t="s">
        <v>250</v>
      </c>
      <c r="D181" s="25" t="s">
        <v>2839</v>
      </c>
      <c r="E181" s="25" t="s">
        <v>222</v>
      </c>
      <c r="F181" s="25" t="s">
        <v>2837</v>
      </c>
      <c r="G181" s="25" t="s">
        <v>2837</v>
      </c>
      <c r="H181" s="25" t="s">
        <v>824</v>
      </c>
      <c r="I181" s="25"/>
      <c r="J181" s="25" t="s">
        <v>2838</v>
      </c>
      <c r="K181" s="71">
        <v>44754</v>
      </c>
      <c r="L181" s="25">
        <v>8</v>
      </c>
      <c r="M181" s="71">
        <v>44763</v>
      </c>
      <c r="N181" s="25"/>
      <c r="O181" s="70" t="s">
        <v>560</v>
      </c>
      <c r="P181" s="25" t="s">
        <v>225</v>
      </c>
      <c r="Q181" s="25" t="s">
        <v>2838</v>
      </c>
      <c r="R181" s="25"/>
    </row>
    <row r="182" spans="1:18" ht="27.75" customHeight="1" x14ac:dyDescent="0.4">
      <c r="A182" s="71">
        <v>44761</v>
      </c>
      <c r="B182" s="25" t="s">
        <v>561</v>
      </c>
      <c r="C182" s="25" t="s">
        <v>250</v>
      </c>
      <c r="D182" s="25" t="s">
        <v>2839</v>
      </c>
      <c r="E182" s="25" t="s">
        <v>222</v>
      </c>
      <c r="F182" s="25" t="s">
        <v>2837</v>
      </c>
      <c r="G182" s="25" t="s">
        <v>2837</v>
      </c>
      <c r="H182" s="25" t="s">
        <v>824</v>
      </c>
      <c r="I182" s="25"/>
      <c r="J182" s="25" t="s">
        <v>2838</v>
      </c>
      <c r="K182" s="71">
        <v>44754</v>
      </c>
      <c r="L182" s="25">
        <v>7</v>
      </c>
      <c r="M182" s="71">
        <v>44763</v>
      </c>
      <c r="N182" s="25"/>
      <c r="O182" s="70" t="s">
        <v>562</v>
      </c>
      <c r="P182" s="25" t="s">
        <v>225</v>
      </c>
      <c r="Q182" s="25" t="s">
        <v>2838</v>
      </c>
      <c r="R182" s="25"/>
    </row>
    <row r="183" spans="1:18" ht="41.25" customHeight="1" x14ac:dyDescent="0.4">
      <c r="A183" s="71">
        <v>44761</v>
      </c>
      <c r="B183" s="25" t="s">
        <v>563</v>
      </c>
      <c r="C183" s="25" t="s">
        <v>250</v>
      </c>
      <c r="D183" s="25" t="s">
        <v>2839</v>
      </c>
      <c r="E183" s="25" t="s">
        <v>222</v>
      </c>
      <c r="F183" s="25" t="s">
        <v>2837</v>
      </c>
      <c r="G183" s="25" t="s">
        <v>2837</v>
      </c>
      <c r="H183" s="25" t="s">
        <v>824</v>
      </c>
      <c r="I183" s="25"/>
      <c r="J183" s="25" t="s">
        <v>2838</v>
      </c>
      <c r="K183" s="71">
        <v>44754</v>
      </c>
      <c r="L183" s="25">
        <v>7</v>
      </c>
      <c r="M183" s="71">
        <v>44768</v>
      </c>
      <c r="N183" s="25"/>
      <c r="O183" s="70" t="s">
        <v>564</v>
      </c>
      <c r="P183" s="25" t="s">
        <v>225</v>
      </c>
      <c r="Q183" s="25" t="s">
        <v>2838</v>
      </c>
      <c r="R183" s="25"/>
    </row>
    <row r="184" spans="1:18" ht="54.75" customHeight="1" x14ac:dyDescent="0.4">
      <c r="A184" s="71">
        <v>44761</v>
      </c>
      <c r="B184" s="25" t="s">
        <v>565</v>
      </c>
      <c r="C184" s="25" t="s">
        <v>281</v>
      </c>
      <c r="D184" s="25" t="s">
        <v>2841</v>
      </c>
      <c r="E184" s="25" t="s">
        <v>222</v>
      </c>
      <c r="F184" s="25" t="s">
        <v>2837</v>
      </c>
      <c r="G184" s="25" t="s">
        <v>2837</v>
      </c>
      <c r="H184" s="25" t="s">
        <v>824</v>
      </c>
      <c r="I184" s="25"/>
      <c r="J184" s="25" t="s">
        <v>2838</v>
      </c>
      <c r="K184" s="71">
        <v>44754</v>
      </c>
      <c r="L184" s="25">
        <v>7</v>
      </c>
      <c r="M184" s="71">
        <v>44771</v>
      </c>
      <c r="N184" s="25"/>
      <c r="O184" s="70" t="s">
        <v>566</v>
      </c>
      <c r="P184" s="25" t="s">
        <v>225</v>
      </c>
      <c r="Q184" s="25" t="s">
        <v>2838</v>
      </c>
      <c r="R184" s="25"/>
    </row>
    <row r="185" spans="1:18" ht="68.25" customHeight="1" x14ac:dyDescent="0.4">
      <c r="A185" s="71">
        <v>44762</v>
      </c>
      <c r="B185" s="25" t="s">
        <v>567</v>
      </c>
      <c r="C185" s="25" t="s">
        <v>250</v>
      </c>
      <c r="D185" s="25" t="s">
        <v>2839</v>
      </c>
      <c r="E185" s="25" t="s">
        <v>222</v>
      </c>
      <c r="F185" s="25" t="s">
        <v>2837</v>
      </c>
      <c r="G185" s="25" t="s">
        <v>2837</v>
      </c>
      <c r="H185" s="25" t="s">
        <v>824</v>
      </c>
      <c r="I185" s="25"/>
      <c r="J185" s="25" t="s">
        <v>2838</v>
      </c>
      <c r="K185" s="71">
        <v>44754</v>
      </c>
      <c r="L185" s="25">
        <v>8</v>
      </c>
      <c r="M185" s="71">
        <v>44762</v>
      </c>
      <c r="N185" s="25"/>
      <c r="O185" s="70" t="s">
        <v>568</v>
      </c>
      <c r="P185" s="25" t="s">
        <v>225</v>
      </c>
      <c r="Q185" s="25" t="s">
        <v>2838</v>
      </c>
      <c r="R185" s="25"/>
    </row>
    <row r="186" spans="1:18" ht="216" customHeight="1" x14ac:dyDescent="0.4">
      <c r="A186" s="71">
        <v>44762</v>
      </c>
      <c r="B186" s="25" t="s">
        <v>569</v>
      </c>
      <c r="C186" s="25" t="s">
        <v>250</v>
      </c>
      <c r="D186" s="25" t="s">
        <v>2839</v>
      </c>
      <c r="E186" s="25" t="s">
        <v>222</v>
      </c>
      <c r="F186" s="25" t="s">
        <v>2837</v>
      </c>
      <c r="G186" s="25" t="s">
        <v>2837</v>
      </c>
      <c r="H186" s="25" t="s">
        <v>824</v>
      </c>
      <c r="I186" s="25"/>
      <c r="J186" s="25" t="s">
        <v>2838</v>
      </c>
      <c r="K186" s="71">
        <v>44754</v>
      </c>
      <c r="L186" s="25">
        <v>8</v>
      </c>
      <c r="M186" s="71">
        <v>44767</v>
      </c>
      <c r="N186" s="25"/>
      <c r="O186" s="70" t="s">
        <v>570</v>
      </c>
      <c r="P186" s="25" t="s">
        <v>225</v>
      </c>
      <c r="Q186" s="25" t="s">
        <v>2838</v>
      </c>
      <c r="R186" s="25"/>
    </row>
    <row r="187" spans="1:18" ht="68.25" customHeight="1" x14ac:dyDescent="0.4">
      <c r="A187" s="71">
        <v>44762</v>
      </c>
      <c r="B187" s="25" t="s">
        <v>571</v>
      </c>
      <c r="C187" s="25" t="s">
        <v>250</v>
      </c>
      <c r="D187" s="25" t="s">
        <v>2839</v>
      </c>
      <c r="E187" s="25" t="s">
        <v>222</v>
      </c>
      <c r="F187" s="25" t="s">
        <v>2837</v>
      </c>
      <c r="G187" s="25" t="s">
        <v>2837</v>
      </c>
      <c r="H187" s="25" t="s">
        <v>824</v>
      </c>
      <c r="I187" s="25"/>
      <c r="J187" s="25" t="s">
        <v>2838</v>
      </c>
      <c r="K187" s="71">
        <v>44754</v>
      </c>
      <c r="L187" s="25">
        <v>8</v>
      </c>
      <c r="M187" s="71">
        <v>44772</v>
      </c>
      <c r="N187" s="25"/>
      <c r="O187" s="70" t="s">
        <v>572</v>
      </c>
      <c r="P187" s="25" t="s">
        <v>225</v>
      </c>
      <c r="Q187" s="25" t="s">
        <v>2838</v>
      </c>
      <c r="R187" s="25"/>
    </row>
    <row r="188" spans="1:18" ht="229.5" customHeight="1" x14ac:dyDescent="0.4">
      <c r="A188" s="71">
        <v>44761</v>
      </c>
      <c r="B188" s="25" t="s">
        <v>573</v>
      </c>
      <c r="C188" s="25" t="s">
        <v>250</v>
      </c>
      <c r="D188" s="25" t="s">
        <v>2839</v>
      </c>
      <c r="E188" s="25" t="s">
        <v>222</v>
      </c>
      <c r="F188" s="25" t="s">
        <v>2837</v>
      </c>
      <c r="G188" s="25" t="s">
        <v>2837</v>
      </c>
      <c r="H188" s="25" t="s">
        <v>824</v>
      </c>
      <c r="I188" s="25"/>
      <c r="J188" s="25" t="s">
        <v>2838</v>
      </c>
      <c r="K188" s="71">
        <v>44754</v>
      </c>
      <c r="L188" s="25">
        <v>7</v>
      </c>
      <c r="M188" s="71">
        <v>44763</v>
      </c>
      <c r="N188" s="25"/>
      <c r="O188" s="70" t="s">
        <v>574</v>
      </c>
      <c r="P188" s="25" t="s">
        <v>225</v>
      </c>
      <c r="Q188" s="25" t="s">
        <v>2838</v>
      </c>
      <c r="R188" s="25"/>
    </row>
    <row r="189" spans="1:18" ht="95.25" customHeight="1" x14ac:dyDescent="0.4">
      <c r="A189" s="71">
        <v>44762</v>
      </c>
      <c r="B189" s="25" t="s">
        <v>575</v>
      </c>
      <c r="C189" s="25" t="s">
        <v>250</v>
      </c>
      <c r="D189" s="25" t="s">
        <v>2839</v>
      </c>
      <c r="E189" s="25" t="s">
        <v>222</v>
      </c>
      <c r="F189" s="25" t="s">
        <v>2837</v>
      </c>
      <c r="G189" s="25" t="s">
        <v>2837</v>
      </c>
      <c r="H189" s="25" t="s">
        <v>824</v>
      </c>
      <c r="I189" s="25"/>
      <c r="J189" s="25" t="s">
        <v>2838</v>
      </c>
      <c r="K189" s="71">
        <v>44754</v>
      </c>
      <c r="L189" s="25">
        <v>8</v>
      </c>
      <c r="M189" s="71">
        <v>44768</v>
      </c>
      <c r="N189" s="25"/>
      <c r="O189" s="70" t="s">
        <v>576</v>
      </c>
      <c r="P189" s="25" t="s">
        <v>225</v>
      </c>
      <c r="Q189" s="25" t="s">
        <v>2838</v>
      </c>
      <c r="R189" s="25"/>
    </row>
    <row r="190" spans="1:18" ht="108.75" customHeight="1" x14ac:dyDescent="0.4">
      <c r="A190" s="71">
        <v>44762</v>
      </c>
      <c r="B190" s="25" t="s">
        <v>577</v>
      </c>
      <c r="C190" s="25" t="s">
        <v>250</v>
      </c>
      <c r="D190" s="25" t="s">
        <v>2839</v>
      </c>
      <c r="E190" s="25" t="s">
        <v>222</v>
      </c>
      <c r="F190" s="25" t="s">
        <v>2837</v>
      </c>
      <c r="G190" s="25" t="s">
        <v>2837</v>
      </c>
      <c r="H190" s="25" t="s">
        <v>824</v>
      </c>
      <c r="I190" s="25"/>
      <c r="J190" s="25" t="s">
        <v>2838</v>
      </c>
      <c r="K190" s="71">
        <v>44754</v>
      </c>
      <c r="L190" s="25">
        <v>8</v>
      </c>
      <c r="M190" s="71">
        <v>44768</v>
      </c>
      <c r="N190" s="25"/>
      <c r="O190" s="70" t="s">
        <v>578</v>
      </c>
      <c r="P190" s="25" t="s">
        <v>225</v>
      </c>
      <c r="Q190" s="25" t="s">
        <v>2838</v>
      </c>
      <c r="R190" s="25"/>
    </row>
    <row r="191" spans="1:18" ht="41.25" customHeight="1" x14ac:dyDescent="0.4">
      <c r="A191" s="71">
        <v>44762</v>
      </c>
      <c r="B191" s="25" t="s">
        <v>579</v>
      </c>
      <c r="C191" s="25" t="s">
        <v>250</v>
      </c>
      <c r="D191" s="25" t="s">
        <v>2839</v>
      </c>
      <c r="E191" s="25" t="s">
        <v>222</v>
      </c>
      <c r="F191" s="25" t="s">
        <v>2837</v>
      </c>
      <c r="G191" s="25" t="s">
        <v>2837</v>
      </c>
      <c r="H191" s="25" t="s">
        <v>824</v>
      </c>
      <c r="I191" s="25"/>
      <c r="J191" s="25" t="s">
        <v>2838</v>
      </c>
      <c r="K191" s="71">
        <v>44754</v>
      </c>
      <c r="L191" s="25">
        <v>8</v>
      </c>
      <c r="M191" s="71">
        <v>44763</v>
      </c>
      <c r="N191" s="25"/>
      <c r="O191" s="70" t="s">
        <v>580</v>
      </c>
      <c r="P191" s="25" t="s">
        <v>225</v>
      </c>
      <c r="Q191" s="25" t="s">
        <v>2838</v>
      </c>
      <c r="R191" s="25"/>
    </row>
    <row r="192" spans="1:18" ht="41.25" customHeight="1" x14ac:dyDescent="0.4">
      <c r="A192" s="71">
        <v>44762</v>
      </c>
      <c r="B192" s="25" t="s">
        <v>581</v>
      </c>
      <c r="C192" s="25" t="s">
        <v>250</v>
      </c>
      <c r="D192" s="25" t="s">
        <v>2839</v>
      </c>
      <c r="E192" s="25" t="s">
        <v>222</v>
      </c>
      <c r="F192" s="25" t="s">
        <v>2837</v>
      </c>
      <c r="G192" s="25" t="s">
        <v>2837</v>
      </c>
      <c r="H192" s="25" t="s">
        <v>824</v>
      </c>
      <c r="I192" s="25"/>
      <c r="J192" s="25" t="s">
        <v>2838</v>
      </c>
      <c r="K192" s="71">
        <v>44754</v>
      </c>
      <c r="L192" s="25">
        <v>8</v>
      </c>
      <c r="M192" s="71">
        <v>44764</v>
      </c>
      <c r="N192" s="25"/>
      <c r="O192" s="70" t="s">
        <v>582</v>
      </c>
      <c r="P192" s="25" t="s">
        <v>225</v>
      </c>
      <c r="Q192" s="25" t="s">
        <v>2838</v>
      </c>
      <c r="R192" s="25"/>
    </row>
    <row r="193" spans="1:18" ht="68.25" customHeight="1" x14ac:dyDescent="0.4">
      <c r="A193" s="71">
        <v>44762</v>
      </c>
      <c r="B193" s="25" t="s">
        <v>583</v>
      </c>
      <c r="C193" s="25" t="s">
        <v>281</v>
      </c>
      <c r="D193" s="25" t="s">
        <v>2841</v>
      </c>
      <c r="E193" s="25" t="s">
        <v>222</v>
      </c>
      <c r="F193" s="25" t="s">
        <v>2837</v>
      </c>
      <c r="G193" s="25" t="s">
        <v>2837</v>
      </c>
      <c r="H193" s="25" t="s">
        <v>824</v>
      </c>
      <c r="I193" s="25"/>
      <c r="J193" s="25" t="s">
        <v>2838</v>
      </c>
      <c r="K193" s="71">
        <v>44754</v>
      </c>
      <c r="L193" s="25">
        <v>8</v>
      </c>
      <c r="M193" s="71">
        <v>44771</v>
      </c>
      <c r="N193" s="25"/>
      <c r="O193" s="70" t="s">
        <v>584</v>
      </c>
      <c r="P193" s="25" t="s">
        <v>225</v>
      </c>
      <c r="Q193" s="25" t="s">
        <v>2838</v>
      </c>
      <c r="R193" s="25"/>
    </row>
    <row r="194" spans="1:18" ht="149.25" customHeight="1" x14ac:dyDescent="0.4">
      <c r="A194" s="71">
        <v>44763</v>
      </c>
      <c r="B194" s="25" t="s">
        <v>585</v>
      </c>
      <c r="C194" s="25" t="s">
        <v>281</v>
      </c>
      <c r="D194" s="25" t="s">
        <v>2841</v>
      </c>
      <c r="E194" s="25" t="s">
        <v>222</v>
      </c>
      <c r="F194" s="25" t="s">
        <v>2837</v>
      </c>
      <c r="G194" s="25" t="s">
        <v>2837</v>
      </c>
      <c r="H194" s="25" t="s">
        <v>824</v>
      </c>
      <c r="I194" s="25"/>
      <c r="J194" s="25" t="s">
        <v>2838</v>
      </c>
      <c r="K194" s="71">
        <v>44754</v>
      </c>
      <c r="L194" s="25">
        <v>9</v>
      </c>
      <c r="M194" s="71">
        <v>44771</v>
      </c>
      <c r="N194" s="25"/>
      <c r="O194" s="70" t="s">
        <v>586</v>
      </c>
      <c r="P194" s="25" t="s">
        <v>225</v>
      </c>
      <c r="Q194" s="25" t="s">
        <v>2838</v>
      </c>
      <c r="R194" s="25"/>
    </row>
    <row r="195" spans="1:18" ht="68.25" customHeight="1" x14ac:dyDescent="0.4">
      <c r="A195" s="71">
        <v>44763</v>
      </c>
      <c r="B195" s="25" t="s">
        <v>587</v>
      </c>
      <c r="C195" s="25" t="s">
        <v>250</v>
      </c>
      <c r="D195" s="25" t="s">
        <v>2839</v>
      </c>
      <c r="E195" s="25" t="s">
        <v>222</v>
      </c>
      <c r="F195" s="25" t="s">
        <v>2837</v>
      </c>
      <c r="G195" s="25" t="s">
        <v>2837</v>
      </c>
      <c r="H195" s="25" t="s">
        <v>824</v>
      </c>
      <c r="I195" s="25"/>
      <c r="J195" s="25" t="s">
        <v>2838</v>
      </c>
      <c r="K195" s="71">
        <v>44754</v>
      </c>
      <c r="L195" s="25">
        <v>9</v>
      </c>
      <c r="M195" s="71">
        <v>44767</v>
      </c>
      <c r="N195" s="25"/>
      <c r="O195" s="70" t="s">
        <v>588</v>
      </c>
      <c r="P195" s="25" t="s">
        <v>225</v>
      </c>
      <c r="Q195" s="25" t="s">
        <v>2838</v>
      </c>
      <c r="R195" s="25"/>
    </row>
    <row r="196" spans="1:18" ht="27.75" customHeight="1" x14ac:dyDescent="0.4">
      <c r="A196" s="71">
        <v>44763</v>
      </c>
      <c r="B196" s="25" t="s">
        <v>589</v>
      </c>
      <c r="C196" s="25" t="s">
        <v>281</v>
      </c>
      <c r="D196" s="25" t="s">
        <v>2841</v>
      </c>
      <c r="E196" s="25" t="s">
        <v>222</v>
      </c>
      <c r="F196" s="25" t="s">
        <v>2837</v>
      </c>
      <c r="G196" s="25" t="s">
        <v>2837</v>
      </c>
      <c r="H196" s="25" t="s">
        <v>824</v>
      </c>
      <c r="I196" s="25"/>
      <c r="J196" s="25" t="s">
        <v>2838</v>
      </c>
      <c r="K196" s="71">
        <v>44754</v>
      </c>
      <c r="L196" s="25">
        <v>9</v>
      </c>
      <c r="M196" s="71">
        <v>44771</v>
      </c>
      <c r="N196" s="25"/>
      <c r="O196" s="70" t="s">
        <v>590</v>
      </c>
      <c r="P196" s="25" t="s">
        <v>225</v>
      </c>
      <c r="Q196" s="25" t="s">
        <v>2838</v>
      </c>
      <c r="R196" s="25"/>
    </row>
    <row r="197" spans="1:18" ht="95.25" customHeight="1" x14ac:dyDescent="0.4">
      <c r="A197" s="71">
        <v>44763</v>
      </c>
      <c r="B197" s="25" t="s">
        <v>591</v>
      </c>
      <c r="C197" s="25" t="s">
        <v>250</v>
      </c>
      <c r="D197" s="25" t="s">
        <v>2839</v>
      </c>
      <c r="E197" s="25" t="s">
        <v>222</v>
      </c>
      <c r="F197" s="25" t="s">
        <v>2837</v>
      </c>
      <c r="G197" s="25" t="s">
        <v>2837</v>
      </c>
      <c r="H197" s="25" t="s">
        <v>824</v>
      </c>
      <c r="I197" s="25"/>
      <c r="J197" s="25" t="s">
        <v>2838</v>
      </c>
      <c r="K197" s="71">
        <v>44754</v>
      </c>
      <c r="L197" s="25">
        <v>9</v>
      </c>
      <c r="M197" s="71">
        <v>44764</v>
      </c>
      <c r="N197" s="25"/>
      <c r="O197" s="70" t="s">
        <v>592</v>
      </c>
      <c r="P197" s="25" t="s">
        <v>225</v>
      </c>
      <c r="Q197" s="25" t="s">
        <v>2838</v>
      </c>
      <c r="R197" s="25"/>
    </row>
    <row r="198" spans="1:18" ht="108.75" customHeight="1" x14ac:dyDescent="0.4">
      <c r="A198" s="71">
        <v>44763</v>
      </c>
      <c r="B198" s="25" t="s">
        <v>593</v>
      </c>
      <c r="C198" s="25" t="s">
        <v>250</v>
      </c>
      <c r="D198" s="25" t="s">
        <v>2839</v>
      </c>
      <c r="E198" s="25" t="s">
        <v>222</v>
      </c>
      <c r="F198" s="25" t="s">
        <v>2837</v>
      </c>
      <c r="G198" s="25" t="s">
        <v>2837</v>
      </c>
      <c r="H198" s="25" t="s">
        <v>824</v>
      </c>
      <c r="I198" s="25"/>
      <c r="J198" s="25" t="s">
        <v>2838</v>
      </c>
      <c r="K198" s="71">
        <v>44754</v>
      </c>
      <c r="L198" s="25">
        <v>9</v>
      </c>
      <c r="M198" s="71">
        <v>44763</v>
      </c>
      <c r="N198" s="25"/>
      <c r="O198" s="70" t="s">
        <v>594</v>
      </c>
      <c r="P198" s="25" t="s">
        <v>225</v>
      </c>
      <c r="Q198" s="25" t="s">
        <v>2838</v>
      </c>
      <c r="R198" s="25"/>
    </row>
    <row r="199" spans="1:18" ht="108.75" customHeight="1" x14ac:dyDescent="0.4">
      <c r="A199" s="71">
        <v>44763</v>
      </c>
      <c r="B199" s="25" t="s">
        <v>595</v>
      </c>
      <c r="C199" s="25" t="s">
        <v>250</v>
      </c>
      <c r="D199" s="25" t="s">
        <v>2839</v>
      </c>
      <c r="E199" s="25" t="s">
        <v>222</v>
      </c>
      <c r="F199" s="25" t="s">
        <v>2837</v>
      </c>
      <c r="G199" s="25" t="s">
        <v>2837</v>
      </c>
      <c r="H199" s="25" t="s">
        <v>824</v>
      </c>
      <c r="I199" s="25"/>
      <c r="J199" s="25" t="s">
        <v>2838</v>
      </c>
      <c r="K199" s="71">
        <v>44754</v>
      </c>
      <c r="L199" s="25">
        <v>9</v>
      </c>
      <c r="M199" s="71">
        <v>44763</v>
      </c>
      <c r="N199" s="25"/>
      <c r="O199" s="70" t="s">
        <v>596</v>
      </c>
      <c r="P199" s="25" t="s">
        <v>225</v>
      </c>
      <c r="Q199" s="25" t="s">
        <v>2838</v>
      </c>
      <c r="R199" s="25"/>
    </row>
    <row r="200" spans="1:18" ht="27.75" customHeight="1" x14ac:dyDescent="0.4">
      <c r="A200" s="71">
        <v>44763</v>
      </c>
      <c r="B200" s="25" t="s">
        <v>597</v>
      </c>
      <c r="C200" s="25" t="s">
        <v>250</v>
      </c>
      <c r="D200" s="25" t="s">
        <v>2839</v>
      </c>
      <c r="E200" s="25" t="s">
        <v>222</v>
      </c>
      <c r="F200" s="25" t="s">
        <v>2837</v>
      </c>
      <c r="G200" s="25" t="s">
        <v>2837</v>
      </c>
      <c r="H200" s="25" t="s">
        <v>824</v>
      </c>
      <c r="I200" s="25"/>
      <c r="J200" s="25" t="s">
        <v>2838</v>
      </c>
      <c r="K200" s="71">
        <v>44754</v>
      </c>
      <c r="L200" s="25">
        <v>9</v>
      </c>
      <c r="M200" s="71">
        <v>44766</v>
      </c>
      <c r="N200" s="25"/>
      <c r="O200" s="70" t="s">
        <v>598</v>
      </c>
      <c r="P200" s="25" t="s">
        <v>225</v>
      </c>
      <c r="Q200" s="25" t="s">
        <v>2838</v>
      </c>
      <c r="R200" s="25"/>
    </row>
    <row r="201" spans="1:18" ht="108.75" customHeight="1" x14ac:dyDescent="0.4">
      <c r="A201" s="71">
        <v>44763</v>
      </c>
      <c r="B201" s="25" t="s">
        <v>599</v>
      </c>
      <c r="C201" s="25" t="s">
        <v>250</v>
      </c>
      <c r="D201" s="25" t="s">
        <v>2839</v>
      </c>
      <c r="E201" s="25" t="s">
        <v>222</v>
      </c>
      <c r="F201" s="25" t="s">
        <v>2837</v>
      </c>
      <c r="G201" s="25" t="s">
        <v>2837</v>
      </c>
      <c r="H201" s="25" t="s">
        <v>824</v>
      </c>
      <c r="I201" s="25"/>
      <c r="J201" s="25" t="s">
        <v>2838</v>
      </c>
      <c r="K201" s="71">
        <v>44754</v>
      </c>
      <c r="L201" s="25">
        <v>9</v>
      </c>
      <c r="M201" s="71">
        <v>44763</v>
      </c>
      <c r="N201" s="25"/>
      <c r="O201" s="70" t="s">
        <v>600</v>
      </c>
      <c r="P201" s="25" t="s">
        <v>225</v>
      </c>
      <c r="Q201" s="25" t="s">
        <v>2838</v>
      </c>
      <c r="R201" s="25"/>
    </row>
    <row r="202" spans="1:18" ht="41.25" customHeight="1" x14ac:dyDescent="0.4">
      <c r="A202" s="71">
        <v>44762</v>
      </c>
      <c r="B202" s="25" t="s">
        <v>601</v>
      </c>
      <c r="C202" s="25" t="s">
        <v>250</v>
      </c>
      <c r="D202" s="25" t="s">
        <v>2839</v>
      </c>
      <c r="E202" s="25" t="s">
        <v>222</v>
      </c>
      <c r="F202" s="25" t="s">
        <v>2837</v>
      </c>
      <c r="G202" s="25" t="s">
        <v>2837</v>
      </c>
      <c r="H202" s="25" t="s">
        <v>824</v>
      </c>
      <c r="I202" s="25"/>
      <c r="J202" s="25" t="s">
        <v>2838</v>
      </c>
      <c r="K202" s="71">
        <v>44754</v>
      </c>
      <c r="L202" s="25">
        <v>8</v>
      </c>
      <c r="M202" s="71">
        <v>44763</v>
      </c>
      <c r="N202" s="25"/>
      <c r="O202" s="70" t="s">
        <v>602</v>
      </c>
      <c r="P202" s="25" t="s">
        <v>225</v>
      </c>
      <c r="Q202" s="25" t="s">
        <v>2838</v>
      </c>
      <c r="R202" s="25"/>
    </row>
    <row r="203" spans="1:18" ht="68.25" customHeight="1" x14ac:dyDescent="0.4">
      <c r="A203" s="71">
        <v>44763</v>
      </c>
      <c r="B203" s="25" t="s">
        <v>603</v>
      </c>
      <c r="C203" s="25" t="s">
        <v>250</v>
      </c>
      <c r="D203" s="25" t="s">
        <v>2839</v>
      </c>
      <c r="E203" s="25" t="s">
        <v>222</v>
      </c>
      <c r="F203" s="25" t="s">
        <v>2837</v>
      </c>
      <c r="G203" s="25" t="s">
        <v>2837</v>
      </c>
      <c r="H203" s="25" t="s">
        <v>824</v>
      </c>
      <c r="I203" s="25"/>
      <c r="J203" s="25" t="s">
        <v>2838</v>
      </c>
      <c r="K203" s="71">
        <v>44754</v>
      </c>
      <c r="L203" s="25">
        <v>9</v>
      </c>
      <c r="M203" s="71">
        <v>44764</v>
      </c>
      <c r="N203" s="25"/>
      <c r="O203" s="70" t="s">
        <v>604</v>
      </c>
      <c r="P203" s="25" t="s">
        <v>225</v>
      </c>
      <c r="Q203" s="25" t="s">
        <v>2838</v>
      </c>
      <c r="R203" s="25"/>
    </row>
    <row r="204" spans="1:18" ht="41.25" customHeight="1" x14ac:dyDescent="0.4">
      <c r="A204" s="71">
        <v>44763</v>
      </c>
      <c r="B204" s="25" t="s">
        <v>605</v>
      </c>
      <c r="C204" s="25" t="s">
        <v>250</v>
      </c>
      <c r="D204" s="25" t="s">
        <v>2839</v>
      </c>
      <c r="E204" s="25" t="s">
        <v>222</v>
      </c>
      <c r="F204" s="25" t="s">
        <v>2837</v>
      </c>
      <c r="G204" s="25" t="s">
        <v>2837</v>
      </c>
      <c r="H204" s="25" t="s">
        <v>824</v>
      </c>
      <c r="I204" s="25"/>
      <c r="J204" s="25" t="s">
        <v>2838</v>
      </c>
      <c r="K204" s="71">
        <v>44754</v>
      </c>
      <c r="L204" s="25">
        <v>9</v>
      </c>
      <c r="M204" s="71">
        <v>44769</v>
      </c>
      <c r="N204" s="25"/>
      <c r="O204" s="70" t="s">
        <v>606</v>
      </c>
      <c r="P204" s="25" t="s">
        <v>225</v>
      </c>
      <c r="Q204" s="25" t="s">
        <v>2838</v>
      </c>
      <c r="R204" s="25"/>
    </row>
    <row r="205" spans="1:18" ht="68.25" customHeight="1" x14ac:dyDescent="0.4">
      <c r="A205" s="71">
        <v>44763</v>
      </c>
      <c r="B205" s="25" t="s">
        <v>607</v>
      </c>
      <c r="C205" s="25" t="s">
        <v>250</v>
      </c>
      <c r="D205" s="25" t="s">
        <v>2839</v>
      </c>
      <c r="E205" s="25" t="s">
        <v>222</v>
      </c>
      <c r="F205" s="25" t="s">
        <v>2837</v>
      </c>
      <c r="G205" s="25" t="s">
        <v>2837</v>
      </c>
      <c r="H205" s="25" t="s">
        <v>824</v>
      </c>
      <c r="I205" s="25"/>
      <c r="J205" s="25" t="s">
        <v>2838</v>
      </c>
      <c r="K205" s="71">
        <v>44754</v>
      </c>
      <c r="L205" s="25">
        <v>9</v>
      </c>
      <c r="M205" s="71">
        <v>44769</v>
      </c>
      <c r="N205" s="25"/>
      <c r="O205" s="70" t="s">
        <v>608</v>
      </c>
      <c r="P205" s="25" t="s">
        <v>225</v>
      </c>
      <c r="Q205" s="25" t="s">
        <v>2838</v>
      </c>
      <c r="R205" s="25"/>
    </row>
    <row r="206" spans="1:18" ht="41.25" customHeight="1" x14ac:dyDescent="0.4">
      <c r="A206" s="71">
        <v>44763</v>
      </c>
      <c r="B206" s="25" t="s">
        <v>609</v>
      </c>
      <c r="C206" s="25" t="s">
        <v>250</v>
      </c>
      <c r="D206" s="25" t="s">
        <v>2839</v>
      </c>
      <c r="E206" s="25" t="s">
        <v>222</v>
      </c>
      <c r="F206" s="25" t="s">
        <v>2837</v>
      </c>
      <c r="G206" s="25" t="s">
        <v>2837</v>
      </c>
      <c r="H206" s="25" t="s">
        <v>824</v>
      </c>
      <c r="I206" s="25"/>
      <c r="J206" s="25" t="s">
        <v>2838</v>
      </c>
      <c r="K206" s="71">
        <v>44754</v>
      </c>
      <c r="L206" s="25">
        <v>9</v>
      </c>
      <c r="M206" s="71">
        <v>44764</v>
      </c>
      <c r="N206" s="25"/>
      <c r="O206" s="70" t="s">
        <v>610</v>
      </c>
      <c r="P206" s="25" t="s">
        <v>225</v>
      </c>
      <c r="Q206" s="25" t="s">
        <v>2838</v>
      </c>
      <c r="R206" s="25"/>
    </row>
    <row r="207" spans="1:18" ht="54.75" customHeight="1" x14ac:dyDescent="0.4">
      <c r="A207" s="71">
        <v>44763</v>
      </c>
      <c r="B207" s="25" t="s">
        <v>611</v>
      </c>
      <c r="C207" s="25" t="s">
        <v>250</v>
      </c>
      <c r="D207" s="25" t="s">
        <v>2839</v>
      </c>
      <c r="E207" s="25" t="s">
        <v>222</v>
      </c>
      <c r="F207" s="25" t="s">
        <v>2837</v>
      </c>
      <c r="G207" s="25" t="s">
        <v>2837</v>
      </c>
      <c r="H207" s="25" t="s">
        <v>824</v>
      </c>
      <c r="I207" s="25"/>
      <c r="J207" s="25" t="s">
        <v>2838</v>
      </c>
      <c r="K207" s="71">
        <v>44754</v>
      </c>
      <c r="L207" s="25">
        <v>9</v>
      </c>
      <c r="M207" s="71">
        <v>44764</v>
      </c>
      <c r="N207" s="25"/>
      <c r="O207" s="70" t="s">
        <v>612</v>
      </c>
      <c r="P207" s="25" t="s">
        <v>225</v>
      </c>
      <c r="Q207" s="25" t="s">
        <v>2838</v>
      </c>
      <c r="R207" s="25"/>
    </row>
    <row r="208" spans="1:18" ht="81.75" customHeight="1" x14ac:dyDescent="0.4">
      <c r="A208" s="71">
        <v>44763</v>
      </c>
      <c r="B208" s="25" t="s">
        <v>613</v>
      </c>
      <c r="C208" s="25" t="s">
        <v>250</v>
      </c>
      <c r="D208" s="25" t="s">
        <v>2839</v>
      </c>
      <c r="E208" s="25" t="s">
        <v>222</v>
      </c>
      <c r="F208" s="25" t="s">
        <v>2837</v>
      </c>
      <c r="G208" s="25" t="s">
        <v>2837</v>
      </c>
      <c r="H208" s="25" t="s">
        <v>824</v>
      </c>
      <c r="I208" s="25"/>
      <c r="J208" s="25" t="s">
        <v>2838</v>
      </c>
      <c r="K208" s="71">
        <v>44754</v>
      </c>
      <c r="L208" s="25">
        <v>9</v>
      </c>
      <c r="M208" s="71">
        <v>44766</v>
      </c>
      <c r="N208" s="25"/>
      <c r="O208" s="70" t="s">
        <v>614</v>
      </c>
      <c r="P208" s="25" t="s">
        <v>225</v>
      </c>
      <c r="Q208" s="25" t="s">
        <v>2838</v>
      </c>
      <c r="R208" s="25"/>
    </row>
    <row r="209" spans="1:18" ht="68.25" customHeight="1" x14ac:dyDescent="0.4">
      <c r="A209" s="71">
        <v>44763</v>
      </c>
      <c r="B209" s="25" t="s">
        <v>615</v>
      </c>
      <c r="C209" s="25" t="s">
        <v>281</v>
      </c>
      <c r="D209" s="25" t="s">
        <v>2841</v>
      </c>
      <c r="E209" s="25" t="s">
        <v>222</v>
      </c>
      <c r="F209" s="25" t="s">
        <v>2837</v>
      </c>
      <c r="G209" s="25" t="s">
        <v>2837</v>
      </c>
      <c r="H209" s="25" t="s">
        <v>824</v>
      </c>
      <c r="I209" s="25"/>
      <c r="J209" s="25" t="s">
        <v>2838</v>
      </c>
      <c r="K209" s="71">
        <v>44754</v>
      </c>
      <c r="L209" s="25">
        <v>9</v>
      </c>
      <c r="M209" s="71">
        <v>44769</v>
      </c>
      <c r="N209" s="25"/>
      <c r="O209" s="70" t="s">
        <v>616</v>
      </c>
      <c r="P209" s="25" t="s">
        <v>225</v>
      </c>
      <c r="Q209" s="25" t="s">
        <v>2838</v>
      </c>
      <c r="R209" s="25"/>
    </row>
    <row r="210" spans="1:18" ht="68.25" customHeight="1" x14ac:dyDescent="0.4">
      <c r="A210" s="71">
        <v>44763</v>
      </c>
      <c r="B210" s="25" t="s">
        <v>617</v>
      </c>
      <c r="C210" s="25" t="s">
        <v>250</v>
      </c>
      <c r="D210" s="25" t="s">
        <v>2839</v>
      </c>
      <c r="E210" s="25" t="s">
        <v>222</v>
      </c>
      <c r="F210" s="25" t="s">
        <v>2837</v>
      </c>
      <c r="G210" s="25" t="s">
        <v>2837</v>
      </c>
      <c r="H210" s="25" t="s">
        <v>824</v>
      </c>
      <c r="I210" s="25"/>
      <c r="J210" s="25" t="s">
        <v>2838</v>
      </c>
      <c r="K210" s="71">
        <v>44754</v>
      </c>
      <c r="L210" s="25">
        <v>9</v>
      </c>
      <c r="M210" s="71">
        <v>44764</v>
      </c>
      <c r="N210" s="25"/>
      <c r="O210" s="70" t="s">
        <v>618</v>
      </c>
      <c r="P210" s="25" t="s">
        <v>225</v>
      </c>
      <c r="Q210" s="25" t="s">
        <v>2838</v>
      </c>
      <c r="R210" s="25"/>
    </row>
    <row r="211" spans="1:18" ht="68.25" customHeight="1" x14ac:dyDescent="0.4">
      <c r="A211" s="71">
        <v>44763</v>
      </c>
      <c r="B211" s="25" t="s">
        <v>619</v>
      </c>
      <c r="C211" s="25" t="s">
        <v>250</v>
      </c>
      <c r="D211" s="25" t="s">
        <v>2839</v>
      </c>
      <c r="E211" s="25" t="s">
        <v>222</v>
      </c>
      <c r="F211" s="25" t="s">
        <v>2837</v>
      </c>
      <c r="G211" s="25" t="s">
        <v>2837</v>
      </c>
      <c r="H211" s="25" t="s">
        <v>824</v>
      </c>
      <c r="I211" s="25"/>
      <c r="J211" s="25" t="s">
        <v>2838</v>
      </c>
      <c r="K211" s="71">
        <v>44754</v>
      </c>
      <c r="L211" s="25">
        <v>9</v>
      </c>
      <c r="M211" s="71">
        <v>44764</v>
      </c>
      <c r="N211" s="25"/>
      <c r="O211" s="70" t="s">
        <v>620</v>
      </c>
      <c r="P211" s="25" t="s">
        <v>225</v>
      </c>
      <c r="Q211" s="25" t="s">
        <v>2838</v>
      </c>
      <c r="R211" s="25"/>
    </row>
    <row r="212" spans="1:18" ht="41.25" customHeight="1" x14ac:dyDescent="0.4">
      <c r="A212" s="71">
        <v>44763</v>
      </c>
      <c r="B212" s="25" t="s">
        <v>621</v>
      </c>
      <c r="C212" s="25" t="s">
        <v>250</v>
      </c>
      <c r="D212" s="25" t="s">
        <v>2839</v>
      </c>
      <c r="E212" s="25" t="s">
        <v>222</v>
      </c>
      <c r="F212" s="25" t="s">
        <v>2837</v>
      </c>
      <c r="G212" s="25" t="s">
        <v>2837</v>
      </c>
      <c r="H212" s="25" t="s">
        <v>824</v>
      </c>
      <c r="I212" s="25"/>
      <c r="J212" s="25" t="s">
        <v>2838</v>
      </c>
      <c r="K212" s="71">
        <v>44754</v>
      </c>
      <c r="L212" s="25">
        <v>9</v>
      </c>
      <c r="M212" s="71">
        <v>44765</v>
      </c>
      <c r="N212" s="25"/>
      <c r="O212" s="70" t="s">
        <v>622</v>
      </c>
      <c r="P212" s="25" t="s">
        <v>225</v>
      </c>
      <c r="Q212" s="25" t="s">
        <v>2838</v>
      </c>
      <c r="R212" s="25"/>
    </row>
    <row r="213" spans="1:18" ht="95.25" customHeight="1" x14ac:dyDescent="0.4">
      <c r="A213" s="71">
        <v>44763</v>
      </c>
      <c r="B213" s="25" t="s">
        <v>623</v>
      </c>
      <c r="C213" s="25" t="s">
        <v>250</v>
      </c>
      <c r="D213" s="25" t="s">
        <v>2839</v>
      </c>
      <c r="E213" s="25" t="s">
        <v>222</v>
      </c>
      <c r="F213" s="25" t="s">
        <v>2837</v>
      </c>
      <c r="G213" s="25" t="s">
        <v>2837</v>
      </c>
      <c r="H213" s="25" t="s">
        <v>824</v>
      </c>
      <c r="I213" s="25"/>
      <c r="J213" s="25" t="s">
        <v>2838</v>
      </c>
      <c r="K213" s="71">
        <v>44754</v>
      </c>
      <c r="L213" s="25">
        <v>9</v>
      </c>
      <c r="M213" s="71">
        <v>44764</v>
      </c>
      <c r="N213" s="25"/>
      <c r="O213" s="70" t="s">
        <v>624</v>
      </c>
      <c r="P213" s="25" t="s">
        <v>225</v>
      </c>
      <c r="Q213" s="25" t="s">
        <v>2838</v>
      </c>
      <c r="R213" s="25"/>
    </row>
    <row r="214" spans="1:18" ht="81.75" customHeight="1" x14ac:dyDescent="0.4">
      <c r="A214" s="71">
        <v>44763</v>
      </c>
      <c r="B214" s="25" t="s">
        <v>625</v>
      </c>
      <c r="C214" s="25" t="s">
        <v>250</v>
      </c>
      <c r="D214" s="25" t="s">
        <v>2839</v>
      </c>
      <c r="E214" s="25" t="s">
        <v>222</v>
      </c>
      <c r="F214" s="25" t="s">
        <v>2837</v>
      </c>
      <c r="G214" s="25" t="s">
        <v>2837</v>
      </c>
      <c r="H214" s="25" t="s">
        <v>824</v>
      </c>
      <c r="I214" s="25"/>
      <c r="J214" s="25" t="s">
        <v>2838</v>
      </c>
      <c r="K214" s="71">
        <v>44754</v>
      </c>
      <c r="L214" s="25">
        <v>9</v>
      </c>
      <c r="M214" s="71">
        <v>44764</v>
      </c>
      <c r="N214" s="25"/>
      <c r="O214" s="70" t="s">
        <v>626</v>
      </c>
      <c r="P214" s="25" t="s">
        <v>225</v>
      </c>
      <c r="Q214" s="25" t="s">
        <v>2838</v>
      </c>
      <c r="R214" s="25"/>
    </row>
    <row r="215" spans="1:18" ht="149.25" customHeight="1" x14ac:dyDescent="0.4">
      <c r="A215" s="71">
        <v>44763</v>
      </c>
      <c r="B215" s="25" t="s">
        <v>627</v>
      </c>
      <c r="C215" s="25" t="s">
        <v>250</v>
      </c>
      <c r="D215" s="25" t="s">
        <v>2839</v>
      </c>
      <c r="E215" s="25" t="s">
        <v>222</v>
      </c>
      <c r="F215" s="25" t="s">
        <v>2837</v>
      </c>
      <c r="G215" s="25" t="s">
        <v>2837</v>
      </c>
      <c r="H215" s="25" t="s">
        <v>824</v>
      </c>
      <c r="I215" s="25"/>
      <c r="J215" s="25" t="s">
        <v>2838</v>
      </c>
      <c r="K215" s="71">
        <v>44754</v>
      </c>
      <c r="L215" s="25">
        <v>9</v>
      </c>
      <c r="M215" s="71">
        <v>44764</v>
      </c>
      <c r="N215" s="25"/>
      <c r="O215" s="70" t="s">
        <v>628</v>
      </c>
      <c r="P215" s="25" t="s">
        <v>225</v>
      </c>
      <c r="Q215" s="25" t="s">
        <v>2838</v>
      </c>
      <c r="R215" s="25"/>
    </row>
    <row r="216" spans="1:18" ht="54.75" customHeight="1" x14ac:dyDescent="0.4">
      <c r="A216" s="71">
        <v>44763</v>
      </c>
      <c r="B216" s="25" t="s">
        <v>629</v>
      </c>
      <c r="C216" s="25" t="s">
        <v>281</v>
      </c>
      <c r="D216" s="25" t="s">
        <v>2841</v>
      </c>
      <c r="E216" s="25" t="s">
        <v>222</v>
      </c>
      <c r="F216" s="25" t="s">
        <v>2837</v>
      </c>
      <c r="G216" s="25" t="s">
        <v>2837</v>
      </c>
      <c r="H216" s="25" t="s">
        <v>824</v>
      </c>
      <c r="I216" s="25"/>
      <c r="J216" s="25" t="s">
        <v>2838</v>
      </c>
      <c r="K216" s="71">
        <v>44754</v>
      </c>
      <c r="L216" s="25">
        <v>9</v>
      </c>
      <c r="M216" s="71">
        <v>44774</v>
      </c>
      <c r="N216" s="25"/>
      <c r="O216" s="70" t="s">
        <v>630</v>
      </c>
      <c r="P216" s="25" t="s">
        <v>225</v>
      </c>
      <c r="Q216" s="25" t="s">
        <v>2838</v>
      </c>
      <c r="R216" s="25"/>
    </row>
    <row r="217" spans="1:18" ht="68.25" customHeight="1" x14ac:dyDescent="0.4">
      <c r="A217" s="71">
        <v>44763</v>
      </c>
      <c r="B217" s="25" t="s">
        <v>631</v>
      </c>
      <c r="C217" s="25" t="s">
        <v>250</v>
      </c>
      <c r="D217" s="25" t="s">
        <v>2839</v>
      </c>
      <c r="E217" s="25" t="s">
        <v>222</v>
      </c>
      <c r="F217" s="25" t="s">
        <v>2837</v>
      </c>
      <c r="G217" s="25" t="s">
        <v>2837</v>
      </c>
      <c r="H217" s="25" t="s">
        <v>824</v>
      </c>
      <c r="I217" s="25"/>
      <c r="J217" s="25" t="s">
        <v>2838</v>
      </c>
      <c r="K217" s="71">
        <v>44754</v>
      </c>
      <c r="L217" s="25">
        <v>9</v>
      </c>
      <c r="M217" s="71">
        <v>44767</v>
      </c>
      <c r="N217" s="25"/>
      <c r="O217" s="70" t="s">
        <v>632</v>
      </c>
      <c r="P217" s="25" t="s">
        <v>225</v>
      </c>
      <c r="Q217" s="25" t="s">
        <v>2838</v>
      </c>
      <c r="R217" s="25"/>
    </row>
    <row r="218" spans="1:18" ht="54.75" customHeight="1" x14ac:dyDescent="0.4">
      <c r="A218" s="71">
        <v>44763</v>
      </c>
      <c r="B218" s="25" t="s">
        <v>633</v>
      </c>
      <c r="C218" s="25" t="s">
        <v>281</v>
      </c>
      <c r="D218" s="25" t="s">
        <v>2841</v>
      </c>
      <c r="E218" s="25" t="s">
        <v>222</v>
      </c>
      <c r="F218" s="25" t="s">
        <v>2837</v>
      </c>
      <c r="G218" s="25" t="s">
        <v>2837</v>
      </c>
      <c r="H218" s="25" t="s">
        <v>824</v>
      </c>
      <c r="I218" s="25"/>
      <c r="J218" s="25" t="s">
        <v>2838</v>
      </c>
      <c r="K218" s="71">
        <v>44754</v>
      </c>
      <c r="L218" s="25">
        <v>9</v>
      </c>
      <c r="M218" s="71">
        <v>44767</v>
      </c>
      <c r="N218" s="25"/>
      <c r="O218" s="70" t="s">
        <v>634</v>
      </c>
      <c r="P218" s="25" t="s">
        <v>225</v>
      </c>
      <c r="Q218" s="25" t="s">
        <v>2838</v>
      </c>
      <c r="R218" s="25"/>
    </row>
    <row r="219" spans="1:18" ht="68.25" customHeight="1" x14ac:dyDescent="0.4">
      <c r="A219" s="71">
        <v>44764</v>
      </c>
      <c r="B219" s="25" t="s">
        <v>635</v>
      </c>
      <c r="C219" s="25" t="s">
        <v>250</v>
      </c>
      <c r="D219" s="25" t="s">
        <v>2839</v>
      </c>
      <c r="E219" s="25" t="s">
        <v>222</v>
      </c>
      <c r="F219" s="25" t="s">
        <v>2837</v>
      </c>
      <c r="G219" s="25" t="s">
        <v>2837</v>
      </c>
      <c r="H219" s="25" t="s">
        <v>824</v>
      </c>
      <c r="I219" s="25"/>
      <c r="J219" s="25" t="s">
        <v>2838</v>
      </c>
      <c r="K219" s="71">
        <v>44754</v>
      </c>
      <c r="L219" s="25">
        <v>10</v>
      </c>
      <c r="M219" s="71">
        <v>44768</v>
      </c>
      <c r="N219" s="25"/>
      <c r="O219" s="70" t="s">
        <v>636</v>
      </c>
      <c r="P219" s="25" t="s">
        <v>225</v>
      </c>
      <c r="Q219" s="25" t="s">
        <v>2838</v>
      </c>
      <c r="R219" s="25"/>
    </row>
    <row r="220" spans="1:18" ht="41.25" customHeight="1" x14ac:dyDescent="0.4">
      <c r="A220" s="71">
        <v>44764</v>
      </c>
      <c r="B220" s="25" t="s">
        <v>637</v>
      </c>
      <c r="C220" s="25" t="s">
        <v>281</v>
      </c>
      <c r="D220" s="25" t="s">
        <v>2841</v>
      </c>
      <c r="E220" s="25" t="s">
        <v>222</v>
      </c>
      <c r="F220" s="25" t="s">
        <v>2837</v>
      </c>
      <c r="G220" s="25" t="s">
        <v>2837</v>
      </c>
      <c r="H220" s="25" t="s">
        <v>824</v>
      </c>
      <c r="I220" s="25"/>
      <c r="J220" s="25" t="s">
        <v>2838</v>
      </c>
      <c r="K220" s="71">
        <v>44754</v>
      </c>
      <c r="L220" s="25">
        <v>10</v>
      </c>
      <c r="M220" s="71">
        <v>44771</v>
      </c>
      <c r="N220" s="25"/>
      <c r="O220" s="70" t="s">
        <v>638</v>
      </c>
      <c r="P220" s="25" t="s">
        <v>225</v>
      </c>
      <c r="Q220" s="25" t="s">
        <v>2838</v>
      </c>
      <c r="R220" s="25"/>
    </row>
    <row r="221" spans="1:18" ht="54.75" customHeight="1" x14ac:dyDescent="0.4">
      <c r="A221" s="71">
        <v>44764</v>
      </c>
      <c r="B221" s="25" t="s">
        <v>639</v>
      </c>
      <c r="C221" s="25" t="s">
        <v>250</v>
      </c>
      <c r="D221" s="25" t="s">
        <v>2839</v>
      </c>
      <c r="E221" s="25" t="s">
        <v>222</v>
      </c>
      <c r="F221" s="25" t="s">
        <v>2837</v>
      </c>
      <c r="G221" s="25" t="s">
        <v>2837</v>
      </c>
      <c r="H221" s="25" t="s">
        <v>824</v>
      </c>
      <c r="I221" s="25"/>
      <c r="J221" s="25" t="s">
        <v>2838</v>
      </c>
      <c r="K221" s="71">
        <v>44754</v>
      </c>
      <c r="L221" s="25">
        <v>10</v>
      </c>
      <c r="M221" s="71">
        <v>44768</v>
      </c>
      <c r="N221" s="25"/>
      <c r="O221" s="70" t="s">
        <v>640</v>
      </c>
      <c r="P221" s="25" t="s">
        <v>225</v>
      </c>
      <c r="Q221" s="25" t="s">
        <v>2838</v>
      </c>
      <c r="R221" s="25"/>
    </row>
    <row r="222" spans="1:18" ht="41.25" customHeight="1" x14ac:dyDescent="0.4">
      <c r="A222" s="71">
        <v>44764</v>
      </c>
      <c r="B222" s="25" t="s">
        <v>641</v>
      </c>
      <c r="C222" s="25" t="s">
        <v>250</v>
      </c>
      <c r="D222" s="25" t="s">
        <v>2839</v>
      </c>
      <c r="E222" s="25" t="s">
        <v>222</v>
      </c>
      <c r="F222" s="25" t="s">
        <v>2837</v>
      </c>
      <c r="G222" s="25" t="s">
        <v>2837</v>
      </c>
      <c r="H222" s="25" t="s">
        <v>824</v>
      </c>
      <c r="I222" s="25"/>
      <c r="J222" s="25" t="s">
        <v>2838</v>
      </c>
      <c r="K222" s="71">
        <v>44754</v>
      </c>
      <c r="L222" s="25">
        <v>10</v>
      </c>
      <c r="M222" s="71">
        <v>44764</v>
      </c>
      <c r="N222" s="25"/>
      <c r="O222" s="70" t="s">
        <v>642</v>
      </c>
      <c r="P222" s="25" t="s">
        <v>225</v>
      </c>
      <c r="Q222" s="25" t="s">
        <v>2838</v>
      </c>
      <c r="R222" s="25"/>
    </row>
    <row r="223" spans="1:18" ht="149.25" customHeight="1" x14ac:dyDescent="0.4">
      <c r="A223" s="71">
        <v>44764</v>
      </c>
      <c r="B223" s="25" t="s">
        <v>643</v>
      </c>
      <c r="C223" s="25" t="s">
        <v>281</v>
      </c>
      <c r="D223" s="25" t="s">
        <v>2841</v>
      </c>
      <c r="E223" s="25" t="s">
        <v>222</v>
      </c>
      <c r="F223" s="25" t="s">
        <v>2837</v>
      </c>
      <c r="G223" s="25" t="s">
        <v>2837</v>
      </c>
      <c r="H223" s="25" t="s">
        <v>824</v>
      </c>
      <c r="I223" s="25"/>
      <c r="J223" s="25" t="s">
        <v>2838</v>
      </c>
      <c r="K223" s="71">
        <v>44754</v>
      </c>
      <c r="L223" s="25">
        <v>10</v>
      </c>
      <c r="M223" s="71">
        <v>44775</v>
      </c>
      <c r="N223" s="25"/>
      <c r="O223" s="70" t="s">
        <v>644</v>
      </c>
      <c r="P223" s="25" t="s">
        <v>225</v>
      </c>
      <c r="Q223" s="25" t="s">
        <v>2838</v>
      </c>
      <c r="R223" s="25"/>
    </row>
    <row r="224" spans="1:18" ht="54.75" customHeight="1" x14ac:dyDescent="0.4">
      <c r="A224" s="71">
        <v>44764</v>
      </c>
      <c r="B224" s="25" t="s">
        <v>645</v>
      </c>
      <c r="C224" s="25" t="s">
        <v>250</v>
      </c>
      <c r="D224" s="25" t="s">
        <v>2839</v>
      </c>
      <c r="E224" s="25" t="s">
        <v>222</v>
      </c>
      <c r="F224" s="25" t="s">
        <v>2837</v>
      </c>
      <c r="G224" s="25" t="s">
        <v>2837</v>
      </c>
      <c r="H224" s="25" t="s">
        <v>824</v>
      </c>
      <c r="I224" s="25"/>
      <c r="J224" s="25" t="s">
        <v>2838</v>
      </c>
      <c r="K224" s="71">
        <v>44754</v>
      </c>
      <c r="L224" s="25">
        <v>10</v>
      </c>
      <c r="M224" s="71">
        <v>44771</v>
      </c>
      <c r="N224" s="25"/>
      <c r="O224" s="70" t="s">
        <v>646</v>
      </c>
      <c r="P224" s="25" t="s">
        <v>225</v>
      </c>
      <c r="Q224" s="25" t="s">
        <v>2838</v>
      </c>
      <c r="R224" s="25"/>
    </row>
    <row r="225" spans="1:18" ht="135.75" customHeight="1" x14ac:dyDescent="0.4">
      <c r="A225" s="71">
        <v>44764</v>
      </c>
      <c r="B225" s="25" t="s">
        <v>647</v>
      </c>
      <c r="C225" s="25" t="s">
        <v>250</v>
      </c>
      <c r="D225" s="25" t="s">
        <v>2839</v>
      </c>
      <c r="E225" s="25" t="s">
        <v>222</v>
      </c>
      <c r="F225" s="25" t="s">
        <v>2837</v>
      </c>
      <c r="G225" s="25" t="s">
        <v>2837</v>
      </c>
      <c r="H225" s="25" t="s">
        <v>824</v>
      </c>
      <c r="I225" s="25"/>
      <c r="J225" s="25" t="s">
        <v>2838</v>
      </c>
      <c r="K225" s="71">
        <v>44754</v>
      </c>
      <c r="L225" s="25">
        <v>10</v>
      </c>
      <c r="M225" s="71">
        <v>44767</v>
      </c>
      <c r="N225" s="25"/>
      <c r="O225" s="70" t="s">
        <v>648</v>
      </c>
      <c r="P225" s="25" t="s">
        <v>225</v>
      </c>
      <c r="Q225" s="25" t="s">
        <v>2838</v>
      </c>
      <c r="R225" s="25"/>
    </row>
    <row r="226" spans="1:18" ht="54.75" customHeight="1" x14ac:dyDescent="0.4">
      <c r="A226" s="71">
        <v>44764</v>
      </c>
      <c r="B226" s="25" t="s">
        <v>649</v>
      </c>
      <c r="C226" s="25" t="s">
        <v>250</v>
      </c>
      <c r="D226" s="25" t="s">
        <v>2839</v>
      </c>
      <c r="E226" s="25" t="s">
        <v>222</v>
      </c>
      <c r="F226" s="25" t="s">
        <v>2837</v>
      </c>
      <c r="G226" s="25" t="s">
        <v>2837</v>
      </c>
      <c r="H226" s="25" t="s">
        <v>824</v>
      </c>
      <c r="I226" s="25"/>
      <c r="J226" s="25" t="s">
        <v>2838</v>
      </c>
      <c r="K226" s="71">
        <v>44754</v>
      </c>
      <c r="L226" s="25">
        <v>10</v>
      </c>
      <c r="M226" s="71">
        <v>44765</v>
      </c>
      <c r="N226" s="25"/>
      <c r="O226" s="70" t="s">
        <v>650</v>
      </c>
      <c r="P226" s="25" t="s">
        <v>225</v>
      </c>
      <c r="Q226" s="25" t="s">
        <v>2838</v>
      </c>
      <c r="R226" s="25"/>
    </row>
    <row r="227" spans="1:18" ht="27.75" customHeight="1" x14ac:dyDescent="0.4">
      <c r="A227" s="71">
        <v>44764</v>
      </c>
      <c r="B227" s="25" t="s">
        <v>651</v>
      </c>
      <c r="C227" s="25" t="s">
        <v>250</v>
      </c>
      <c r="D227" s="25" t="s">
        <v>2839</v>
      </c>
      <c r="E227" s="25" t="s">
        <v>222</v>
      </c>
      <c r="F227" s="25" t="s">
        <v>2837</v>
      </c>
      <c r="G227" s="25" t="s">
        <v>2837</v>
      </c>
      <c r="H227" s="25" t="s">
        <v>824</v>
      </c>
      <c r="I227" s="25"/>
      <c r="J227" s="25" t="s">
        <v>2838</v>
      </c>
      <c r="K227" s="71">
        <v>44754</v>
      </c>
      <c r="L227" s="25">
        <v>10</v>
      </c>
      <c r="M227" s="71">
        <v>44764</v>
      </c>
      <c r="N227" s="25"/>
      <c r="O227" s="70" t="s">
        <v>652</v>
      </c>
      <c r="P227" s="25" t="s">
        <v>225</v>
      </c>
      <c r="Q227" s="25" t="s">
        <v>2838</v>
      </c>
      <c r="R227" s="25"/>
    </row>
    <row r="228" spans="1:18" ht="149.25" customHeight="1" x14ac:dyDescent="0.4">
      <c r="A228" s="71">
        <v>44764</v>
      </c>
      <c r="B228" s="25" t="s">
        <v>653</v>
      </c>
      <c r="C228" s="25" t="s">
        <v>250</v>
      </c>
      <c r="D228" s="25" t="s">
        <v>2839</v>
      </c>
      <c r="E228" s="25" t="s">
        <v>222</v>
      </c>
      <c r="F228" s="25" t="s">
        <v>2837</v>
      </c>
      <c r="G228" s="25" t="s">
        <v>2837</v>
      </c>
      <c r="H228" s="25" t="s">
        <v>824</v>
      </c>
      <c r="I228" s="25"/>
      <c r="J228" s="25" t="s">
        <v>2838</v>
      </c>
      <c r="K228" s="71">
        <v>44754</v>
      </c>
      <c r="L228" s="25">
        <v>10</v>
      </c>
      <c r="M228" s="71">
        <v>44767</v>
      </c>
      <c r="N228" s="25"/>
      <c r="O228" s="70" t="s">
        <v>654</v>
      </c>
      <c r="P228" s="25" t="s">
        <v>225</v>
      </c>
      <c r="Q228" s="25" t="s">
        <v>2838</v>
      </c>
      <c r="R228" s="25"/>
    </row>
    <row r="229" spans="1:18" ht="162" customHeight="1" x14ac:dyDescent="0.4">
      <c r="A229" s="71">
        <v>44764</v>
      </c>
      <c r="B229" s="25" t="s">
        <v>655</v>
      </c>
      <c r="C229" s="25" t="s">
        <v>250</v>
      </c>
      <c r="D229" s="25" t="s">
        <v>2839</v>
      </c>
      <c r="E229" s="25" t="s">
        <v>222</v>
      </c>
      <c r="F229" s="25" t="s">
        <v>2837</v>
      </c>
      <c r="G229" s="25" t="s">
        <v>2837</v>
      </c>
      <c r="H229" s="25" t="s">
        <v>824</v>
      </c>
      <c r="I229" s="25"/>
      <c r="J229" s="25" t="s">
        <v>2838</v>
      </c>
      <c r="K229" s="71">
        <v>44754</v>
      </c>
      <c r="L229" s="25">
        <v>10</v>
      </c>
      <c r="M229" s="71">
        <v>44768</v>
      </c>
      <c r="N229" s="25"/>
      <c r="O229" s="70" t="s">
        <v>656</v>
      </c>
      <c r="P229" s="25" t="s">
        <v>225</v>
      </c>
      <c r="Q229" s="25" t="s">
        <v>2838</v>
      </c>
      <c r="R229" s="25"/>
    </row>
    <row r="230" spans="1:18" ht="68.25" customHeight="1" x14ac:dyDescent="0.4">
      <c r="A230" s="71">
        <v>44764</v>
      </c>
      <c r="B230" s="25" t="s">
        <v>657</v>
      </c>
      <c r="C230" s="25" t="s">
        <v>250</v>
      </c>
      <c r="D230" s="25" t="s">
        <v>2839</v>
      </c>
      <c r="E230" s="25" t="s">
        <v>222</v>
      </c>
      <c r="F230" s="25" t="s">
        <v>2837</v>
      </c>
      <c r="G230" s="25" t="s">
        <v>2837</v>
      </c>
      <c r="H230" s="25" t="s">
        <v>824</v>
      </c>
      <c r="I230" s="25"/>
      <c r="J230" s="25" t="s">
        <v>2838</v>
      </c>
      <c r="K230" s="71">
        <v>44754</v>
      </c>
      <c r="L230" s="25">
        <v>10</v>
      </c>
      <c r="M230" s="71">
        <v>44769</v>
      </c>
      <c r="N230" s="25"/>
      <c r="O230" s="70" t="s">
        <v>658</v>
      </c>
      <c r="P230" s="25" t="s">
        <v>225</v>
      </c>
      <c r="Q230" s="25" t="s">
        <v>2838</v>
      </c>
      <c r="R230" s="25"/>
    </row>
    <row r="231" spans="1:18" ht="27.75" customHeight="1" x14ac:dyDescent="0.4">
      <c r="A231" s="71">
        <v>44765</v>
      </c>
      <c r="B231" s="25" t="s">
        <v>659</v>
      </c>
      <c r="C231" s="25" t="s">
        <v>250</v>
      </c>
      <c r="D231" s="25" t="s">
        <v>2839</v>
      </c>
      <c r="E231" s="25" t="s">
        <v>222</v>
      </c>
      <c r="F231" s="25" t="s">
        <v>2837</v>
      </c>
      <c r="G231" s="25" t="s">
        <v>2837</v>
      </c>
      <c r="H231" s="25" t="s">
        <v>824</v>
      </c>
      <c r="I231" s="25"/>
      <c r="J231" s="25" t="s">
        <v>2838</v>
      </c>
      <c r="K231" s="71">
        <v>44754</v>
      </c>
      <c r="L231" s="25">
        <v>11</v>
      </c>
      <c r="M231" s="71">
        <v>44767</v>
      </c>
      <c r="N231" s="25"/>
      <c r="O231" s="70" t="s">
        <v>660</v>
      </c>
      <c r="P231" s="25" t="s">
        <v>225</v>
      </c>
      <c r="Q231" s="25" t="s">
        <v>2838</v>
      </c>
      <c r="R231" s="25"/>
    </row>
    <row r="232" spans="1:18" ht="27.75" customHeight="1" x14ac:dyDescent="0.4">
      <c r="A232" s="71">
        <v>44765</v>
      </c>
      <c r="B232" s="25" t="s">
        <v>661</v>
      </c>
      <c r="C232" s="25" t="s">
        <v>429</v>
      </c>
      <c r="D232" s="25" t="s">
        <v>2841</v>
      </c>
      <c r="E232" s="25" t="s">
        <v>222</v>
      </c>
      <c r="F232" s="25" t="s">
        <v>2837</v>
      </c>
      <c r="G232" s="25" t="s">
        <v>2837</v>
      </c>
      <c r="H232" s="25" t="s">
        <v>824</v>
      </c>
      <c r="I232" s="25"/>
      <c r="J232" s="25" t="s">
        <v>2838</v>
      </c>
      <c r="K232" s="71">
        <v>44754</v>
      </c>
      <c r="L232" s="25">
        <v>11</v>
      </c>
      <c r="M232" s="71">
        <v>44765</v>
      </c>
      <c r="N232" s="25"/>
      <c r="O232" s="70" t="s">
        <v>662</v>
      </c>
      <c r="P232" s="25" t="s">
        <v>225</v>
      </c>
      <c r="Q232" s="25" t="s">
        <v>2838</v>
      </c>
      <c r="R232" s="25"/>
    </row>
    <row r="233" spans="1:18" ht="41.25" customHeight="1" x14ac:dyDescent="0.4">
      <c r="A233" s="71">
        <v>44765</v>
      </c>
      <c r="B233" s="25" t="s">
        <v>663</v>
      </c>
      <c r="C233" s="25" t="s">
        <v>250</v>
      </c>
      <c r="D233" s="25" t="s">
        <v>2839</v>
      </c>
      <c r="E233" s="25" t="s">
        <v>222</v>
      </c>
      <c r="F233" s="25" t="s">
        <v>2837</v>
      </c>
      <c r="G233" s="25" t="s">
        <v>2837</v>
      </c>
      <c r="H233" s="25" t="s">
        <v>824</v>
      </c>
      <c r="I233" s="25"/>
      <c r="J233" s="25" t="s">
        <v>2838</v>
      </c>
      <c r="K233" s="71">
        <v>44754</v>
      </c>
      <c r="L233" s="25">
        <v>11</v>
      </c>
      <c r="M233" s="71">
        <v>44767</v>
      </c>
      <c r="N233" s="25"/>
      <c r="O233" s="70" t="s">
        <v>664</v>
      </c>
      <c r="P233" s="25" t="s">
        <v>225</v>
      </c>
      <c r="Q233" s="25" t="s">
        <v>2838</v>
      </c>
      <c r="R233" s="25"/>
    </row>
    <row r="234" spans="1:18" ht="41.25" customHeight="1" x14ac:dyDescent="0.4">
      <c r="A234" s="71">
        <v>44765</v>
      </c>
      <c r="B234" s="25" t="s">
        <v>665</v>
      </c>
      <c r="C234" s="25" t="s">
        <v>250</v>
      </c>
      <c r="D234" s="25" t="s">
        <v>2839</v>
      </c>
      <c r="E234" s="25" t="s">
        <v>222</v>
      </c>
      <c r="F234" s="25" t="s">
        <v>2837</v>
      </c>
      <c r="G234" s="25" t="s">
        <v>2837</v>
      </c>
      <c r="H234" s="25" t="s">
        <v>824</v>
      </c>
      <c r="I234" s="25"/>
      <c r="J234" s="25" t="s">
        <v>2838</v>
      </c>
      <c r="K234" s="71">
        <v>44754</v>
      </c>
      <c r="L234" s="25">
        <v>11</v>
      </c>
      <c r="M234" s="71">
        <v>44768</v>
      </c>
      <c r="N234" s="25"/>
      <c r="O234" s="70" t="s">
        <v>666</v>
      </c>
      <c r="P234" s="25" t="s">
        <v>225</v>
      </c>
      <c r="Q234" s="25" t="s">
        <v>2838</v>
      </c>
      <c r="R234" s="25"/>
    </row>
    <row r="235" spans="1:18" ht="81.75" customHeight="1" x14ac:dyDescent="0.4">
      <c r="A235" s="71">
        <v>44765</v>
      </c>
      <c r="B235" s="25" t="s">
        <v>667</v>
      </c>
      <c r="C235" s="25" t="s">
        <v>250</v>
      </c>
      <c r="D235" s="25" t="s">
        <v>2839</v>
      </c>
      <c r="E235" s="25" t="s">
        <v>222</v>
      </c>
      <c r="F235" s="25" t="s">
        <v>2837</v>
      </c>
      <c r="G235" s="25" t="s">
        <v>2837</v>
      </c>
      <c r="H235" s="25" t="s">
        <v>824</v>
      </c>
      <c r="I235" s="25"/>
      <c r="J235" s="25" t="s">
        <v>2838</v>
      </c>
      <c r="K235" s="71">
        <v>44754</v>
      </c>
      <c r="L235" s="25">
        <v>11</v>
      </c>
      <c r="M235" s="71">
        <v>44767</v>
      </c>
      <c r="N235" s="25"/>
      <c r="O235" s="70" t="s">
        <v>668</v>
      </c>
      <c r="P235" s="25" t="s">
        <v>225</v>
      </c>
      <c r="Q235" s="25" t="s">
        <v>2838</v>
      </c>
      <c r="R235" s="25"/>
    </row>
    <row r="236" spans="1:18" ht="41.25" customHeight="1" x14ac:dyDescent="0.4">
      <c r="A236" s="71">
        <v>44765</v>
      </c>
      <c r="B236" s="25" t="s">
        <v>669</v>
      </c>
      <c r="C236" s="25" t="s">
        <v>429</v>
      </c>
      <c r="D236" s="25" t="s">
        <v>2841</v>
      </c>
      <c r="E236" s="25" t="s">
        <v>222</v>
      </c>
      <c r="F236" s="25" t="s">
        <v>2837</v>
      </c>
      <c r="G236" s="25" t="s">
        <v>2837</v>
      </c>
      <c r="H236" s="25" t="s">
        <v>824</v>
      </c>
      <c r="I236" s="25"/>
      <c r="J236" s="25" t="s">
        <v>2838</v>
      </c>
      <c r="K236" s="71">
        <v>44754</v>
      </c>
      <c r="L236" s="25">
        <v>11</v>
      </c>
      <c r="M236" s="71">
        <v>44768</v>
      </c>
      <c r="N236" s="25"/>
      <c r="O236" s="70" t="s">
        <v>670</v>
      </c>
      <c r="P236" s="25" t="s">
        <v>225</v>
      </c>
      <c r="Q236" s="25" t="s">
        <v>2838</v>
      </c>
      <c r="R236" s="25"/>
    </row>
    <row r="237" spans="1:18" ht="202.5" customHeight="1" x14ac:dyDescent="0.4">
      <c r="A237" s="71">
        <v>44765</v>
      </c>
      <c r="B237" s="25" t="s">
        <v>671</v>
      </c>
      <c r="C237" s="25" t="s">
        <v>281</v>
      </c>
      <c r="D237" s="25" t="s">
        <v>2841</v>
      </c>
      <c r="E237" s="25" t="s">
        <v>222</v>
      </c>
      <c r="F237" s="25" t="s">
        <v>2837</v>
      </c>
      <c r="G237" s="25" t="s">
        <v>2837</v>
      </c>
      <c r="H237" s="25" t="s">
        <v>824</v>
      </c>
      <c r="I237" s="25"/>
      <c r="J237" s="25" t="s">
        <v>2838</v>
      </c>
      <c r="K237" s="71">
        <v>44754</v>
      </c>
      <c r="L237" s="25">
        <v>11</v>
      </c>
      <c r="M237" s="71">
        <v>44768</v>
      </c>
      <c r="N237" s="25"/>
      <c r="O237" s="70" t="s">
        <v>672</v>
      </c>
      <c r="P237" s="25" t="s">
        <v>225</v>
      </c>
      <c r="Q237" s="25" t="s">
        <v>2838</v>
      </c>
      <c r="R237" s="25"/>
    </row>
    <row r="238" spans="1:18" ht="27.75" customHeight="1" x14ac:dyDescent="0.4">
      <c r="A238" s="71">
        <v>44765</v>
      </c>
      <c r="B238" s="25" t="s">
        <v>673</v>
      </c>
      <c r="C238" s="25" t="s">
        <v>281</v>
      </c>
      <c r="D238" s="25" t="s">
        <v>2841</v>
      </c>
      <c r="E238" s="25" t="s">
        <v>222</v>
      </c>
      <c r="F238" s="25" t="s">
        <v>2837</v>
      </c>
      <c r="G238" s="25" t="s">
        <v>2837</v>
      </c>
      <c r="H238" s="25" t="s">
        <v>824</v>
      </c>
      <c r="I238" s="25"/>
      <c r="J238" s="25" t="s">
        <v>2838</v>
      </c>
      <c r="K238" s="71">
        <v>44754</v>
      </c>
      <c r="L238" s="25">
        <v>11</v>
      </c>
      <c r="M238" s="71">
        <v>44771</v>
      </c>
      <c r="N238" s="25"/>
      <c r="O238" s="70" t="s">
        <v>674</v>
      </c>
      <c r="P238" s="25" t="s">
        <v>225</v>
      </c>
      <c r="Q238" s="25" t="s">
        <v>2838</v>
      </c>
      <c r="R238" s="25"/>
    </row>
    <row r="239" spans="1:18" ht="108.75" customHeight="1" x14ac:dyDescent="0.4">
      <c r="A239" s="71">
        <v>44765</v>
      </c>
      <c r="B239" s="25" t="s">
        <v>675</v>
      </c>
      <c r="C239" s="25" t="s">
        <v>250</v>
      </c>
      <c r="D239" s="25" t="s">
        <v>2839</v>
      </c>
      <c r="E239" s="25" t="s">
        <v>222</v>
      </c>
      <c r="F239" s="25" t="s">
        <v>2837</v>
      </c>
      <c r="G239" s="25" t="s">
        <v>2837</v>
      </c>
      <c r="H239" s="25" t="s">
        <v>824</v>
      </c>
      <c r="I239" s="25"/>
      <c r="J239" s="25" t="s">
        <v>2838</v>
      </c>
      <c r="K239" s="71">
        <v>44754</v>
      </c>
      <c r="L239" s="25">
        <v>11</v>
      </c>
      <c r="M239" s="71">
        <v>44767</v>
      </c>
      <c r="N239" s="25"/>
      <c r="O239" s="70" t="s">
        <v>676</v>
      </c>
      <c r="P239" s="25" t="s">
        <v>225</v>
      </c>
      <c r="Q239" s="25" t="s">
        <v>2838</v>
      </c>
      <c r="R239" s="25"/>
    </row>
    <row r="240" spans="1:18" ht="54.75" customHeight="1" x14ac:dyDescent="0.4">
      <c r="A240" s="71">
        <v>44765</v>
      </c>
      <c r="B240" s="25" t="s">
        <v>677</v>
      </c>
      <c r="C240" s="25" t="s">
        <v>250</v>
      </c>
      <c r="D240" s="25" t="s">
        <v>2839</v>
      </c>
      <c r="E240" s="25" t="s">
        <v>222</v>
      </c>
      <c r="F240" s="25" t="s">
        <v>2837</v>
      </c>
      <c r="G240" s="25" t="s">
        <v>2837</v>
      </c>
      <c r="H240" s="25" t="s">
        <v>824</v>
      </c>
      <c r="I240" s="25"/>
      <c r="J240" s="25" t="s">
        <v>2838</v>
      </c>
      <c r="K240" s="71">
        <v>44754</v>
      </c>
      <c r="L240" s="25">
        <v>11</v>
      </c>
      <c r="M240" s="71">
        <v>44768</v>
      </c>
      <c r="N240" s="25"/>
      <c r="O240" s="70" t="s">
        <v>678</v>
      </c>
      <c r="P240" s="25" t="s">
        <v>225</v>
      </c>
      <c r="Q240" s="25" t="s">
        <v>2838</v>
      </c>
      <c r="R240" s="25"/>
    </row>
    <row r="241" spans="1:18" ht="41.25" customHeight="1" x14ac:dyDescent="0.4">
      <c r="A241" s="71">
        <v>44765</v>
      </c>
      <c r="B241" s="25" t="s">
        <v>679</v>
      </c>
      <c r="C241" s="25" t="s">
        <v>250</v>
      </c>
      <c r="D241" s="25" t="s">
        <v>2839</v>
      </c>
      <c r="E241" s="25" t="s">
        <v>222</v>
      </c>
      <c r="F241" s="25" t="s">
        <v>2837</v>
      </c>
      <c r="G241" s="25" t="s">
        <v>2837</v>
      </c>
      <c r="H241" s="25" t="s">
        <v>824</v>
      </c>
      <c r="I241" s="25"/>
      <c r="J241" s="25" t="s">
        <v>2838</v>
      </c>
      <c r="K241" s="71">
        <v>44754</v>
      </c>
      <c r="L241" s="25">
        <v>11</v>
      </c>
      <c r="M241" s="71">
        <v>44769</v>
      </c>
      <c r="N241" s="25"/>
      <c r="O241" s="70" t="s">
        <v>680</v>
      </c>
      <c r="P241" s="25" t="s">
        <v>225</v>
      </c>
      <c r="Q241" s="25" t="s">
        <v>2838</v>
      </c>
      <c r="R241" s="25"/>
    </row>
    <row r="242" spans="1:18" ht="27.75" customHeight="1" x14ac:dyDescent="0.4">
      <c r="A242" s="71">
        <v>44765</v>
      </c>
      <c r="B242" s="25" t="s">
        <v>681</v>
      </c>
      <c r="C242" s="25" t="s">
        <v>250</v>
      </c>
      <c r="D242" s="25" t="s">
        <v>2839</v>
      </c>
      <c r="E242" s="25" t="s">
        <v>222</v>
      </c>
      <c r="F242" s="25" t="s">
        <v>2837</v>
      </c>
      <c r="G242" s="25" t="s">
        <v>2837</v>
      </c>
      <c r="H242" s="25" t="s">
        <v>824</v>
      </c>
      <c r="I242" s="25"/>
      <c r="J242" s="25" t="s">
        <v>2838</v>
      </c>
      <c r="K242" s="71">
        <v>44754</v>
      </c>
      <c r="L242" s="25">
        <v>11</v>
      </c>
      <c r="M242" s="71">
        <v>44766</v>
      </c>
      <c r="N242" s="25"/>
      <c r="O242" s="70" t="s">
        <v>682</v>
      </c>
      <c r="P242" s="25" t="s">
        <v>225</v>
      </c>
      <c r="Q242" s="25" t="s">
        <v>2838</v>
      </c>
      <c r="R242" s="25"/>
    </row>
    <row r="243" spans="1:18" ht="135.75" customHeight="1" x14ac:dyDescent="0.4">
      <c r="A243" s="71">
        <v>44766</v>
      </c>
      <c r="B243" s="25" t="s">
        <v>683</v>
      </c>
      <c r="C243" s="25" t="s">
        <v>250</v>
      </c>
      <c r="D243" s="25" t="s">
        <v>2839</v>
      </c>
      <c r="E243" s="25" t="s">
        <v>222</v>
      </c>
      <c r="F243" s="25" t="s">
        <v>2837</v>
      </c>
      <c r="G243" s="25" t="s">
        <v>2837</v>
      </c>
      <c r="H243" s="25" t="s">
        <v>824</v>
      </c>
      <c r="I243" s="25"/>
      <c r="J243" s="25" t="s">
        <v>2838</v>
      </c>
      <c r="K243" s="71">
        <v>44754</v>
      </c>
      <c r="L243" s="25">
        <v>12</v>
      </c>
      <c r="M243" s="71">
        <v>44768</v>
      </c>
      <c r="N243" s="25"/>
      <c r="O243" s="70" t="s">
        <v>684</v>
      </c>
      <c r="P243" s="25" t="s">
        <v>225</v>
      </c>
      <c r="Q243" s="25" t="s">
        <v>2838</v>
      </c>
      <c r="R243" s="25"/>
    </row>
    <row r="244" spans="1:18" ht="27.75" customHeight="1" x14ac:dyDescent="0.4">
      <c r="A244" s="71">
        <v>44766</v>
      </c>
      <c r="B244" s="25" t="s">
        <v>685</v>
      </c>
      <c r="C244" s="25" t="s">
        <v>686</v>
      </c>
      <c r="D244" s="25" t="s">
        <v>2842</v>
      </c>
      <c r="E244" s="25" t="s">
        <v>222</v>
      </c>
      <c r="F244" s="25" t="s">
        <v>2837</v>
      </c>
      <c r="G244" s="25" t="s">
        <v>2837</v>
      </c>
      <c r="H244" s="25" t="s">
        <v>824</v>
      </c>
      <c r="I244" s="25"/>
      <c r="J244" s="25" t="s">
        <v>2838</v>
      </c>
      <c r="K244" s="71">
        <v>44754</v>
      </c>
      <c r="L244" s="25">
        <v>12</v>
      </c>
      <c r="M244" s="71">
        <v>44766</v>
      </c>
      <c r="N244" s="25"/>
      <c r="O244" s="70" t="s">
        <v>687</v>
      </c>
      <c r="P244" s="25" t="s">
        <v>225</v>
      </c>
      <c r="Q244" s="25" t="s">
        <v>2838</v>
      </c>
      <c r="R244" s="25"/>
    </row>
    <row r="245" spans="1:18" ht="95.25" customHeight="1" x14ac:dyDescent="0.4">
      <c r="A245" s="71">
        <v>44766</v>
      </c>
      <c r="B245" s="25" t="s">
        <v>688</v>
      </c>
      <c r="C245" s="25" t="s">
        <v>281</v>
      </c>
      <c r="D245" s="25" t="s">
        <v>2841</v>
      </c>
      <c r="E245" s="25" t="s">
        <v>222</v>
      </c>
      <c r="F245" s="25" t="s">
        <v>2837</v>
      </c>
      <c r="G245" s="25" t="s">
        <v>2837</v>
      </c>
      <c r="H245" s="25" t="s">
        <v>824</v>
      </c>
      <c r="I245" s="25"/>
      <c r="J245" s="25" t="s">
        <v>2838</v>
      </c>
      <c r="K245" s="71">
        <v>44754</v>
      </c>
      <c r="L245" s="25">
        <v>12</v>
      </c>
      <c r="M245" s="71">
        <v>44771</v>
      </c>
      <c r="N245" s="25"/>
      <c r="O245" s="70" t="s">
        <v>689</v>
      </c>
      <c r="P245" s="25" t="s">
        <v>225</v>
      </c>
      <c r="Q245" s="25" t="s">
        <v>2838</v>
      </c>
      <c r="R245" s="25"/>
    </row>
    <row r="246" spans="1:18" ht="27.75" customHeight="1" x14ac:dyDescent="0.4">
      <c r="A246" s="71">
        <v>44766</v>
      </c>
      <c r="B246" s="25" t="s">
        <v>690</v>
      </c>
      <c r="C246" s="25" t="s">
        <v>281</v>
      </c>
      <c r="D246" s="25" t="s">
        <v>2841</v>
      </c>
      <c r="E246" s="25" t="s">
        <v>222</v>
      </c>
      <c r="F246" s="25" t="s">
        <v>2837</v>
      </c>
      <c r="G246" s="25" t="s">
        <v>2837</v>
      </c>
      <c r="H246" s="25" t="s">
        <v>824</v>
      </c>
      <c r="I246" s="25"/>
      <c r="J246" s="25" t="s">
        <v>2838</v>
      </c>
      <c r="K246" s="71">
        <v>44754</v>
      </c>
      <c r="L246" s="25">
        <v>12</v>
      </c>
      <c r="M246" s="71">
        <v>44772</v>
      </c>
      <c r="N246" s="25"/>
      <c r="O246" s="70" t="s">
        <v>674</v>
      </c>
      <c r="P246" s="25" t="s">
        <v>225</v>
      </c>
      <c r="Q246" s="25" t="s">
        <v>2838</v>
      </c>
      <c r="R246" s="25"/>
    </row>
    <row r="247" spans="1:18" ht="41.25" customHeight="1" x14ac:dyDescent="0.4">
      <c r="A247" s="71">
        <v>44766</v>
      </c>
      <c r="B247" s="25" t="s">
        <v>691</v>
      </c>
      <c r="C247" s="25" t="s">
        <v>692</v>
      </c>
      <c r="D247" s="25" t="s">
        <v>2842</v>
      </c>
      <c r="E247" s="25" t="s">
        <v>222</v>
      </c>
      <c r="F247" s="25" t="s">
        <v>2837</v>
      </c>
      <c r="G247" s="25" t="s">
        <v>2837</v>
      </c>
      <c r="H247" s="25" t="s">
        <v>824</v>
      </c>
      <c r="I247" s="25"/>
      <c r="J247" s="25" t="s">
        <v>2838</v>
      </c>
      <c r="K247" s="71">
        <v>44754</v>
      </c>
      <c r="L247" s="25">
        <v>12</v>
      </c>
      <c r="M247" s="71">
        <v>44769</v>
      </c>
      <c r="N247" s="25"/>
      <c r="O247" s="70" t="s">
        <v>693</v>
      </c>
      <c r="P247" s="25" t="s">
        <v>225</v>
      </c>
      <c r="Q247" s="25" t="s">
        <v>2838</v>
      </c>
      <c r="R247" s="25"/>
    </row>
    <row r="248" spans="1:18" ht="202.5" customHeight="1" x14ac:dyDescent="0.4">
      <c r="A248" s="71">
        <v>44766</v>
      </c>
      <c r="B248" s="25" t="s">
        <v>694</v>
      </c>
      <c r="C248" s="25" t="s">
        <v>686</v>
      </c>
      <c r="D248" s="25" t="s">
        <v>2842</v>
      </c>
      <c r="E248" s="25" t="s">
        <v>222</v>
      </c>
      <c r="F248" s="25" t="s">
        <v>2837</v>
      </c>
      <c r="G248" s="25" t="s">
        <v>2837</v>
      </c>
      <c r="H248" s="25" t="s">
        <v>824</v>
      </c>
      <c r="I248" s="25"/>
      <c r="J248" s="25" t="s">
        <v>2838</v>
      </c>
      <c r="K248" s="71">
        <v>44754</v>
      </c>
      <c r="L248" s="25">
        <v>12</v>
      </c>
      <c r="M248" s="71">
        <v>44767</v>
      </c>
      <c r="N248" s="25"/>
      <c r="O248" s="70" t="s">
        <v>695</v>
      </c>
      <c r="P248" s="25" t="s">
        <v>225</v>
      </c>
      <c r="Q248" s="25" t="s">
        <v>2838</v>
      </c>
      <c r="R248" s="25"/>
    </row>
    <row r="249" spans="1:18" ht="95.25" customHeight="1" x14ac:dyDescent="0.4">
      <c r="A249" s="71">
        <v>44766</v>
      </c>
      <c r="B249" s="25" t="s">
        <v>696</v>
      </c>
      <c r="C249" s="25" t="s">
        <v>692</v>
      </c>
      <c r="D249" s="25" t="s">
        <v>2842</v>
      </c>
      <c r="E249" s="25" t="s">
        <v>222</v>
      </c>
      <c r="F249" s="25" t="s">
        <v>2837</v>
      </c>
      <c r="G249" s="25" t="s">
        <v>2837</v>
      </c>
      <c r="H249" s="25" t="s">
        <v>824</v>
      </c>
      <c r="I249" s="25"/>
      <c r="J249" s="25" t="s">
        <v>2838</v>
      </c>
      <c r="K249" s="71">
        <v>44754</v>
      </c>
      <c r="L249" s="25">
        <v>12</v>
      </c>
      <c r="M249" s="71">
        <v>44769</v>
      </c>
      <c r="N249" s="25"/>
      <c r="O249" s="70" t="s">
        <v>697</v>
      </c>
      <c r="P249" s="25" t="s">
        <v>225</v>
      </c>
      <c r="Q249" s="25" t="s">
        <v>2838</v>
      </c>
      <c r="R249" s="25"/>
    </row>
    <row r="250" spans="1:18" ht="41.25" customHeight="1" x14ac:dyDescent="0.4">
      <c r="A250" s="71">
        <v>44766</v>
      </c>
      <c r="B250" s="25" t="s">
        <v>698</v>
      </c>
      <c r="C250" s="25" t="s">
        <v>281</v>
      </c>
      <c r="D250" s="25" t="s">
        <v>2841</v>
      </c>
      <c r="E250" s="25" t="s">
        <v>222</v>
      </c>
      <c r="F250" s="25" t="s">
        <v>2837</v>
      </c>
      <c r="G250" s="25" t="s">
        <v>2837</v>
      </c>
      <c r="H250" s="25" t="s">
        <v>824</v>
      </c>
      <c r="I250" s="25"/>
      <c r="J250" s="25" t="s">
        <v>2838</v>
      </c>
      <c r="K250" s="71">
        <v>44754</v>
      </c>
      <c r="L250" s="25">
        <v>12</v>
      </c>
      <c r="M250" s="71">
        <v>44771</v>
      </c>
      <c r="N250" s="25"/>
      <c r="O250" s="70" t="s">
        <v>699</v>
      </c>
      <c r="P250" s="25" t="s">
        <v>225</v>
      </c>
      <c r="Q250" s="25" t="s">
        <v>2838</v>
      </c>
      <c r="R250" s="25"/>
    </row>
    <row r="251" spans="1:18" ht="108.75" customHeight="1" x14ac:dyDescent="0.4">
      <c r="A251" s="71">
        <v>44766</v>
      </c>
      <c r="B251" s="25" t="s">
        <v>700</v>
      </c>
      <c r="C251" s="25" t="s">
        <v>692</v>
      </c>
      <c r="D251" s="25" t="s">
        <v>2842</v>
      </c>
      <c r="E251" s="25" t="s">
        <v>222</v>
      </c>
      <c r="F251" s="25" t="s">
        <v>2837</v>
      </c>
      <c r="G251" s="25" t="s">
        <v>2837</v>
      </c>
      <c r="H251" s="25" t="s">
        <v>824</v>
      </c>
      <c r="I251" s="25"/>
      <c r="J251" s="25" t="s">
        <v>2838</v>
      </c>
      <c r="K251" s="71">
        <v>44754</v>
      </c>
      <c r="L251" s="25">
        <v>12</v>
      </c>
      <c r="M251" s="71">
        <v>44769</v>
      </c>
      <c r="N251" s="25"/>
      <c r="O251" s="70" t="s">
        <v>701</v>
      </c>
      <c r="P251" s="25" t="s">
        <v>225</v>
      </c>
      <c r="Q251" s="25" t="s">
        <v>2838</v>
      </c>
      <c r="R251" s="25"/>
    </row>
    <row r="252" spans="1:18" ht="68.25" customHeight="1" x14ac:dyDescent="0.4">
      <c r="A252" s="71">
        <v>44766</v>
      </c>
      <c r="B252" s="25" t="s">
        <v>702</v>
      </c>
      <c r="C252" s="25" t="s">
        <v>686</v>
      </c>
      <c r="D252" s="25" t="s">
        <v>2842</v>
      </c>
      <c r="E252" s="25" t="s">
        <v>222</v>
      </c>
      <c r="F252" s="25" t="s">
        <v>2837</v>
      </c>
      <c r="G252" s="25" t="s">
        <v>2837</v>
      </c>
      <c r="H252" s="25" t="s">
        <v>824</v>
      </c>
      <c r="I252" s="25"/>
      <c r="J252" s="25" t="s">
        <v>2838</v>
      </c>
      <c r="K252" s="71">
        <v>44754</v>
      </c>
      <c r="L252" s="25">
        <v>12</v>
      </c>
      <c r="M252" s="71">
        <v>44766</v>
      </c>
      <c r="N252" s="25"/>
      <c r="O252" s="70" t="s">
        <v>703</v>
      </c>
      <c r="P252" s="25" t="s">
        <v>225</v>
      </c>
      <c r="Q252" s="25" t="s">
        <v>2838</v>
      </c>
      <c r="R252" s="25"/>
    </row>
    <row r="253" spans="1:18" ht="54.75" customHeight="1" x14ac:dyDescent="0.4">
      <c r="A253" s="71">
        <v>44766</v>
      </c>
      <c r="B253" s="25" t="s">
        <v>704</v>
      </c>
      <c r="C253" s="25" t="s">
        <v>692</v>
      </c>
      <c r="D253" s="25" t="s">
        <v>2842</v>
      </c>
      <c r="E253" s="25" t="s">
        <v>222</v>
      </c>
      <c r="F253" s="25" t="s">
        <v>2837</v>
      </c>
      <c r="G253" s="25" t="s">
        <v>2837</v>
      </c>
      <c r="H253" s="25" t="s">
        <v>824</v>
      </c>
      <c r="I253" s="25"/>
      <c r="J253" s="25" t="s">
        <v>2838</v>
      </c>
      <c r="K253" s="71">
        <v>44754</v>
      </c>
      <c r="L253" s="25">
        <v>12</v>
      </c>
      <c r="M253" s="71">
        <v>44767</v>
      </c>
      <c r="N253" s="25"/>
      <c r="O253" s="70" t="s">
        <v>705</v>
      </c>
      <c r="P253" s="25" t="s">
        <v>225</v>
      </c>
      <c r="Q253" s="25" t="s">
        <v>2838</v>
      </c>
      <c r="R253" s="25"/>
    </row>
    <row r="254" spans="1:18" ht="68.25" customHeight="1" x14ac:dyDescent="0.4">
      <c r="A254" s="71">
        <v>44766</v>
      </c>
      <c r="B254" s="25" t="s">
        <v>706</v>
      </c>
      <c r="C254" s="25" t="s">
        <v>686</v>
      </c>
      <c r="D254" s="25" t="s">
        <v>2842</v>
      </c>
      <c r="E254" s="25" t="s">
        <v>222</v>
      </c>
      <c r="F254" s="25" t="s">
        <v>2837</v>
      </c>
      <c r="G254" s="25" t="s">
        <v>2837</v>
      </c>
      <c r="H254" s="25" t="s">
        <v>824</v>
      </c>
      <c r="I254" s="25"/>
      <c r="J254" s="25" t="s">
        <v>2838</v>
      </c>
      <c r="K254" s="71">
        <v>44754</v>
      </c>
      <c r="L254" s="25">
        <v>12</v>
      </c>
      <c r="M254" s="71">
        <v>44767</v>
      </c>
      <c r="N254" s="25"/>
      <c r="O254" s="70" t="s">
        <v>707</v>
      </c>
      <c r="P254" s="25" t="s">
        <v>225</v>
      </c>
      <c r="Q254" s="25" t="s">
        <v>2838</v>
      </c>
      <c r="R254" s="25"/>
    </row>
    <row r="255" spans="1:18" ht="68.25" customHeight="1" x14ac:dyDescent="0.4">
      <c r="A255" s="71">
        <v>44766</v>
      </c>
      <c r="B255" s="25" t="s">
        <v>708</v>
      </c>
      <c r="C255" s="25" t="s">
        <v>692</v>
      </c>
      <c r="D255" s="25" t="s">
        <v>2842</v>
      </c>
      <c r="E255" s="25" t="s">
        <v>222</v>
      </c>
      <c r="F255" s="25" t="s">
        <v>2837</v>
      </c>
      <c r="G255" s="25" t="s">
        <v>2837</v>
      </c>
      <c r="H255" s="25" t="s">
        <v>824</v>
      </c>
      <c r="I255" s="25"/>
      <c r="J255" s="25" t="s">
        <v>2838</v>
      </c>
      <c r="K255" s="71">
        <v>44754</v>
      </c>
      <c r="L255" s="25">
        <v>12</v>
      </c>
      <c r="M255" s="71">
        <v>44770</v>
      </c>
      <c r="N255" s="25"/>
      <c r="O255" s="70" t="s">
        <v>709</v>
      </c>
      <c r="P255" s="25" t="s">
        <v>225</v>
      </c>
      <c r="Q255" s="25" t="s">
        <v>2838</v>
      </c>
      <c r="R255" s="25"/>
    </row>
    <row r="256" spans="1:18" ht="41.25" customHeight="1" x14ac:dyDescent="0.4">
      <c r="A256" s="71">
        <v>44766</v>
      </c>
      <c r="B256" s="25" t="s">
        <v>710</v>
      </c>
      <c r="C256" s="25" t="s">
        <v>281</v>
      </c>
      <c r="D256" s="25" t="s">
        <v>2841</v>
      </c>
      <c r="E256" s="25" t="s">
        <v>222</v>
      </c>
      <c r="F256" s="25" t="s">
        <v>2837</v>
      </c>
      <c r="G256" s="25" t="s">
        <v>2837</v>
      </c>
      <c r="H256" s="25" t="s">
        <v>824</v>
      </c>
      <c r="I256" s="25"/>
      <c r="J256" s="25" t="s">
        <v>2838</v>
      </c>
      <c r="K256" s="71">
        <v>44754</v>
      </c>
      <c r="L256" s="25">
        <v>12</v>
      </c>
      <c r="M256" s="71">
        <v>44770</v>
      </c>
      <c r="N256" s="25"/>
      <c r="O256" s="70" t="s">
        <v>711</v>
      </c>
      <c r="P256" s="25" t="s">
        <v>225</v>
      </c>
      <c r="Q256" s="25" t="s">
        <v>2838</v>
      </c>
      <c r="R256" s="25"/>
    </row>
    <row r="257" spans="1:18" ht="68.25" customHeight="1" x14ac:dyDescent="0.4">
      <c r="A257" s="71">
        <v>44766</v>
      </c>
      <c r="B257" s="25" t="s">
        <v>712</v>
      </c>
      <c r="C257" s="25" t="s">
        <v>692</v>
      </c>
      <c r="D257" s="25" t="s">
        <v>2842</v>
      </c>
      <c r="E257" s="25" t="s">
        <v>222</v>
      </c>
      <c r="F257" s="25" t="s">
        <v>2837</v>
      </c>
      <c r="G257" s="25" t="s">
        <v>2837</v>
      </c>
      <c r="H257" s="25" t="s">
        <v>824</v>
      </c>
      <c r="I257" s="25"/>
      <c r="J257" s="25" t="s">
        <v>2838</v>
      </c>
      <c r="K257" s="71">
        <v>44754</v>
      </c>
      <c r="L257" s="25">
        <v>12</v>
      </c>
      <c r="M257" s="71">
        <v>44767</v>
      </c>
      <c r="N257" s="25"/>
      <c r="O257" s="70" t="s">
        <v>713</v>
      </c>
      <c r="P257" s="25" t="s">
        <v>225</v>
      </c>
      <c r="Q257" s="25" t="s">
        <v>2838</v>
      </c>
      <c r="R257" s="25"/>
    </row>
    <row r="258" spans="1:18" ht="27.75" customHeight="1" x14ac:dyDescent="0.4">
      <c r="A258" s="71">
        <v>44767</v>
      </c>
      <c r="B258" s="25" t="s">
        <v>714</v>
      </c>
      <c r="C258" s="25" t="s">
        <v>692</v>
      </c>
      <c r="D258" s="25" t="s">
        <v>2842</v>
      </c>
      <c r="E258" s="25" t="s">
        <v>222</v>
      </c>
      <c r="F258" s="25" t="s">
        <v>2837</v>
      </c>
      <c r="G258" s="25" t="s">
        <v>2837</v>
      </c>
      <c r="H258" s="25" t="s">
        <v>824</v>
      </c>
      <c r="I258" s="25"/>
      <c r="J258" s="25" t="s">
        <v>2838</v>
      </c>
      <c r="K258" s="71">
        <v>44754</v>
      </c>
      <c r="L258" s="25">
        <v>13</v>
      </c>
      <c r="M258" s="71">
        <v>44767</v>
      </c>
      <c r="N258" s="25"/>
      <c r="O258" s="70" t="s">
        <v>715</v>
      </c>
      <c r="P258" s="25" t="s">
        <v>225</v>
      </c>
      <c r="Q258" s="25" t="s">
        <v>2838</v>
      </c>
      <c r="R258" s="25"/>
    </row>
    <row r="259" spans="1:18" ht="41.25" customHeight="1" x14ac:dyDescent="0.4">
      <c r="A259" s="71">
        <v>44767</v>
      </c>
      <c r="B259" s="25" t="s">
        <v>716</v>
      </c>
      <c r="C259" s="25" t="s">
        <v>281</v>
      </c>
      <c r="D259" s="25" t="s">
        <v>2841</v>
      </c>
      <c r="E259" s="25" t="s">
        <v>222</v>
      </c>
      <c r="F259" s="25" t="s">
        <v>2837</v>
      </c>
      <c r="G259" s="25" t="s">
        <v>2837</v>
      </c>
      <c r="H259" s="25" t="s">
        <v>824</v>
      </c>
      <c r="I259" s="25"/>
      <c r="J259" s="25" t="s">
        <v>2838</v>
      </c>
      <c r="K259" s="71">
        <v>44754</v>
      </c>
      <c r="L259" s="25">
        <v>13</v>
      </c>
      <c r="M259" s="71">
        <v>44774</v>
      </c>
      <c r="N259" s="25"/>
      <c r="O259" s="70" t="s">
        <v>717</v>
      </c>
      <c r="P259" s="25" t="s">
        <v>225</v>
      </c>
      <c r="Q259" s="25" t="s">
        <v>2838</v>
      </c>
      <c r="R259" s="25"/>
    </row>
    <row r="260" spans="1:18" ht="81.75" customHeight="1" x14ac:dyDescent="0.4">
      <c r="A260" s="71">
        <v>44767</v>
      </c>
      <c r="B260" s="25" t="s">
        <v>718</v>
      </c>
      <c r="C260" s="25" t="s">
        <v>686</v>
      </c>
      <c r="D260" s="25" t="s">
        <v>2842</v>
      </c>
      <c r="E260" s="25" t="s">
        <v>222</v>
      </c>
      <c r="F260" s="25" t="s">
        <v>2837</v>
      </c>
      <c r="G260" s="25" t="s">
        <v>2837</v>
      </c>
      <c r="H260" s="25" t="s">
        <v>824</v>
      </c>
      <c r="I260" s="25"/>
      <c r="J260" s="25" t="s">
        <v>2838</v>
      </c>
      <c r="K260" s="71">
        <v>44754</v>
      </c>
      <c r="L260" s="25">
        <v>13</v>
      </c>
      <c r="M260" s="71">
        <v>44769</v>
      </c>
      <c r="N260" s="25"/>
      <c r="O260" s="70" t="s">
        <v>719</v>
      </c>
      <c r="P260" s="25" t="s">
        <v>225</v>
      </c>
      <c r="Q260" s="25" t="s">
        <v>2838</v>
      </c>
      <c r="R260" s="25"/>
    </row>
    <row r="261" spans="1:18" ht="135.75" customHeight="1" x14ac:dyDescent="0.4">
      <c r="A261" s="71">
        <v>44767</v>
      </c>
      <c r="B261" s="25" t="s">
        <v>720</v>
      </c>
      <c r="C261" s="25" t="s">
        <v>692</v>
      </c>
      <c r="D261" s="25" t="s">
        <v>2842</v>
      </c>
      <c r="E261" s="25" t="s">
        <v>222</v>
      </c>
      <c r="F261" s="25" t="s">
        <v>2837</v>
      </c>
      <c r="G261" s="25" t="s">
        <v>2837</v>
      </c>
      <c r="H261" s="25" t="s">
        <v>824</v>
      </c>
      <c r="I261" s="25"/>
      <c r="J261" s="25" t="s">
        <v>2838</v>
      </c>
      <c r="K261" s="71">
        <v>44754</v>
      </c>
      <c r="L261" s="25">
        <v>13</v>
      </c>
      <c r="M261" s="71">
        <v>44770</v>
      </c>
      <c r="N261" s="25"/>
      <c r="O261" s="70" t="s">
        <v>721</v>
      </c>
      <c r="P261" s="25" t="s">
        <v>225</v>
      </c>
      <c r="Q261" s="25" t="s">
        <v>2838</v>
      </c>
      <c r="R261" s="25"/>
    </row>
    <row r="262" spans="1:18" ht="149.25" customHeight="1" x14ac:dyDescent="0.4">
      <c r="A262" s="71">
        <v>44767</v>
      </c>
      <c r="B262" s="25" t="s">
        <v>722</v>
      </c>
      <c r="C262" s="25" t="s">
        <v>281</v>
      </c>
      <c r="D262" s="25" t="s">
        <v>2841</v>
      </c>
      <c r="E262" s="25" t="s">
        <v>222</v>
      </c>
      <c r="F262" s="25" t="s">
        <v>2837</v>
      </c>
      <c r="G262" s="25" t="s">
        <v>2837</v>
      </c>
      <c r="H262" s="25" t="s">
        <v>824</v>
      </c>
      <c r="I262" s="25"/>
      <c r="J262" s="25" t="s">
        <v>2838</v>
      </c>
      <c r="K262" s="71">
        <v>44754</v>
      </c>
      <c r="L262" s="25">
        <v>13</v>
      </c>
      <c r="M262" s="71">
        <v>44768</v>
      </c>
      <c r="N262" s="25"/>
      <c r="O262" s="70" t="s">
        <v>723</v>
      </c>
      <c r="P262" s="25" t="s">
        <v>225</v>
      </c>
      <c r="Q262" s="25" t="s">
        <v>2838</v>
      </c>
      <c r="R262" s="25"/>
    </row>
    <row r="263" spans="1:18" ht="108.75" customHeight="1" x14ac:dyDescent="0.4">
      <c r="A263" s="71">
        <v>44767</v>
      </c>
      <c r="B263" s="25" t="s">
        <v>724</v>
      </c>
      <c r="C263" s="25" t="s">
        <v>692</v>
      </c>
      <c r="D263" s="25" t="s">
        <v>2842</v>
      </c>
      <c r="E263" s="25" t="s">
        <v>222</v>
      </c>
      <c r="F263" s="25" t="s">
        <v>2837</v>
      </c>
      <c r="G263" s="25" t="s">
        <v>2837</v>
      </c>
      <c r="H263" s="25" t="s">
        <v>824</v>
      </c>
      <c r="I263" s="25"/>
      <c r="J263" s="25" t="s">
        <v>2838</v>
      </c>
      <c r="K263" s="71">
        <v>44754</v>
      </c>
      <c r="L263" s="25">
        <v>13</v>
      </c>
      <c r="M263" s="71">
        <v>44768</v>
      </c>
      <c r="N263" s="25"/>
      <c r="O263" s="70" t="s">
        <v>725</v>
      </c>
      <c r="P263" s="25" t="s">
        <v>225</v>
      </c>
      <c r="Q263" s="25" t="s">
        <v>2838</v>
      </c>
      <c r="R263" s="25"/>
    </row>
    <row r="264" spans="1:18" ht="122.25" customHeight="1" x14ac:dyDescent="0.4">
      <c r="A264" s="71">
        <v>44767</v>
      </c>
      <c r="B264" s="25" t="s">
        <v>726</v>
      </c>
      <c r="C264" s="25" t="s">
        <v>692</v>
      </c>
      <c r="D264" s="25" t="s">
        <v>2842</v>
      </c>
      <c r="E264" s="25" t="s">
        <v>222</v>
      </c>
      <c r="F264" s="25" t="s">
        <v>2837</v>
      </c>
      <c r="G264" s="25" t="s">
        <v>2837</v>
      </c>
      <c r="H264" s="25" t="s">
        <v>824</v>
      </c>
      <c r="I264" s="25"/>
      <c r="J264" s="25" t="s">
        <v>2838</v>
      </c>
      <c r="K264" s="71">
        <v>44754</v>
      </c>
      <c r="L264" s="25">
        <v>13</v>
      </c>
      <c r="M264" s="71">
        <v>44768</v>
      </c>
      <c r="N264" s="25"/>
      <c r="O264" s="70" t="s">
        <v>727</v>
      </c>
      <c r="P264" s="25" t="s">
        <v>225</v>
      </c>
      <c r="Q264" s="25" t="s">
        <v>2838</v>
      </c>
      <c r="R264" s="25"/>
    </row>
    <row r="265" spans="1:18" ht="15.75" customHeight="1" x14ac:dyDescent="0.4">
      <c r="A265" s="71">
        <v>44767</v>
      </c>
      <c r="B265" s="25" t="s">
        <v>728</v>
      </c>
      <c r="C265" s="25" t="s">
        <v>686</v>
      </c>
      <c r="D265" s="25" t="s">
        <v>2842</v>
      </c>
      <c r="E265" s="25" t="s">
        <v>222</v>
      </c>
      <c r="F265" s="25" t="s">
        <v>2837</v>
      </c>
      <c r="G265" s="25" t="s">
        <v>2837</v>
      </c>
      <c r="H265" s="25" t="s">
        <v>824</v>
      </c>
      <c r="I265" s="25"/>
      <c r="J265" s="25" t="s">
        <v>2838</v>
      </c>
      <c r="K265" s="71">
        <v>44754</v>
      </c>
      <c r="L265" s="25">
        <v>13</v>
      </c>
      <c r="M265" s="71">
        <v>44768</v>
      </c>
      <c r="N265" s="25"/>
      <c r="O265" s="70" t="s">
        <v>729</v>
      </c>
      <c r="P265" s="25" t="s">
        <v>225</v>
      </c>
      <c r="Q265" s="25" t="s">
        <v>2838</v>
      </c>
      <c r="R265" s="25"/>
    </row>
    <row r="266" spans="1:18" ht="27.75" customHeight="1" x14ac:dyDescent="0.4">
      <c r="A266" s="71">
        <v>44767</v>
      </c>
      <c r="B266" s="25" t="s">
        <v>730</v>
      </c>
      <c r="C266" s="25" t="s">
        <v>686</v>
      </c>
      <c r="D266" s="25" t="s">
        <v>2842</v>
      </c>
      <c r="E266" s="25" t="s">
        <v>222</v>
      </c>
      <c r="F266" s="25" t="s">
        <v>2837</v>
      </c>
      <c r="G266" s="25" t="s">
        <v>2837</v>
      </c>
      <c r="H266" s="25" t="s">
        <v>824</v>
      </c>
      <c r="I266" s="25"/>
      <c r="J266" s="25" t="s">
        <v>2838</v>
      </c>
      <c r="K266" s="71">
        <v>44754</v>
      </c>
      <c r="L266" s="25">
        <v>13</v>
      </c>
      <c r="M266" s="71">
        <v>44768</v>
      </c>
      <c r="N266" s="25"/>
      <c r="O266" s="70" t="s">
        <v>731</v>
      </c>
      <c r="P266" s="25" t="s">
        <v>225</v>
      </c>
      <c r="Q266" s="25" t="s">
        <v>2838</v>
      </c>
      <c r="R266" s="25"/>
    </row>
    <row r="267" spans="1:18" ht="175.5" customHeight="1" x14ac:dyDescent="0.4">
      <c r="A267" s="71">
        <v>44767</v>
      </c>
      <c r="B267" s="25" t="s">
        <v>732</v>
      </c>
      <c r="C267" s="25" t="s">
        <v>692</v>
      </c>
      <c r="D267" s="25" t="s">
        <v>2842</v>
      </c>
      <c r="E267" s="25" t="s">
        <v>222</v>
      </c>
      <c r="F267" s="25" t="s">
        <v>2837</v>
      </c>
      <c r="G267" s="25" t="s">
        <v>2837</v>
      </c>
      <c r="H267" s="25" t="s">
        <v>824</v>
      </c>
      <c r="I267" s="25"/>
      <c r="J267" s="25" t="s">
        <v>2838</v>
      </c>
      <c r="K267" s="71">
        <v>44754</v>
      </c>
      <c r="L267" s="25">
        <v>13</v>
      </c>
      <c r="M267" s="71">
        <v>44768</v>
      </c>
      <c r="N267" s="25"/>
      <c r="O267" s="70" t="s">
        <v>733</v>
      </c>
      <c r="P267" s="25" t="s">
        <v>225</v>
      </c>
      <c r="Q267" s="25" t="s">
        <v>2838</v>
      </c>
      <c r="R267" s="25"/>
    </row>
    <row r="268" spans="1:18" ht="189" customHeight="1" x14ac:dyDescent="0.4">
      <c r="A268" s="71">
        <v>44767</v>
      </c>
      <c r="B268" s="25" t="s">
        <v>734</v>
      </c>
      <c r="C268" s="25" t="s">
        <v>281</v>
      </c>
      <c r="D268" s="25" t="s">
        <v>2841</v>
      </c>
      <c r="E268" s="25" t="s">
        <v>222</v>
      </c>
      <c r="F268" s="25" t="s">
        <v>2837</v>
      </c>
      <c r="G268" s="25" t="s">
        <v>2837</v>
      </c>
      <c r="H268" s="25" t="s">
        <v>824</v>
      </c>
      <c r="I268" s="25"/>
      <c r="J268" s="25" t="s">
        <v>2838</v>
      </c>
      <c r="K268" s="71">
        <v>44754</v>
      </c>
      <c r="L268" s="25">
        <v>13</v>
      </c>
      <c r="M268" s="71">
        <v>44771</v>
      </c>
      <c r="N268" s="25"/>
      <c r="O268" s="70" t="s">
        <v>735</v>
      </c>
      <c r="P268" s="25" t="s">
        <v>225</v>
      </c>
      <c r="Q268" s="25" t="s">
        <v>2838</v>
      </c>
      <c r="R268" s="25"/>
    </row>
    <row r="269" spans="1:18" ht="122.25" customHeight="1" x14ac:dyDescent="0.4">
      <c r="A269" s="71">
        <v>44767</v>
      </c>
      <c r="B269" s="25" t="s">
        <v>736</v>
      </c>
      <c r="C269" s="25" t="s">
        <v>686</v>
      </c>
      <c r="D269" s="25" t="s">
        <v>2842</v>
      </c>
      <c r="E269" s="25" t="s">
        <v>222</v>
      </c>
      <c r="F269" s="25" t="s">
        <v>2837</v>
      </c>
      <c r="G269" s="25" t="s">
        <v>2837</v>
      </c>
      <c r="H269" s="25" t="s">
        <v>824</v>
      </c>
      <c r="I269" s="25"/>
      <c r="J269" s="25" t="s">
        <v>2838</v>
      </c>
      <c r="K269" s="71">
        <v>44754</v>
      </c>
      <c r="L269" s="25">
        <v>13</v>
      </c>
      <c r="M269" s="71">
        <v>44768</v>
      </c>
      <c r="N269" s="25"/>
      <c r="O269" s="70" t="s">
        <v>737</v>
      </c>
      <c r="P269" s="25" t="s">
        <v>225</v>
      </c>
      <c r="Q269" s="25" t="s">
        <v>2838</v>
      </c>
      <c r="R269" s="25"/>
    </row>
    <row r="270" spans="1:18" ht="41.25" customHeight="1" x14ac:dyDescent="0.4">
      <c r="A270" s="71">
        <v>44767</v>
      </c>
      <c r="B270" s="25" t="s">
        <v>738</v>
      </c>
      <c r="C270" s="25" t="s">
        <v>692</v>
      </c>
      <c r="D270" s="25" t="s">
        <v>2842</v>
      </c>
      <c r="E270" s="25" t="s">
        <v>222</v>
      </c>
      <c r="F270" s="25" t="s">
        <v>2837</v>
      </c>
      <c r="G270" s="25" t="s">
        <v>2837</v>
      </c>
      <c r="H270" s="25" t="s">
        <v>824</v>
      </c>
      <c r="I270" s="25"/>
      <c r="J270" s="25" t="s">
        <v>2838</v>
      </c>
      <c r="K270" s="71">
        <v>44754</v>
      </c>
      <c r="L270" s="25">
        <v>13</v>
      </c>
      <c r="M270" s="71">
        <v>44771</v>
      </c>
      <c r="N270" s="25"/>
      <c r="O270" s="70" t="s">
        <v>739</v>
      </c>
      <c r="P270" s="25" t="s">
        <v>225</v>
      </c>
      <c r="Q270" s="25" t="s">
        <v>2838</v>
      </c>
      <c r="R270" s="25"/>
    </row>
    <row r="271" spans="1:18" ht="54.75" customHeight="1" x14ac:dyDescent="0.4">
      <c r="A271" s="71">
        <v>44767</v>
      </c>
      <c r="B271" s="25" t="s">
        <v>740</v>
      </c>
      <c r="C271" s="25" t="s">
        <v>692</v>
      </c>
      <c r="D271" s="25" t="s">
        <v>2842</v>
      </c>
      <c r="E271" s="25" t="s">
        <v>222</v>
      </c>
      <c r="F271" s="25" t="s">
        <v>2837</v>
      </c>
      <c r="G271" s="25" t="s">
        <v>2837</v>
      </c>
      <c r="H271" s="25" t="s">
        <v>824</v>
      </c>
      <c r="I271" s="25"/>
      <c r="J271" s="25" t="s">
        <v>2838</v>
      </c>
      <c r="K271" s="71">
        <v>44754</v>
      </c>
      <c r="L271" s="25">
        <v>13</v>
      </c>
      <c r="M271" s="71">
        <v>44769</v>
      </c>
      <c r="N271" s="25"/>
      <c r="O271" s="70" t="s">
        <v>741</v>
      </c>
      <c r="P271" s="25" t="s">
        <v>225</v>
      </c>
      <c r="Q271" s="25" t="s">
        <v>2838</v>
      </c>
      <c r="R271" s="25"/>
    </row>
    <row r="272" spans="1:18" ht="54.75" customHeight="1" x14ac:dyDescent="0.4">
      <c r="A272" s="71">
        <v>44767</v>
      </c>
      <c r="B272" s="25" t="s">
        <v>742</v>
      </c>
      <c r="C272" s="25" t="s">
        <v>692</v>
      </c>
      <c r="D272" s="25" t="s">
        <v>2842</v>
      </c>
      <c r="E272" s="25" t="s">
        <v>222</v>
      </c>
      <c r="F272" s="25" t="s">
        <v>2837</v>
      </c>
      <c r="G272" s="25" t="s">
        <v>2837</v>
      </c>
      <c r="H272" s="25" t="s">
        <v>824</v>
      </c>
      <c r="I272" s="25"/>
      <c r="J272" s="25" t="s">
        <v>2838</v>
      </c>
      <c r="K272" s="71">
        <v>44754</v>
      </c>
      <c r="L272" s="25">
        <v>13</v>
      </c>
      <c r="M272" s="71">
        <v>44770</v>
      </c>
      <c r="N272" s="25"/>
      <c r="O272" s="70" t="s">
        <v>743</v>
      </c>
      <c r="P272" s="25" t="s">
        <v>225</v>
      </c>
      <c r="Q272" s="25" t="s">
        <v>2838</v>
      </c>
      <c r="R272" s="25"/>
    </row>
    <row r="273" spans="1:18" ht="81.75" customHeight="1" x14ac:dyDescent="0.4">
      <c r="A273" s="71">
        <v>44767</v>
      </c>
      <c r="B273" s="25" t="s">
        <v>744</v>
      </c>
      <c r="C273" s="25" t="s">
        <v>692</v>
      </c>
      <c r="D273" s="25" t="s">
        <v>2842</v>
      </c>
      <c r="E273" s="25" t="s">
        <v>222</v>
      </c>
      <c r="F273" s="25" t="s">
        <v>2837</v>
      </c>
      <c r="G273" s="25" t="s">
        <v>2837</v>
      </c>
      <c r="H273" s="25" t="s">
        <v>824</v>
      </c>
      <c r="I273" s="25"/>
      <c r="J273" s="25" t="s">
        <v>2838</v>
      </c>
      <c r="K273" s="71">
        <v>44754</v>
      </c>
      <c r="L273" s="25">
        <v>13</v>
      </c>
      <c r="M273" s="71">
        <v>44769</v>
      </c>
      <c r="N273" s="25"/>
      <c r="O273" s="70" t="s">
        <v>745</v>
      </c>
      <c r="P273" s="25" t="s">
        <v>225</v>
      </c>
      <c r="Q273" s="25" t="s">
        <v>2838</v>
      </c>
      <c r="R273" s="25"/>
    </row>
    <row r="274" spans="1:18" ht="27.75" customHeight="1" x14ac:dyDescent="0.4">
      <c r="A274" s="71">
        <v>44767</v>
      </c>
      <c r="B274" s="25" t="s">
        <v>746</v>
      </c>
      <c r="C274" s="25" t="s">
        <v>281</v>
      </c>
      <c r="D274" s="25" t="s">
        <v>2841</v>
      </c>
      <c r="E274" s="25" t="s">
        <v>222</v>
      </c>
      <c r="F274" s="25" t="s">
        <v>2837</v>
      </c>
      <c r="G274" s="25" t="s">
        <v>2837</v>
      </c>
      <c r="H274" s="25" t="s">
        <v>824</v>
      </c>
      <c r="I274" s="25"/>
      <c r="J274" s="25" t="s">
        <v>2838</v>
      </c>
      <c r="K274" s="71">
        <v>44754</v>
      </c>
      <c r="L274" s="25">
        <v>13</v>
      </c>
      <c r="M274" s="71">
        <v>44768</v>
      </c>
      <c r="N274" s="25"/>
      <c r="O274" s="70" t="s">
        <v>747</v>
      </c>
      <c r="P274" s="25" t="s">
        <v>225</v>
      </c>
      <c r="Q274" s="25" t="s">
        <v>2838</v>
      </c>
      <c r="R274" s="25"/>
    </row>
    <row r="275" spans="1:18" ht="108.75" customHeight="1" x14ac:dyDescent="0.4">
      <c r="A275" s="71">
        <v>44767</v>
      </c>
      <c r="B275" s="25" t="s">
        <v>748</v>
      </c>
      <c r="C275" s="25" t="s">
        <v>281</v>
      </c>
      <c r="D275" s="25" t="s">
        <v>2841</v>
      </c>
      <c r="E275" s="25" t="s">
        <v>222</v>
      </c>
      <c r="F275" s="25" t="s">
        <v>2837</v>
      </c>
      <c r="G275" s="25" t="s">
        <v>2837</v>
      </c>
      <c r="H275" s="25" t="s">
        <v>824</v>
      </c>
      <c r="I275" s="25"/>
      <c r="J275" s="25" t="s">
        <v>2838</v>
      </c>
      <c r="K275" s="71">
        <v>44754</v>
      </c>
      <c r="L275" s="25">
        <v>13</v>
      </c>
      <c r="M275" s="71">
        <v>44775</v>
      </c>
      <c r="N275" s="25"/>
      <c r="O275" s="70" t="s">
        <v>749</v>
      </c>
      <c r="P275" s="25" t="s">
        <v>225</v>
      </c>
      <c r="Q275" s="25" t="s">
        <v>2838</v>
      </c>
      <c r="R275" s="25"/>
    </row>
    <row r="276" spans="1:18" ht="27.75" customHeight="1" x14ac:dyDescent="0.4">
      <c r="A276" s="71">
        <v>44767</v>
      </c>
      <c r="B276" s="25" t="s">
        <v>750</v>
      </c>
      <c r="C276" s="25" t="s">
        <v>281</v>
      </c>
      <c r="D276" s="25" t="s">
        <v>2841</v>
      </c>
      <c r="E276" s="25" t="s">
        <v>222</v>
      </c>
      <c r="F276" s="25" t="s">
        <v>2837</v>
      </c>
      <c r="G276" s="25" t="s">
        <v>2837</v>
      </c>
      <c r="H276" s="25" t="s">
        <v>824</v>
      </c>
      <c r="I276" s="25"/>
      <c r="J276" s="25" t="s">
        <v>2838</v>
      </c>
      <c r="K276" s="71">
        <v>44754</v>
      </c>
      <c r="L276" s="25">
        <v>13</v>
      </c>
      <c r="M276" s="71">
        <v>44772</v>
      </c>
      <c r="N276" s="25"/>
      <c r="O276" s="70" t="s">
        <v>751</v>
      </c>
      <c r="P276" s="25" t="s">
        <v>225</v>
      </c>
      <c r="Q276" s="25" t="s">
        <v>2838</v>
      </c>
      <c r="R276" s="25"/>
    </row>
    <row r="277" spans="1:18" ht="41.25" customHeight="1" x14ac:dyDescent="0.4">
      <c r="A277" s="71">
        <v>44767</v>
      </c>
      <c r="B277" s="25" t="s">
        <v>752</v>
      </c>
      <c r="C277" s="25" t="s">
        <v>692</v>
      </c>
      <c r="D277" s="25" t="s">
        <v>2842</v>
      </c>
      <c r="E277" s="25" t="s">
        <v>222</v>
      </c>
      <c r="F277" s="25" t="s">
        <v>2837</v>
      </c>
      <c r="G277" s="25" t="s">
        <v>2837</v>
      </c>
      <c r="H277" s="25" t="s">
        <v>824</v>
      </c>
      <c r="I277" s="25"/>
      <c r="J277" s="25" t="s">
        <v>2838</v>
      </c>
      <c r="K277" s="71">
        <v>44754</v>
      </c>
      <c r="L277" s="25">
        <v>13</v>
      </c>
      <c r="M277" s="71">
        <v>44769</v>
      </c>
      <c r="N277" s="25"/>
      <c r="O277" s="70" t="s">
        <v>753</v>
      </c>
      <c r="P277" s="25" t="s">
        <v>225</v>
      </c>
      <c r="Q277" s="25" t="s">
        <v>2838</v>
      </c>
      <c r="R277" s="25"/>
    </row>
    <row r="278" spans="1:18" ht="68.25" customHeight="1" x14ac:dyDescent="0.4">
      <c r="A278" s="71">
        <v>44767</v>
      </c>
      <c r="B278" s="25" t="s">
        <v>754</v>
      </c>
      <c r="C278" s="25" t="s">
        <v>692</v>
      </c>
      <c r="D278" s="25" t="s">
        <v>2842</v>
      </c>
      <c r="E278" s="25" t="s">
        <v>222</v>
      </c>
      <c r="F278" s="25" t="s">
        <v>2837</v>
      </c>
      <c r="G278" s="25" t="s">
        <v>2837</v>
      </c>
      <c r="H278" s="25" t="s">
        <v>824</v>
      </c>
      <c r="I278" s="25"/>
      <c r="J278" s="25" t="s">
        <v>2838</v>
      </c>
      <c r="K278" s="71">
        <v>44754</v>
      </c>
      <c r="L278" s="25">
        <v>13</v>
      </c>
      <c r="M278" s="71">
        <v>44770</v>
      </c>
      <c r="N278" s="25"/>
      <c r="O278" s="70" t="s">
        <v>755</v>
      </c>
      <c r="P278" s="25" t="s">
        <v>225</v>
      </c>
      <c r="Q278" s="25" t="s">
        <v>2838</v>
      </c>
      <c r="R278" s="25"/>
    </row>
    <row r="279" spans="1:18" ht="81.75" customHeight="1" x14ac:dyDescent="0.4">
      <c r="A279" s="71">
        <v>44767</v>
      </c>
      <c r="B279" s="25" t="s">
        <v>756</v>
      </c>
      <c r="C279" s="25" t="s">
        <v>281</v>
      </c>
      <c r="D279" s="25" t="s">
        <v>2841</v>
      </c>
      <c r="E279" s="25" t="s">
        <v>222</v>
      </c>
      <c r="F279" s="25" t="s">
        <v>2837</v>
      </c>
      <c r="G279" s="25" t="s">
        <v>2837</v>
      </c>
      <c r="H279" s="25" t="s">
        <v>824</v>
      </c>
      <c r="I279" s="25"/>
      <c r="J279" s="25" t="s">
        <v>2838</v>
      </c>
      <c r="K279" s="71">
        <v>44754</v>
      </c>
      <c r="L279" s="25">
        <v>13</v>
      </c>
      <c r="M279" s="71">
        <v>44771</v>
      </c>
      <c r="N279" s="25"/>
      <c r="O279" s="70" t="s">
        <v>757</v>
      </c>
      <c r="P279" s="25" t="s">
        <v>225</v>
      </c>
      <c r="Q279" s="25" t="s">
        <v>2838</v>
      </c>
      <c r="R279" s="25"/>
    </row>
    <row r="280" spans="1:18" ht="41.25" customHeight="1" x14ac:dyDescent="0.4">
      <c r="A280" s="71">
        <v>44767</v>
      </c>
      <c r="B280" s="25" t="s">
        <v>758</v>
      </c>
      <c r="C280" s="25" t="s">
        <v>281</v>
      </c>
      <c r="D280" s="25" t="s">
        <v>2841</v>
      </c>
      <c r="E280" s="25" t="s">
        <v>222</v>
      </c>
      <c r="F280" s="25" t="s">
        <v>2837</v>
      </c>
      <c r="G280" s="25" t="s">
        <v>2837</v>
      </c>
      <c r="H280" s="25" t="s">
        <v>824</v>
      </c>
      <c r="I280" s="25"/>
      <c r="J280" s="25" t="s">
        <v>2838</v>
      </c>
      <c r="K280" s="71">
        <v>44754</v>
      </c>
      <c r="L280" s="25">
        <v>13</v>
      </c>
      <c r="M280" s="71">
        <v>44771</v>
      </c>
      <c r="N280" s="25"/>
      <c r="O280" s="70" t="s">
        <v>759</v>
      </c>
      <c r="P280" s="25" t="s">
        <v>225</v>
      </c>
      <c r="Q280" s="25" t="s">
        <v>2838</v>
      </c>
      <c r="R280" s="25"/>
    </row>
    <row r="281" spans="1:18" ht="68.25" customHeight="1" x14ac:dyDescent="0.4">
      <c r="A281" s="71">
        <v>44767</v>
      </c>
      <c r="B281" s="25" t="s">
        <v>760</v>
      </c>
      <c r="C281" s="25" t="s">
        <v>692</v>
      </c>
      <c r="D281" s="25" t="s">
        <v>2842</v>
      </c>
      <c r="E281" s="25" t="s">
        <v>222</v>
      </c>
      <c r="F281" s="25" t="s">
        <v>2837</v>
      </c>
      <c r="G281" s="25" t="s">
        <v>2837</v>
      </c>
      <c r="H281" s="25" t="s">
        <v>824</v>
      </c>
      <c r="I281" s="25"/>
      <c r="J281" s="25" t="s">
        <v>2838</v>
      </c>
      <c r="K281" s="71">
        <v>44754</v>
      </c>
      <c r="L281" s="25">
        <v>13</v>
      </c>
      <c r="M281" s="71">
        <v>44769</v>
      </c>
      <c r="N281" s="25"/>
      <c r="O281" s="70" t="s">
        <v>761</v>
      </c>
      <c r="P281" s="25" t="s">
        <v>225</v>
      </c>
      <c r="Q281" s="25" t="s">
        <v>2838</v>
      </c>
      <c r="R281" s="25"/>
    </row>
    <row r="282" spans="1:18" ht="27.75" customHeight="1" x14ac:dyDescent="0.4">
      <c r="A282" s="71">
        <v>44767</v>
      </c>
      <c r="B282" s="25" t="s">
        <v>762</v>
      </c>
      <c r="C282" s="25" t="s">
        <v>281</v>
      </c>
      <c r="D282" s="25" t="s">
        <v>2841</v>
      </c>
      <c r="E282" s="25" t="s">
        <v>222</v>
      </c>
      <c r="F282" s="25" t="s">
        <v>2837</v>
      </c>
      <c r="G282" s="25" t="s">
        <v>2837</v>
      </c>
      <c r="H282" s="25" t="s">
        <v>824</v>
      </c>
      <c r="I282" s="25"/>
      <c r="J282" s="25" t="s">
        <v>2838</v>
      </c>
      <c r="K282" s="71">
        <v>44754</v>
      </c>
      <c r="L282" s="25">
        <v>13</v>
      </c>
      <c r="M282" s="71">
        <v>44772</v>
      </c>
      <c r="N282" s="25"/>
      <c r="O282" s="70" t="s">
        <v>763</v>
      </c>
      <c r="P282" s="25" t="s">
        <v>225</v>
      </c>
      <c r="Q282" s="25" t="s">
        <v>2838</v>
      </c>
      <c r="R282" s="25"/>
    </row>
    <row r="283" spans="1:18" ht="41.25" customHeight="1" x14ac:dyDescent="0.4">
      <c r="A283" s="71">
        <v>44767</v>
      </c>
      <c r="B283" s="25" t="s">
        <v>764</v>
      </c>
      <c r="C283" s="25" t="s">
        <v>686</v>
      </c>
      <c r="D283" s="25" t="s">
        <v>2842</v>
      </c>
      <c r="E283" s="25" t="s">
        <v>222</v>
      </c>
      <c r="F283" s="25" t="s">
        <v>2837</v>
      </c>
      <c r="G283" s="25" t="s">
        <v>2837</v>
      </c>
      <c r="H283" s="25" t="s">
        <v>824</v>
      </c>
      <c r="I283" s="25"/>
      <c r="J283" s="25" t="s">
        <v>2838</v>
      </c>
      <c r="K283" s="71">
        <v>44754</v>
      </c>
      <c r="L283" s="25">
        <v>13</v>
      </c>
      <c r="M283" s="71">
        <v>44768</v>
      </c>
      <c r="N283" s="25"/>
      <c r="O283" s="70" t="s">
        <v>765</v>
      </c>
      <c r="P283" s="25" t="s">
        <v>225</v>
      </c>
      <c r="Q283" s="25" t="s">
        <v>2838</v>
      </c>
      <c r="R283" s="25"/>
    </row>
    <row r="284" spans="1:18" ht="41.25" customHeight="1" x14ac:dyDescent="0.4">
      <c r="A284" s="71">
        <v>44767</v>
      </c>
      <c r="B284" s="25" t="s">
        <v>766</v>
      </c>
      <c r="C284" s="25" t="s">
        <v>692</v>
      </c>
      <c r="D284" s="25" t="s">
        <v>2842</v>
      </c>
      <c r="E284" s="25" t="s">
        <v>222</v>
      </c>
      <c r="F284" s="25" t="s">
        <v>2837</v>
      </c>
      <c r="G284" s="25" t="s">
        <v>2837</v>
      </c>
      <c r="H284" s="25" t="s">
        <v>824</v>
      </c>
      <c r="I284" s="25"/>
      <c r="J284" s="25" t="s">
        <v>2838</v>
      </c>
      <c r="K284" s="71">
        <v>44754</v>
      </c>
      <c r="L284" s="25">
        <v>13</v>
      </c>
      <c r="M284" s="71">
        <v>44770</v>
      </c>
      <c r="N284" s="25"/>
      <c r="O284" s="70" t="s">
        <v>767</v>
      </c>
      <c r="P284" s="25" t="s">
        <v>225</v>
      </c>
      <c r="Q284" s="25" t="s">
        <v>2838</v>
      </c>
      <c r="R284" s="25"/>
    </row>
    <row r="285" spans="1:18" ht="81.75" customHeight="1" x14ac:dyDescent="0.4">
      <c r="A285" s="71">
        <v>44767</v>
      </c>
      <c r="B285" s="25" t="s">
        <v>768</v>
      </c>
      <c r="C285" s="25" t="s">
        <v>281</v>
      </c>
      <c r="D285" s="25" t="s">
        <v>2841</v>
      </c>
      <c r="E285" s="25" t="s">
        <v>222</v>
      </c>
      <c r="F285" s="25" t="s">
        <v>2837</v>
      </c>
      <c r="G285" s="25" t="s">
        <v>2837</v>
      </c>
      <c r="H285" s="25" t="s">
        <v>824</v>
      </c>
      <c r="I285" s="25"/>
      <c r="J285" s="25" t="s">
        <v>2838</v>
      </c>
      <c r="K285" s="71">
        <v>44754</v>
      </c>
      <c r="L285" s="25">
        <v>13</v>
      </c>
      <c r="M285" s="71">
        <v>44774</v>
      </c>
      <c r="N285" s="25"/>
      <c r="O285" s="70" t="s">
        <v>769</v>
      </c>
      <c r="P285" s="25" t="s">
        <v>225</v>
      </c>
      <c r="Q285" s="25" t="s">
        <v>2838</v>
      </c>
      <c r="R285" s="25"/>
    </row>
    <row r="286" spans="1:18" ht="27.75" customHeight="1" x14ac:dyDescent="0.4">
      <c r="A286" s="71">
        <v>44767</v>
      </c>
      <c r="B286" s="25" t="s">
        <v>770</v>
      </c>
      <c r="C286" s="25" t="s">
        <v>281</v>
      </c>
      <c r="D286" s="25" t="s">
        <v>2841</v>
      </c>
      <c r="E286" s="25" t="s">
        <v>222</v>
      </c>
      <c r="F286" s="25" t="s">
        <v>2837</v>
      </c>
      <c r="G286" s="25" t="s">
        <v>2837</v>
      </c>
      <c r="H286" s="25" t="s">
        <v>824</v>
      </c>
      <c r="I286" s="25"/>
      <c r="J286" s="25" t="s">
        <v>2838</v>
      </c>
      <c r="K286" s="71">
        <v>44754</v>
      </c>
      <c r="L286" s="25">
        <v>13</v>
      </c>
      <c r="M286" s="71">
        <v>44770</v>
      </c>
      <c r="N286" s="25"/>
      <c r="O286" s="70" t="s">
        <v>771</v>
      </c>
      <c r="P286" s="25" t="s">
        <v>225</v>
      </c>
      <c r="Q286" s="25" t="s">
        <v>2838</v>
      </c>
      <c r="R286" s="25"/>
    </row>
    <row r="287" spans="1:18" ht="27.75" customHeight="1" x14ac:dyDescent="0.4">
      <c r="A287" s="71">
        <v>44767</v>
      </c>
      <c r="B287" s="25" t="s">
        <v>772</v>
      </c>
      <c r="C287" s="25" t="s">
        <v>281</v>
      </c>
      <c r="D287" s="25" t="s">
        <v>2841</v>
      </c>
      <c r="E287" s="25" t="s">
        <v>222</v>
      </c>
      <c r="F287" s="25" t="s">
        <v>2837</v>
      </c>
      <c r="G287" s="25" t="s">
        <v>2837</v>
      </c>
      <c r="H287" s="25" t="s">
        <v>824</v>
      </c>
      <c r="I287" s="25"/>
      <c r="J287" s="25" t="s">
        <v>2838</v>
      </c>
      <c r="K287" s="71">
        <v>44754</v>
      </c>
      <c r="L287" s="25">
        <v>13</v>
      </c>
      <c r="M287" s="71">
        <v>44771</v>
      </c>
      <c r="N287" s="25"/>
      <c r="O287" s="70" t="s">
        <v>773</v>
      </c>
      <c r="P287" s="25"/>
      <c r="Q287" s="25"/>
      <c r="R287" s="25"/>
    </row>
    <row r="288" spans="1:18" ht="27.75" customHeight="1" x14ac:dyDescent="0.4">
      <c r="A288" s="71">
        <v>44767</v>
      </c>
      <c r="B288" s="25" t="s">
        <v>774</v>
      </c>
      <c r="C288" s="25" t="s">
        <v>692</v>
      </c>
      <c r="D288" s="25" t="s">
        <v>2842</v>
      </c>
      <c r="E288" s="25" t="s">
        <v>222</v>
      </c>
      <c r="F288" s="25" t="s">
        <v>2837</v>
      </c>
      <c r="G288" s="25" t="s">
        <v>2837</v>
      </c>
      <c r="H288" s="25" t="s">
        <v>824</v>
      </c>
      <c r="I288" s="25"/>
      <c r="J288" s="25" t="s">
        <v>2838</v>
      </c>
      <c r="K288" s="71">
        <v>44754</v>
      </c>
      <c r="L288" s="25">
        <v>13</v>
      </c>
      <c r="M288" s="71">
        <v>44771</v>
      </c>
      <c r="N288" s="25"/>
      <c r="O288" s="70" t="s">
        <v>775</v>
      </c>
      <c r="P288" s="25" t="s">
        <v>225</v>
      </c>
      <c r="Q288" s="25" t="s">
        <v>2838</v>
      </c>
      <c r="R288" s="25"/>
    </row>
    <row r="289" spans="1:18" ht="54.75" customHeight="1" x14ac:dyDescent="0.4">
      <c r="A289" s="71">
        <v>44767</v>
      </c>
      <c r="B289" s="25" t="s">
        <v>776</v>
      </c>
      <c r="C289" s="25" t="s">
        <v>281</v>
      </c>
      <c r="D289" s="25" t="s">
        <v>2841</v>
      </c>
      <c r="E289" s="25" t="s">
        <v>222</v>
      </c>
      <c r="F289" s="25" t="s">
        <v>2837</v>
      </c>
      <c r="G289" s="25" t="s">
        <v>2837</v>
      </c>
      <c r="H289" s="25" t="s">
        <v>824</v>
      </c>
      <c r="I289" s="25"/>
      <c r="J289" s="25" t="s">
        <v>2838</v>
      </c>
      <c r="K289" s="71">
        <v>44754</v>
      </c>
      <c r="L289" s="25">
        <v>13</v>
      </c>
      <c r="M289" s="71">
        <v>44772</v>
      </c>
      <c r="N289" s="25"/>
      <c r="O289" s="70" t="s">
        <v>777</v>
      </c>
      <c r="P289" s="25" t="s">
        <v>225</v>
      </c>
      <c r="Q289" s="25" t="s">
        <v>2838</v>
      </c>
      <c r="R289" s="25"/>
    </row>
    <row r="290" spans="1:18" ht="54.75" customHeight="1" x14ac:dyDescent="0.4">
      <c r="A290" s="71">
        <v>44768</v>
      </c>
      <c r="B290" s="25" t="s">
        <v>778</v>
      </c>
      <c r="C290" s="25" t="s">
        <v>281</v>
      </c>
      <c r="D290" s="25" t="s">
        <v>2841</v>
      </c>
      <c r="E290" s="25" t="s">
        <v>222</v>
      </c>
      <c r="F290" s="25" t="s">
        <v>2837</v>
      </c>
      <c r="G290" s="25" t="s">
        <v>2837</v>
      </c>
      <c r="H290" s="25" t="s">
        <v>824</v>
      </c>
      <c r="I290" s="25"/>
      <c r="J290" s="25" t="s">
        <v>2838</v>
      </c>
      <c r="K290" s="71">
        <v>44754</v>
      </c>
      <c r="L290" s="25">
        <v>14</v>
      </c>
      <c r="M290" s="71">
        <v>44773</v>
      </c>
      <c r="N290" s="25"/>
      <c r="O290" s="70" t="s">
        <v>779</v>
      </c>
      <c r="P290" s="25" t="s">
        <v>225</v>
      </c>
      <c r="Q290" s="25" t="s">
        <v>2838</v>
      </c>
      <c r="R290" s="25"/>
    </row>
    <row r="291" spans="1:18" ht="54.75" customHeight="1" x14ac:dyDescent="0.4">
      <c r="A291" s="71">
        <v>44768</v>
      </c>
      <c r="B291" s="25" t="s">
        <v>780</v>
      </c>
      <c r="C291" s="25" t="s">
        <v>281</v>
      </c>
      <c r="D291" s="25" t="s">
        <v>2841</v>
      </c>
      <c r="E291" s="25" t="s">
        <v>222</v>
      </c>
      <c r="F291" s="25" t="s">
        <v>2837</v>
      </c>
      <c r="G291" s="25" t="s">
        <v>2837</v>
      </c>
      <c r="H291" s="25" t="s">
        <v>824</v>
      </c>
      <c r="I291" s="25"/>
      <c r="J291" s="25" t="s">
        <v>2838</v>
      </c>
      <c r="K291" s="71">
        <v>44754</v>
      </c>
      <c r="L291" s="25">
        <v>14</v>
      </c>
      <c r="M291" s="71">
        <v>44772</v>
      </c>
      <c r="N291" s="25"/>
      <c r="O291" s="70" t="s">
        <v>781</v>
      </c>
      <c r="P291" s="25" t="s">
        <v>225</v>
      </c>
      <c r="Q291" s="25" t="s">
        <v>2838</v>
      </c>
      <c r="R291" s="25"/>
    </row>
    <row r="292" spans="1:18" ht="27.75" customHeight="1" x14ac:dyDescent="0.4">
      <c r="A292" s="71">
        <v>44768</v>
      </c>
      <c r="B292" s="25" t="s">
        <v>782</v>
      </c>
      <c r="C292" s="25" t="s">
        <v>281</v>
      </c>
      <c r="D292" s="25" t="s">
        <v>2841</v>
      </c>
      <c r="E292" s="25" t="s">
        <v>222</v>
      </c>
      <c r="F292" s="25" t="s">
        <v>2837</v>
      </c>
      <c r="G292" s="25" t="s">
        <v>2837</v>
      </c>
      <c r="H292" s="25" t="s">
        <v>824</v>
      </c>
      <c r="I292" s="25"/>
      <c r="J292" s="25" t="s">
        <v>2838</v>
      </c>
      <c r="K292" s="71">
        <v>44754</v>
      </c>
      <c r="L292" s="25">
        <v>14</v>
      </c>
      <c r="M292" s="71">
        <v>44773</v>
      </c>
      <c r="N292" s="25"/>
      <c r="O292" s="70" t="s">
        <v>783</v>
      </c>
      <c r="P292" s="25" t="s">
        <v>225</v>
      </c>
      <c r="Q292" s="25" t="s">
        <v>2838</v>
      </c>
      <c r="R292" s="25"/>
    </row>
    <row r="293" spans="1:18" ht="95.25" customHeight="1" x14ac:dyDescent="0.4">
      <c r="A293" s="71">
        <v>44768</v>
      </c>
      <c r="B293" s="25" t="s">
        <v>784</v>
      </c>
      <c r="C293" s="25" t="s">
        <v>692</v>
      </c>
      <c r="D293" s="25" t="s">
        <v>2842</v>
      </c>
      <c r="E293" s="25" t="s">
        <v>222</v>
      </c>
      <c r="F293" s="25" t="s">
        <v>2837</v>
      </c>
      <c r="G293" s="25" t="s">
        <v>2837</v>
      </c>
      <c r="H293" s="25" t="s">
        <v>824</v>
      </c>
      <c r="I293" s="25"/>
      <c r="J293" s="25" t="s">
        <v>2838</v>
      </c>
      <c r="K293" s="71">
        <v>44754</v>
      </c>
      <c r="L293" s="25">
        <v>14</v>
      </c>
      <c r="M293" s="71">
        <v>44769</v>
      </c>
      <c r="N293" s="25"/>
      <c r="O293" s="70" t="s">
        <v>785</v>
      </c>
      <c r="P293" s="25" t="s">
        <v>225</v>
      </c>
      <c r="Q293" s="25" t="s">
        <v>2838</v>
      </c>
      <c r="R293" s="25"/>
    </row>
    <row r="294" spans="1:18" ht="27.75" customHeight="1" x14ac:dyDescent="0.4">
      <c r="A294" s="71">
        <v>44768</v>
      </c>
      <c r="B294" s="25" t="s">
        <v>786</v>
      </c>
      <c r="C294" s="25" t="s">
        <v>281</v>
      </c>
      <c r="D294" s="25" t="s">
        <v>2841</v>
      </c>
      <c r="E294" s="25" t="s">
        <v>222</v>
      </c>
      <c r="F294" s="25" t="s">
        <v>2837</v>
      </c>
      <c r="G294" s="25" t="s">
        <v>2837</v>
      </c>
      <c r="H294" s="25" t="s">
        <v>824</v>
      </c>
      <c r="I294" s="25"/>
      <c r="J294" s="25" t="s">
        <v>2838</v>
      </c>
      <c r="K294" s="71">
        <v>44754</v>
      </c>
      <c r="L294" s="25">
        <v>14</v>
      </c>
      <c r="M294" s="71">
        <v>44771</v>
      </c>
      <c r="N294" s="25"/>
      <c r="O294" s="70" t="s">
        <v>787</v>
      </c>
      <c r="P294" s="25" t="s">
        <v>225</v>
      </c>
      <c r="Q294" s="25" t="s">
        <v>2838</v>
      </c>
      <c r="R294" s="25"/>
    </row>
    <row r="295" spans="1:18" ht="54.75" customHeight="1" x14ac:dyDescent="0.4">
      <c r="A295" s="71">
        <v>44768</v>
      </c>
      <c r="B295" s="25" t="s">
        <v>788</v>
      </c>
      <c r="C295" s="25" t="s">
        <v>692</v>
      </c>
      <c r="D295" s="25" t="s">
        <v>2842</v>
      </c>
      <c r="E295" s="25" t="s">
        <v>222</v>
      </c>
      <c r="F295" s="25" t="s">
        <v>2837</v>
      </c>
      <c r="G295" s="25" t="s">
        <v>2837</v>
      </c>
      <c r="H295" s="25" t="s">
        <v>824</v>
      </c>
      <c r="I295" s="25"/>
      <c r="J295" s="25" t="s">
        <v>2838</v>
      </c>
      <c r="K295" s="71">
        <v>44754</v>
      </c>
      <c r="L295" s="25">
        <v>14</v>
      </c>
      <c r="M295" s="71">
        <v>44770</v>
      </c>
      <c r="N295" s="25"/>
      <c r="O295" s="70" t="s">
        <v>789</v>
      </c>
      <c r="P295" s="25" t="s">
        <v>225</v>
      </c>
      <c r="Q295" s="25" t="s">
        <v>2838</v>
      </c>
      <c r="R295" s="25"/>
    </row>
    <row r="296" spans="1:18" ht="68.25" customHeight="1" x14ac:dyDescent="0.4">
      <c r="A296" s="71">
        <v>44768</v>
      </c>
      <c r="B296" s="25" t="s">
        <v>790</v>
      </c>
      <c r="C296" s="25" t="s">
        <v>281</v>
      </c>
      <c r="D296" s="25" t="s">
        <v>2841</v>
      </c>
      <c r="E296" s="25" t="s">
        <v>222</v>
      </c>
      <c r="F296" s="25" t="s">
        <v>2837</v>
      </c>
      <c r="G296" s="25" t="s">
        <v>2837</v>
      </c>
      <c r="H296" s="25" t="s">
        <v>824</v>
      </c>
      <c r="I296" s="25"/>
      <c r="J296" s="25" t="s">
        <v>2838</v>
      </c>
      <c r="K296" s="71">
        <v>44754</v>
      </c>
      <c r="L296" s="25">
        <v>14</v>
      </c>
      <c r="M296" s="71">
        <v>44772</v>
      </c>
      <c r="N296" s="25"/>
      <c r="O296" s="70" t="s">
        <v>791</v>
      </c>
      <c r="P296" s="25" t="s">
        <v>225</v>
      </c>
      <c r="Q296" s="25" t="s">
        <v>2838</v>
      </c>
      <c r="R296" s="25"/>
    </row>
    <row r="297" spans="1:18" ht="15.75" customHeight="1" x14ac:dyDescent="0.4">
      <c r="A297" s="71">
        <v>44768</v>
      </c>
      <c r="B297" s="25" t="s">
        <v>792</v>
      </c>
      <c r="C297" s="25" t="s">
        <v>281</v>
      </c>
      <c r="D297" s="25" t="s">
        <v>2841</v>
      </c>
      <c r="E297" s="25" t="s">
        <v>222</v>
      </c>
      <c r="F297" s="25" t="s">
        <v>2837</v>
      </c>
      <c r="G297" s="25" t="s">
        <v>2837</v>
      </c>
      <c r="H297" s="25" t="s">
        <v>824</v>
      </c>
      <c r="I297" s="25"/>
      <c r="J297" s="25" t="s">
        <v>2838</v>
      </c>
      <c r="K297" s="71">
        <v>44754</v>
      </c>
      <c r="L297" s="25">
        <v>14</v>
      </c>
      <c r="M297" s="71">
        <v>44769</v>
      </c>
      <c r="N297" s="25"/>
      <c r="O297" s="70" t="s">
        <v>793</v>
      </c>
      <c r="P297" s="25" t="s">
        <v>225</v>
      </c>
      <c r="Q297" s="25" t="s">
        <v>2838</v>
      </c>
      <c r="R297" s="25"/>
    </row>
    <row r="298" spans="1:18" ht="202.5" customHeight="1" x14ac:dyDescent="0.4">
      <c r="A298" s="71">
        <v>44768</v>
      </c>
      <c r="B298" s="25" t="s">
        <v>794</v>
      </c>
      <c r="C298" s="25" t="s">
        <v>281</v>
      </c>
      <c r="D298" s="25" t="s">
        <v>2841</v>
      </c>
      <c r="E298" s="25" t="s">
        <v>222</v>
      </c>
      <c r="F298" s="25" t="s">
        <v>2837</v>
      </c>
      <c r="G298" s="25" t="s">
        <v>2837</v>
      </c>
      <c r="H298" s="25" t="s">
        <v>824</v>
      </c>
      <c r="I298" s="25"/>
      <c r="J298" s="25" t="s">
        <v>2838</v>
      </c>
      <c r="K298" s="71">
        <v>44754</v>
      </c>
      <c r="L298" s="25">
        <v>14</v>
      </c>
      <c r="M298" s="71">
        <v>44771</v>
      </c>
      <c r="N298" s="25"/>
      <c r="O298" s="70" t="s">
        <v>795</v>
      </c>
      <c r="P298" s="25" t="s">
        <v>225</v>
      </c>
      <c r="Q298" s="25" t="s">
        <v>2838</v>
      </c>
      <c r="R298" s="25"/>
    </row>
    <row r="299" spans="1:18" ht="68.25" customHeight="1" x14ac:dyDescent="0.4">
      <c r="A299" s="71">
        <v>44769</v>
      </c>
      <c r="B299" s="25" t="s">
        <v>796</v>
      </c>
      <c r="C299" s="25" t="s">
        <v>281</v>
      </c>
      <c r="D299" s="25" t="s">
        <v>2841</v>
      </c>
      <c r="E299" s="25" t="s">
        <v>797</v>
      </c>
      <c r="F299" s="25"/>
      <c r="G299" s="25"/>
      <c r="H299" s="25" t="s">
        <v>824</v>
      </c>
      <c r="I299" s="25"/>
      <c r="J299" s="25" t="s">
        <v>2838</v>
      </c>
      <c r="K299" s="71">
        <v>44754</v>
      </c>
      <c r="L299" s="25">
        <v>15</v>
      </c>
      <c r="M299" s="71">
        <v>44770</v>
      </c>
      <c r="N299" s="25" t="s">
        <v>2844</v>
      </c>
      <c r="O299" s="70" t="s">
        <v>798</v>
      </c>
      <c r="P299" s="25" t="s">
        <v>225</v>
      </c>
      <c r="Q299" s="25" t="s">
        <v>2838</v>
      </c>
      <c r="R299" s="25"/>
    </row>
    <row r="300" spans="1:18" ht="68.25" customHeight="1" x14ac:dyDescent="0.4">
      <c r="A300" s="71">
        <v>44770</v>
      </c>
      <c r="B300" s="25" t="s">
        <v>799</v>
      </c>
      <c r="C300" s="25" t="s">
        <v>281</v>
      </c>
      <c r="D300" s="25" t="s">
        <v>2841</v>
      </c>
      <c r="E300" s="25" t="s">
        <v>797</v>
      </c>
      <c r="F300" s="25" t="s">
        <v>2838</v>
      </c>
      <c r="G300" s="72">
        <v>44768</v>
      </c>
      <c r="H300" s="25" t="s">
        <v>824</v>
      </c>
      <c r="I300" s="25"/>
      <c r="J300" s="25" t="s">
        <v>2838</v>
      </c>
      <c r="K300" s="71">
        <v>44754</v>
      </c>
      <c r="L300" s="25">
        <v>16</v>
      </c>
      <c r="M300" s="71">
        <v>44774</v>
      </c>
      <c r="N300" s="25"/>
      <c r="O300" s="70" t="s">
        <v>800</v>
      </c>
      <c r="P300" s="25" t="s">
        <v>225</v>
      </c>
      <c r="Q300" s="25" t="s">
        <v>2838</v>
      </c>
      <c r="R300" s="25"/>
    </row>
    <row r="301" spans="1:18" ht="122.25" customHeight="1" x14ac:dyDescent="0.4">
      <c r="A301" s="71">
        <v>44770</v>
      </c>
      <c r="B301" s="25" t="s">
        <v>801</v>
      </c>
      <c r="C301" s="25" t="s">
        <v>281</v>
      </c>
      <c r="D301" s="25" t="s">
        <v>2841</v>
      </c>
      <c r="E301" s="25" t="s">
        <v>797</v>
      </c>
      <c r="F301" s="25" t="s">
        <v>2838</v>
      </c>
      <c r="G301" s="72">
        <v>44768</v>
      </c>
      <c r="H301" s="25" t="s">
        <v>824</v>
      </c>
      <c r="I301" s="25"/>
      <c r="J301" s="25" t="s">
        <v>2838</v>
      </c>
      <c r="K301" s="71">
        <v>44754</v>
      </c>
      <c r="L301" s="25">
        <v>16</v>
      </c>
      <c r="M301" s="71">
        <v>44774</v>
      </c>
      <c r="N301" s="25"/>
      <c r="O301" s="70" t="s">
        <v>802</v>
      </c>
      <c r="P301" s="25" t="s">
        <v>225</v>
      </c>
      <c r="Q301" s="25" t="s">
        <v>2838</v>
      </c>
      <c r="R301" s="25"/>
    </row>
    <row r="302" spans="1:18" ht="81.75" customHeight="1" x14ac:dyDescent="0.4">
      <c r="A302" s="71">
        <v>44770</v>
      </c>
      <c r="B302" s="25" t="s">
        <v>803</v>
      </c>
      <c r="C302" s="25" t="s">
        <v>281</v>
      </c>
      <c r="D302" s="25" t="s">
        <v>2841</v>
      </c>
      <c r="E302" s="25" t="s">
        <v>797</v>
      </c>
      <c r="F302" s="25"/>
      <c r="G302" s="25"/>
      <c r="H302" s="25" t="s">
        <v>824</v>
      </c>
      <c r="I302" s="25"/>
      <c r="J302" s="25" t="s">
        <v>2838</v>
      </c>
      <c r="K302" s="71">
        <v>44754</v>
      </c>
      <c r="L302" s="25">
        <v>16</v>
      </c>
      <c r="M302" s="71">
        <v>44774</v>
      </c>
      <c r="N302" s="25" t="s">
        <v>2845</v>
      </c>
      <c r="O302" s="70" t="s">
        <v>804</v>
      </c>
      <c r="P302" s="25" t="s">
        <v>225</v>
      </c>
      <c r="Q302" s="25" t="s">
        <v>2838</v>
      </c>
      <c r="R302" s="25"/>
    </row>
    <row r="303" spans="1:18" ht="135.75" customHeight="1" x14ac:dyDescent="0.4">
      <c r="A303" s="71">
        <v>44770</v>
      </c>
      <c r="B303" s="25" t="s">
        <v>805</v>
      </c>
      <c r="C303" s="25" t="s">
        <v>281</v>
      </c>
      <c r="D303" s="25" t="s">
        <v>2841</v>
      </c>
      <c r="E303" s="25" t="s">
        <v>797</v>
      </c>
      <c r="F303" s="25"/>
      <c r="G303" s="25"/>
      <c r="H303" s="25" t="s">
        <v>824</v>
      </c>
      <c r="I303" s="25"/>
      <c r="J303" s="25" t="s">
        <v>2838</v>
      </c>
      <c r="K303" s="71">
        <v>44754</v>
      </c>
      <c r="L303" s="25">
        <v>16</v>
      </c>
      <c r="M303" s="71">
        <v>44775</v>
      </c>
      <c r="N303" s="25"/>
      <c r="O303" s="70" t="s">
        <v>806</v>
      </c>
      <c r="P303" s="25" t="s">
        <v>225</v>
      </c>
      <c r="Q303" s="25" t="s">
        <v>2838</v>
      </c>
      <c r="R303" s="25"/>
    </row>
    <row r="304" spans="1:18" ht="27.75" customHeight="1" x14ac:dyDescent="0.4">
      <c r="A304" s="71">
        <v>44765</v>
      </c>
      <c r="B304" s="25" t="s">
        <v>807</v>
      </c>
      <c r="C304" s="25" t="s">
        <v>281</v>
      </c>
      <c r="D304" s="25" t="s">
        <v>2841</v>
      </c>
      <c r="E304" s="25" t="s">
        <v>222</v>
      </c>
      <c r="F304" s="25" t="s">
        <v>2837</v>
      </c>
      <c r="G304" s="25" t="s">
        <v>2837</v>
      </c>
      <c r="H304" s="25" t="s">
        <v>824</v>
      </c>
      <c r="I304" s="25"/>
      <c r="J304" s="25" t="s">
        <v>2838</v>
      </c>
      <c r="K304" s="71">
        <v>44754</v>
      </c>
      <c r="L304" s="25">
        <v>11</v>
      </c>
      <c r="M304" s="71">
        <v>44773</v>
      </c>
      <c r="N304" s="25"/>
      <c r="O304" s="70" t="s">
        <v>808</v>
      </c>
      <c r="P304" s="25" t="s">
        <v>225</v>
      </c>
      <c r="Q304" s="25" t="s">
        <v>2838</v>
      </c>
      <c r="R304" s="25"/>
    </row>
    <row r="305" spans="1:18" ht="81.75" customHeight="1" x14ac:dyDescent="0.4">
      <c r="A305" s="71">
        <v>44771</v>
      </c>
      <c r="B305" s="25" t="s">
        <v>809</v>
      </c>
      <c r="C305" s="25" t="s">
        <v>281</v>
      </c>
      <c r="D305" s="25" t="s">
        <v>2841</v>
      </c>
      <c r="E305" s="25" t="s">
        <v>797</v>
      </c>
      <c r="F305" s="25" t="s">
        <v>2838</v>
      </c>
      <c r="G305" s="72">
        <v>44765</v>
      </c>
      <c r="H305" s="25" t="s">
        <v>824</v>
      </c>
      <c r="I305" s="25"/>
      <c r="J305" s="25" t="s">
        <v>2838</v>
      </c>
      <c r="K305" s="71">
        <v>44754</v>
      </c>
      <c r="L305" s="25">
        <v>17</v>
      </c>
      <c r="M305" s="71">
        <v>44775</v>
      </c>
      <c r="N305" s="25"/>
      <c r="O305" s="70" t="s">
        <v>810</v>
      </c>
      <c r="P305" s="25" t="s">
        <v>225</v>
      </c>
      <c r="Q305" s="25" t="s">
        <v>2838</v>
      </c>
      <c r="R305" s="25"/>
    </row>
  </sheetData>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190"/>
  <sheetViews>
    <sheetView zoomScaleNormal="100" workbookViewId="0"/>
  </sheetViews>
  <sheetFormatPr defaultColWidth="12.6328125" defaultRowHeight="14.5" x14ac:dyDescent="0.4"/>
  <cols>
    <col min="1" max="1" width="8.90625" customWidth="1"/>
    <col min="2" max="2" width="45.08984375" customWidth="1"/>
    <col min="3" max="3" width="14.90625" customWidth="1"/>
    <col min="4" max="5" width="16.453125" customWidth="1"/>
    <col min="6" max="6" width="15.7265625" customWidth="1"/>
    <col min="7" max="7" width="20.90625" customWidth="1"/>
    <col min="8" max="8" width="56.26953125" customWidth="1"/>
  </cols>
  <sheetData>
    <row r="1" spans="1:8" ht="15.75" customHeight="1" x14ac:dyDescent="0.4">
      <c r="A1" s="24" t="s">
        <v>213</v>
      </c>
      <c r="B1" s="24" t="s">
        <v>2846</v>
      </c>
      <c r="C1" s="24" t="s">
        <v>2847</v>
      </c>
      <c r="D1" s="24" t="s">
        <v>2848</v>
      </c>
      <c r="E1" s="24" t="s">
        <v>2849</v>
      </c>
      <c r="F1" s="24" t="s">
        <v>2850</v>
      </c>
      <c r="G1" s="24" t="s">
        <v>2851</v>
      </c>
      <c r="H1" s="24" t="s">
        <v>2852</v>
      </c>
    </row>
    <row r="2" spans="1:8" ht="15.75" customHeight="1" x14ac:dyDescent="0.4">
      <c r="A2" s="24" t="s">
        <v>1363</v>
      </c>
      <c r="B2" s="24" t="s">
        <v>2853</v>
      </c>
      <c r="C2" s="73">
        <v>44776.458333333299</v>
      </c>
      <c r="D2" s="73">
        <v>44776.477361111101</v>
      </c>
      <c r="E2" s="24" t="s">
        <v>2854</v>
      </c>
      <c r="F2" s="24">
        <v>26</v>
      </c>
      <c r="H2" s="24" t="s">
        <v>2855</v>
      </c>
    </row>
    <row r="3" spans="1:8" ht="15.75" customHeight="1" x14ac:dyDescent="0.4">
      <c r="A3" s="24" t="s">
        <v>1581</v>
      </c>
      <c r="B3" s="24" t="s">
        <v>2853</v>
      </c>
      <c r="C3" s="73">
        <v>44775.895833333299</v>
      </c>
      <c r="D3" s="73">
        <v>44775.934768518498</v>
      </c>
      <c r="E3" s="24" t="s">
        <v>2854</v>
      </c>
      <c r="F3" s="24">
        <v>54</v>
      </c>
      <c r="G3" s="24">
        <v>5</v>
      </c>
      <c r="H3" s="24" t="s">
        <v>2855</v>
      </c>
    </row>
    <row r="4" spans="1:8" ht="15.75" customHeight="1" x14ac:dyDescent="0.4">
      <c r="A4" s="24" t="s">
        <v>1293</v>
      </c>
      <c r="B4" s="24" t="s">
        <v>2853</v>
      </c>
      <c r="C4" s="73">
        <v>44774.916666666701</v>
      </c>
      <c r="D4" s="73">
        <v>44774.954131944498</v>
      </c>
      <c r="E4" s="24" t="s">
        <v>2854</v>
      </c>
      <c r="F4" s="24">
        <v>49</v>
      </c>
      <c r="G4" s="24">
        <v>5</v>
      </c>
      <c r="H4" s="24" t="s">
        <v>2855</v>
      </c>
    </row>
    <row r="5" spans="1:8" ht="15.75" customHeight="1" x14ac:dyDescent="0.4">
      <c r="A5" s="24" t="s">
        <v>972</v>
      </c>
      <c r="B5" s="24" t="s">
        <v>2853</v>
      </c>
      <c r="C5" s="73">
        <v>44774.895833333299</v>
      </c>
      <c r="D5" s="73">
        <v>44774.922025462998</v>
      </c>
      <c r="E5" s="24" t="s">
        <v>2854</v>
      </c>
      <c r="F5" s="24">
        <v>25</v>
      </c>
      <c r="G5" s="24">
        <v>4</v>
      </c>
      <c r="H5" s="24" t="s">
        <v>2855</v>
      </c>
    </row>
    <row r="6" spans="1:8" ht="15.75" customHeight="1" x14ac:dyDescent="0.4">
      <c r="A6" s="24" t="s">
        <v>901</v>
      </c>
      <c r="B6" s="24" t="s">
        <v>2853</v>
      </c>
      <c r="C6" s="73">
        <v>44774.604166666701</v>
      </c>
      <c r="D6" s="73">
        <v>44774.628391203703</v>
      </c>
      <c r="E6" s="24" t="s">
        <v>2854</v>
      </c>
      <c r="F6" s="24">
        <v>34</v>
      </c>
      <c r="G6" s="24">
        <v>5</v>
      </c>
      <c r="H6" s="24" t="s">
        <v>2855</v>
      </c>
    </row>
    <row r="7" spans="1:8" ht="15.75" customHeight="1" x14ac:dyDescent="0.4">
      <c r="A7" s="24" t="s">
        <v>1554</v>
      </c>
      <c r="B7" s="24" t="s">
        <v>2853</v>
      </c>
      <c r="C7" s="73">
        <v>44773.875</v>
      </c>
      <c r="D7" s="73">
        <v>44773.918854166703</v>
      </c>
      <c r="E7" s="24" t="s">
        <v>2854</v>
      </c>
      <c r="F7" s="24">
        <v>62</v>
      </c>
      <c r="G7" s="24">
        <v>5</v>
      </c>
      <c r="H7" s="24" t="s">
        <v>2855</v>
      </c>
    </row>
    <row r="8" spans="1:8" ht="15.75" customHeight="1" x14ac:dyDescent="0.4">
      <c r="A8" s="24" t="s">
        <v>1387</v>
      </c>
      <c r="B8" s="24" t="s">
        <v>2853</v>
      </c>
      <c r="C8" s="73">
        <v>44773.791666666701</v>
      </c>
      <c r="D8" s="73">
        <v>44773.804131944496</v>
      </c>
      <c r="E8" s="24" t="s">
        <v>2856</v>
      </c>
      <c r="F8" s="24">
        <v>0</v>
      </c>
      <c r="H8" s="24" t="s">
        <v>2857</v>
      </c>
    </row>
    <row r="9" spans="1:8" ht="15.75" customHeight="1" x14ac:dyDescent="0.4">
      <c r="A9" s="24" t="s">
        <v>1579</v>
      </c>
      <c r="B9" s="24" t="s">
        <v>2853</v>
      </c>
      <c r="C9" s="73">
        <v>44773.625</v>
      </c>
      <c r="D9" s="73">
        <v>44773.660636574103</v>
      </c>
      <c r="E9" s="24" t="s">
        <v>2854</v>
      </c>
      <c r="F9" s="24">
        <v>47</v>
      </c>
      <c r="G9" s="24">
        <v>5</v>
      </c>
      <c r="H9" s="24" t="s">
        <v>2855</v>
      </c>
    </row>
    <row r="10" spans="1:8" ht="15.75" customHeight="1" x14ac:dyDescent="0.4">
      <c r="A10" s="24" t="s">
        <v>1886</v>
      </c>
      <c r="B10" s="24" t="s">
        <v>2853</v>
      </c>
      <c r="C10" s="73">
        <v>44773.458333333299</v>
      </c>
      <c r="D10" s="73">
        <v>44773.485983796301</v>
      </c>
      <c r="E10" s="24" t="s">
        <v>2854</v>
      </c>
      <c r="F10" s="24">
        <v>37</v>
      </c>
      <c r="G10" s="24">
        <v>5</v>
      </c>
      <c r="H10" s="24" t="s">
        <v>2855</v>
      </c>
    </row>
    <row r="11" spans="1:8" ht="15.75" customHeight="1" x14ac:dyDescent="0.4">
      <c r="A11" s="24" t="s">
        <v>1262</v>
      </c>
      <c r="B11" s="24" t="s">
        <v>2853</v>
      </c>
      <c r="C11" s="73">
        <v>44772.916666666701</v>
      </c>
      <c r="D11" s="73">
        <v>44772.947546296302</v>
      </c>
      <c r="E11" s="24" t="s">
        <v>2854</v>
      </c>
      <c r="F11" s="24">
        <v>41</v>
      </c>
      <c r="G11" s="24">
        <v>4</v>
      </c>
      <c r="H11" s="24" t="s">
        <v>2855</v>
      </c>
    </row>
    <row r="12" spans="1:8" ht="15.75" customHeight="1" x14ac:dyDescent="0.4">
      <c r="A12" s="24" t="s">
        <v>1496</v>
      </c>
      <c r="B12" s="24" t="s">
        <v>2853</v>
      </c>
      <c r="C12" s="73">
        <v>44772.875</v>
      </c>
      <c r="D12" s="73">
        <v>44772.893611111103</v>
      </c>
      <c r="E12" s="24" t="s">
        <v>2854</v>
      </c>
      <c r="F12" s="24">
        <v>24</v>
      </c>
      <c r="G12" s="24">
        <v>5</v>
      </c>
      <c r="H12" s="24" t="s">
        <v>2855</v>
      </c>
    </row>
    <row r="13" spans="1:8" ht="15.75" customHeight="1" x14ac:dyDescent="0.4">
      <c r="A13" s="24" t="s">
        <v>1293</v>
      </c>
      <c r="B13" s="24" t="s">
        <v>2853</v>
      </c>
      <c r="C13" s="73">
        <v>44772.666666666701</v>
      </c>
      <c r="D13" s="73">
        <v>44772.689201388901</v>
      </c>
      <c r="E13" s="24" t="s">
        <v>2856</v>
      </c>
      <c r="F13" s="24">
        <v>0</v>
      </c>
      <c r="G13" s="24">
        <v>1</v>
      </c>
      <c r="H13" s="24" t="s">
        <v>2858</v>
      </c>
    </row>
    <row r="14" spans="1:8" ht="15.75" customHeight="1" x14ac:dyDescent="0.4">
      <c r="A14" s="24" t="s">
        <v>2125</v>
      </c>
      <c r="B14" s="24" t="s">
        <v>2853</v>
      </c>
      <c r="C14" s="73">
        <v>44772.541666666701</v>
      </c>
      <c r="D14" s="73">
        <v>44772.574467592603</v>
      </c>
      <c r="E14" s="24" t="s">
        <v>2854</v>
      </c>
      <c r="F14" s="24">
        <v>47</v>
      </c>
      <c r="G14" s="24">
        <v>5</v>
      </c>
      <c r="H14" s="24" t="s">
        <v>2855</v>
      </c>
    </row>
    <row r="15" spans="1:8" ht="15.75" customHeight="1" x14ac:dyDescent="0.4">
      <c r="A15" s="24" t="s">
        <v>1635</v>
      </c>
      <c r="B15" s="24" t="s">
        <v>2853</v>
      </c>
      <c r="C15" s="73">
        <v>44772.4375</v>
      </c>
      <c r="D15" s="73">
        <v>44772.4816319444</v>
      </c>
      <c r="E15" s="24" t="s">
        <v>2854</v>
      </c>
      <c r="F15" s="24">
        <v>59</v>
      </c>
      <c r="G15" s="24">
        <v>5</v>
      </c>
      <c r="H15" s="24" t="s">
        <v>2855</v>
      </c>
    </row>
    <row r="16" spans="1:8" ht="15.75" customHeight="1" x14ac:dyDescent="0.4">
      <c r="A16" s="24" t="s">
        <v>1668</v>
      </c>
      <c r="B16" s="24" t="s">
        <v>2853</v>
      </c>
      <c r="C16" s="73">
        <v>44772.4375</v>
      </c>
      <c r="D16" s="73">
        <v>44772.462094907401</v>
      </c>
      <c r="E16" s="24" t="s">
        <v>2854</v>
      </c>
      <c r="F16" s="24">
        <v>30</v>
      </c>
      <c r="G16" s="24">
        <v>5</v>
      </c>
      <c r="H16" s="24" t="s">
        <v>2855</v>
      </c>
    </row>
    <row r="17" spans="1:15" ht="15.75" customHeight="1" x14ac:dyDescent="0.4">
      <c r="A17" s="24" t="s">
        <v>1599</v>
      </c>
      <c r="B17" s="24" t="s">
        <v>2853</v>
      </c>
      <c r="C17" s="73">
        <v>44772.416666666701</v>
      </c>
      <c r="D17" s="73">
        <v>44772.435555555603</v>
      </c>
      <c r="E17" s="24" t="s">
        <v>2854</v>
      </c>
      <c r="F17" s="24">
        <v>26</v>
      </c>
      <c r="G17" s="24">
        <v>5</v>
      </c>
      <c r="H17" s="24" t="s">
        <v>2855</v>
      </c>
    </row>
    <row r="18" spans="1:15" ht="15.75" customHeight="1" x14ac:dyDescent="0.4">
      <c r="A18" s="24" t="s">
        <v>2160</v>
      </c>
      <c r="B18" s="24" t="s">
        <v>2853</v>
      </c>
      <c r="C18" s="74">
        <v>44772</v>
      </c>
      <c r="D18" s="73">
        <v>44772.021076388897</v>
      </c>
      <c r="E18" s="24" t="s">
        <v>2854</v>
      </c>
      <c r="F18" s="24">
        <v>29</v>
      </c>
      <c r="G18" s="24">
        <v>5</v>
      </c>
      <c r="H18" s="24" t="s">
        <v>2855</v>
      </c>
    </row>
    <row r="19" spans="1:15" ht="15.75" customHeight="1" x14ac:dyDescent="0.4">
      <c r="A19" s="24" t="s">
        <v>1624</v>
      </c>
      <c r="B19" s="24" t="s">
        <v>2859</v>
      </c>
      <c r="C19" s="73">
        <v>44771.729166666701</v>
      </c>
      <c r="D19" s="73">
        <v>44771.747141203698</v>
      </c>
      <c r="E19" s="24" t="s">
        <v>2856</v>
      </c>
      <c r="F19" s="24">
        <v>0</v>
      </c>
      <c r="H19" s="24" t="s">
        <v>2857</v>
      </c>
    </row>
    <row r="20" spans="1:15" ht="15.75" customHeight="1" x14ac:dyDescent="0.4">
      <c r="A20" s="24" t="s">
        <v>1511</v>
      </c>
      <c r="B20" s="24" t="s">
        <v>2853</v>
      </c>
      <c r="C20" s="73">
        <v>44771.708333333299</v>
      </c>
      <c r="D20" s="73">
        <v>44771.742395833302</v>
      </c>
      <c r="E20" s="24" t="s">
        <v>2854</v>
      </c>
      <c r="F20" s="24">
        <v>36</v>
      </c>
      <c r="G20" s="24">
        <v>5</v>
      </c>
      <c r="H20" s="24" t="s">
        <v>2855</v>
      </c>
    </row>
    <row r="21" spans="1:15" ht="15.75" customHeight="1" x14ac:dyDescent="0.4">
      <c r="A21" s="24" t="s">
        <v>220</v>
      </c>
      <c r="B21" s="24" t="s">
        <v>2853</v>
      </c>
      <c r="C21" s="73">
        <v>44771.541666666701</v>
      </c>
      <c r="D21" s="73">
        <v>44771.586932870399</v>
      </c>
      <c r="E21" s="24" t="s">
        <v>2854</v>
      </c>
      <c r="F21" s="24">
        <v>56</v>
      </c>
      <c r="G21" s="24">
        <v>5</v>
      </c>
      <c r="H21" s="24" t="s">
        <v>2855</v>
      </c>
    </row>
    <row r="22" spans="1:15" ht="15.75" customHeight="1" x14ac:dyDescent="0.4">
      <c r="A22" s="24" t="s">
        <v>1982</v>
      </c>
      <c r="B22" s="24" t="s">
        <v>2853</v>
      </c>
      <c r="C22" s="73">
        <v>44771.520833333299</v>
      </c>
      <c r="D22" s="73">
        <v>44771.543703703697</v>
      </c>
      <c r="E22" s="24" t="s">
        <v>2854</v>
      </c>
      <c r="F22" s="24">
        <v>23</v>
      </c>
      <c r="G22" s="24">
        <v>4</v>
      </c>
      <c r="H22" s="24" t="s">
        <v>2855</v>
      </c>
    </row>
    <row r="23" spans="1:15" ht="15.75" customHeight="1" x14ac:dyDescent="0.4">
      <c r="A23" s="24" t="s">
        <v>237</v>
      </c>
      <c r="B23" s="24" t="s">
        <v>2853</v>
      </c>
      <c r="C23" s="73">
        <v>44771.416666666701</v>
      </c>
      <c r="D23" s="73">
        <v>44771.460069444503</v>
      </c>
      <c r="E23" s="24" t="s">
        <v>2854</v>
      </c>
      <c r="F23" s="24">
        <v>22</v>
      </c>
      <c r="G23" s="24">
        <v>5</v>
      </c>
      <c r="H23" s="24" t="s">
        <v>2855</v>
      </c>
      <c r="N23" s="24">
        <v>50</v>
      </c>
      <c r="O23" s="24">
        <v>0.5</v>
      </c>
    </row>
    <row r="24" spans="1:15" ht="15.75" customHeight="1" x14ac:dyDescent="0.4">
      <c r="A24" s="24" t="s">
        <v>803</v>
      </c>
      <c r="B24" s="24" t="s">
        <v>2853</v>
      </c>
      <c r="C24" s="73">
        <v>44770.916666666701</v>
      </c>
      <c r="D24" s="73">
        <v>44770.942546296297</v>
      </c>
      <c r="E24" s="24" t="s">
        <v>2854</v>
      </c>
      <c r="F24" s="24">
        <v>34</v>
      </c>
      <c r="H24" s="24" t="s">
        <v>2855</v>
      </c>
      <c r="N24" s="24">
        <v>30</v>
      </c>
      <c r="O24" s="24">
        <v>0.8</v>
      </c>
    </row>
    <row r="25" spans="1:15" ht="15.75" customHeight="1" x14ac:dyDescent="0.4">
      <c r="A25" s="24" t="s">
        <v>933</v>
      </c>
      <c r="B25" s="24" t="s">
        <v>2853</v>
      </c>
      <c r="C25" s="73">
        <v>44770.895833333299</v>
      </c>
      <c r="D25" s="73">
        <v>44770.937349537002</v>
      </c>
      <c r="E25" s="24" t="s">
        <v>2854</v>
      </c>
      <c r="F25" s="24">
        <v>56</v>
      </c>
      <c r="H25" s="24" t="s">
        <v>2855</v>
      </c>
      <c r="N25" s="24">
        <v>15</v>
      </c>
      <c r="O25" s="24">
        <v>2</v>
      </c>
    </row>
    <row r="26" spans="1:15" ht="15.75" customHeight="1" x14ac:dyDescent="0.4">
      <c r="A26" s="24" t="s">
        <v>2017</v>
      </c>
      <c r="B26" s="24" t="s">
        <v>2853</v>
      </c>
      <c r="C26" s="73">
        <v>44770.833333333299</v>
      </c>
      <c r="D26" s="73">
        <v>44770.856481481504</v>
      </c>
      <c r="E26" s="24" t="s">
        <v>2854</v>
      </c>
      <c r="F26" s="24">
        <v>31</v>
      </c>
      <c r="G26" s="24">
        <v>5</v>
      </c>
      <c r="H26" s="24" t="s">
        <v>2855</v>
      </c>
      <c r="N26" s="24">
        <v>5</v>
      </c>
      <c r="O26" s="24">
        <v>5</v>
      </c>
    </row>
    <row r="27" spans="1:15" ht="15.75" customHeight="1" x14ac:dyDescent="0.4">
      <c r="A27" s="24" t="s">
        <v>1262</v>
      </c>
      <c r="B27" s="24" t="s">
        <v>2853</v>
      </c>
      <c r="C27" s="73">
        <v>44769.979166666701</v>
      </c>
      <c r="D27" s="73">
        <v>44769.983344907399</v>
      </c>
      <c r="E27" s="24" t="s">
        <v>2856</v>
      </c>
      <c r="F27" s="24">
        <v>0</v>
      </c>
      <c r="H27" s="24" t="s">
        <v>2857</v>
      </c>
    </row>
    <row r="28" spans="1:15" ht="15.75" customHeight="1" x14ac:dyDescent="0.4">
      <c r="A28" s="24" t="s">
        <v>1167</v>
      </c>
      <c r="B28" s="24" t="s">
        <v>2853</v>
      </c>
      <c r="C28" s="73">
        <v>44769.895833333299</v>
      </c>
      <c r="D28" s="73">
        <v>44769.954849537004</v>
      </c>
      <c r="E28" s="24" t="s">
        <v>2854</v>
      </c>
      <c r="F28" s="24">
        <v>80</v>
      </c>
      <c r="G28" s="24">
        <v>5</v>
      </c>
      <c r="H28" s="24" t="s">
        <v>2855</v>
      </c>
    </row>
    <row r="29" spans="1:15" ht="15.75" customHeight="1" x14ac:dyDescent="0.4">
      <c r="A29" s="24" t="s">
        <v>1228</v>
      </c>
      <c r="B29" s="24" t="s">
        <v>2853</v>
      </c>
      <c r="C29" s="73">
        <v>44769.8125</v>
      </c>
      <c r="D29" s="73">
        <v>44769.847430555601</v>
      </c>
      <c r="E29" s="24" t="s">
        <v>2854</v>
      </c>
      <c r="F29" s="24">
        <v>49</v>
      </c>
      <c r="G29" s="24">
        <v>5</v>
      </c>
      <c r="H29" s="24" t="s">
        <v>2855</v>
      </c>
    </row>
    <row r="30" spans="1:15" ht="15.75" customHeight="1" x14ac:dyDescent="0.4">
      <c r="A30" s="24" t="s">
        <v>1502</v>
      </c>
      <c r="B30" s="24" t="s">
        <v>2853</v>
      </c>
      <c r="C30" s="73">
        <v>44769.583333333299</v>
      </c>
      <c r="D30" s="73">
        <v>44769.605289351901</v>
      </c>
      <c r="E30" s="24" t="s">
        <v>2854</v>
      </c>
      <c r="F30" s="24">
        <v>30</v>
      </c>
      <c r="G30" s="24">
        <v>5</v>
      </c>
      <c r="H30" s="24" t="s">
        <v>2855</v>
      </c>
    </row>
    <row r="31" spans="1:15" ht="15.75" customHeight="1" x14ac:dyDescent="0.4">
      <c r="A31" s="24" t="s">
        <v>1150</v>
      </c>
      <c r="B31" s="24" t="s">
        <v>2853</v>
      </c>
      <c r="C31" s="73">
        <v>44769.5</v>
      </c>
      <c r="D31" s="73">
        <v>44769.5070023148</v>
      </c>
      <c r="E31" s="24" t="s">
        <v>2854</v>
      </c>
      <c r="F31" s="24">
        <v>5</v>
      </c>
      <c r="G31" s="24">
        <v>5</v>
      </c>
      <c r="H31" s="24" t="s">
        <v>2855</v>
      </c>
    </row>
    <row r="32" spans="1:15" ht="15.75" customHeight="1" x14ac:dyDescent="0.4">
      <c r="A32" s="24" t="s">
        <v>2076</v>
      </c>
      <c r="B32" s="24" t="s">
        <v>2853</v>
      </c>
      <c r="C32" s="73">
        <v>44769.416666666701</v>
      </c>
      <c r="D32" s="73">
        <v>44769.440902777802</v>
      </c>
      <c r="E32" s="24" t="s">
        <v>2854</v>
      </c>
      <c r="F32" s="24">
        <v>32</v>
      </c>
      <c r="G32" s="24">
        <v>4</v>
      </c>
      <c r="H32" s="24" t="s">
        <v>2855</v>
      </c>
    </row>
    <row r="33" spans="1:8" ht="15.75" customHeight="1" x14ac:dyDescent="0.4">
      <c r="A33" s="24" t="s">
        <v>2158</v>
      </c>
      <c r="B33" s="24" t="s">
        <v>2853</v>
      </c>
      <c r="C33" s="73">
        <v>44769.354166666701</v>
      </c>
      <c r="D33" s="73">
        <v>44769.387337963002</v>
      </c>
      <c r="E33" s="24" t="s">
        <v>2854</v>
      </c>
      <c r="F33" s="24">
        <v>45</v>
      </c>
      <c r="H33" s="24" t="s">
        <v>2855</v>
      </c>
    </row>
    <row r="34" spans="1:8" ht="15.75" customHeight="1" x14ac:dyDescent="0.4">
      <c r="A34" s="24" t="s">
        <v>1942</v>
      </c>
      <c r="B34" s="24" t="s">
        <v>2853</v>
      </c>
      <c r="C34" s="73">
        <v>44768.895833333299</v>
      </c>
      <c r="D34" s="73">
        <v>44768.9384027778</v>
      </c>
      <c r="E34" s="24" t="s">
        <v>2854</v>
      </c>
      <c r="F34" s="24">
        <v>61</v>
      </c>
      <c r="G34" s="24">
        <v>5</v>
      </c>
      <c r="H34" s="24" t="s">
        <v>2855</v>
      </c>
    </row>
    <row r="35" spans="1:8" ht="15.75" customHeight="1" x14ac:dyDescent="0.4">
      <c r="A35" s="24" t="s">
        <v>228</v>
      </c>
      <c r="B35" s="24" t="s">
        <v>2853</v>
      </c>
      <c r="C35" s="73">
        <v>44768.833333333299</v>
      </c>
      <c r="D35" s="73">
        <v>44768.883159722202</v>
      </c>
      <c r="E35" s="24" t="s">
        <v>2854</v>
      </c>
      <c r="F35" s="24">
        <v>67</v>
      </c>
      <c r="H35" s="24" t="s">
        <v>2855</v>
      </c>
    </row>
    <row r="36" spans="1:8" ht="15.75" customHeight="1" x14ac:dyDescent="0.4">
      <c r="A36" s="24" t="s">
        <v>1598</v>
      </c>
      <c r="B36" s="24" t="s">
        <v>2859</v>
      </c>
      <c r="C36" s="73">
        <v>44767.708333333299</v>
      </c>
      <c r="D36" s="73">
        <v>44767.732233796298</v>
      </c>
      <c r="E36" s="24" t="s">
        <v>2854</v>
      </c>
      <c r="F36" s="24">
        <v>32</v>
      </c>
      <c r="G36" s="24">
        <v>4</v>
      </c>
      <c r="H36" s="24" t="s">
        <v>2855</v>
      </c>
    </row>
    <row r="37" spans="1:8" ht="15.75" customHeight="1" x14ac:dyDescent="0.4">
      <c r="A37" s="24" t="s">
        <v>1776</v>
      </c>
      <c r="B37" s="24" t="s">
        <v>2853</v>
      </c>
      <c r="C37" s="73">
        <v>44767.395833333299</v>
      </c>
      <c r="D37" s="73">
        <v>44767.409988425898</v>
      </c>
      <c r="E37" s="24" t="s">
        <v>2854</v>
      </c>
      <c r="F37" s="24">
        <v>15</v>
      </c>
      <c r="G37" s="24">
        <v>4</v>
      </c>
      <c r="H37" s="24" t="s">
        <v>2855</v>
      </c>
    </row>
    <row r="38" spans="1:8" ht="15.75" customHeight="1" x14ac:dyDescent="0.4">
      <c r="A38" s="24" t="s">
        <v>1156</v>
      </c>
      <c r="B38" s="24" t="s">
        <v>2853</v>
      </c>
      <c r="C38" s="73">
        <v>44766.875</v>
      </c>
      <c r="D38" s="73">
        <v>44766.918773148202</v>
      </c>
      <c r="E38" s="24" t="s">
        <v>2854</v>
      </c>
      <c r="F38" s="24">
        <v>63</v>
      </c>
      <c r="H38" s="24" t="s">
        <v>2855</v>
      </c>
    </row>
    <row r="39" spans="1:8" ht="15.75" customHeight="1" x14ac:dyDescent="0.4">
      <c r="A39" s="24" t="s">
        <v>1346</v>
      </c>
      <c r="B39" s="24" t="s">
        <v>2860</v>
      </c>
      <c r="C39" s="73">
        <v>44766.854166666701</v>
      </c>
      <c r="D39" s="73">
        <v>44766.9083680556</v>
      </c>
      <c r="E39" s="24" t="s">
        <v>2854</v>
      </c>
      <c r="F39" s="24">
        <v>77</v>
      </c>
      <c r="H39" s="24" t="s">
        <v>2855</v>
      </c>
    </row>
    <row r="40" spans="1:8" ht="15.75" customHeight="1" x14ac:dyDescent="0.4">
      <c r="A40" s="24" t="s">
        <v>1909</v>
      </c>
      <c r="B40" s="24" t="s">
        <v>2853</v>
      </c>
      <c r="C40" s="73">
        <v>44766.791666666701</v>
      </c>
      <c r="D40" s="73">
        <v>44766.820185185199</v>
      </c>
      <c r="E40" s="24" t="s">
        <v>2854</v>
      </c>
      <c r="F40" s="24">
        <v>40</v>
      </c>
      <c r="G40" s="24">
        <v>5</v>
      </c>
      <c r="H40" s="24" t="s">
        <v>2855</v>
      </c>
    </row>
    <row r="41" spans="1:8" ht="15.75" customHeight="1" x14ac:dyDescent="0.4">
      <c r="A41" s="24" t="s">
        <v>748</v>
      </c>
      <c r="B41" s="24" t="s">
        <v>2853</v>
      </c>
      <c r="C41" s="73">
        <v>44766.625</v>
      </c>
      <c r="D41" s="73">
        <v>44766.6616319444</v>
      </c>
      <c r="E41" s="24" t="s">
        <v>2854</v>
      </c>
      <c r="F41" s="24">
        <v>52</v>
      </c>
      <c r="G41" s="24">
        <v>5</v>
      </c>
      <c r="H41" s="24" t="s">
        <v>2855</v>
      </c>
    </row>
    <row r="42" spans="1:8" ht="15.75" customHeight="1" x14ac:dyDescent="0.4">
      <c r="A42" s="24" t="s">
        <v>1237</v>
      </c>
      <c r="B42" s="24" t="s">
        <v>2853</v>
      </c>
      <c r="C42" s="73">
        <v>44766.520833333299</v>
      </c>
      <c r="D42" s="73">
        <v>44766.5387037037</v>
      </c>
      <c r="E42" s="24" t="s">
        <v>2854</v>
      </c>
      <c r="F42" s="24">
        <v>24</v>
      </c>
      <c r="G42" s="24">
        <v>5</v>
      </c>
      <c r="H42" s="24" t="s">
        <v>2855</v>
      </c>
    </row>
    <row r="43" spans="1:8" ht="15.75" customHeight="1" x14ac:dyDescent="0.4">
      <c r="A43" s="24" t="s">
        <v>1981</v>
      </c>
      <c r="B43" s="24" t="s">
        <v>2853</v>
      </c>
      <c r="C43" s="73">
        <v>44766.5</v>
      </c>
      <c r="D43" s="73">
        <v>44766.520173611098</v>
      </c>
      <c r="E43" s="24" t="s">
        <v>2854</v>
      </c>
      <c r="F43" s="24">
        <v>28</v>
      </c>
      <c r="G43" s="24">
        <v>4</v>
      </c>
      <c r="H43" s="24" t="s">
        <v>2855</v>
      </c>
    </row>
    <row r="44" spans="1:8" ht="15.75" customHeight="1" x14ac:dyDescent="0.4">
      <c r="A44" s="24" t="s">
        <v>1423</v>
      </c>
      <c r="B44" s="24" t="s">
        <v>2853</v>
      </c>
      <c r="C44" s="73">
        <v>44766.458333333299</v>
      </c>
      <c r="D44" s="73">
        <v>44766.488761574103</v>
      </c>
      <c r="E44" s="24" t="s">
        <v>2854</v>
      </c>
      <c r="F44" s="24">
        <v>41</v>
      </c>
      <c r="G44" s="24">
        <v>5</v>
      </c>
      <c r="H44" s="24" t="s">
        <v>2855</v>
      </c>
    </row>
    <row r="45" spans="1:8" ht="15.75" customHeight="1" x14ac:dyDescent="0.4">
      <c r="A45" s="24" t="s">
        <v>698</v>
      </c>
      <c r="B45" s="24" t="s">
        <v>2861</v>
      </c>
      <c r="C45" s="74">
        <v>44766</v>
      </c>
      <c r="D45" s="73">
        <v>44766.027800925898</v>
      </c>
      <c r="E45" s="24" t="s">
        <v>2854</v>
      </c>
      <c r="F45" s="24">
        <v>37</v>
      </c>
      <c r="G45" s="24">
        <v>3</v>
      </c>
      <c r="H45" s="24" t="s">
        <v>2855</v>
      </c>
    </row>
    <row r="46" spans="1:8" ht="15.75" customHeight="1" x14ac:dyDescent="0.4">
      <c r="A46" s="24" t="s">
        <v>698</v>
      </c>
      <c r="B46" s="24" t="s">
        <v>2853</v>
      </c>
      <c r="C46" s="73">
        <v>44765.916666666701</v>
      </c>
      <c r="D46" s="73">
        <v>44765.978738425903</v>
      </c>
      <c r="E46" s="24" t="s">
        <v>2854</v>
      </c>
      <c r="F46" s="24">
        <v>79</v>
      </c>
      <c r="G46" s="24">
        <v>3</v>
      </c>
      <c r="H46" s="24" t="s">
        <v>2855</v>
      </c>
    </row>
    <row r="47" spans="1:8" ht="15.75" customHeight="1" x14ac:dyDescent="0.4">
      <c r="A47" s="24" t="s">
        <v>1765</v>
      </c>
      <c r="B47" s="24" t="s">
        <v>2853</v>
      </c>
      <c r="C47" s="73">
        <v>44765.833333333299</v>
      </c>
      <c r="D47" s="73">
        <v>44765.894826388903</v>
      </c>
      <c r="E47" s="24" t="s">
        <v>2854</v>
      </c>
      <c r="F47" s="24">
        <v>80</v>
      </c>
      <c r="G47" s="24">
        <v>5</v>
      </c>
      <c r="H47" s="24" t="s">
        <v>2855</v>
      </c>
    </row>
    <row r="48" spans="1:8" ht="15.75" customHeight="1" x14ac:dyDescent="0.4">
      <c r="A48" s="24" t="s">
        <v>591</v>
      </c>
      <c r="B48" s="24" t="s">
        <v>2853</v>
      </c>
      <c r="C48" s="73">
        <v>44765.708333333299</v>
      </c>
      <c r="D48" s="73">
        <v>44765.745682870402</v>
      </c>
      <c r="E48" s="24" t="s">
        <v>2854</v>
      </c>
      <c r="F48" s="24">
        <v>39</v>
      </c>
      <c r="G48" s="24">
        <v>1</v>
      </c>
      <c r="H48" s="24" t="s">
        <v>2855</v>
      </c>
    </row>
    <row r="49" spans="1:8" ht="15.75" customHeight="1" x14ac:dyDescent="0.4">
      <c r="A49" s="24" t="s">
        <v>1104</v>
      </c>
      <c r="B49" s="24" t="s">
        <v>2853</v>
      </c>
      <c r="C49" s="73">
        <v>44765.666666666701</v>
      </c>
      <c r="D49" s="73">
        <v>44765.737256944398</v>
      </c>
      <c r="E49" s="24" t="s">
        <v>2854</v>
      </c>
      <c r="F49" s="24">
        <v>98</v>
      </c>
      <c r="G49" s="24">
        <v>5</v>
      </c>
      <c r="H49" s="24" t="s">
        <v>2855</v>
      </c>
    </row>
    <row r="50" spans="1:8" ht="15.75" customHeight="1" x14ac:dyDescent="0.4">
      <c r="A50" s="24" t="s">
        <v>738</v>
      </c>
      <c r="B50" s="24" t="s">
        <v>2853</v>
      </c>
      <c r="C50" s="73">
        <v>44765.645833333299</v>
      </c>
      <c r="D50" s="73">
        <v>44765.717766203699</v>
      </c>
      <c r="E50" s="24" t="s">
        <v>2854</v>
      </c>
      <c r="F50" s="24">
        <v>89</v>
      </c>
      <c r="G50" s="24">
        <v>4</v>
      </c>
      <c r="H50" s="24" t="s">
        <v>2855</v>
      </c>
    </row>
    <row r="51" spans="1:8" ht="15.75" customHeight="1" x14ac:dyDescent="0.4">
      <c r="A51" s="24" t="s">
        <v>2118</v>
      </c>
      <c r="B51" s="24" t="s">
        <v>2853</v>
      </c>
      <c r="C51" s="73">
        <v>44765.645833333299</v>
      </c>
      <c r="D51" s="73">
        <v>44765.665104166699</v>
      </c>
      <c r="E51" s="24" t="s">
        <v>2854</v>
      </c>
      <c r="F51" s="24">
        <v>26</v>
      </c>
      <c r="G51" s="24">
        <v>5</v>
      </c>
      <c r="H51" s="24" t="s">
        <v>2855</v>
      </c>
    </row>
    <row r="52" spans="1:8" ht="15.75" customHeight="1" x14ac:dyDescent="0.4">
      <c r="A52" s="24" t="s">
        <v>1533</v>
      </c>
      <c r="B52" s="24" t="s">
        <v>2853</v>
      </c>
      <c r="C52" s="73">
        <v>44765.583333333299</v>
      </c>
      <c r="D52" s="73">
        <v>44765.611562500002</v>
      </c>
      <c r="E52" s="24" t="s">
        <v>2854</v>
      </c>
      <c r="F52" s="24">
        <v>23</v>
      </c>
      <c r="G52" s="24">
        <v>5</v>
      </c>
      <c r="H52" s="24" t="s">
        <v>2855</v>
      </c>
    </row>
    <row r="53" spans="1:8" ht="15.75" customHeight="1" x14ac:dyDescent="0.4">
      <c r="A53" s="24" t="s">
        <v>1848</v>
      </c>
      <c r="B53" s="24" t="s">
        <v>2853</v>
      </c>
      <c r="C53" s="73">
        <v>44765.583333333299</v>
      </c>
      <c r="D53" s="73">
        <v>44765.606030092596</v>
      </c>
      <c r="E53" s="24" t="s">
        <v>2856</v>
      </c>
      <c r="F53" s="24">
        <v>0</v>
      </c>
      <c r="H53" s="24" t="s">
        <v>2857</v>
      </c>
    </row>
    <row r="54" spans="1:8" ht="15.75" customHeight="1" x14ac:dyDescent="0.4">
      <c r="A54" s="24" t="s">
        <v>2141</v>
      </c>
      <c r="B54" s="24" t="s">
        <v>2853</v>
      </c>
      <c r="C54" s="73">
        <v>44765.458333333299</v>
      </c>
      <c r="D54" s="73">
        <v>44765.480173611097</v>
      </c>
      <c r="E54" s="24" t="s">
        <v>2854</v>
      </c>
      <c r="F54" s="24">
        <v>28</v>
      </c>
      <c r="G54" s="24">
        <v>4</v>
      </c>
      <c r="H54" s="24" t="s">
        <v>2855</v>
      </c>
    </row>
    <row r="55" spans="1:8" ht="15.75" customHeight="1" x14ac:dyDescent="0.4">
      <c r="A55" s="24" t="s">
        <v>859</v>
      </c>
      <c r="B55" s="24" t="s">
        <v>2853</v>
      </c>
      <c r="C55" s="73">
        <v>44765.4375</v>
      </c>
      <c r="D55" s="73">
        <v>44765.472743055601</v>
      </c>
      <c r="E55" s="24" t="s">
        <v>2854</v>
      </c>
      <c r="F55" s="24">
        <v>44</v>
      </c>
      <c r="G55" s="24">
        <v>5</v>
      </c>
      <c r="H55" s="24" t="s">
        <v>2855</v>
      </c>
    </row>
    <row r="56" spans="1:8" ht="15.75" customHeight="1" x14ac:dyDescent="0.4">
      <c r="A56" s="24" t="s">
        <v>2006</v>
      </c>
      <c r="B56" s="24" t="s">
        <v>2860</v>
      </c>
      <c r="C56" s="73">
        <v>44765.4375</v>
      </c>
      <c r="D56" s="73">
        <v>44765.487916666701</v>
      </c>
      <c r="E56" s="24" t="s">
        <v>2854</v>
      </c>
      <c r="F56" s="24">
        <v>27</v>
      </c>
      <c r="G56" s="24">
        <v>1</v>
      </c>
      <c r="H56" s="24" t="s">
        <v>2855</v>
      </c>
    </row>
    <row r="57" spans="1:8" ht="15.75" customHeight="1" x14ac:dyDescent="0.4">
      <c r="A57" s="24" t="s">
        <v>1588</v>
      </c>
      <c r="B57" s="24" t="s">
        <v>2853</v>
      </c>
      <c r="C57" s="73">
        <v>44765.4375</v>
      </c>
      <c r="D57" s="73">
        <v>44765.458611111098</v>
      </c>
      <c r="E57" s="24" t="s">
        <v>2854</v>
      </c>
      <c r="F57" s="24">
        <v>30</v>
      </c>
      <c r="G57" s="24">
        <v>5</v>
      </c>
      <c r="H57" s="24" t="s">
        <v>2855</v>
      </c>
    </row>
    <row r="58" spans="1:8" ht="15.75" customHeight="1" x14ac:dyDescent="0.4">
      <c r="A58" s="24" t="s">
        <v>1382</v>
      </c>
      <c r="B58" s="24" t="s">
        <v>2853</v>
      </c>
      <c r="C58" s="73">
        <v>44765.395833333299</v>
      </c>
      <c r="D58" s="73">
        <v>44765.421689814801</v>
      </c>
      <c r="E58" s="24" t="s">
        <v>2854</v>
      </c>
      <c r="F58" s="24">
        <v>36</v>
      </c>
      <c r="H58" s="24" t="s">
        <v>2855</v>
      </c>
    </row>
    <row r="59" spans="1:8" ht="15.75" customHeight="1" x14ac:dyDescent="0.4">
      <c r="A59" s="24" t="s">
        <v>1058</v>
      </c>
      <c r="B59" s="24" t="s">
        <v>2859</v>
      </c>
      <c r="C59" s="73">
        <v>44765.354166666701</v>
      </c>
      <c r="D59" s="73">
        <v>44765.381053240701</v>
      </c>
      <c r="E59" s="24" t="s">
        <v>2854</v>
      </c>
      <c r="F59" s="24">
        <v>27</v>
      </c>
      <c r="G59" s="24">
        <v>3</v>
      </c>
      <c r="H59" s="24" t="s">
        <v>2855</v>
      </c>
    </row>
    <row r="60" spans="1:8" ht="15.75" customHeight="1" x14ac:dyDescent="0.4">
      <c r="A60" s="24" t="s">
        <v>1220</v>
      </c>
      <c r="B60" s="24" t="s">
        <v>2862</v>
      </c>
      <c r="C60" s="73">
        <v>44764.958333333299</v>
      </c>
      <c r="D60" s="73">
        <v>44764.9878356482</v>
      </c>
      <c r="E60" s="24" t="s">
        <v>2854</v>
      </c>
      <c r="F60" s="24">
        <v>38</v>
      </c>
      <c r="H60" s="24" t="s">
        <v>2855</v>
      </c>
    </row>
    <row r="61" spans="1:8" ht="15.75" customHeight="1" x14ac:dyDescent="0.4">
      <c r="A61" s="24" t="s">
        <v>1156</v>
      </c>
      <c r="B61" s="24" t="s">
        <v>2853</v>
      </c>
      <c r="C61" s="73">
        <v>44764.895833333299</v>
      </c>
      <c r="D61" s="73">
        <v>44764.918229166702</v>
      </c>
      <c r="E61" s="24" t="s">
        <v>2856</v>
      </c>
      <c r="F61" s="24">
        <v>0</v>
      </c>
      <c r="H61" s="24" t="s">
        <v>2858</v>
      </c>
    </row>
    <row r="62" spans="1:8" ht="15.75" customHeight="1" x14ac:dyDescent="0.4">
      <c r="A62" s="24" t="s">
        <v>1598</v>
      </c>
      <c r="B62" s="24" t="s">
        <v>2859</v>
      </c>
      <c r="C62" s="73">
        <v>44764.875</v>
      </c>
      <c r="D62" s="73">
        <v>44764.897303240701</v>
      </c>
      <c r="E62" s="24" t="s">
        <v>2856</v>
      </c>
      <c r="F62" s="24">
        <v>0</v>
      </c>
      <c r="H62" s="24" t="s">
        <v>2858</v>
      </c>
    </row>
    <row r="63" spans="1:8" ht="15.75" customHeight="1" x14ac:dyDescent="0.4">
      <c r="A63" s="24" t="s">
        <v>585</v>
      </c>
      <c r="B63" s="24" t="s">
        <v>2853</v>
      </c>
      <c r="C63" s="73">
        <v>44764.875</v>
      </c>
      <c r="D63" s="73">
        <v>44764.9012268519</v>
      </c>
      <c r="E63" s="24" t="s">
        <v>2854</v>
      </c>
      <c r="F63" s="24">
        <v>34</v>
      </c>
      <c r="G63" s="24">
        <v>4</v>
      </c>
      <c r="H63" s="24" t="s">
        <v>2855</v>
      </c>
    </row>
    <row r="64" spans="1:8" ht="15.75" customHeight="1" x14ac:dyDescent="0.4">
      <c r="A64" s="24" t="s">
        <v>1133</v>
      </c>
      <c r="B64" s="24" t="s">
        <v>2853</v>
      </c>
      <c r="C64" s="73">
        <v>44764.854166666701</v>
      </c>
      <c r="D64" s="73">
        <v>44764.883877314802</v>
      </c>
      <c r="E64" s="24" t="s">
        <v>2854</v>
      </c>
      <c r="F64" s="24">
        <v>42</v>
      </c>
      <c r="G64" s="24">
        <v>4</v>
      </c>
      <c r="H64" s="24" t="s">
        <v>2855</v>
      </c>
    </row>
    <row r="65" spans="1:8" ht="15.75" customHeight="1" x14ac:dyDescent="0.4">
      <c r="A65" s="24" t="s">
        <v>710</v>
      </c>
      <c r="B65" s="24" t="s">
        <v>2853</v>
      </c>
      <c r="C65" s="73">
        <v>44764.854166666701</v>
      </c>
      <c r="D65" s="73">
        <v>44764.886597222197</v>
      </c>
      <c r="E65" s="24" t="s">
        <v>2854</v>
      </c>
      <c r="F65" s="24">
        <v>45</v>
      </c>
      <c r="H65" s="24" t="s">
        <v>2855</v>
      </c>
    </row>
    <row r="66" spans="1:8" ht="15.75" customHeight="1" x14ac:dyDescent="0.4">
      <c r="A66" s="24" t="s">
        <v>2017</v>
      </c>
      <c r="B66" s="24" t="s">
        <v>2860</v>
      </c>
      <c r="C66" s="73">
        <v>44764.791666666701</v>
      </c>
      <c r="D66" s="73">
        <v>44764.814270833303</v>
      </c>
      <c r="E66" s="24" t="s">
        <v>2856</v>
      </c>
      <c r="F66" s="24">
        <v>0</v>
      </c>
      <c r="H66" s="24" t="s">
        <v>2858</v>
      </c>
    </row>
    <row r="67" spans="1:8" ht="15.75" customHeight="1" x14ac:dyDescent="0.4">
      <c r="A67" s="24" t="s">
        <v>543</v>
      </c>
      <c r="B67" s="24" t="s">
        <v>2853</v>
      </c>
      <c r="C67" s="73">
        <v>44764.729166666701</v>
      </c>
      <c r="D67" s="73">
        <v>44764.751770833303</v>
      </c>
      <c r="E67" s="24" t="s">
        <v>2854</v>
      </c>
      <c r="F67" s="24">
        <v>32</v>
      </c>
      <c r="G67" s="24">
        <v>5</v>
      </c>
      <c r="H67" s="24" t="s">
        <v>2855</v>
      </c>
    </row>
    <row r="68" spans="1:8" ht="15.75" customHeight="1" x14ac:dyDescent="0.4">
      <c r="A68" s="24" t="s">
        <v>1498</v>
      </c>
      <c r="B68" s="24" t="s">
        <v>2853</v>
      </c>
      <c r="C68" s="73">
        <v>44764.666666666701</v>
      </c>
      <c r="D68" s="73">
        <v>44764.692847222199</v>
      </c>
      <c r="E68" s="24" t="s">
        <v>2856</v>
      </c>
      <c r="F68" s="24">
        <v>0</v>
      </c>
      <c r="H68" s="24" t="s">
        <v>2858</v>
      </c>
    </row>
    <row r="69" spans="1:8" ht="15.75" customHeight="1" x14ac:dyDescent="0.4">
      <c r="A69" s="24" t="s">
        <v>1523</v>
      </c>
      <c r="B69" s="24" t="s">
        <v>2853</v>
      </c>
      <c r="C69" s="73">
        <v>44764.5625</v>
      </c>
      <c r="D69" s="73">
        <v>44764.602974537003</v>
      </c>
      <c r="E69" s="24" t="s">
        <v>2854</v>
      </c>
      <c r="F69" s="24">
        <v>25</v>
      </c>
      <c r="G69" s="24">
        <v>5</v>
      </c>
      <c r="H69" s="24" t="s">
        <v>2855</v>
      </c>
    </row>
    <row r="70" spans="1:8" ht="15.75" customHeight="1" x14ac:dyDescent="0.4">
      <c r="A70" s="24" t="s">
        <v>238</v>
      </c>
      <c r="B70" s="24" t="s">
        <v>2853</v>
      </c>
      <c r="C70" s="73">
        <v>44764.416666666701</v>
      </c>
      <c r="D70" s="73">
        <v>44764.460057870398</v>
      </c>
      <c r="E70" s="24" t="s">
        <v>2854</v>
      </c>
      <c r="F70" s="24">
        <v>31</v>
      </c>
      <c r="G70" s="24">
        <v>4</v>
      </c>
      <c r="H70" s="24" t="s">
        <v>2855</v>
      </c>
    </row>
    <row r="71" spans="1:8" ht="15.75" customHeight="1" x14ac:dyDescent="0.4">
      <c r="A71" s="24" t="s">
        <v>912</v>
      </c>
      <c r="B71" s="24" t="s">
        <v>2853</v>
      </c>
      <c r="C71" s="73">
        <v>44764.395833333299</v>
      </c>
      <c r="D71" s="73">
        <v>44764.421192129601</v>
      </c>
      <c r="E71" s="24" t="s">
        <v>2854</v>
      </c>
      <c r="F71" s="24">
        <v>35</v>
      </c>
      <c r="G71" s="24">
        <v>5</v>
      </c>
      <c r="H71" s="24" t="s">
        <v>2855</v>
      </c>
    </row>
    <row r="72" spans="1:8" ht="15.75" customHeight="1" x14ac:dyDescent="0.4">
      <c r="A72" s="24" t="s">
        <v>2168</v>
      </c>
      <c r="B72" s="24" t="s">
        <v>2853</v>
      </c>
      <c r="C72" s="73">
        <v>44763.875</v>
      </c>
      <c r="D72" s="73">
        <v>44763.903611111098</v>
      </c>
      <c r="E72" s="24" t="s">
        <v>2854</v>
      </c>
      <c r="F72" s="24">
        <v>28</v>
      </c>
      <c r="G72" s="24">
        <v>4</v>
      </c>
      <c r="H72" s="24" t="s">
        <v>2855</v>
      </c>
    </row>
    <row r="73" spans="1:8" ht="15.75" customHeight="1" x14ac:dyDescent="0.4">
      <c r="A73" s="24" t="s">
        <v>1323</v>
      </c>
      <c r="B73" s="24" t="s">
        <v>2853</v>
      </c>
      <c r="C73" s="73">
        <v>44763.875</v>
      </c>
      <c r="D73" s="73">
        <v>44763.900243055599</v>
      </c>
      <c r="E73" s="24" t="s">
        <v>2854</v>
      </c>
      <c r="F73" s="24">
        <v>30</v>
      </c>
      <c r="G73" s="24">
        <v>3</v>
      </c>
      <c r="H73" s="24" t="s">
        <v>2855</v>
      </c>
    </row>
    <row r="74" spans="1:8" ht="15.75" customHeight="1" x14ac:dyDescent="0.4">
      <c r="A74" s="24" t="s">
        <v>2167</v>
      </c>
      <c r="B74" s="24" t="s">
        <v>2853</v>
      </c>
      <c r="C74" s="73">
        <v>44763.833333333299</v>
      </c>
      <c r="D74" s="73">
        <v>44763.856145833299</v>
      </c>
      <c r="E74" s="24" t="s">
        <v>2854</v>
      </c>
      <c r="F74" s="24">
        <v>20</v>
      </c>
      <c r="G74" s="24">
        <v>4</v>
      </c>
      <c r="H74" s="24" t="s">
        <v>2855</v>
      </c>
    </row>
    <row r="75" spans="1:8" ht="15.75" customHeight="1" x14ac:dyDescent="0.4">
      <c r="A75" s="24" t="s">
        <v>722</v>
      </c>
      <c r="B75" s="24" t="s">
        <v>2853</v>
      </c>
      <c r="C75" s="73">
        <v>44763.8125</v>
      </c>
      <c r="D75" s="73">
        <v>44763.861481481501</v>
      </c>
      <c r="E75" s="24" t="s">
        <v>2854</v>
      </c>
      <c r="F75" s="24">
        <v>64</v>
      </c>
      <c r="H75" s="24" t="s">
        <v>2855</v>
      </c>
    </row>
    <row r="76" spans="1:8" ht="15.75" customHeight="1" x14ac:dyDescent="0.4">
      <c r="A76" s="24" t="s">
        <v>750</v>
      </c>
      <c r="B76" s="24" t="s">
        <v>2853</v>
      </c>
      <c r="C76" s="73">
        <v>44763.8125</v>
      </c>
      <c r="D76" s="73">
        <v>44763.825150463003</v>
      </c>
      <c r="E76" s="24" t="s">
        <v>2854</v>
      </c>
      <c r="F76" s="24">
        <v>17</v>
      </c>
      <c r="G76" s="24">
        <v>4</v>
      </c>
      <c r="H76" s="24" t="s">
        <v>2855</v>
      </c>
    </row>
    <row r="77" spans="1:8" ht="15.75" customHeight="1" x14ac:dyDescent="0.4">
      <c r="A77" s="24" t="s">
        <v>1491</v>
      </c>
      <c r="B77" s="24" t="s">
        <v>2853</v>
      </c>
      <c r="C77" s="73">
        <v>44763.791666666701</v>
      </c>
      <c r="D77" s="73">
        <v>44763.811076388898</v>
      </c>
      <c r="E77" s="24" t="s">
        <v>2854</v>
      </c>
      <c r="F77" s="24">
        <v>25</v>
      </c>
      <c r="G77" s="24">
        <v>5</v>
      </c>
      <c r="H77" s="24" t="s">
        <v>2855</v>
      </c>
    </row>
    <row r="78" spans="1:8" ht="15.75" customHeight="1" x14ac:dyDescent="0.4">
      <c r="A78" s="24" t="s">
        <v>1772</v>
      </c>
      <c r="B78" s="24" t="s">
        <v>2853</v>
      </c>
      <c r="C78" s="73">
        <v>44763.791666666701</v>
      </c>
      <c r="D78" s="73">
        <v>44763.830219907402</v>
      </c>
      <c r="E78" s="24" t="s">
        <v>2854</v>
      </c>
      <c r="F78" s="24">
        <v>54</v>
      </c>
      <c r="G78" s="24">
        <v>5</v>
      </c>
      <c r="H78" s="24" t="s">
        <v>2855</v>
      </c>
    </row>
    <row r="79" spans="1:8" ht="15.75" customHeight="1" x14ac:dyDescent="0.4">
      <c r="A79" s="24" t="s">
        <v>242</v>
      </c>
      <c r="B79" s="24" t="s">
        <v>2853</v>
      </c>
      <c r="C79" s="73">
        <v>44763.770833333299</v>
      </c>
      <c r="D79" s="73">
        <v>44763.788217592599</v>
      </c>
      <c r="E79" s="24" t="s">
        <v>2854</v>
      </c>
      <c r="F79" s="24">
        <v>22</v>
      </c>
      <c r="G79" s="24">
        <v>3</v>
      </c>
      <c r="H79" s="24" t="s">
        <v>2855</v>
      </c>
    </row>
    <row r="80" spans="1:8" ht="15.75" customHeight="1" x14ac:dyDescent="0.4">
      <c r="A80" s="24" t="s">
        <v>1955</v>
      </c>
      <c r="B80" s="24" t="s">
        <v>2853</v>
      </c>
      <c r="C80" s="73">
        <v>44763.708333333299</v>
      </c>
      <c r="D80" s="73">
        <v>44763.734178240702</v>
      </c>
      <c r="E80" s="24" t="s">
        <v>2856</v>
      </c>
      <c r="F80" s="24">
        <v>0</v>
      </c>
      <c r="G80" s="24">
        <v>1</v>
      </c>
      <c r="H80" s="24" t="s">
        <v>2858</v>
      </c>
    </row>
    <row r="81" spans="1:8" ht="15.75" customHeight="1" x14ac:dyDescent="0.4">
      <c r="A81" s="24" t="s">
        <v>885</v>
      </c>
      <c r="B81" s="24" t="s">
        <v>2860</v>
      </c>
      <c r="C81" s="73">
        <v>44763.708333333299</v>
      </c>
      <c r="D81" s="73">
        <v>44763.7523842593</v>
      </c>
      <c r="E81" s="24" t="s">
        <v>2854</v>
      </c>
      <c r="F81" s="24">
        <v>15</v>
      </c>
      <c r="G81" s="24">
        <v>4</v>
      </c>
      <c r="H81" s="24" t="s">
        <v>2855</v>
      </c>
    </row>
    <row r="82" spans="1:8" ht="15.75" customHeight="1" x14ac:dyDescent="0.4">
      <c r="A82" s="24" t="s">
        <v>1415</v>
      </c>
      <c r="B82" s="24" t="s">
        <v>2861</v>
      </c>
      <c r="C82" s="73">
        <v>44763.666666666701</v>
      </c>
      <c r="D82" s="73">
        <v>44763.692673611098</v>
      </c>
      <c r="E82" s="24" t="s">
        <v>2856</v>
      </c>
      <c r="F82" s="24">
        <v>0</v>
      </c>
      <c r="G82" s="24">
        <v>1</v>
      </c>
      <c r="H82" s="24" t="s">
        <v>2858</v>
      </c>
    </row>
    <row r="83" spans="1:8" ht="15.75" customHeight="1" x14ac:dyDescent="0.4">
      <c r="A83" s="24" t="s">
        <v>943</v>
      </c>
      <c r="B83" s="24" t="s">
        <v>2853</v>
      </c>
      <c r="C83" s="73">
        <v>44763.604166666701</v>
      </c>
      <c r="D83" s="73">
        <v>44763.629722222198</v>
      </c>
      <c r="E83" s="24" t="s">
        <v>2854</v>
      </c>
      <c r="F83" s="24">
        <v>36</v>
      </c>
      <c r="G83" s="24">
        <v>5</v>
      </c>
      <c r="H83" s="24" t="s">
        <v>2855</v>
      </c>
    </row>
    <row r="84" spans="1:8" ht="15.75" customHeight="1" x14ac:dyDescent="0.4">
      <c r="A84" s="24" t="s">
        <v>1867</v>
      </c>
      <c r="B84" s="24" t="s">
        <v>2853</v>
      </c>
      <c r="C84" s="73">
        <v>44763.5</v>
      </c>
      <c r="D84" s="73">
        <v>44763.520081018498</v>
      </c>
      <c r="E84" s="24" t="s">
        <v>2854</v>
      </c>
      <c r="F84" s="24">
        <v>20</v>
      </c>
      <c r="G84" s="24">
        <v>5</v>
      </c>
      <c r="H84" s="24" t="s">
        <v>2855</v>
      </c>
    </row>
    <row r="85" spans="1:8" ht="15.75" customHeight="1" x14ac:dyDescent="0.4">
      <c r="A85" s="24" t="s">
        <v>1260</v>
      </c>
      <c r="B85" s="24" t="s">
        <v>2853</v>
      </c>
      <c r="C85" s="73">
        <v>44762.979166666701</v>
      </c>
      <c r="D85" s="73">
        <v>44763.011365740698</v>
      </c>
      <c r="E85" s="24" t="s">
        <v>2854</v>
      </c>
      <c r="F85" s="24">
        <v>44</v>
      </c>
      <c r="G85" s="24">
        <v>3</v>
      </c>
      <c r="H85" s="24" t="s">
        <v>2855</v>
      </c>
    </row>
    <row r="86" spans="1:8" ht="15.75" customHeight="1" x14ac:dyDescent="0.4">
      <c r="A86" s="24" t="s">
        <v>1167</v>
      </c>
      <c r="B86" s="24" t="s">
        <v>2853</v>
      </c>
      <c r="C86" s="73">
        <v>44762.895833333299</v>
      </c>
      <c r="D86" s="73">
        <v>44762.940011574101</v>
      </c>
      <c r="E86" s="24" t="s">
        <v>2854</v>
      </c>
      <c r="F86" s="24">
        <v>59</v>
      </c>
      <c r="G86" s="24">
        <v>3</v>
      </c>
      <c r="H86" s="24" t="s">
        <v>2855</v>
      </c>
    </row>
    <row r="87" spans="1:8" ht="15.75" customHeight="1" x14ac:dyDescent="0.4">
      <c r="A87" s="24" t="s">
        <v>698</v>
      </c>
      <c r="B87" s="24" t="s">
        <v>2861</v>
      </c>
      <c r="C87" s="73">
        <v>44762.895833333299</v>
      </c>
      <c r="D87" s="73">
        <v>44762.977592592601</v>
      </c>
      <c r="E87" s="24" t="s">
        <v>2854</v>
      </c>
      <c r="F87" s="24">
        <v>114</v>
      </c>
      <c r="G87" s="24">
        <v>4</v>
      </c>
      <c r="H87" s="24" t="s">
        <v>2855</v>
      </c>
    </row>
    <row r="88" spans="1:8" ht="15.75" customHeight="1" x14ac:dyDescent="0.4">
      <c r="A88" s="24" t="s">
        <v>1505</v>
      </c>
      <c r="B88" s="24" t="s">
        <v>2853</v>
      </c>
      <c r="C88" s="73">
        <v>44762.875</v>
      </c>
      <c r="D88" s="73">
        <v>44762.935474537</v>
      </c>
      <c r="E88" s="24" t="s">
        <v>2854</v>
      </c>
      <c r="F88" s="24">
        <v>86</v>
      </c>
      <c r="G88" s="24">
        <v>5</v>
      </c>
      <c r="H88" s="24" t="s">
        <v>2855</v>
      </c>
    </row>
    <row r="89" spans="1:8" ht="15.75" customHeight="1" x14ac:dyDescent="0.4">
      <c r="A89" s="24" t="s">
        <v>1320</v>
      </c>
      <c r="B89" s="24" t="s">
        <v>2853</v>
      </c>
      <c r="C89" s="73">
        <v>44762.833333333299</v>
      </c>
      <c r="D89" s="73">
        <v>44762.866666666698</v>
      </c>
      <c r="E89" s="24" t="s">
        <v>2854</v>
      </c>
      <c r="F89" s="24">
        <v>47</v>
      </c>
      <c r="G89" s="24">
        <v>5</v>
      </c>
      <c r="H89" s="24" t="s">
        <v>2855</v>
      </c>
    </row>
    <row r="90" spans="1:8" ht="15.75" customHeight="1" x14ac:dyDescent="0.4">
      <c r="A90" s="24" t="s">
        <v>1331</v>
      </c>
      <c r="B90" s="24" t="s">
        <v>2853</v>
      </c>
      <c r="C90" s="73">
        <v>44762.791666666701</v>
      </c>
      <c r="D90" s="73">
        <v>44762.814560185201</v>
      </c>
      <c r="E90" s="24" t="s">
        <v>2854</v>
      </c>
      <c r="F90" s="24">
        <v>17</v>
      </c>
      <c r="H90" s="24" t="s">
        <v>2855</v>
      </c>
    </row>
    <row r="91" spans="1:8" ht="15.75" customHeight="1" x14ac:dyDescent="0.4">
      <c r="A91" s="24" t="s">
        <v>1654</v>
      </c>
      <c r="B91" s="24" t="s">
        <v>2853</v>
      </c>
      <c r="C91" s="73">
        <v>44762.729166666701</v>
      </c>
      <c r="D91" s="73">
        <v>44762.763009259303</v>
      </c>
      <c r="E91" s="24" t="s">
        <v>2854</v>
      </c>
      <c r="F91" s="24">
        <v>42</v>
      </c>
      <c r="G91" s="24">
        <v>5</v>
      </c>
      <c r="H91" s="24" t="s">
        <v>2855</v>
      </c>
    </row>
    <row r="92" spans="1:8" ht="15.75" customHeight="1" x14ac:dyDescent="0.4">
      <c r="A92" s="24" t="s">
        <v>1003</v>
      </c>
      <c r="B92" s="24" t="s">
        <v>2853</v>
      </c>
      <c r="C92" s="73">
        <v>44762.666666666701</v>
      </c>
      <c r="D92" s="73">
        <v>44762.708923611099</v>
      </c>
      <c r="E92" s="24" t="s">
        <v>2854</v>
      </c>
      <c r="F92" s="24">
        <v>58</v>
      </c>
      <c r="H92" s="24" t="s">
        <v>2855</v>
      </c>
    </row>
    <row r="93" spans="1:8" ht="15.75" customHeight="1" x14ac:dyDescent="0.4">
      <c r="A93" s="24" t="s">
        <v>1909</v>
      </c>
      <c r="B93" s="24" t="s">
        <v>2853</v>
      </c>
      <c r="C93" s="73">
        <v>44762.666666666701</v>
      </c>
      <c r="D93" s="73">
        <v>44762.689155092601</v>
      </c>
      <c r="E93" s="24" t="s">
        <v>2854</v>
      </c>
      <c r="F93" s="24">
        <v>25</v>
      </c>
      <c r="H93" s="24" t="s">
        <v>2855</v>
      </c>
    </row>
    <row r="94" spans="1:8" ht="15.75" customHeight="1" x14ac:dyDescent="0.4">
      <c r="A94" s="24" t="s">
        <v>752</v>
      </c>
      <c r="B94" s="24" t="s">
        <v>2853</v>
      </c>
      <c r="C94" s="73">
        <v>44761.916666666701</v>
      </c>
      <c r="D94" s="73">
        <v>44761.9692476852</v>
      </c>
      <c r="E94" s="24" t="s">
        <v>2854</v>
      </c>
      <c r="F94" s="24">
        <v>73</v>
      </c>
      <c r="G94" s="24">
        <v>5</v>
      </c>
      <c r="H94" s="24" t="s">
        <v>2855</v>
      </c>
    </row>
    <row r="95" spans="1:8" ht="15.75" customHeight="1" x14ac:dyDescent="0.4">
      <c r="A95" s="24" t="s">
        <v>1643</v>
      </c>
      <c r="B95" s="24" t="s">
        <v>2853</v>
      </c>
      <c r="C95" s="73">
        <v>44761.854166666701</v>
      </c>
      <c r="D95" s="73">
        <v>44761.871585648201</v>
      </c>
      <c r="E95" s="24" t="s">
        <v>2854</v>
      </c>
      <c r="F95" s="24">
        <v>24</v>
      </c>
      <c r="H95" s="24" t="s">
        <v>2855</v>
      </c>
    </row>
    <row r="96" spans="1:8" ht="15.75" customHeight="1" x14ac:dyDescent="0.4">
      <c r="A96" s="24" t="s">
        <v>868</v>
      </c>
      <c r="B96" s="24" t="s">
        <v>2853</v>
      </c>
      <c r="C96" s="73">
        <v>44761.833333333299</v>
      </c>
      <c r="D96" s="73">
        <v>44761.878368055601</v>
      </c>
      <c r="E96" s="24" t="s">
        <v>2854</v>
      </c>
      <c r="F96" s="24">
        <v>60</v>
      </c>
      <c r="G96" s="24">
        <v>5</v>
      </c>
      <c r="H96" s="24" t="s">
        <v>2855</v>
      </c>
    </row>
    <row r="97" spans="1:8" ht="15.75" customHeight="1" x14ac:dyDescent="0.4">
      <c r="A97" s="24" t="s">
        <v>1058</v>
      </c>
      <c r="B97" s="24" t="s">
        <v>2861</v>
      </c>
      <c r="C97" s="73">
        <v>44761.833333333299</v>
      </c>
      <c r="D97" s="73">
        <v>44761.861284722203</v>
      </c>
      <c r="E97" s="24" t="s">
        <v>2854</v>
      </c>
      <c r="F97" s="24">
        <v>28</v>
      </c>
      <c r="G97" s="24">
        <v>5</v>
      </c>
      <c r="H97" s="24" t="s">
        <v>2855</v>
      </c>
    </row>
    <row r="98" spans="1:8" ht="15.75" customHeight="1" x14ac:dyDescent="0.4">
      <c r="A98" s="24" t="s">
        <v>1328</v>
      </c>
      <c r="B98" s="24" t="s">
        <v>2853</v>
      </c>
      <c r="C98" s="73">
        <v>44761.8125</v>
      </c>
      <c r="D98" s="73">
        <v>44761.8366087963</v>
      </c>
      <c r="E98" s="24" t="s">
        <v>2854</v>
      </c>
      <c r="F98" s="24">
        <v>27</v>
      </c>
      <c r="H98" s="24" t="s">
        <v>2855</v>
      </c>
    </row>
    <row r="99" spans="1:8" ht="15.75" customHeight="1" x14ac:dyDescent="0.4">
      <c r="A99" s="24" t="s">
        <v>2171</v>
      </c>
      <c r="B99" s="24" t="s">
        <v>2859</v>
      </c>
      <c r="C99" s="73">
        <v>44761.791666666701</v>
      </c>
      <c r="D99" s="73">
        <v>44761.814502314803</v>
      </c>
      <c r="E99" s="24" t="s">
        <v>2856</v>
      </c>
      <c r="F99" s="24">
        <v>0</v>
      </c>
      <c r="G99" s="24">
        <v>1</v>
      </c>
      <c r="H99" s="24" t="s">
        <v>2858</v>
      </c>
    </row>
    <row r="100" spans="1:8" ht="15.75" customHeight="1" x14ac:dyDescent="0.4">
      <c r="A100" s="24" t="s">
        <v>861</v>
      </c>
      <c r="B100" s="24" t="s">
        <v>2853</v>
      </c>
      <c r="C100" s="73">
        <v>44761.770833333299</v>
      </c>
      <c r="D100" s="73">
        <v>44761.792696759301</v>
      </c>
      <c r="E100" s="24" t="s">
        <v>2854</v>
      </c>
      <c r="F100" s="24">
        <v>28</v>
      </c>
      <c r="G100" s="24">
        <v>5</v>
      </c>
      <c r="H100" s="24" t="s">
        <v>2855</v>
      </c>
    </row>
    <row r="101" spans="1:8" ht="15.75" customHeight="1" x14ac:dyDescent="0.4">
      <c r="A101" s="24" t="s">
        <v>1897</v>
      </c>
      <c r="B101" s="24" t="s">
        <v>2853</v>
      </c>
      <c r="C101" s="73">
        <v>44761.708333333299</v>
      </c>
      <c r="D101" s="73">
        <v>44761.731539351902</v>
      </c>
      <c r="E101" s="24" t="s">
        <v>2854</v>
      </c>
      <c r="F101" s="24">
        <v>32</v>
      </c>
      <c r="G101" s="24">
        <v>4</v>
      </c>
      <c r="H101" s="24" t="s">
        <v>2855</v>
      </c>
    </row>
    <row r="102" spans="1:8" ht="15.75" customHeight="1" x14ac:dyDescent="0.4">
      <c r="A102" s="24" t="s">
        <v>981</v>
      </c>
      <c r="B102" s="24" t="s">
        <v>2853</v>
      </c>
      <c r="C102" s="73">
        <v>44761.708333333299</v>
      </c>
      <c r="D102" s="73">
        <v>44761.734768518501</v>
      </c>
      <c r="E102" s="24" t="s">
        <v>2854</v>
      </c>
      <c r="F102" s="24">
        <v>37</v>
      </c>
      <c r="H102" s="24" t="s">
        <v>2855</v>
      </c>
    </row>
    <row r="103" spans="1:8" ht="15.75" customHeight="1" x14ac:dyDescent="0.4">
      <c r="A103" s="24" t="s">
        <v>669</v>
      </c>
      <c r="B103" s="24" t="s">
        <v>2853</v>
      </c>
      <c r="C103" s="73">
        <v>44761.708333333299</v>
      </c>
      <c r="D103" s="73">
        <v>44761.7418287037</v>
      </c>
      <c r="E103" s="24" t="s">
        <v>2854</v>
      </c>
      <c r="F103" s="24">
        <v>45</v>
      </c>
      <c r="G103" s="24">
        <v>5</v>
      </c>
      <c r="H103" s="24" t="s">
        <v>2855</v>
      </c>
    </row>
    <row r="104" spans="1:8" ht="15.75" customHeight="1" x14ac:dyDescent="0.4">
      <c r="A104" s="24" t="s">
        <v>1867</v>
      </c>
      <c r="B104" s="24" t="s">
        <v>2853</v>
      </c>
      <c r="C104" s="73">
        <v>44761.666666666701</v>
      </c>
      <c r="D104" s="73">
        <v>44761.7174884259</v>
      </c>
      <c r="E104" s="24" t="s">
        <v>2856</v>
      </c>
      <c r="F104" s="24">
        <v>0</v>
      </c>
      <c r="H104" s="24" t="s">
        <v>2858</v>
      </c>
    </row>
    <row r="105" spans="1:8" ht="15.75" customHeight="1" x14ac:dyDescent="0.4">
      <c r="A105" s="24" t="s">
        <v>1019</v>
      </c>
      <c r="B105" s="24" t="s">
        <v>2853</v>
      </c>
      <c r="C105" s="73">
        <v>44761.625</v>
      </c>
      <c r="D105" s="73">
        <v>44761.669374999998</v>
      </c>
      <c r="E105" s="24" t="s">
        <v>2854</v>
      </c>
      <c r="F105" s="24">
        <v>22</v>
      </c>
      <c r="G105" s="24">
        <v>5</v>
      </c>
      <c r="H105" s="24" t="s">
        <v>2855</v>
      </c>
    </row>
    <row r="106" spans="1:8" ht="15.75" customHeight="1" x14ac:dyDescent="0.4">
      <c r="A106" s="24" t="s">
        <v>2122</v>
      </c>
      <c r="B106" s="24" t="s">
        <v>2853</v>
      </c>
      <c r="C106" s="73">
        <v>44761.5625</v>
      </c>
      <c r="D106" s="73">
        <v>44761.592638888898</v>
      </c>
      <c r="E106" s="24" t="s">
        <v>2854</v>
      </c>
      <c r="F106" s="24">
        <v>34</v>
      </c>
      <c r="G106" s="24">
        <v>5</v>
      </c>
      <c r="H106" s="24" t="s">
        <v>2855</v>
      </c>
    </row>
    <row r="107" spans="1:8" ht="15.75" customHeight="1" x14ac:dyDescent="0.4">
      <c r="A107" s="24" t="s">
        <v>1678</v>
      </c>
      <c r="B107" s="24" t="s">
        <v>2853</v>
      </c>
      <c r="C107" s="73">
        <v>44760.916666666701</v>
      </c>
      <c r="D107" s="73">
        <v>44760.962210648198</v>
      </c>
      <c r="E107" s="24" t="s">
        <v>2854</v>
      </c>
      <c r="F107" s="24">
        <v>65</v>
      </c>
      <c r="G107" s="24">
        <v>5</v>
      </c>
      <c r="H107" s="24" t="s">
        <v>2855</v>
      </c>
    </row>
    <row r="108" spans="1:8" ht="15.75" customHeight="1" x14ac:dyDescent="0.4">
      <c r="A108" s="24" t="s">
        <v>1651</v>
      </c>
      <c r="B108" s="24" t="s">
        <v>2853</v>
      </c>
      <c r="C108" s="73">
        <v>44760.854166666701</v>
      </c>
      <c r="D108" s="73">
        <v>44760.872013888897</v>
      </c>
      <c r="E108" s="24" t="s">
        <v>2856</v>
      </c>
      <c r="F108" s="24">
        <v>24</v>
      </c>
      <c r="H108" s="24" t="s">
        <v>2857</v>
      </c>
    </row>
    <row r="109" spans="1:8" ht="15.75" customHeight="1" x14ac:dyDescent="0.4">
      <c r="A109" s="24" t="s">
        <v>873</v>
      </c>
      <c r="B109" s="24" t="s">
        <v>2861</v>
      </c>
      <c r="C109" s="73">
        <v>44760.833333333299</v>
      </c>
      <c r="D109" s="73">
        <v>44760.847002314797</v>
      </c>
      <c r="E109" s="24" t="s">
        <v>2854</v>
      </c>
      <c r="F109" s="24">
        <v>19</v>
      </c>
      <c r="G109" s="24">
        <v>4</v>
      </c>
      <c r="H109" s="24" t="s">
        <v>2855</v>
      </c>
    </row>
    <row r="110" spans="1:8" ht="15.75" customHeight="1" x14ac:dyDescent="0.4">
      <c r="A110" s="24" t="s">
        <v>1170</v>
      </c>
      <c r="B110" s="24" t="s">
        <v>2853</v>
      </c>
      <c r="C110" s="73">
        <v>44760.833333333299</v>
      </c>
      <c r="D110" s="73">
        <v>44760.854432870401</v>
      </c>
      <c r="E110" s="24" t="s">
        <v>2854</v>
      </c>
      <c r="F110" s="24">
        <v>29</v>
      </c>
      <c r="G110" s="24">
        <v>5</v>
      </c>
      <c r="H110" s="24" t="s">
        <v>2855</v>
      </c>
    </row>
    <row r="111" spans="1:8" ht="15.75" customHeight="1" x14ac:dyDescent="0.4">
      <c r="A111" s="24" t="s">
        <v>1758</v>
      </c>
      <c r="B111" s="24" t="s">
        <v>2861</v>
      </c>
      <c r="C111" s="73">
        <v>44760.791666666701</v>
      </c>
      <c r="D111" s="73">
        <v>44760.834259259304</v>
      </c>
      <c r="E111" s="24" t="s">
        <v>2854</v>
      </c>
      <c r="F111" s="24">
        <v>61</v>
      </c>
      <c r="G111" s="24">
        <v>5</v>
      </c>
      <c r="H111" s="24" t="s">
        <v>2855</v>
      </c>
    </row>
    <row r="112" spans="1:8" ht="15.75" customHeight="1" x14ac:dyDescent="0.4">
      <c r="A112" s="24" t="s">
        <v>1618</v>
      </c>
      <c r="B112" s="24" t="s">
        <v>2853</v>
      </c>
      <c r="C112" s="73">
        <v>44760.770833333299</v>
      </c>
      <c r="D112" s="73">
        <v>44760.797152777799</v>
      </c>
      <c r="E112" s="24" t="s">
        <v>2854</v>
      </c>
      <c r="F112" s="24">
        <v>30</v>
      </c>
      <c r="H112" s="24" t="s">
        <v>2855</v>
      </c>
    </row>
    <row r="113" spans="1:8" ht="15.75" customHeight="1" x14ac:dyDescent="0.4">
      <c r="A113" s="24" t="s">
        <v>2172</v>
      </c>
      <c r="B113" s="24" t="s">
        <v>2853</v>
      </c>
      <c r="C113" s="73">
        <v>44760.666666666701</v>
      </c>
      <c r="D113" s="73">
        <v>44760.686400462997</v>
      </c>
      <c r="E113" s="24" t="s">
        <v>2854</v>
      </c>
      <c r="F113" s="24">
        <v>27</v>
      </c>
      <c r="G113" s="24">
        <v>4</v>
      </c>
      <c r="H113" s="24" t="s">
        <v>2855</v>
      </c>
    </row>
    <row r="114" spans="1:8" ht="15.75" customHeight="1" x14ac:dyDescent="0.4">
      <c r="A114" s="24" t="s">
        <v>1232</v>
      </c>
      <c r="B114" s="24" t="s">
        <v>2853</v>
      </c>
      <c r="C114" s="73">
        <v>44760.625</v>
      </c>
      <c r="D114" s="73">
        <v>44760.638946759304</v>
      </c>
      <c r="E114" s="24" t="s">
        <v>2854</v>
      </c>
      <c r="F114" s="24">
        <v>19</v>
      </c>
      <c r="G114" s="24">
        <v>5</v>
      </c>
      <c r="H114" s="24" t="s">
        <v>2855</v>
      </c>
    </row>
    <row r="115" spans="1:8" ht="15.75" customHeight="1" x14ac:dyDescent="0.4">
      <c r="A115" s="24" t="s">
        <v>883</v>
      </c>
      <c r="B115" s="24" t="s">
        <v>2853</v>
      </c>
      <c r="C115" s="73">
        <v>44760.583333333299</v>
      </c>
      <c r="D115" s="73">
        <v>44760.609722222202</v>
      </c>
      <c r="E115" s="24" t="s">
        <v>2854</v>
      </c>
      <c r="F115" s="24">
        <v>31</v>
      </c>
      <c r="G115" s="24">
        <v>5</v>
      </c>
      <c r="H115" s="24" t="s">
        <v>2855</v>
      </c>
    </row>
    <row r="116" spans="1:8" ht="15.75" customHeight="1" x14ac:dyDescent="0.4">
      <c r="A116" s="24" t="s">
        <v>1925</v>
      </c>
      <c r="B116" s="24" t="s">
        <v>2853</v>
      </c>
      <c r="C116" s="73">
        <v>44760.520833333299</v>
      </c>
      <c r="D116" s="73">
        <v>44760.562986111101</v>
      </c>
      <c r="E116" s="24" t="s">
        <v>2854</v>
      </c>
      <c r="F116" s="24">
        <v>27</v>
      </c>
      <c r="G116" s="24">
        <v>4</v>
      </c>
      <c r="H116" s="24" t="s">
        <v>2855</v>
      </c>
    </row>
    <row r="117" spans="1:8" ht="15.75" customHeight="1" x14ac:dyDescent="0.4">
      <c r="A117" s="24" t="s">
        <v>1891</v>
      </c>
      <c r="B117" s="24" t="s">
        <v>2853</v>
      </c>
      <c r="C117" s="73">
        <v>44760.520833333299</v>
      </c>
      <c r="D117" s="73">
        <v>44760.5620486111</v>
      </c>
      <c r="E117" s="24" t="s">
        <v>2854</v>
      </c>
      <c r="F117" s="24">
        <v>58</v>
      </c>
      <c r="G117" s="24">
        <v>5</v>
      </c>
      <c r="H117" s="24" t="s">
        <v>2855</v>
      </c>
    </row>
    <row r="118" spans="1:8" ht="15.75" customHeight="1" x14ac:dyDescent="0.4">
      <c r="A118" s="24" t="s">
        <v>1869</v>
      </c>
      <c r="B118" s="24" t="s">
        <v>2853</v>
      </c>
      <c r="C118" s="73">
        <v>44760.375</v>
      </c>
      <c r="D118" s="73">
        <v>44760.398599537002</v>
      </c>
      <c r="E118" s="24" t="s">
        <v>2854</v>
      </c>
      <c r="F118" s="24">
        <v>27</v>
      </c>
      <c r="G118" s="24">
        <v>5</v>
      </c>
      <c r="H118" s="24" t="s">
        <v>2855</v>
      </c>
    </row>
    <row r="119" spans="1:8" ht="15.75" customHeight="1" x14ac:dyDescent="0.4">
      <c r="A119" s="24" t="s">
        <v>513</v>
      </c>
      <c r="B119" s="24" t="s">
        <v>2853</v>
      </c>
      <c r="C119" s="73">
        <v>44759.958333333299</v>
      </c>
      <c r="D119" s="73">
        <v>44759.987326388902</v>
      </c>
      <c r="E119" s="24" t="s">
        <v>2854</v>
      </c>
      <c r="F119" s="24">
        <v>29</v>
      </c>
      <c r="H119" s="24" t="s">
        <v>2855</v>
      </c>
    </row>
    <row r="120" spans="1:8" ht="15.75" customHeight="1" x14ac:dyDescent="0.4">
      <c r="A120" s="24" t="s">
        <v>2122</v>
      </c>
      <c r="B120" s="24" t="s">
        <v>2853</v>
      </c>
      <c r="C120" s="73">
        <v>44759.875</v>
      </c>
      <c r="D120" s="73">
        <v>44759.9079166667</v>
      </c>
      <c r="E120" s="24" t="s">
        <v>2854</v>
      </c>
      <c r="F120" s="24">
        <v>46</v>
      </c>
      <c r="G120" s="24">
        <v>5</v>
      </c>
      <c r="H120" s="24" t="s">
        <v>2855</v>
      </c>
    </row>
    <row r="121" spans="1:8" ht="15.75" customHeight="1" x14ac:dyDescent="0.4">
      <c r="A121" s="24" t="s">
        <v>1765</v>
      </c>
      <c r="B121" s="24" t="s">
        <v>2853</v>
      </c>
      <c r="C121" s="73">
        <v>44759.875</v>
      </c>
      <c r="D121" s="73">
        <v>44759.897511574098</v>
      </c>
      <c r="E121" s="24" t="s">
        <v>2856</v>
      </c>
      <c r="F121" s="24">
        <v>0</v>
      </c>
      <c r="G121" s="24">
        <v>1</v>
      </c>
      <c r="H121" s="24" t="s">
        <v>2858</v>
      </c>
    </row>
    <row r="122" spans="1:8" ht="15.75" customHeight="1" x14ac:dyDescent="0.4">
      <c r="A122" s="24" t="s">
        <v>561</v>
      </c>
      <c r="B122" s="24" t="s">
        <v>2853</v>
      </c>
      <c r="C122" s="73">
        <v>44759.8125</v>
      </c>
      <c r="D122" s="73">
        <v>44759.832673611098</v>
      </c>
      <c r="E122" s="24" t="s">
        <v>2854</v>
      </c>
      <c r="F122" s="24">
        <v>29</v>
      </c>
      <c r="G122" s="24">
        <v>4</v>
      </c>
      <c r="H122" s="24" t="s">
        <v>2855</v>
      </c>
    </row>
    <row r="123" spans="1:8" ht="15.75" customHeight="1" x14ac:dyDescent="0.4">
      <c r="A123" s="24" t="s">
        <v>633</v>
      </c>
      <c r="B123" s="24" t="s">
        <v>2853</v>
      </c>
      <c r="C123" s="73">
        <v>44759.75</v>
      </c>
      <c r="D123" s="73">
        <v>44759.793460648201</v>
      </c>
      <c r="E123" s="24" t="s">
        <v>2854</v>
      </c>
      <c r="F123" s="24">
        <v>58</v>
      </c>
      <c r="H123" s="24" t="s">
        <v>2855</v>
      </c>
    </row>
    <row r="124" spans="1:8" ht="15.75" customHeight="1" x14ac:dyDescent="0.4">
      <c r="A124" s="24" t="s">
        <v>237</v>
      </c>
      <c r="B124" s="24" t="s">
        <v>2853</v>
      </c>
      <c r="C124" s="73">
        <v>44759.708333333299</v>
      </c>
      <c r="D124" s="73">
        <v>44759.730937499997</v>
      </c>
      <c r="E124" s="24" t="s">
        <v>2856</v>
      </c>
      <c r="F124" s="24">
        <v>0</v>
      </c>
      <c r="H124" s="24" t="s">
        <v>2858</v>
      </c>
    </row>
    <row r="125" spans="1:8" ht="15.75" customHeight="1" x14ac:dyDescent="0.4">
      <c r="A125" s="24" t="s">
        <v>335</v>
      </c>
      <c r="B125" s="24" t="s">
        <v>2853</v>
      </c>
      <c r="C125" s="73">
        <v>44759.645833333299</v>
      </c>
      <c r="D125" s="73">
        <v>44759.670555555596</v>
      </c>
      <c r="E125" s="24" t="s">
        <v>2854</v>
      </c>
      <c r="F125" s="24">
        <v>26</v>
      </c>
      <c r="G125" s="24">
        <v>5</v>
      </c>
      <c r="H125" s="24" t="s">
        <v>2855</v>
      </c>
    </row>
    <row r="126" spans="1:8" ht="15.75" customHeight="1" x14ac:dyDescent="0.4">
      <c r="A126" s="24" t="s">
        <v>1206</v>
      </c>
      <c r="B126" s="24" t="s">
        <v>2853</v>
      </c>
      <c r="C126" s="73">
        <v>44759.604166666701</v>
      </c>
      <c r="D126" s="73">
        <v>44759.649189814802</v>
      </c>
      <c r="E126" s="24" t="s">
        <v>2854</v>
      </c>
      <c r="F126" s="24">
        <v>62</v>
      </c>
      <c r="G126" s="24">
        <v>4</v>
      </c>
      <c r="H126" s="24" t="s">
        <v>2855</v>
      </c>
    </row>
    <row r="127" spans="1:8" ht="15.75" customHeight="1" x14ac:dyDescent="0.4">
      <c r="A127" s="24" t="s">
        <v>1588</v>
      </c>
      <c r="B127" s="24" t="s">
        <v>2853</v>
      </c>
      <c r="C127" s="73">
        <v>44759.520833333299</v>
      </c>
      <c r="D127" s="73">
        <v>44759.5406828704</v>
      </c>
      <c r="E127" s="24" t="s">
        <v>2854</v>
      </c>
      <c r="F127" s="24">
        <v>26</v>
      </c>
      <c r="G127" s="24">
        <v>5</v>
      </c>
      <c r="H127" s="24" t="s">
        <v>2855</v>
      </c>
    </row>
    <row r="128" spans="1:8" ht="15.75" customHeight="1" x14ac:dyDescent="0.4">
      <c r="A128" s="24" t="s">
        <v>1809</v>
      </c>
      <c r="B128" s="24" t="s">
        <v>2853</v>
      </c>
      <c r="C128" s="73">
        <v>44759.520833333299</v>
      </c>
      <c r="D128" s="73">
        <v>44759.599050925899</v>
      </c>
      <c r="E128" s="24" t="s">
        <v>2854</v>
      </c>
      <c r="F128" s="24">
        <v>86</v>
      </c>
      <c r="G128" s="24">
        <v>5</v>
      </c>
      <c r="H128" s="24" t="s">
        <v>2855</v>
      </c>
    </row>
    <row r="129" spans="1:8" ht="15.75" customHeight="1" x14ac:dyDescent="0.4">
      <c r="A129" s="24" t="s">
        <v>1910</v>
      </c>
      <c r="B129" s="24" t="s">
        <v>2853</v>
      </c>
      <c r="C129" s="73">
        <v>44759.4375</v>
      </c>
      <c r="D129" s="73">
        <v>44759.469143518501</v>
      </c>
      <c r="E129" s="24" t="s">
        <v>2854</v>
      </c>
      <c r="F129" s="24">
        <v>41</v>
      </c>
      <c r="G129" s="24">
        <v>5</v>
      </c>
      <c r="H129" s="24" t="s">
        <v>2855</v>
      </c>
    </row>
    <row r="130" spans="1:8" ht="15.75" customHeight="1" x14ac:dyDescent="0.4">
      <c r="A130" s="24" t="s">
        <v>1548</v>
      </c>
      <c r="B130" s="24" t="s">
        <v>2853</v>
      </c>
      <c r="C130" s="73">
        <v>44759.354166666701</v>
      </c>
      <c r="D130" s="73">
        <v>44759.394722222198</v>
      </c>
      <c r="E130" s="24" t="s">
        <v>2854</v>
      </c>
      <c r="F130" s="24">
        <v>57</v>
      </c>
      <c r="G130" s="24">
        <v>5</v>
      </c>
      <c r="H130" s="24" t="s">
        <v>2855</v>
      </c>
    </row>
    <row r="131" spans="1:8" ht="15.75" customHeight="1" x14ac:dyDescent="0.4">
      <c r="A131" s="24" t="s">
        <v>1058</v>
      </c>
      <c r="B131" s="24" t="s">
        <v>2853</v>
      </c>
      <c r="C131" s="73">
        <v>44758.979166666701</v>
      </c>
      <c r="D131" s="73">
        <v>44759.032233796301</v>
      </c>
      <c r="E131" s="24" t="s">
        <v>2854</v>
      </c>
      <c r="F131" s="24">
        <v>67</v>
      </c>
      <c r="G131" s="24">
        <v>5</v>
      </c>
      <c r="H131" s="24" t="s">
        <v>2855</v>
      </c>
    </row>
    <row r="132" spans="1:8" ht="15.75" customHeight="1" x14ac:dyDescent="0.4">
      <c r="A132" s="24" t="s">
        <v>742</v>
      </c>
      <c r="B132" s="24" t="s">
        <v>2853</v>
      </c>
      <c r="C132" s="73">
        <v>44758.979166666701</v>
      </c>
      <c r="D132" s="73">
        <v>44758.985706018502</v>
      </c>
      <c r="E132" s="24" t="s">
        <v>2856</v>
      </c>
      <c r="F132" s="24">
        <v>0</v>
      </c>
      <c r="H132" s="24" t="s">
        <v>2857</v>
      </c>
    </row>
    <row r="133" spans="1:8" ht="15.75" customHeight="1" x14ac:dyDescent="0.4">
      <c r="A133" s="24" t="s">
        <v>993</v>
      </c>
      <c r="B133" s="24" t="s">
        <v>2860</v>
      </c>
      <c r="C133" s="73">
        <v>44758.958333333299</v>
      </c>
      <c r="D133" s="73">
        <v>44758.984942129602</v>
      </c>
      <c r="E133" s="24" t="s">
        <v>2854</v>
      </c>
      <c r="F133" s="24">
        <v>33</v>
      </c>
      <c r="H133" s="24" t="s">
        <v>2855</v>
      </c>
    </row>
    <row r="134" spans="1:8" ht="15.75" customHeight="1" x14ac:dyDescent="0.4">
      <c r="A134" s="24" t="s">
        <v>2069</v>
      </c>
      <c r="B134" s="24" t="s">
        <v>2853</v>
      </c>
      <c r="C134" s="73">
        <v>44758.916666666701</v>
      </c>
      <c r="D134" s="73">
        <v>44758.938379629602</v>
      </c>
      <c r="E134" s="24" t="s">
        <v>2854</v>
      </c>
      <c r="F134" s="24">
        <v>30</v>
      </c>
      <c r="G134" s="24">
        <v>5</v>
      </c>
      <c r="H134" s="24" t="s">
        <v>2855</v>
      </c>
    </row>
    <row r="135" spans="1:8" ht="15.75" customHeight="1" x14ac:dyDescent="0.4">
      <c r="A135" s="24" t="s">
        <v>1231</v>
      </c>
      <c r="B135" s="24" t="s">
        <v>2853</v>
      </c>
      <c r="C135" s="73">
        <v>44758.833333333299</v>
      </c>
      <c r="D135" s="73">
        <v>44758.849293981497</v>
      </c>
      <c r="E135" s="24" t="s">
        <v>2854</v>
      </c>
      <c r="F135" s="24">
        <v>18</v>
      </c>
      <c r="G135" s="24">
        <v>4</v>
      </c>
      <c r="H135" s="24" t="s">
        <v>2855</v>
      </c>
    </row>
    <row r="136" spans="1:8" ht="15.75" customHeight="1" x14ac:dyDescent="0.4">
      <c r="A136" s="24" t="s">
        <v>1305</v>
      </c>
      <c r="B136" s="24" t="s">
        <v>2860</v>
      </c>
      <c r="C136" s="73">
        <v>44758.729166666701</v>
      </c>
      <c r="D136" s="73">
        <v>44758.765682870398</v>
      </c>
      <c r="E136" s="24" t="s">
        <v>2854</v>
      </c>
      <c r="F136" s="24">
        <v>52</v>
      </c>
      <c r="G136" s="24">
        <v>5</v>
      </c>
      <c r="H136" s="24" t="s">
        <v>2855</v>
      </c>
    </row>
    <row r="137" spans="1:8" ht="15.75" customHeight="1" x14ac:dyDescent="0.4">
      <c r="A137" s="24" t="s">
        <v>960</v>
      </c>
      <c r="B137" s="24" t="s">
        <v>2853</v>
      </c>
      <c r="C137" s="73">
        <v>44758.583333333299</v>
      </c>
      <c r="D137" s="73">
        <v>44758.606030092596</v>
      </c>
      <c r="E137" s="24" t="s">
        <v>2854</v>
      </c>
      <c r="F137" s="24">
        <v>25</v>
      </c>
      <c r="G137" s="24">
        <v>5</v>
      </c>
      <c r="H137" s="24" t="s">
        <v>2855</v>
      </c>
    </row>
    <row r="138" spans="1:8" ht="15.75" customHeight="1" x14ac:dyDescent="0.4">
      <c r="A138" s="24" t="s">
        <v>1585</v>
      </c>
      <c r="B138" s="24" t="s">
        <v>2863</v>
      </c>
      <c r="C138" s="24" t="s">
        <v>2853</v>
      </c>
      <c r="D138" s="73">
        <v>44758.520833333299</v>
      </c>
      <c r="E138" s="73">
        <v>44758.543530092596</v>
      </c>
      <c r="F138" s="24" t="s">
        <v>2855</v>
      </c>
      <c r="G138" s="24">
        <v>30</v>
      </c>
      <c r="H138" s="75" t="s">
        <v>2864</v>
      </c>
    </row>
    <row r="139" spans="1:8" ht="15.75" customHeight="1" x14ac:dyDescent="0.4">
      <c r="A139" s="24" t="s">
        <v>2025</v>
      </c>
      <c r="B139" s="24" t="s">
        <v>2853</v>
      </c>
      <c r="C139" s="73">
        <v>44758.5</v>
      </c>
      <c r="D139" s="73">
        <v>44758.520914351902</v>
      </c>
      <c r="E139" s="24" t="s">
        <v>2854</v>
      </c>
      <c r="F139" s="24">
        <v>19</v>
      </c>
      <c r="G139" s="24">
        <v>5</v>
      </c>
      <c r="H139" s="24" t="s">
        <v>2855</v>
      </c>
    </row>
    <row r="140" spans="1:8" ht="15.75" customHeight="1" x14ac:dyDescent="0.4">
      <c r="A140" s="24" t="s">
        <v>2122</v>
      </c>
      <c r="B140" s="24" t="s">
        <v>2853</v>
      </c>
      <c r="C140" s="73">
        <v>44758.5</v>
      </c>
      <c r="D140" s="73">
        <v>44758.5226736111</v>
      </c>
      <c r="E140" s="24" t="s">
        <v>2856</v>
      </c>
      <c r="F140" s="24">
        <v>0</v>
      </c>
      <c r="G140" s="24">
        <v>1</v>
      </c>
      <c r="H140" s="24" t="s">
        <v>2858</v>
      </c>
    </row>
    <row r="141" spans="1:8" ht="15.75" customHeight="1" x14ac:dyDescent="0.4">
      <c r="A141" s="24" t="s">
        <v>1587</v>
      </c>
      <c r="B141" s="24" t="s">
        <v>2853</v>
      </c>
      <c r="C141" s="73">
        <v>44758.479166666701</v>
      </c>
      <c r="D141" s="73">
        <v>44758.501145833303</v>
      </c>
      <c r="E141" s="24" t="s">
        <v>2854</v>
      </c>
      <c r="F141" s="24">
        <v>29</v>
      </c>
      <c r="G141" s="24">
        <v>5</v>
      </c>
      <c r="H141" s="24" t="s">
        <v>2855</v>
      </c>
    </row>
    <row r="142" spans="1:8" ht="15.75" customHeight="1" x14ac:dyDescent="0.4">
      <c r="A142" s="24" t="s">
        <v>2117</v>
      </c>
      <c r="B142" s="24" t="s">
        <v>2853</v>
      </c>
      <c r="C142" s="73">
        <v>44758.479166666701</v>
      </c>
      <c r="D142" s="73">
        <v>44758.5237037037</v>
      </c>
      <c r="E142" s="24" t="s">
        <v>2854</v>
      </c>
      <c r="F142" s="24">
        <v>49</v>
      </c>
      <c r="G142" s="24">
        <v>5</v>
      </c>
      <c r="H142" s="24" t="s">
        <v>2855</v>
      </c>
    </row>
    <row r="143" spans="1:8" ht="15.75" customHeight="1" x14ac:dyDescent="0.4">
      <c r="A143" s="24" t="s">
        <v>1718</v>
      </c>
      <c r="B143" s="24" t="s">
        <v>2853</v>
      </c>
      <c r="C143" s="73">
        <v>44758.479166666701</v>
      </c>
      <c r="D143" s="73">
        <v>44758.500625000001</v>
      </c>
      <c r="E143" s="24" t="s">
        <v>2854</v>
      </c>
      <c r="F143" s="24">
        <v>30</v>
      </c>
      <c r="G143" s="24">
        <v>5</v>
      </c>
      <c r="H143" s="24" t="s">
        <v>2855</v>
      </c>
    </row>
    <row r="144" spans="1:8" ht="15.75" customHeight="1" x14ac:dyDescent="0.4">
      <c r="A144" s="24" t="s">
        <v>1553</v>
      </c>
      <c r="B144" s="24" t="s">
        <v>2853</v>
      </c>
      <c r="C144" s="73">
        <v>44758.458333333299</v>
      </c>
      <c r="D144" s="73">
        <v>44758.487453703703</v>
      </c>
      <c r="E144" s="24" t="s">
        <v>2854</v>
      </c>
      <c r="F144" s="24">
        <v>38</v>
      </c>
      <c r="G144" s="24">
        <v>5</v>
      </c>
      <c r="H144" s="24" t="s">
        <v>2855</v>
      </c>
    </row>
    <row r="145" spans="1:8" ht="15.75" customHeight="1" x14ac:dyDescent="0.4">
      <c r="A145" s="24" t="s">
        <v>1789</v>
      </c>
      <c r="B145" s="24" t="s">
        <v>2853</v>
      </c>
      <c r="C145" s="73">
        <v>44758.458333333299</v>
      </c>
      <c r="D145" s="73">
        <v>44758.5077662037</v>
      </c>
      <c r="E145" s="24" t="s">
        <v>2854</v>
      </c>
      <c r="F145" s="24">
        <v>70</v>
      </c>
      <c r="G145" s="24">
        <v>5</v>
      </c>
      <c r="H145" s="24" t="s">
        <v>2855</v>
      </c>
    </row>
    <row r="146" spans="1:8" ht="15.75" customHeight="1" x14ac:dyDescent="0.4">
      <c r="A146" s="24" t="s">
        <v>853</v>
      </c>
      <c r="B146" s="24" t="s">
        <v>2853</v>
      </c>
      <c r="C146" s="73">
        <v>44758.458333333299</v>
      </c>
      <c r="D146" s="73">
        <v>44758.484189814801</v>
      </c>
      <c r="E146" s="24" t="s">
        <v>2854</v>
      </c>
      <c r="F146" s="24">
        <v>35</v>
      </c>
      <c r="G146" s="24">
        <v>5</v>
      </c>
      <c r="H146" s="24" t="s">
        <v>2855</v>
      </c>
    </row>
    <row r="147" spans="1:8" ht="15.75" customHeight="1" x14ac:dyDescent="0.4">
      <c r="A147" s="24" t="s">
        <v>237</v>
      </c>
      <c r="B147" s="24" t="s">
        <v>2853</v>
      </c>
      <c r="C147" s="74">
        <v>44758</v>
      </c>
      <c r="D147" s="73">
        <v>44758.022326388898</v>
      </c>
      <c r="E147" s="24" t="s">
        <v>2856</v>
      </c>
      <c r="F147" s="24">
        <v>0</v>
      </c>
      <c r="H147" s="24" t="s">
        <v>2858</v>
      </c>
    </row>
    <row r="148" spans="1:8" ht="15.75" customHeight="1" x14ac:dyDescent="0.4">
      <c r="A148" s="24" t="s">
        <v>555</v>
      </c>
      <c r="B148" s="24" t="s">
        <v>2853</v>
      </c>
      <c r="C148" s="73">
        <v>44757.875</v>
      </c>
      <c r="D148" s="73">
        <v>44757.901192129597</v>
      </c>
      <c r="E148" s="24" t="s">
        <v>2854</v>
      </c>
      <c r="F148" s="24">
        <v>35</v>
      </c>
      <c r="G148" s="24">
        <v>5</v>
      </c>
      <c r="H148" s="24" t="s">
        <v>2855</v>
      </c>
    </row>
    <row r="149" spans="1:8" ht="15.75" customHeight="1" x14ac:dyDescent="0.4">
      <c r="A149" s="24" t="s">
        <v>1488</v>
      </c>
      <c r="B149" s="24" t="s">
        <v>2853</v>
      </c>
      <c r="C149" s="73">
        <v>44757.875</v>
      </c>
      <c r="D149" s="73">
        <v>44757.898136574098</v>
      </c>
      <c r="E149" s="24" t="s">
        <v>2854</v>
      </c>
      <c r="F149" s="24">
        <v>33</v>
      </c>
      <c r="G149" s="24">
        <v>5</v>
      </c>
      <c r="H149" s="24" t="s">
        <v>2855</v>
      </c>
    </row>
    <row r="150" spans="1:8" ht="15.75" customHeight="1" x14ac:dyDescent="0.4">
      <c r="A150" s="24" t="s">
        <v>1218</v>
      </c>
      <c r="B150" s="24" t="s">
        <v>2853</v>
      </c>
      <c r="C150" s="73">
        <v>44757.875</v>
      </c>
      <c r="D150" s="73">
        <v>44757.895173611098</v>
      </c>
      <c r="E150" s="24" t="s">
        <v>2854</v>
      </c>
      <c r="F150" s="24">
        <v>28</v>
      </c>
      <c r="G150" s="24">
        <v>5</v>
      </c>
      <c r="H150" s="24" t="s">
        <v>2855</v>
      </c>
    </row>
    <row r="151" spans="1:8" ht="15.75" customHeight="1" x14ac:dyDescent="0.4">
      <c r="A151" s="24" t="s">
        <v>487</v>
      </c>
      <c r="B151" s="24" t="s">
        <v>2853</v>
      </c>
      <c r="C151" s="73">
        <v>44757.875</v>
      </c>
      <c r="D151" s="73">
        <v>44757.897326388898</v>
      </c>
      <c r="E151" s="24" t="s">
        <v>2854</v>
      </c>
      <c r="F151" s="24">
        <v>0</v>
      </c>
      <c r="G151" s="24">
        <v>1</v>
      </c>
      <c r="H151" s="24" t="s">
        <v>2855</v>
      </c>
    </row>
    <row r="152" spans="1:8" ht="15.75" customHeight="1" x14ac:dyDescent="0.4">
      <c r="A152" s="24" t="s">
        <v>756</v>
      </c>
      <c r="B152" s="24" t="s">
        <v>2853</v>
      </c>
      <c r="C152" s="73">
        <v>44757.833333333299</v>
      </c>
      <c r="D152" s="73">
        <v>44757.863715277803</v>
      </c>
      <c r="E152" s="24" t="s">
        <v>2854</v>
      </c>
      <c r="F152" s="24">
        <v>42</v>
      </c>
      <c r="H152" s="24" t="s">
        <v>2855</v>
      </c>
    </row>
    <row r="153" spans="1:8" ht="15.75" customHeight="1" x14ac:dyDescent="0.4">
      <c r="A153" s="24" t="s">
        <v>451</v>
      </c>
      <c r="B153" s="24" t="s">
        <v>2860</v>
      </c>
      <c r="C153" s="73">
        <v>44757.833333333299</v>
      </c>
      <c r="D153" s="73">
        <v>44757.8624305556</v>
      </c>
      <c r="E153" s="24" t="s">
        <v>2854</v>
      </c>
      <c r="F153" s="24">
        <v>41</v>
      </c>
      <c r="G153" s="24">
        <v>5</v>
      </c>
      <c r="H153" s="24" t="s">
        <v>2855</v>
      </c>
    </row>
    <row r="154" spans="1:8" ht="15.75" customHeight="1" x14ac:dyDescent="0.4">
      <c r="A154" s="24" t="s">
        <v>285</v>
      </c>
      <c r="B154" s="24" t="s">
        <v>2853</v>
      </c>
      <c r="C154" s="73">
        <v>44757.75</v>
      </c>
      <c r="D154" s="73">
        <v>44757.768344907403</v>
      </c>
      <c r="E154" s="24" t="s">
        <v>2854</v>
      </c>
      <c r="F154" s="24">
        <v>18</v>
      </c>
      <c r="G154" s="24">
        <v>5</v>
      </c>
      <c r="H154" s="24" t="s">
        <v>2855</v>
      </c>
    </row>
    <row r="155" spans="1:8" ht="15.75" customHeight="1" x14ac:dyDescent="0.4">
      <c r="A155" s="24" t="s">
        <v>1508</v>
      </c>
      <c r="B155" s="24" t="s">
        <v>2853</v>
      </c>
      <c r="C155" s="73">
        <v>44757.729166666701</v>
      </c>
      <c r="D155" s="73">
        <v>44757.755891203698</v>
      </c>
      <c r="E155" s="24" t="s">
        <v>2854</v>
      </c>
      <c r="F155" s="24">
        <v>35</v>
      </c>
      <c r="G155" s="24">
        <v>5</v>
      </c>
      <c r="H155" s="24" t="s">
        <v>2855</v>
      </c>
    </row>
    <row r="156" spans="1:8" ht="15.75" customHeight="1" x14ac:dyDescent="0.4">
      <c r="A156" s="24" t="s">
        <v>1478</v>
      </c>
      <c r="B156" s="24" t="s">
        <v>2853</v>
      </c>
      <c r="C156" s="73">
        <v>44757.708333333299</v>
      </c>
      <c r="D156" s="73">
        <v>44757.733749999999</v>
      </c>
      <c r="E156" s="24" t="s">
        <v>2854</v>
      </c>
      <c r="F156" s="24">
        <v>36</v>
      </c>
      <c r="G156" s="24">
        <v>5</v>
      </c>
      <c r="H156" s="24" t="s">
        <v>2855</v>
      </c>
    </row>
    <row r="157" spans="1:8" ht="15.75" customHeight="1" x14ac:dyDescent="0.4">
      <c r="A157" s="24" t="s">
        <v>2064</v>
      </c>
      <c r="B157" s="24" t="s">
        <v>2853</v>
      </c>
      <c r="C157" s="73">
        <v>44757.625</v>
      </c>
      <c r="D157" s="73">
        <v>44757.6496064815</v>
      </c>
      <c r="E157" s="24" t="s">
        <v>2854</v>
      </c>
      <c r="F157" s="24">
        <v>32</v>
      </c>
      <c r="G157" s="24">
        <v>5</v>
      </c>
      <c r="H157" s="24" t="s">
        <v>2855</v>
      </c>
    </row>
    <row r="158" spans="1:8" ht="15.75" customHeight="1" x14ac:dyDescent="0.4">
      <c r="A158" s="24" t="s">
        <v>928</v>
      </c>
      <c r="B158" s="24" t="s">
        <v>2853</v>
      </c>
      <c r="C158" s="73">
        <v>44757.5</v>
      </c>
      <c r="D158" s="73">
        <v>44757.534050925897</v>
      </c>
      <c r="E158" s="24" t="s">
        <v>2854</v>
      </c>
      <c r="F158" s="24">
        <v>47</v>
      </c>
      <c r="G158" s="24">
        <v>5</v>
      </c>
      <c r="H158" s="24" t="s">
        <v>2855</v>
      </c>
    </row>
    <row r="159" spans="1:8" ht="15.75" customHeight="1" x14ac:dyDescent="0.4">
      <c r="A159" s="24" t="s">
        <v>1682</v>
      </c>
      <c r="B159" s="24" t="s">
        <v>2853</v>
      </c>
      <c r="C159" s="73">
        <v>44757.4375</v>
      </c>
      <c r="D159" s="73">
        <v>44757.454328703701</v>
      </c>
      <c r="E159" s="24" t="s">
        <v>2856</v>
      </c>
      <c r="F159" s="24">
        <v>0</v>
      </c>
      <c r="H159" s="24" t="s">
        <v>2857</v>
      </c>
    </row>
    <row r="160" spans="1:8" ht="15.75" customHeight="1" x14ac:dyDescent="0.4">
      <c r="A160" s="24" t="s">
        <v>1425</v>
      </c>
      <c r="B160" s="24" t="s">
        <v>2853</v>
      </c>
      <c r="C160" s="73">
        <v>44757.291666666701</v>
      </c>
      <c r="D160" s="73">
        <v>44757.336168981499</v>
      </c>
      <c r="E160" s="24" t="s">
        <v>2854</v>
      </c>
      <c r="F160" s="24">
        <v>62</v>
      </c>
      <c r="G160" s="24">
        <v>5</v>
      </c>
      <c r="H160" s="24" t="s">
        <v>2855</v>
      </c>
    </row>
    <row r="161" spans="1:8" ht="15.75" customHeight="1" x14ac:dyDescent="0.4">
      <c r="A161" s="24" t="s">
        <v>975</v>
      </c>
      <c r="B161" s="24" t="s">
        <v>2853</v>
      </c>
      <c r="C161" s="74">
        <v>44757</v>
      </c>
      <c r="D161" s="73">
        <v>44757.038263888899</v>
      </c>
      <c r="E161" s="24" t="s">
        <v>2854</v>
      </c>
      <c r="F161" s="24">
        <v>54</v>
      </c>
      <c r="G161" s="24">
        <v>5</v>
      </c>
      <c r="H161" s="24" t="s">
        <v>2855</v>
      </c>
    </row>
    <row r="162" spans="1:8" ht="15.75" customHeight="1" x14ac:dyDescent="0.4">
      <c r="A162" s="24" t="s">
        <v>867</v>
      </c>
      <c r="B162" s="24" t="s">
        <v>2853</v>
      </c>
      <c r="C162" s="73">
        <v>44756.395833333299</v>
      </c>
      <c r="D162" s="73">
        <v>44756.420324074097</v>
      </c>
      <c r="E162" s="24" t="s">
        <v>2854</v>
      </c>
      <c r="F162" s="24">
        <v>34</v>
      </c>
      <c r="G162" s="24">
        <v>5</v>
      </c>
      <c r="H162" s="24" t="s">
        <v>2855</v>
      </c>
    </row>
    <row r="163" spans="1:8" ht="15.75" customHeight="1" x14ac:dyDescent="0.4">
      <c r="A163" s="24" t="s">
        <v>1526</v>
      </c>
      <c r="B163" s="24" t="s">
        <v>2853</v>
      </c>
      <c r="C163" s="73">
        <v>44755.791666666701</v>
      </c>
      <c r="D163" s="73">
        <v>44755.8129976852</v>
      </c>
      <c r="E163" s="24" t="s">
        <v>2854</v>
      </c>
      <c r="F163" s="24">
        <v>30</v>
      </c>
      <c r="G163" s="24">
        <v>5</v>
      </c>
      <c r="H163" s="24" t="s">
        <v>2855</v>
      </c>
    </row>
    <row r="164" spans="1:8" ht="15.75" customHeight="1" x14ac:dyDescent="0.4">
      <c r="A164" s="24" t="s">
        <v>1290</v>
      </c>
      <c r="B164" s="24" t="s">
        <v>2853</v>
      </c>
      <c r="C164" s="73">
        <v>44755.5</v>
      </c>
      <c r="D164" s="73">
        <v>44755.523912037002</v>
      </c>
      <c r="E164" s="24" t="s">
        <v>2854</v>
      </c>
      <c r="F164" s="24">
        <v>34</v>
      </c>
      <c r="G164" s="24">
        <v>5</v>
      </c>
      <c r="H164" s="24" t="s">
        <v>2855</v>
      </c>
    </row>
    <row r="165" spans="1:8" ht="15.75" customHeight="1" x14ac:dyDescent="0.4">
      <c r="A165" s="24" t="s">
        <v>959</v>
      </c>
      <c r="B165" s="24" t="s">
        <v>2860</v>
      </c>
      <c r="C165" s="73">
        <v>44754.791666666701</v>
      </c>
      <c r="D165" s="73">
        <v>44754.818391203698</v>
      </c>
      <c r="E165" s="24" t="s">
        <v>2854</v>
      </c>
      <c r="F165" s="24">
        <v>37</v>
      </c>
      <c r="G165" s="24">
        <v>5</v>
      </c>
      <c r="H165" s="24" t="s">
        <v>2855</v>
      </c>
    </row>
    <row r="166" spans="1:8" ht="15.75" customHeight="1" x14ac:dyDescent="0.4">
      <c r="A166" s="24" t="s">
        <v>244</v>
      </c>
      <c r="B166" s="24" t="s">
        <v>2853</v>
      </c>
      <c r="C166" s="73">
        <v>44753.833333333299</v>
      </c>
      <c r="D166" s="73">
        <v>44753.857465277797</v>
      </c>
      <c r="E166" s="24" t="s">
        <v>2854</v>
      </c>
      <c r="F166" s="24">
        <v>34</v>
      </c>
      <c r="G166" s="24">
        <v>5</v>
      </c>
      <c r="H166" s="24" t="s">
        <v>2855</v>
      </c>
    </row>
    <row r="167" spans="1:8" ht="15.75" customHeight="1" x14ac:dyDescent="0.4">
      <c r="A167" s="24" t="s">
        <v>1224</v>
      </c>
      <c r="B167" s="24" t="s">
        <v>2853</v>
      </c>
      <c r="C167" s="73">
        <v>44753.833333333299</v>
      </c>
      <c r="D167" s="73">
        <v>44753.867615740703</v>
      </c>
      <c r="E167" s="24" t="s">
        <v>2854</v>
      </c>
      <c r="F167" s="24">
        <v>47</v>
      </c>
      <c r="G167" s="24">
        <v>5</v>
      </c>
      <c r="H167" s="24" t="s">
        <v>2855</v>
      </c>
    </row>
    <row r="168" spans="1:8" ht="15.75" customHeight="1" x14ac:dyDescent="0.4">
      <c r="A168" s="24" t="s">
        <v>1991</v>
      </c>
      <c r="B168" s="24" t="s">
        <v>2853</v>
      </c>
      <c r="C168" s="73">
        <v>44753.791666666701</v>
      </c>
      <c r="D168" s="73">
        <v>44753.815810185202</v>
      </c>
      <c r="E168" s="24" t="s">
        <v>2854</v>
      </c>
      <c r="F168" s="24">
        <v>34</v>
      </c>
      <c r="G168" s="24">
        <v>4</v>
      </c>
      <c r="H168" s="24" t="s">
        <v>2855</v>
      </c>
    </row>
    <row r="169" spans="1:8" ht="15.75" customHeight="1" x14ac:dyDescent="0.4">
      <c r="A169" s="24" t="s">
        <v>1305</v>
      </c>
      <c r="B169" s="24" t="s">
        <v>2860</v>
      </c>
      <c r="C169" s="73">
        <v>44752.645833333299</v>
      </c>
      <c r="D169" s="73">
        <v>44752.668368055602</v>
      </c>
      <c r="E169" s="24" t="s">
        <v>2856</v>
      </c>
      <c r="F169" s="24">
        <v>0</v>
      </c>
      <c r="H169" s="24" t="s">
        <v>2858</v>
      </c>
    </row>
    <row r="170" spans="1:8" ht="15.75" customHeight="1" x14ac:dyDescent="0.4">
      <c r="A170" s="24" t="s">
        <v>1145</v>
      </c>
      <c r="B170" s="24" t="s">
        <v>2853</v>
      </c>
      <c r="C170" s="73">
        <v>44751.458333333299</v>
      </c>
      <c r="D170" s="73">
        <v>44751.487986111097</v>
      </c>
      <c r="E170" s="24" t="s">
        <v>2854</v>
      </c>
      <c r="F170" s="24">
        <v>27</v>
      </c>
      <c r="G170" s="24">
        <v>4</v>
      </c>
      <c r="H170" s="24" t="s">
        <v>2855</v>
      </c>
    </row>
    <row r="171" spans="1:8" ht="15.75" customHeight="1" x14ac:dyDescent="0.4">
      <c r="A171" s="24" t="s">
        <v>579</v>
      </c>
      <c r="B171" s="24" t="s">
        <v>2853</v>
      </c>
      <c r="C171" s="73">
        <v>44751.4375</v>
      </c>
      <c r="D171" s="73">
        <v>44751.477847222202</v>
      </c>
      <c r="E171" s="24" t="s">
        <v>2854</v>
      </c>
      <c r="F171" s="24">
        <v>58</v>
      </c>
      <c r="G171" s="24">
        <v>4</v>
      </c>
      <c r="H171" s="24" t="s">
        <v>2855</v>
      </c>
    </row>
    <row r="172" spans="1:8" ht="15.75" customHeight="1" x14ac:dyDescent="0.4">
      <c r="A172" s="24" t="s">
        <v>611</v>
      </c>
      <c r="B172" s="24" t="s">
        <v>2853</v>
      </c>
      <c r="C172" s="73">
        <v>44750.770833333299</v>
      </c>
      <c r="D172" s="73">
        <v>44750.796944444497</v>
      </c>
      <c r="E172" s="24" t="s">
        <v>2854</v>
      </c>
      <c r="F172" s="24">
        <v>29</v>
      </c>
      <c r="G172" s="24">
        <v>5</v>
      </c>
      <c r="H172" s="24" t="s">
        <v>2855</v>
      </c>
    </row>
    <row r="173" spans="1:8" ht="15.75" customHeight="1" x14ac:dyDescent="0.4">
      <c r="A173" s="24" t="s">
        <v>993</v>
      </c>
      <c r="B173" s="24" t="s">
        <v>2853</v>
      </c>
      <c r="C173" s="73">
        <v>44749.875</v>
      </c>
      <c r="D173" s="73">
        <v>44749.908842592602</v>
      </c>
      <c r="E173" s="24" t="s">
        <v>2854</v>
      </c>
      <c r="F173" s="24">
        <v>48</v>
      </c>
      <c r="G173" s="24">
        <v>5</v>
      </c>
      <c r="H173" s="24" t="s">
        <v>2855</v>
      </c>
    </row>
    <row r="174" spans="1:8" ht="15.75" customHeight="1" x14ac:dyDescent="0.4">
      <c r="A174" s="24" t="s">
        <v>1567</v>
      </c>
      <c r="B174" s="24" t="s">
        <v>2861</v>
      </c>
      <c r="C174" s="73">
        <v>44748.833333333299</v>
      </c>
      <c r="D174" s="73">
        <v>44748.858391203699</v>
      </c>
      <c r="E174" s="24" t="s">
        <v>2854</v>
      </c>
      <c r="F174" s="24">
        <v>28</v>
      </c>
      <c r="G174" s="24">
        <v>5</v>
      </c>
      <c r="H174" s="24" t="s">
        <v>2855</v>
      </c>
    </row>
    <row r="175" spans="1:8" ht="15.75" customHeight="1" x14ac:dyDescent="0.4">
      <c r="A175" s="24" t="s">
        <v>1753</v>
      </c>
      <c r="B175" s="24" t="s">
        <v>2860</v>
      </c>
      <c r="C175" s="73">
        <v>44748.75</v>
      </c>
      <c r="D175" s="73">
        <v>44748.771226851903</v>
      </c>
      <c r="E175" s="24" t="s">
        <v>2854</v>
      </c>
      <c r="F175" s="24">
        <v>30</v>
      </c>
      <c r="G175" s="24">
        <v>4</v>
      </c>
      <c r="H175" s="24" t="s">
        <v>2855</v>
      </c>
    </row>
    <row r="176" spans="1:8" ht="15.75" customHeight="1" x14ac:dyDescent="0.4">
      <c r="A176" s="24" t="s">
        <v>1882</v>
      </c>
      <c r="B176" s="24" t="s">
        <v>2853</v>
      </c>
      <c r="C176" s="73">
        <v>44747.875</v>
      </c>
      <c r="D176" s="73">
        <v>44747.893449074101</v>
      </c>
      <c r="E176" s="24" t="s">
        <v>2854</v>
      </c>
      <c r="F176" s="24">
        <v>24</v>
      </c>
      <c r="G176" s="24">
        <v>5</v>
      </c>
      <c r="H176" s="24" t="s">
        <v>2855</v>
      </c>
    </row>
    <row r="177" spans="1:8" ht="15.75" customHeight="1" x14ac:dyDescent="0.4">
      <c r="A177" s="24" t="s">
        <v>1388</v>
      </c>
      <c r="B177" s="24" t="s">
        <v>2853</v>
      </c>
      <c r="C177" s="73">
        <v>44747.583333333299</v>
      </c>
      <c r="D177" s="73">
        <v>44747.603576388901</v>
      </c>
      <c r="E177" s="24" t="s">
        <v>2854</v>
      </c>
      <c r="F177" s="24">
        <v>24</v>
      </c>
      <c r="G177" s="24">
        <v>5</v>
      </c>
      <c r="H177" s="24" t="s">
        <v>2855</v>
      </c>
    </row>
    <row r="178" spans="1:8" ht="15.75" customHeight="1" x14ac:dyDescent="0.4">
      <c r="A178" s="24" t="s">
        <v>1484</v>
      </c>
      <c r="B178" s="24" t="s">
        <v>2853</v>
      </c>
      <c r="C178" s="73">
        <v>44746.541666666701</v>
      </c>
      <c r="D178" s="73">
        <v>44746.5850347222</v>
      </c>
      <c r="E178" s="24" t="s">
        <v>2854</v>
      </c>
      <c r="F178" s="24">
        <v>45</v>
      </c>
      <c r="G178" s="24">
        <v>5</v>
      </c>
      <c r="H178" s="24" t="s">
        <v>2855</v>
      </c>
    </row>
    <row r="179" spans="1:8" ht="15.75" customHeight="1" x14ac:dyDescent="0.4">
      <c r="A179" s="24" t="s">
        <v>1776</v>
      </c>
      <c r="B179" s="24" t="s">
        <v>2853</v>
      </c>
      <c r="C179" s="73">
        <v>44746.4375</v>
      </c>
      <c r="D179" s="73">
        <v>44746.480798611097</v>
      </c>
      <c r="E179" s="24" t="s">
        <v>2856</v>
      </c>
      <c r="F179" s="24">
        <v>0</v>
      </c>
      <c r="H179" s="24" t="s">
        <v>2858</v>
      </c>
    </row>
    <row r="180" spans="1:8" ht="15.75" customHeight="1" x14ac:dyDescent="0.4">
      <c r="A180" s="24" t="s">
        <v>1834</v>
      </c>
      <c r="B180" s="24" t="s">
        <v>2853</v>
      </c>
      <c r="C180" s="73">
        <v>44746.354166666701</v>
      </c>
      <c r="D180" s="73">
        <v>44746.379398148201</v>
      </c>
      <c r="E180" s="24" t="s">
        <v>2854</v>
      </c>
      <c r="F180" s="24">
        <v>36</v>
      </c>
      <c r="G180" s="24">
        <v>5</v>
      </c>
      <c r="H180" s="24" t="s">
        <v>2855</v>
      </c>
    </row>
    <row r="181" spans="1:8" ht="15.75" customHeight="1" x14ac:dyDescent="0.4">
      <c r="A181" s="24" t="s">
        <v>1796</v>
      </c>
      <c r="B181" s="24" t="s">
        <v>2861</v>
      </c>
      <c r="C181" s="73">
        <v>44744.666666666701</v>
      </c>
      <c r="D181" s="73">
        <v>44744.722986111097</v>
      </c>
      <c r="E181" s="24" t="s">
        <v>2854</v>
      </c>
      <c r="F181" s="24">
        <v>78</v>
      </c>
      <c r="G181" s="24">
        <v>5</v>
      </c>
      <c r="H181" s="24" t="s">
        <v>2855</v>
      </c>
    </row>
    <row r="182" spans="1:8" ht="15.75" customHeight="1" x14ac:dyDescent="0.4">
      <c r="A182" s="24" t="s">
        <v>1370</v>
      </c>
      <c r="B182" s="24" t="s">
        <v>2853</v>
      </c>
      <c r="C182" s="73">
        <v>44743.770833333299</v>
      </c>
      <c r="D182" s="73">
        <v>44743.814039351899</v>
      </c>
      <c r="E182" s="24" t="s">
        <v>2854</v>
      </c>
      <c r="F182" s="24">
        <v>29</v>
      </c>
      <c r="G182" s="24">
        <v>5</v>
      </c>
      <c r="H182" s="24" t="s">
        <v>2855</v>
      </c>
    </row>
    <row r="183" spans="1:8" ht="15.75" customHeight="1" x14ac:dyDescent="0.4">
      <c r="A183" s="24" t="s">
        <v>854</v>
      </c>
      <c r="B183" s="24" t="s">
        <v>2853</v>
      </c>
      <c r="C183" s="73">
        <v>44743.6875</v>
      </c>
      <c r="D183" s="73">
        <v>44743.730613425898</v>
      </c>
      <c r="E183" s="24" t="s">
        <v>2854</v>
      </c>
      <c r="F183" s="24">
        <v>19</v>
      </c>
      <c r="G183" s="24">
        <v>5</v>
      </c>
      <c r="H183" s="24" t="s">
        <v>2855</v>
      </c>
    </row>
    <row r="184" spans="1:8" ht="15.75" customHeight="1" x14ac:dyDescent="0.4">
      <c r="A184" s="24" t="s">
        <v>1796</v>
      </c>
      <c r="B184" s="24" t="s">
        <v>2861</v>
      </c>
      <c r="C184" s="73">
        <v>44742.833333333299</v>
      </c>
      <c r="D184" s="73">
        <v>44742.876782407402</v>
      </c>
      <c r="E184" s="24" t="s">
        <v>2856</v>
      </c>
      <c r="F184" s="24">
        <v>0</v>
      </c>
      <c r="G184" s="24">
        <v>1</v>
      </c>
      <c r="H184" s="24" t="s">
        <v>2858</v>
      </c>
    </row>
    <row r="185" spans="1:8" ht="15.75" customHeight="1" x14ac:dyDescent="0.4">
      <c r="A185" s="24" t="s">
        <v>609</v>
      </c>
      <c r="B185" s="24" t="s">
        <v>2853</v>
      </c>
      <c r="C185" s="73">
        <v>44742.729166666701</v>
      </c>
      <c r="D185" s="73">
        <v>44742.773159722201</v>
      </c>
      <c r="E185" s="24" t="s">
        <v>2856</v>
      </c>
      <c r="F185" s="24">
        <v>0</v>
      </c>
      <c r="H185" s="24" t="s">
        <v>2857</v>
      </c>
    </row>
    <row r="186" spans="1:8" ht="15.75" customHeight="1" x14ac:dyDescent="0.4">
      <c r="A186" s="24" t="s">
        <v>609</v>
      </c>
      <c r="B186" s="24" t="s">
        <v>2860</v>
      </c>
      <c r="C186" s="73">
        <v>44742.708333333299</v>
      </c>
      <c r="D186" s="73">
        <v>44742.791701388902</v>
      </c>
      <c r="E186" s="24" t="s">
        <v>2854</v>
      </c>
      <c r="F186" s="24">
        <v>27</v>
      </c>
      <c r="G186" s="24">
        <v>5</v>
      </c>
      <c r="H186" s="24" t="s">
        <v>2855</v>
      </c>
    </row>
    <row r="187" spans="1:8" ht="15.75" customHeight="1" x14ac:dyDescent="0.4">
      <c r="A187" s="24" t="s">
        <v>1301</v>
      </c>
      <c r="B187" s="24" t="s">
        <v>2860</v>
      </c>
      <c r="C187" s="73">
        <v>44741.895833333299</v>
      </c>
      <c r="D187" s="73">
        <v>44741.9389814815</v>
      </c>
      <c r="E187" s="24" t="s">
        <v>2854</v>
      </c>
      <c r="F187" s="24">
        <v>35</v>
      </c>
      <c r="G187" s="24">
        <v>5</v>
      </c>
      <c r="H187" s="24" t="s">
        <v>2855</v>
      </c>
    </row>
    <row r="188" spans="1:8" ht="15.75" customHeight="1" x14ac:dyDescent="0.4">
      <c r="A188" s="24" t="s">
        <v>424</v>
      </c>
      <c r="B188" s="24" t="s">
        <v>2860</v>
      </c>
      <c r="C188" s="73">
        <v>44738.958333333299</v>
      </c>
      <c r="D188" s="73">
        <v>44738.9800231482</v>
      </c>
      <c r="E188" s="24" t="s">
        <v>2854</v>
      </c>
      <c r="F188" s="24">
        <v>31</v>
      </c>
      <c r="G188" s="24">
        <v>3</v>
      </c>
      <c r="H188" s="24" t="s">
        <v>2855</v>
      </c>
    </row>
    <row r="189" spans="1:8" ht="15.75" customHeight="1" x14ac:dyDescent="0.4">
      <c r="A189" s="24" t="s">
        <v>2117</v>
      </c>
      <c r="B189" s="24" t="s">
        <v>2853</v>
      </c>
      <c r="C189" s="73">
        <v>44737.854166666701</v>
      </c>
      <c r="D189" s="73">
        <v>44737.916863425897</v>
      </c>
      <c r="E189" s="24" t="s">
        <v>2854</v>
      </c>
      <c r="F189" s="24">
        <v>85</v>
      </c>
      <c r="G189" s="24">
        <v>5</v>
      </c>
      <c r="H189" s="24" t="s">
        <v>2855</v>
      </c>
    </row>
    <row r="190" spans="1:8" ht="15.75" customHeight="1" x14ac:dyDescent="0.4">
      <c r="A190" s="24" t="s">
        <v>2117</v>
      </c>
      <c r="B190" s="24" t="s">
        <v>2865</v>
      </c>
      <c r="C190" s="73">
        <v>44736.708333333299</v>
      </c>
      <c r="D190" s="73">
        <v>44736.751539351899</v>
      </c>
      <c r="E190" s="24" t="s">
        <v>2856</v>
      </c>
      <c r="F190" s="24">
        <v>0</v>
      </c>
      <c r="G190" s="24">
        <v>1</v>
      </c>
      <c r="H190" s="24" t="s">
        <v>2858</v>
      </c>
    </row>
  </sheetData>
  <hyperlinks>
    <hyperlink ref="H138" r:id="rId1" xr:uid="{00000000-0004-0000-0D00-000000000000}"/>
  </hyperlink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Executive Summary</vt:lpstr>
      <vt:lpstr>Problem Statement</vt:lpstr>
      <vt:lpstr>Q1 - Refund Reasons</vt:lpstr>
      <vt:lpstr>Q2 - Reduce Refund %</vt:lpstr>
      <vt:lpstr>Q3 - Additional Hypotheses</vt:lpstr>
      <vt:lpstr>Categorised Reasons</vt:lpstr>
      <vt:lpstr>Master Learner Profile</vt:lpstr>
      <vt:lpstr>Learner IDs</vt:lpstr>
      <vt:lpstr>Comms Tracker</vt:lpstr>
      <vt:lpstr>Week 0 Attendance</vt:lpstr>
      <vt:lpstr>Overall Attendance</vt:lpstr>
      <vt:lpstr>Dashboard Walkthrough</vt:lpstr>
      <vt:lpstr>Refund Team Tracker</vt:lpstr>
      <vt:lpstr>Mentor Sessions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Bhattacharya, Bodhisatwa</cp:lastModifiedBy>
  <cp:revision>0</cp:revision>
  <dcterms:created xsi:type="dcterms:W3CDTF">2026-05-05T17:52:37Z</dcterms:created>
  <dcterms:modified xsi:type="dcterms:W3CDTF">2026-05-05T18:30:35Z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0d5c4f4-7a29-4385-b7a5-afbe2154ae6f_Enabled">
    <vt:lpwstr>true</vt:lpwstr>
  </property>
  <property fmtid="{D5CDD505-2E9C-101B-9397-08002B2CF9AE}" pid="3" name="MSIP_Label_b0d5c4f4-7a29-4385-b7a5-afbe2154ae6f_SetDate">
    <vt:lpwstr>2026-05-05T18:30:14Z</vt:lpwstr>
  </property>
  <property fmtid="{D5CDD505-2E9C-101B-9397-08002B2CF9AE}" pid="4" name="MSIP_Label_b0d5c4f4-7a29-4385-b7a5-afbe2154ae6f_Method">
    <vt:lpwstr>Standard</vt:lpwstr>
  </property>
  <property fmtid="{D5CDD505-2E9C-101B-9397-08002B2CF9AE}" pid="5" name="MSIP_Label_b0d5c4f4-7a29-4385-b7a5-afbe2154ae6f_Name">
    <vt:lpwstr>Confidential</vt:lpwstr>
  </property>
  <property fmtid="{D5CDD505-2E9C-101B-9397-08002B2CF9AE}" pid="6" name="MSIP_Label_b0d5c4f4-7a29-4385-b7a5-afbe2154ae6f_SiteId">
    <vt:lpwstr>2dfb2f0b-4d21-4268-9559-72926144c918</vt:lpwstr>
  </property>
  <property fmtid="{D5CDD505-2E9C-101B-9397-08002B2CF9AE}" pid="7" name="MSIP_Label_b0d5c4f4-7a29-4385-b7a5-afbe2154ae6f_ActionId">
    <vt:lpwstr>c64ecdcd-2234-48d1-aabf-bf6d9e17e6b7</vt:lpwstr>
  </property>
  <property fmtid="{D5CDD505-2E9C-101B-9397-08002B2CF9AE}" pid="8" name="MSIP_Label_b0d5c4f4-7a29-4385-b7a5-afbe2154ae6f_ContentBits">
    <vt:lpwstr>0</vt:lpwstr>
  </property>
  <property fmtid="{D5CDD505-2E9C-101B-9397-08002B2CF9AE}" pid="9" name="MSIP_Label_b0d5c4f4-7a29-4385-b7a5-afbe2154ae6f_Tag">
    <vt:lpwstr>10, 3, 0, 1</vt:lpwstr>
  </property>
</Properties>
</file>