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Approach" sheetId="1" state="visible" r:id="rId3"/>
    <sheet name="2.Assumptions" sheetId="2" state="visible" r:id="rId4"/>
    <sheet name="3.Sizing" sheetId="3" state="visible" r:id="rId5"/>
    <sheet name="4.Cashflow" sheetId="4" state="visible" r:id="rId6"/>
    <sheet name="5.Financing_EIRR" sheetId="5" state="visible" r:id="rId7"/>
    <sheet name="6.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<sst xmlns="http://schemas.openxmlformats.org/spreadsheetml/2006/main" count="247" uniqueCount="194">
  <si>
    <t xml:space="preserve">SECI Assured Peak Supply (APS) under CfD  —  Solar + BESS Bid Model</t>
  </si>
  <si>
    <t xml:space="preserve">100 MW contract  |  3-hour evening peak  |  Solar PV + Battery hybrid  |  Target Project IRR 12%</t>
  </si>
  <si>
    <t xml:space="preserve">OBJECTIVE</t>
  </si>
  <si>
    <t xml:space="preserve">Size a Solar + BESS portfolio to firmly deliver 100 MW for 3 hours in the evening peak, find the minimum</t>
  </si>
  <si>
    <t xml:space="preserve">CfD strike price that earns a 12% project IRR, value the merchant surplus on 3-yr IEX DAM prices, and</t>
  </si>
  <si>
    <t xml:space="preserve">test the sensitivity of equity returns and pool cost to a +/-10% move in market prices.</t>
  </si>
  <si>
    <t xml:space="preserve">HOW THE MODEL WORKS (5 steps)</t>
  </si>
  <si>
    <t xml:space="preserve">Step 1 - Size BESS</t>
  </si>
  <si>
    <t xml:space="preserve">Fixed by the contract: 100 MW power, 4-hour product (400 MWh nameplate). After 87% round-trip</t>
  </si>
  <si>
    <t xml:space="preserve">efficiency it comfortably delivers the 300 MWh needed in the 3h peak, with headroom for degradation.</t>
  </si>
  <si>
    <t xml:space="preserve">Step 2 - Size Solar</t>
  </si>
  <si>
    <t xml:space="preserve">Set by the reliability of charging the battery every day, NOT by merchant economics. At IEX midday</t>
  </si>
  <si>
    <t xml:space="preserve">prices (~Rs 3/kWh) extra solar is roughly value-neutral, so we build the minimum overbuild that assures</t>
  </si>
  <si>
    <t xml:space="preserve">charging across seasons: 1.5x = 150 MW. The strike penalty vs a 1.0x build is only ~Rs 0.1/kWh (see 3.Sizing).</t>
  </si>
  <si>
    <t xml:space="preserve">Step 3 - Energy balance</t>
  </si>
  <si>
    <t xml:space="preserve">Solar first charges the battery (300/0.87 = 345 MWh/day); the surplus is sold merchant in the day.</t>
  </si>
  <si>
    <t xml:space="preserve">Step 4 - Solve strike</t>
  </si>
  <si>
    <t xml:space="preserve">Build a 25-yr post-tax unlevered cash flow. Peak energy earns the strike; surplus earns the DAM day price.</t>
  </si>
  <si>
    <t xml:space="preserve">Goal-seek the strike so Project IRR = 12% (see 4.Cashflow). Result ~ Rs 10.8/kWh.</t>
  </si>
  <si>
    <t xml:space="preserve">Step 5 - Sensitivity</t>
  </si>
  <si>
    <t xml:space="preserve">Layer 70:30 debt for Equity IRR, then flex market price +/-10% to see impact on EIRR and pool cost (6.Sensitivity).</t>
  </si>
  <si>
    <t xml:space="preserve">CfD SETTLEMENT LOGIC</t>
  </si>
  <si>
    <t xml:space="preserve">Two-way CfD on the 300 MWh/day peak block. If DAM peak price &lt; strike, SECI tops the developer up to strike.</t>
  </si>
  <si>
    <t xml:space="preserve">If DAM peak price &gt; strike, the gain above strike is shared 50:50. Merchant day-surplus is 100% the developer's.</t>
  </si>
  <si>
    <t xml:space="preserve">KEY RESULTS</t>
  </si>
  <si>
    <t xml:space="preserve">Recommended sizing</t>
  </si>
  <si>
    <t xml:space="preserve">Solar 150 MW  +  BESS 100 MW / 4h (400 MWh)  |  Total capex Rs 950 Cr</t>
  </si>
  <si>
    <t xml:space="preserve">Required strike price</t>
  </si>
  <si>
    <t xml:space="preserve">~ Rs 10.8 / kWh  (12% post-tax project IRR, straight-line depreciation)</t>
  </si>
  <si>
    <t xml:space="preserve">Equity IRR (70:30 debt)</t>
  </si>
  <si>
    <t xml:space="preserve">~ 17.4%</t>
  </si>
  <si>
    <t xml:space="preserve">Sensitivity (+/-10% price)</t>
  </si>
  <si>
    <t xml:space="preserve">EIRR moves to 18.4% / 16.3%  ;  SECI pool top-up moves to 46 / 59 Cr per year</t>
  </si>
  <si>
    <t xml:space="preserve">READ ME</t>
  </si>
  <si>
    <t xml:space="preserve">Blue cells = inputs you can change. Black = formulas. Green = links to other tabs. Yellow = key levers.</t>
  </si>
  <si>
    <t xml:space="preserve">All assumptions and sources are on tab 2.Assumptions. Change an input and re-open to recalc.</t>
  </si>
  <si>
    <t xml:space="preserve">ASSUMPTIONS  (blue = input)</t>
  </si>
  <si>
    <t xml:space="preserve">Parameter</t>
  </si>
  <si>
    <t xml:space="preserve">Value</t>
  </si>
  <si>
    <t xml:space="preserve">Unit</t>
  </si>
  <si>
    <t xml:space="preserve">Rationale / Source</t>
  </si>
  <si>
    <t xml:space="preserve">CONTRACT &amp; TECHNICAL</t>
  </si>
  <si>
    <t xml:space="preserve">Contract capacity</t>
  </si>
  <si>
    <t xml:space="preserve">MW</t>
  </si>
  <si>
    <t xml:space="preserve">SECI APS tender requirement (given in brief)</t>
  </si>
  <si>
    <t xml:space="preserve">Peak supply duration</t>
  </si>
  <si>
    <t xml:space="preserve">hours</t>
  </si>
  <si>
    <t xml:space="preserve">Tender: 3h assured peak window</t>
  </si>
  <si>
    <t xml:space="preserve">Peak window</t>
  </si>
  <si>
    <t xml:space="preserve">18:00-21:00</t>
  </si>
  <si>
    <t xml:space="preserve">Assumption: evening demand peak; solar absent so needs BESS; highest DAM prices. Ref: SECI FDRE/peak RfS peak-hour definition</t>
  </si>
  <si>
    <t xml:space="preserve">Peak energy delivered/day</t>
  </si>
  <si>
    <t xml:space="preserve">MWh</t>
  </si>
  <si>
    <t xml:space="preserve">capacity x hours = 300 MWh</t>
  </si>
  <si>
    <t xml:space="preserve">Days per year</t>
  </si>
  <si>
    <t xml:space="preserve">days</t>
  </si>
  <si>
    <t xml:space="preserve">Assumed 100% peak availability (assured-supply obligation)</t>
  </si>
  <si>
    <t xml:space="preserve">SOLAR</t>
  </si>
  <si>
    <t xml:space="preserve">Solar capacity (chosen)</t>
  </si>
  <si>
    <t xml:space="preserve">Recommended 1.5x overbuild for reliable daily charging (see 3.Sizing). INPUT you can flex.</t>
  </si>
  <si>
    <t xml:space="preserve">Solar CUF</t>
  </si>
  <si>
    <t xml:space="preserve">ratio</t>
  </si>
  <si>
    <t xml:space="preserve">Typical Indian utility solar 19-22%. Assumption 21%. Ref: CERC/MNRE benchmark, historical plant data</t>
  </si>
  <si>
    <t xml:space="preserve">Solar degradation</t>
  </si>
  <si>
    <t xml:space="preserve">/yr</t>
  </si>
  <si>
    <t xml:space="preserve">0.5%/yr module degradation - industry standard (mfr warranties)</t>
  </si>
  <si>
    <t xml:space="preserve">Solar capex</t>
  </si>
  <si>
    <t xml:space="preserve">Rs Cr/MW</t>
  </si>
  <si>
    <t xml:space="preserve">Given in brief (key input 1)</t>
  </si>
  <si>
    <t xml:space="preserve">BESS</t>
  </si>
  <si>
    <t xml:space="preserve">BESS power (chosen)</t>
  </si>
  <si>
    <t xml:space="preserve">contract power; must deliver 100 MW in peak</t>
  </si>
  <si>
    <t xml:space="preserve">BESS duration (product)</t>
  </si>
  <si>
    <t xml:space="preserve">Capex quoted for 4h product; 4h gives headroom over 3h need</t>
  </si>
  <si>
    <t xml:space="preserve">BESS round-trip efficiency</t>
  </si>
  <si>
    <t xml:space="preserve">Li-ion RTE ~85-90%. Assumption 87%. Ref: NREL/BNEF storage data</t>
  </si>
  <si>
    <t xml:space="preserve">BESS capex (4h)</t>
  </si>
  <si>
    <t xml:space="preserve">Given in brief (key input 2). Includes augmentation reserve via O&amp;M</t>
  </si>
  <si>
    <t xml:space="preserve">Energy to charge/day</t>
  </si>
  <si>
    <t xml:space="preserve">300 / RTE = 345 MWh (AC into battery)</t>
  </si>
  <si>
    <t xml:space="preserve">MARKET PRICES  (IEX DAM, 3-yr indicative)</t>
  </si>
  <si>
    <t xml:space="preserve">DAM peak-hour price</t>
  </si>
  <si>
    <t xml:space="preserve">Rs/kWh</t>
  </si>
  <si>
    <t xml:space="preserve">3-yr avg evening-peak DAM. Ref: IEX Day-Ahead Market MCP FY22-FY24 (iexindia.com). INDICATIVE - replace with downloaded 18-21h data</t>
  </si>
  <si>
    <t xml:space="preserve">DAM solar-hour price</t>
  </si>
  <si>
    <t xml:space="preserve">3-yr avg midday DAM (solar depresses prices). Ref: IEX DAM MCP FY22-FY24. INDICATIVE - replace with 10-16h data</t>
  </si>
  <si>
    <t xml:space="preserve">Merchant price escalation</t>
  </si>
  <si>
    <t xml:space="preserve">Assumption 3%/yr nominal, below general inflation (RE glut caps day prices)</t>
  </si>
  <si>
    <t xml:space="preserve">OPERATING &amp; FINANCIAL</t>
  </si>
  <si>
    <t xml:space="preserve">Solar O&amp;M (% capex, yr1)</t>
  </si>
  <si>
    <t xml:space="preserve">1.0% of solar capex. Ref: CERC RE tariff O&amp;M norms</t>
  </si>
  <si>
    <t xml:space="preserve">BESS O&amp;M (% capex, yr1)</t>
  </si>
  <si>
    <t xml:space="preserve">2.5% - higher, includes battery augmentation reserve for capacity fade</t>
  </si>
  <si>
    <t xml:space="preserve">O&amp;M escalation</t>
  </si>
  <si>
    <t xml:space="preserve">5.0%/yr - CERC standard O&amp;M escalation</t>
  </si>
  <si>
    <t xml:space="preserve">Project life</t>
  </si>
  <si>
    <t xml:space="preserve">years</t>
  </si>
  <si>
    <t xml:space="preserve">Standard solar PPA/asset life; battery augmented to match</t>
  </si>
  <si>
    <t xml:space="preserve">Target project IRR</t>
  </si>
  <si>
    <t xml:space="preserve">Given in brief (post-tax, unlevered)</t>
  </si>
  <si>
    <t xml:space="preserve">Corporate tax rate</t>
  </si>
  <si>
    <t xml:space="preserve">~25% (concessional 22% + surcharge/cess). Simplified. Ref: Income Tax Act sec 115BAA</t>
  </si>
  <si>
    <t xml:space="preserve">Depreciation method</t>
  </si>
  <si>
    <t xml:space="preserve">Straight-line</t>
  </si>
  <si>
    <t xml:space="preserve">SL over 25y for tax (simple/conservative). Note: accelerated dep would lower strike ~Rs 0.6</t>
  </si>
  <si>
    <t xml:space="preserve">FINANCING (for Equity IRR)</t>
  </si>
  <si>
    <t xml:space="preserve">Debt : Equity</t>
  </si>
  <si>
    <t xml:space="preserve">debt frac</t>
  </si>
  <si>
    <t xml:space="preserve">70:30 typical RE project finance</t>
  </si>
  <si>
    <t xml:space="preserve">Interest rate</t>
  </si>
  <si>
    <t xml:space="preserve">9% INR term debt (indicative)</t>
  </si>
  <si>
    <t xml:space="preserve">Debt tenor</t>
  </si>
  <si>
    <t xml:space="preserve">15-yr amortisation, equal principal</t>
  </si>
  <si>
    <t xml:space="preserve">Gain-share above strike</t>
  </si>
  <si>
    <t xml:space="preserve">dev share</t>
  </si>
  <si>
    <t xml:space="preserve">Developer keeps 50% of upside above strike (assumption; confirm vs tender RfS)</t>
  </si>
  <si>
    <t xml:space="preserve">SIZING LOGIC &amp; ENERGY BALANCE</t>
  </si>
  <si>
    <t xml:space="preserve">A. Energy balance (annual, year 1)</t>
  </si>
  <si>
    <t xml:space="preserve">Solar generation, yr1</t>
  </si>
  <si>
    <t xml:space="preserve">MW x 8760 x CUF</t>
  </si>
  <si>
    <t xml:space="preserve">Energy needed to charge BESS</t>
  </si>
  <si>
    <t xml:space="preserve">~345 MWh/day x 365</t>
  </si>
  <si>
    <t xml:space="preserve">Merchant surplus (day sales)</t>
  </si>
  <si>
    <t xml:space="preserve">solar gen - charging</t>
  </si>
  <si>
    <t xml:space="preserve">Peak energy delivered (CfD)</t>
  </si>
  <si>
    <t xml:space="preserve">300 x 365</t>
  </si>
  <si>
    <t xml:space="preserve">B. CAPEX</t>
  </si>
  <si>
    <t xml:space="preserve">Rs Cr</t>
  </si>
  <si>
    <t xml:space="preserve">BESS capex</t>
  </si>
  <si>
    <t xml:space="preserve">Total capex</t>
  </si>
  <si>
    <t xml:space="preserve">C. Why 150 MW solar? (strike vs overbuild - illustrative, from model)</t>
  </si>
  <si>
    <t xml:space="preserve">Solar MW</t>
  </si>
  <si>
    <t xml:space="preserve">Overbuild</t>
  </si>
  <si>
    <t xml:space="preserve">Merchant GWh</t>
  </si>
  <si>
    <t xml:space="preserve">Strike Rs/kWh</t>
  </si>
  <si>
    <t xml:space="preserve">Assured supply?</t>
  </si>
  <si>
    <t xml:space="preserve">1.0x</t>
  </si>
  <si>
    <t xml:space="preserve">Tight - fails on cloudy days</t>
  </si>
  <si>
    <t xml:space="preserve">1.2x</t>
  </si>
  <si>
    <t xml:space="preserve">Marginal</t>
  </si>
  <si>
    <t xml:space="preserve">1.5x</t>
  </si>
  <si>
    <t xml:space="preserve">ROBUST  &lt;-- chosen</t>
  </si>
  <si>
    <t xml:space="preserve">1.8x</t>
  </si>
  <si>
    <t xml:space="preserve">Robust but excess capex</t>
  </si>
  <si>
    <t xml:space="preserve">2.2x</t>
  </si>
  <si>
    <t xml:space="preserve">Over-exposed to merchant</t>
  </si>
  <si>
    <t xml:space="preserve">Takeaway: strike is nearly flat vs overbuild (merchant is ~value-neutral at Rs 3/kWh),</t>
  </si>
  <si>
    <t xml:space="preserve">so solar size is driven by charging RELIABILITY. 1.5x assures the peak obligation at only ~Rs 0.1/kWh premium.</t>
  </si>
  <si>
    <t xml:space="preserve">UNLEVERED CASH FLOW  -&gt;  SOLVE STRIKE FOR 12% PROJECT IRR</t>
  </si>
  <si>
    <t xml:space="preserve">Strike (Rs/kWh):</t>
  </si>
  <si>
    <t xml:space="preserve">&lt;- goal-seek: change until Project IRR (B3) = 12.0%</t>
  </si>
  <si>
    <t xml:space="preserve">Project IRR (target 12.0%)</t>
  </si>
  <si>
    <t xml:space="preserve">Project NPV @ 12% (Rs Cr)</t>
  </si>
  <si>
    <t xml:space="preserve">Line item (Rs Cr unless noted)</t>
  </si>
  <si>
    <t xml:space="preserve">Solar generation</t>
  </si>
  <si>
    <t xml:space="preserve">Merchant surplus</t>
  </si>
  <si>
    <t xml:space="preserve">Peak delivered</t>
  </si>
  <si>
    <t xml:space="preserve">Merchant price</t>
  </si>
  <si>
    <t xml:space="preserve">Merchant revenue</t>
  </si>
  <si>
    <t xml:space="preserve">Cr</t>
  </si>
  <si>
    <t xml:space="preserve">Peak (CfD) revenue</t>
  </si>
  <si>
    <t xml:space="preserve">Total revenue</t>
  </si>
  <si>
    <t xml:space="preserve">O&amp;M</t>
  </si>
  <si>
    <t xml:space="preserve">EBITDA</t>
  </si>
  <si>
    <t xml:space="preserve">Depreciation</t>
  </si>
  <si>
    <t xml:space="preserve">Taxable income</t>
  </si>
  <si>
    <t xml:space="preserve">Tax</t>
  </si>
  <si>
    <t xml:space="preserve">Capex</t>
  </si>
  <si>
    <t xml:space="preserve">Unlevered FCF</t>
  </si>
  <si>
    <t xml:space="preserve">FINANCING &amp; EQUITY IRR  (base case, market multiplier = 1.0)</t>
  </si>
  <si>
    <t xml:space="preserve">Equity IRR</t>
  </si>
  <si>
    <t xml:space="preserve">Debt = 70% x capex; 15-yr equal-principal @ 9%. Tax shield on interest included.</t>
  </si>
  <si>
    <t xml:space="preserve">EBITDA (from Cashflow)</t>
  </si>
  <si>
    <t xml:space="preserve">Debt balance (open)</t>
  </si>
  <si>
    <t xml:space="preserve">Interest</t>
  </si>
  <si>
    <t xml:space="preserve">Principal repay</t>
  </si>
  <si>
    <t xml:space="preserve">Equity cash flow</t>
  </si>
  <si>
    <t xml:space="preserve">SENSITIVITY: MARKET PRICE +/-10%  (same strike)  -&gt;  Equity IRR &amp; Pool economics</t>
  </si>
  <si>
    <t xml:space="preserve">Strike held constant. A price move flexes (i) merchant day-sales and (ii) gain-share above strike; pool top-up = what SECI pays the developer.</t>
  </si>
  <si>
    <t xml:space="preserve">SUMMARY</t>
  </si>
  <si>
    <t xml:space="preserve">Market -10%</t>
  </si>
  <si>
    <t xml:space="preserve">Base</t>
  </si>
  <si>
    <t xml:space="preserve">Market +10%</t>
  </si>
  <si>
    <t xml:space="preserve">Market price multiplier</t>
  </si>
  <si>
    <t xml:space="preserve">Change vs base (ppt)</t>
  </si>
  <si>
    <t xml:space="preserve">Realized peak price yr1 (Rs/kWh)</t>
  </si>
  <si>
    <t xml:space="preserve">SECI pool top-up yr1 (Rs Cr, + = SECI pays)</t>
  </si>
  <si>
    <t xml:space="preserve">EQUITY CASH FLOW ENGINE (Rs Cr) - drives the IRRs above</t>
  </si>
  <si>
    <t xml:space="preserve">Year</t>
  </si>
  <si>
    <t xml:space="preserve">READING IT:</t>
  </si>
  <si>
    <t xml:space="preserve">- Equity IRR is fairly insulated: the two-way CfD floors peak revenue at the strike, so only merchant sales + the 50% gain-share flex with price.</t>
  </si>
  <si>
    <t xml:space="preserve">- A +10% market lifts EIRR ~1 ppt and CUTS SECI pool top-up (developer needs less support and shares upside back).</t>
  </si>
  <si>
    <t xml:space="preserve">- A -10% market lowers EIRR ~1 ppt and RAISES SECI pool top-up (SECI covers a bigger gap to the strike).</t>
  </si>
  <si>
    <t xml:space="preserve">- This asymmetric protection is the point of a CfD: the developer carries limited merchant risk, the procurer carries the pool-cost risk.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</si>
</sst>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00"/>
    <numFmt numFmtId="167" formatCode="0.0"/>
    <numFmt numFmtId="168" formatCode="#,##0"/>
    <numFmt numFmtId="169" formatCode="0.00"/>
    <numFmt numFmtId="170" formatCode="0.0%"/>
    <numFmt numFmtId="171" formatCode="0"/>
    <numFmt numFmtId="172" formatCode="\+0.0;\-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/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4"/>
      <c r="B6" s="5" t="s">
        <v>3</v>
      </c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4"/>
      <c r="B7" s="5" t="s">
        <v>4</v>
      </c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4"/>
      <c r="B8" s="5" t="s">
        <v>5</v>
      </c>
      <c r="C8" s="5"/>
      <c r="D8" s="5"/>
      <c r="E8" s="5"/>
      <c r="F8" s="5"/>
      <c r="G8" s="5"/>
      <c r="H8" s="5"/>
    </row>
    <row r="9" customFormat="false" ht="15" hidden="false" customHeight="true" outlineLevel="0" collapsed="false">
      <c r="A9" s="4"/>
      <c r="B9" s="5"/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A10" s="6" t="s">
        <v>6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4" t="s">
        <v>7</v>
      </c>
      <c r="B11" s="5" t="s">
        <v>8</v>
      </c>
      <c r="C11" s="5"/>
      <c r="D11" s="5"/>
      <c r="E11" s="5"/>
      <c r="F11" s="5"/>
      <c r="G11" s="5"/>
      <c r="H11" s="5"/>
    </row>
    <row r="12" customFormat="false" ht="15" hidden="false" customHeight="true" outlineLevel="0" collapsed="false">
      <c r="A12" s="4"/>
      <c r="B12" s="5" t="s">
        <v>9</v>
      </c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4" t="s">
        <v>10</v>
      </c>
      <c r="B13" s="5" t="s">
        <v>11</v>
      </c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4"/>
      <c r="B14" s="5" t="s">
        <v>12</v>
      </c>
      <c r="C14" s="5"/>
      <c r="D14" s="5"/>
      <c r="E14" s="5"/>
      <c r="F14" s="5"/>
      <c r="G14" s="5"/>
      <c r="H14" s="5"/>
    </row>
    <row r="15" customFormat="false" ht="15" hidden="false" customHeight="true" outlineLevel="0" collapsed="false">
      <c r="A15" s="4"/>
      <c r="B15" s="5" t="s">
        <v>13</v>
      </c>
      <c r="C15" s="5"/>
      <c r="D15" s="5"/>
      <c r="E15" s="5"/>
      <c r="F15" s="5"/>
      <c r="G15" s="5"/>
      <c r="H15" s="5"/>
    </row>
    <row r="16" customFormat="false" ht="15" hidden="false" customHeight="true" outlineLevel="0" collapsed="false">
      <c r="A16" s="4" t="s">
        <v>14</v>
      </c>
      <c r="B16" s="5" t="s">
        <v>15</v>
      </c>
      <c r="C16" s="5"/>
      <c r="D16" s="5"/>
      <c r="E16" s="5"/>
      <c r="F16" s="5"/>
      <c r="G16" s="5"/>
      <c r="H16" s="5"/>
    </row>
    <row r="17" customFormat="false" ht="15" hidden="false" customHeight="true" outlineLevel="0" collapsed="false">
      <c r="A17" s="4" t="s">
        <v>16</v>
      </c>
      <c r="B17" s="5" t="s">
        <v>17</v>
      </c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4"/>
      <c r="B18" s="5" t="s">
        <v>18</v>
      </c>
      <c r="C18" s="5"/>
      <c r="D18" s="5"/>
      <c r="E18" s="5"/>
      <c r="F18" s="5"/>
      <c r="G18" s="5"/>
      <c r="H18" s="5"/>
    </row>
    <row r="19" customFormat="false" ht="23.25" hidden="false" customHeight="true" outlineLevel="0" collapsed="false">
      <c r="A19" s="4" t="s">
        <v>19</v>
      </c>
      <c r="B19" s="5" t="s">
        <v>20</v>
      </c>
      <c r="C19" s="5"/>
      <c r="D19" s="5"/>
      <c r="E19" s="5"/>
      <c r="F19" s="5"/>
      <c r="G19" s="5"/>
      <c r="H19" s="5"/>
    </row>
    <row r="20" customFormat="false" ht="15" hidden="false" customHeight="true" outlineLevel="0" collapsed="false">
      <c r="A20" s="4"/>
      <c r="B20" s="5"/>
      <c r="C20" s="5"/>
      <c r="D20" s="5"/>
      <c r="E20" s="5"/>
      <c r="F20" s="5"/>
      <c r="G20" s="5"/>
      <c r="H20" s="5"/>
    </row>
    <row r="21" customFormat="false" ht="15" hidden="false" customHeight="true" outlineLevel="0" collapsed="false">
      <c r="A21" s="6" t="s">
        <v>21</v>
      </c>
      <c r="B21" s="6"/>
      <c r="C21" s="6"/>
      <c r="D21" s="6"/>
      <c r="E21" s="6"/>
      <c r="F21" s="6"/>
      <c r="G21" s="6"/>
      <c r="H21" s="6"/>
    </row>
    <row r="22" customFormat="false" ht="15" hidden="false" customHeight="true" outlineLevel="0" collapsed="false">
      <c r="A22" s="4"/>
      <c r="B22" s="5" t="s">
        <v>22</v>
      </c>
      <c r="C22" s="5"/>
      <c r="D22" s="5"/>
      <c r="E22" s="5"/>
      <c r="F22" s="5"/>
      <c r="G22" s="5"/>
      <c r="H22" s="5"/>
    </row>
    <row r="23" customFormat="false" ht="15" hidden="false" customHeight="true" outlineLevel="0" collapsed="false">
      <c r="A23" s="4"/>
      <c r="B23" s="5" t="s">
        <v>23</v>
      </c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A24" s="4"/>
      <c r="B24" s="5"/>
      <c r="C24" s="5"/>
      <c r="D24" s="5"/>
      <c r="E24" s="5"/>
      <c r="F24" s="5"/>
      <c r="G24" s="5"/>
      <c r="H24" s="5"/>
    </row>
    <row r="25" customFormat="false" ht="15" hidden="false" customHeight="true" outlineLevel="0" collapsed="false">
      <c r="A25" s="6" t="s">
        <v>24</v>
      </c>
      <c r="B25" s="6"/>
      <c r="C25" s="6"/>
      <c r="D25" s="6"/>
      <c r="E25" s="6"/>
      <c r="F25" s="6"/>
      <c r="G25" s="6"/>
      <c r="H25" s="6"/>
    </row>
    <row r="26" customFormat="false" ht="15" hidden="false" customHeight="true" outlineLevel="0" collapsed="false">
      <c r="A26" s="4" t="s">
        <v>25</v>
      </c>
      <c r="B26" s="5" t="s">
        <v>26</v>
      </c>
      <c r="C26" s="5"/>
      <c r="D26" s="5"/>
      <c r="E26" s="5"/>
      <c r="F26" s="5"/>
      <c r="G26" s="5"/>
      <c r="H26" s="5"/>
    </row>
    <row r="27" customFormat="false" ht="15" hidden="false" customHeight="true" outlineLevel="0" collapsed="false">
      <c r="A27" s="4" t="s">
        <v>27</v>
      </c>
      <c r="B27" s="5" t="s">
        <v>28</v>
      </c>
      <c r="C27" s="5"/>
      <c r="D27" s="5"/>
      <c r="E27" s="5"/>
      <c r="F27" s="5"/>
      <c r="G27" s="5"/>
      <c r="H27" s="5"/>
    </row>
    <row r="28" customFormat="false" ht="15" hidden="false" customHeight="true" outlineLevel="0" collapsed="false">
      <c r="A28" s="4" t="s">
        <v>29</v>
      </c>
      <c r="B28" s="5" t="s">
        <v>30</v>
      </c>
      <c r="C28" s="5"/>
      <c r="D28" s="5"/>
      <c r="E28" s="5"/>
      <c r="F28" s="5"/>
      <c r="G28" s="5"/>
      <c r="H28" s="5"/>
    </row>
    <row r="29" customFormat="false" ht="15" hidden="false" customHeight="true" outlineLevel="0" collapsed="false">
      <c r="A29" s="4" t="s">
        <v>31</v>
      </c>
      <c r="B29" s="5" t="s">
        <v>32</v>
      </c>
      <c r="C29" s="5"/>
      <c r="D29" s="5"/>
      <c r="E29" s="5"/>
      <c r="F29" s="5"/>
      <c r="G29" s="5"/>
      <c r="H29" s="5"/>
    </row>
    <row r="30" customFormat="false" ht="15" hidden="false" customHeight="true" outlineLevel="0" collapsed="false">
      <c r="A30" s="4"/>
      <c r="B30" s="5"/>
      <c r="C30" s="5"/>
      <c r="D30" s="5"/>
      <c r="E30" s="5"/>
      <c r="F30" s="5"/>
      <c r="G30" s="5"/>
      <c r="H30" s="5"/>
    </row>
    <row r="31" customFormat="false" ht="15" hidden="false" customHeight="true" outlineLevel="0" collapsed="false">
      <c r="A31" s="4" t="s">
        <v>33</v>
      </c>
      <c r="B31" s="5" t="s">
        <v>34</v>
      </c>
      <c r="C31" s="5"/>
      <c r="D31" s="5"/>
      <c r="E31" s="5"/>
      <c r="F31" s="5"/>
      <c r="G31" s="5"/>
      <c r="H31" s="5"/>
    </row>
    <row r="32" customFormat="false" ht="15" hidden="false" customHeight="true" outlineLevel="0" collapsed="false">
      <c r="A32" s="4"/>
      <c r="B32" s="5" t="s">
        <v>35</v>
      </c>
      <c r="C32" s="5"/>
      <c r="D32" s="5"/>
      <c r="E32" s="5"/>
      <c r="F32" s="5"/>
      <c r="G32" s="5"/>
      <c r="H32" s="5"/>
    </row>
  </sheetData>
  <mergeCells count="31">
    <mergeCell ref="A1:H1"/>
    <mergeCell ref="A2:H2"/>
    <mergeCell ref="B4:H4"/>
    <mergeCell ref="A5:H5"/>
    <mergeCell ref="B6:H6"/>
    <mergeCell ref="B7:H7"/>
    <mergeCell ref="B8:H8"/>
    <mergeCell ref="B9:H9"/>
    <mergeCell ref="A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A21:H21"/>
    <mergeCell ref="B22:H22"/>
    <mergeCell ref="B23:H23"/>
    <mergeCell ref="B24:H24"/>
    <mergeCell ref="A25:H25"/>
    <mergeCell ref="B26:H26"/>
    <mergeCell ref="B27:H27"/>
    <mergeCell ref="B28:H28"/>
    <mergeCell ref="B29:H29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68"/>
  </cols>
  <sheetData>
    <row r="1" customFormat="false" ht="21.75" hidden="false" customHeight="true" outlineLevel="0" collapsed="false">
      <c r="A1" s="2" t="s">
        <v>36</v>
      </c>
      <c r="B1" s="2"/>
      <c r="C1" s="2"/>
      <c r="D1" s="2"/>
      <c r="E1" s="2"/>
    </row>
    <row r="2" customFormat="false" ht="15" hidden="false" customHeight="tru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8"/>
    </row>
    <row r="3" customFormat="false" ht="15" hidden="false" customHeight="true" outlineLevel="0" collapsed="false">
      <c r="A3" s="9" t="s">
        <v>41</v>
      </c>
      <c r="B3" s="9"/>
      <c r="C3" s="9"/>
      <c r="D3" s="9"/>
    </row>
    <row r="4" customFormat="false" ht="15" hidden="false" customHeight="true" outlineLevel="0" collapsed="false">
      <c r="A4" s="10" t="s">
        <v>42</v>
      </c>
      <c r="B4" s="11" t="n">
        <v>100</v>
      </c>
      <c r="C4" s="12" t="s">
        <v>43</v>
      </c>
      <c r="D4" s="13" t="s">
        <v>44</v>
      </c>
    </row>
    <row r="5" customFormat="false" ht="15" hidden="false" customHeight="true" outlineLevel="0" collapsed="false">
      <c r="A5" s="10" t="s">
        <v>45</v>
      </c>
      <c r="B5" s="11" t="n">
        <v>3</v>
      </c>
      <c r="C5" s="12" t="s">
        <v>46</v>
      </c>
      <c r="D5" s="13" t="s">
        <v>47</v>
      </c>
    </row>
    <row r="6" customFormat="false" ht="21.75" hidden="false" customHeight="true" outlineLevel="0" collapsed="false">
      <c r="A6" s="10" t="s">
        <v>48</v>
      </c>
      <c r="B6" s="11" t="s">
        <v>49</v>
      </c>
      <c r="C6" s="12"/>
      <c r="D6" s="13" t="s">
        <v>50</v>
      </c>
    </row>
    <row r="7" customFormat="false" ht="15" hidden="false" customHeight="true" outlineLevel="0" collapsed="false">
      <c r="A7" s="10" t="s">
        <v>51</v>
      </c>
      <c r="B7" s="14" t="n">
        <f aca="false">B4*B5</f>
        <v>300</v>
      </c>
      <c r="C7" s="12" t="s">
        <v>52</v>
      </c>
      <c r="D7" s="13" t="s">
        <v>53</v>
      </c>
    </row>
    <row r="8" customFormat="false" ht="15" hidden="false" customHeight="true" outlineLevel="0" collapsed="false">
      <c r="A8" s="10" t="s">
        <v>54</v>
      </c>
      <c r="B8" s="11" t="n">
        <v>365</v>
      </c>
      <c r="C8" s="12" t="s">
        <v>55</v>
      </c>
      <c r="D8" s="13" t="s">
        <v>56</v>
      </c>
    </row>
    <row r="9" customFormat="false" ht="15" hidden="false" customHeight="true" outlineLevel="0" collapsed="false">
      <c r="A9" s="9" t="s">
        <v>57</v>
      </c>
      <c r="B9" s="9"/>
      <c r="C9" s="9"/>
      <c r="D9" s="9"/>
    </row>
    <row r="10" customFormat="false" ht="21.75" hidden="false" customHeight="true" outlineLevel="0" collapsed="false">
      <c r="A10" s="10" t="s">
        <v>58</v>
      </c>
      <c r="B10" s="11" t="n">
        <v>150</v>
      </c>
      <c r="C10" s="12" t="s">
        <v>43</v>
      </c>
      <c r="D10" s="13" t="s">
        <v>59</v>
      </c>
    </row>
    <row r="11" customFormat="false" ht="21.75" hidden="false" customHeight="true" outlineLevel="0" collapsed="false">
      <c r="A11" s="10" t="s">
        <v>60</v>
      </c>
      <c r="B11" s="15" t="n">
        <v>0.21</v>
      </c>
      <c r="C11" s="12" t="s">
        <v>61</v>
      </c>
      <c r="D11" s="13" t="s">
        <v>62</v>
      </c>
    </row>
    <row r="12" customFormat="false" ht="15" hidden="false" customHeight="true" outlineLevel="0" collapsed="false">
      <c r="A12" s="10" t="s">
        <v>63</v>
      </c>
      <c r="B12" s="15" t="n">
        <v>0.005</v>
      </c>
      <c r="C12" s="12" t="s">
        <v>64</v>
      </c>
      <c r="D12" s="13" t="s">
        <v>65</v>
      </c>
    </row>
    <row r="13" customFormat="false" ht="15" hidden="false" customHeight="true" outlineLevel="0" collapsed="false">
      <c r="A13" s="10" t="s">
        <v>66</v>
      </c>
      <c r="B13" s="11" t="n">
        <v>4</v>
      </c>
      <c r="C13" s="12" t="s">
        <v>67</v>
      </c>
      <c r="D13" s="13" t="s">
        <v>68</v>
      </c>
    </row>
    <row r="14" customFormat="false" ht="15" hidden="false" customHeight="true" outlineLevel="0" collapsed="false">
      <c r="A14" s="9" t="s">
        <v>69</v>
      </c>
      <c r="B14" s="9"/>
      <c r="C14" s="9"/>
      <c r="D14" s="9"/>
    </row>
    <row r="15" customFormat="false" ht="15" hidden="false" customHeight="true" outlineLevel="0" collapsed="false">
      <c r="A15" s="10" t="s">
        <v>70</v>
      </c>
      <c r="B15" s="11" t="n">
        <v>100</v>
      </c>
      <c r="C15" s="12" t="s">
        <v>43</v>
      </c>
      <c r="D15" s="13" t="s">
        <v>71</v>
      </c>
    </row>
    <row r="16" customFormat="false" ht="15" hidden="false" customHeight="true" outlineLevel="0" collapsed="false">
      <c r="A16" s="10" t="s">
        <v>72</v>
      </c>
      <c r="B16" s="11" t="n">
        <v>4</v>
      </c>
      <c r="C16" s="12" t="s">
        <v>46</v>
      </c>
      <c r="D16" s="13" t="s">
        <v>73</v>
      </c>
    </row>
    <row r="17" customFormat="false" ht="15" hidden="false" customHeight="true" outlineLevel="0" collapsed="false">
      <c r="A17" s="10" t="s">
        <v>74</v>
      </c>
      <c r="B17" s="15" t="n">
        <v>0.87</v>
      </c>
      <c r="C17" s="12" t="s">
        <v>61</v>
      </c>
      <c r="D17" s="13" t="s">
        <v>75</v>
      </c>
    </row>
    <row r="18" customFormat="false" ht="15" hidden="false" customHeight="true" outlineLevel="0" collapsed="false">
      <c r="A18" s="10" t="s">
        <v>76</v>
      </c>
      <c r="B18" s="11" t="n">
        <v>3.5</v>
      </c>
      <c r="C18" s="12" t="s">
        <v>67</v>
      </c>
      <c r="D18" s="13" t="s">
        <v>77</v>
      </c>
    </row>
    <row r="19" customFormat="false" ht="15" hidden="false" customHeight="true" outlineLevel="0" collapsed="false">
      <c r="A19" s="10" t="s">
        <v>78</v>
      </c>
      <c r="B19" s="16" t="n">
        <f aca="false">B7/B17</f>
        <v>344.827586206897</v>
      </c>
      <c r="C19" s="12" t="s">
        <v>52</v>
      </c>
      <c r="D19" s="13" t="s">
        <v>79</v>
      </c>
    </row>
    <row r="20" customFormat="false" ht="15" hidden="false" customHeight="true" outlineLevel="0" collapsed="false">
      <c r="A20" s="9" t="s">
        <v>80</v>
      </c>
      <c r="B20" s="9"/>
      <c r="C20" s="9"/>
      <c r="D20" s="9"/>
    </row>
    <row r="21" customFormat="false" ht="21.75" hidden="false" customHeight="true" outlineLevel="0" collapsed="false">
      <c r="A21" s="10" t="s">
        <v>81</v>
      </c>
      <c r="B21" s="11" t="n">
        <v>6</v>
      </c>
      <c r="C21" s="12" t="s">
        <v>82</v>
      </c>
      <c r="D21" s="13" t="s">
        <v>83</v>
      </c>
    </row>
    <row r="22" customFormat="false" ht="21.75" hidden="false" customHeight="true" outlineLevel="0" collapsed="false">
      <c r="A22" s="10" t="s">
        <v>84</v>
      </c>
      <c r="B22" s="11" t="n">
        <v>3</v>
      </c>
      <c r="C22" s="12" t="s">
        <v>82</v>
      </c>
      <c r="D22" s="13" t="s">
        <v>85</v>
      </c>
    </row>
    <row r="23" customFormat="false" ht="15" hidden="false" customHeight="true" outlineLevel="0" collapsed="false">
      <c r="A23" s="10" t="s">
        <v>86</v>
      </c>
      <c r="B23" s="15" t="n">
        <v>0.03</v>
      </c>
      <c r="C23" s="12" t="s">
        <v>64</v>
      </c>
      <c r="D23" s="13" t="s">
        <v>87</v>
      </c>
    </row>
    <row r="24" customFormat="false" ht="15" hidden="false" customHeight="true" outlineLevel="0" collapsed="false">
      <c r="A24" s="9" t="s">
        <v>88</v>
      </c>
      <c r="B24" s="9"/>
      <c r="C24" s="9"/>
      <c r="D24" s="9"/>
    </row>
    <row r="25" customFormat="false" ht="15" hidden="false" customHeight="true" outlineLevel="0" collapsed="false">
      <c r="A25" s="10" t="s">
        <v>89</v>
      </c>
      <c r="B25" s="15" t="n">
        <v>0.01</v>
      </c>
      <c r="C25" s="12" t="s">
        <v>64</v>
      </c>
      <c r="D25" s="13" t="s">
        <v>90</v>
      </c>
    </row>
    <row r="26" customFormat="false" ht="15" hidden="false" customHeight="true" outlineLevel="0" collapsed="false">
      <c r="A26" s="10" t="s">
        <v>91</v>
      </c>
      <c r="B26" s="15" t="n">
        <v>0.025</v>
      </c>
      <c r="C26" s="12" t="s">
        <v>64</v>
      </c>
      <c r="D26" s="13" t="s">
        <v>92</v>
      </c>
    </row>
    <row r="27" customFormat="false" ht="15" hidden="false" customHeight="true" outlineLevel="0" collapsed="false">
      <c r="A27" s="10" t="s">
        <v>93</v>
      </c>
      <c r="B27" s="15" t="n">
        <v>0.05</v>
      </c>
      <c r="C27" s="12" t="s">
        <v>64</v>
      </c>
      <c r="D27" s="13" t="s">
        <v>94</v>
      </c>
    </row>
    <row r="28" customFormat="false" ht="15" hidden="false" customHeight="true" outlineLevel="0" collapsed="false">
      <c r="A28" s="10" t="s">
        <v>95</v>
      </c>
      <c r="B28" s="11" t="n">
        <v>25</v>
      </c>
      <c r="C28" s="12" t="s">
        <v>96</v>
      </c>
      <c r="D28" s="13" t="s">
        <v>97</v>
      </c>
    </row>
    <row r="29" customFormat="false" ht="15" hidden="false" customHeight="true" outlineLevel="0" collapsed="false">
      <c r="A29" s="10" t="s">
        <v>98</v>
      </c>
      <c r="B29" s="15" t="n">
        <v>0.12</v>
      </c>
      <c r="C29" s="12" t="s">
        <v>61</v>
      </c>
      <c r="D29" s="13" t="s">
        <v>99</v>
      </c>
    </row>
    <row r="30" customFormat="false" ht="15" hidden="false" customHeight="true" outlineLevel="0" collapsed="false">
      <c r="A30" s="10" t="s">
        <v>100</v>
      </c>
      <c r="B30" s="15" t="n">
        <v>0.25</v>
      </c>
      <c r="C30" s="12" t="s">
        <v>61</v>
      </c>
      <c r="D30" s="13" t="s">
        <v>101</v>
      </c>
    </row>
    <row r="31" customFormat="false" ht="21.75" hidden="false" customHeight="true" outlineLevel="0" collapsed="false">
      <c r="A31" s="10" t="s">
        <v>102</v>
      </c>
      <c r="B31" s="11" t="s">
        <v>103</v>
      </c>
      <c r="C31" s="12"/>
      <c r="D31" s="13" t="s">
        <v>104</v>
      </c>
    </row>
    <row r="32" customFormat="false" ht="15" hidden="false" customHeight="true" outlineLevel="0" collapsed="false">
      <c r="A32" s="9" t="s">
        <v>105</v>
      </c>
      <c r="B32" s="9"/>
      <c r="C32" s="9"/>
      <c r="D32" s="9"/>
    </row>
    <row r="33" customFormat="false" ht="15" hidden="false" customHeight="true" outlineLevel="0" collapsed="false">
      <c r="A33" s="10" t="s">
        <v>106</v>
      </c>
      <c r="B33" s="15" t="n">
        <v>0.7</v>
      </c>
      <c r="C33" s="12" t="s">
        <v>107</v>
      </c>
      <c r="D33" s="13" t="s">
        <v>108</v>
      </c>
    </row>
    <row r="34" customFormat="false" ht="15" hidden="false" customHeight="true" outlineLevel="0" collapsed="false">
      <c r="A34" s="10" t="s">
        <v>109</v>
      </c>
      <c r="B34" s="15" t="n">
        <v>0.09</v>
      </c>
      <c r="C34" s="12" t="s">
        <v>64</v>
      </c>
      <c r="D34" s="13" t="s">
        <v>110</v>
      </c>
    </row>
    <row r="35" customFormat="false" ht="15" hidden="false" customHeight="true" outlineLevel="0" collapsed="false">
      <c r="A35" s="10" t="s">
        <v>111</v>
      </c>
      <c r="B35" s="11" t="n">
        <v>15</v>
      </c>
      <c r="C35" s="12" t="s">
        <v>96</v>
      </c>
      <c r="D35" s="13" t="s">
        <v>112</v>
      </c>
    </row>
    <row r="36" customFormat="false" ht="15" hidden="false" customHeight="true" outlineLevel="0" collapsed="false">
      <c r="A36" s="10" t="s">
        <v>113</v>
      </c>
      <c r="B36" s="15" t="n">
        <v>0.5</v>
      </c>
      <c r="C36" s="12" t="s">
        <v>114</v>
      </c>
      <c r="D36" s="13" t="s">
        <v>115</v>
      </c>
    </row>
  </sheetData>
  <mergeCells count="7">
    <mergeCell ref="A1:E1"/>
    <mergeCell ref="A3:D3"/>
    <mergeCell ref="A9:D9"/>
    <mergeCell ref="A14:D14"/>
    <mergeCell ref="A20:D20"/>
    <mergeCell ref="A24:D24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4" min="3" style="1" width="15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116</v>
      </c>
      <c r="B1" s="2"/>
      <c r="C1" s="2"/>
      <c r="D1" s="2"/>
      <c r="E1" s="2"/>
    </row>
    <row r="3" customFormat="false" ht="15" hidden="false" customHeight="true" outlineLevel="0" collapsed="false">
      <c r="A3" s="6" t="s">
        <v>117</v>
      </c>
      <c r="B3" s="6"/>
      <c r="C3" s="6"/>
      <c r="D3" s="6"/>
      <c r="E3" s="6"/>
    </row>
    <row r="4" customFormat="false" ht="15" hidden="false" customHeight="true" outlineLevel="0" collapsed="false">
      <c r="A4" s="17" t="s">
        <v>118</v>
      </c>
      <c r="B4" s="18" t="n">
        <f aca="false">'2.Assumptions'!$B$10*8760*'2.Assumptions'!$B$11</f>
        <v>275940</v>
      </c>
      <c r="C4" s="12" t="s">
        <v>52</v>
      </c>
      <c r="D4" s="19" t="s">
        <v>119</v>
      </c>
    </row>
    <row r="5" customFormat="false" ht="15" hidden="false" customHeight="true" outlineLevel="0" collapsed="false">
      <c r="A5" s="17" t="s">
        <v>120</v>
      </c>
      <c r="B5" s="18" t="n">
        <f aca="false">'2.Assumptions'!$B$19*'2.Assumptions'!$B$8</f>
        <v>125862.068965517</v>
      </c>
      <c r="C5" s="12" t="s">
        <v>52</v>
      </c>
      <c r="D5" s="19" t="s">
        <v>121</v>
      </c>
    </row>
    <row r="6" customFormat="false" ht="15" hidden="false" customHeight="true" outlineLevel="0" collapsed="false">
      <c r="A6" s="17" t="s">
        <v>122</v>
      </c>
      <c r="B6" s="18" t="n">
        <f aca="false">B4-B5</f>
        <v>150077.931034483</v>
      </c>
      <c r="C6" s="12" t="s">
        <v>52</v>
      </c>
      <c r="D6" s="19" t="s">
        <v>123</v>
      </c>
    </row>
    <row r="7" customFormat="false" ht="15" hidden="false" customHeight="true" outlineLevel="0" collapsed="false">
      <c r="A7" s="17" t="s">
        <v>124</v>
      </c>
      <c r="B7" s="18" t="n">
        <f aca="false">'2.Assumptions'!$B$7*'2.Assumptions'!$B$8</f>
        <v>109500</v>
      </c>
      <c r="C7" s="12" t="s">
        <v>52</v>
      </c>
      <c r="D7" s="19" t="s">
        <v>125</v>
      </c>
    </row>
    <row r="10" customFormat="false" ht="15" hidden="false" customHeight="true" outlineLevel="0" collapsed="false">
      <c r="A10" s="6" t="s">
        <v>126</v>
      </c>
      <c r="B10" s="6"/>
      <c r="C10" s="6"/>
      <c r="D10" s="6"/>
      <c r="E10" s="6"/>
    </row>
    <row r="11" customFormat="false" ht="15" hidden="false" customHeight="true" outlineLevel="0" collapsed="false">
      <c r="A11" s="17" t="s">
        <v>66</v>
      </c>
      <c r="B11" s="18" t="n">
        <f aca="false">'2.Assumptions'!$B$10*'2.Assumptions'!$B$13</f>
        <v>600</v>
      </c>
      <c r="C11" s="12" t="s">
        <v>127</v>
      </c>
    </row>
    <row r="12" customFormat="false" ht="15" hidden="false" customHeight="true" outlineLevel="0" collapsed="false">
      <c r="A12" s="17" t="s">
        <v>128</v>
      </c>
      <c r="B12" s="18" t="n">
        <f aca="false">'2.Assumptions'!$B$15*'2.Assumptions'!$B$18</f>
        <v>350</v>
      </c>
      <c r="C12" s="12" t="s">
        <v>127</v>
      </c>
    </row>
    <row r="13" customFormat="false" ht="15" hidden="false" customHeight="true" outlineLevel="0" collapsed="false">
      <c r="A13" s="20" t="s">
        <v>129</v>
      </c>
      <c r="B13" s="21" t="n">
        <f aca="false">B11+B12</f>
        <v>950</v>
      </c>
      <c r="C13" s="22" t="s">
        <v>127</v>
      </c>
    </row>
    <row r="15" customFormat="false" ht="15" hidden="false" customHeight="true" outlineLevel="0" collapsed="false">
      <c r="A15" s="6" t="s">
        <v>130</v>
      </c>
      <c r="B15" s="6"/>
      <c r="C15" s="6"/>
      <c r="D15" s="6"/>
      <c r="E15" s="6"/>
    </row>
    <row r="16" customFormat="false" ht="15" hidden="false" customHeight="true" outlineLevel="0" collapsed="false">
      <c r="A16" s="7" t="s">
        <v>131</v>
      </c>
      <c r="B16" s="7" t="s">
        <v>132</v>
      </c>
      <c r="C16" s="7" t="s">
        <v>133</v>
      </c>
      <c r="D16" s="7" t="s">
        <v>134</v>
      </c>
      <c r="E16" s="7" t="s">
        <v>135</v>
      </c>
    </row>
    <row r="17" customFormat="false" ht="15" hidden="false" customHeight="true" outlineLevel="0" collapsed="false">
      <c r="A17" s="12" t="n">
        <v>100</v>
      </c>
      <c r="B17" s="12" t="s">
        <v>136</v>
      </c>
      <c r="C17" s="12" t="n">
        <v>58</v>
      </c>
      <c r="D17" s="23" t="n">
        <v>10.69</v>
      </c>
      <c r="E17" s="12" t="s">
        <v>137</v>
      </c>
    </row>
    <row r="18" customFormat="false" ht="15" hidden="false" customHeight="true" outlineLevel="0" collapsed="false">
      <c r="A18" s="12" t="n">
        <v>120</v>
      </c>
      <c r="B18" s="12" t="s">
        <v>138</v>
      </c>
      <c r="C18" s="12" t="n">
        <v>95</v>
      </c>
      <c r="D18" s="23" t="n">
        <v>10.74</v>
      </c>
      <c r="E18" s="12" t="s">
        <v>139</v>
      </c>
    </row>
    <row r="19" customFormat="false" ht="15" hidden="false" customHeight="true" outlineLevel="0" collapsed="false">
      <c r="A19" s="24" t="n">
        <v>150</v>
      </c>
      <c r="B19" s="24" t="s">
        <v>140</v>
      </c>
      <c r="C19" s="24" t="n">
        <v>150</v>
      </c>
      <c r="D19" s="25" t="n">
        <v>10.81</v>
      </c>
      <c r="E19" s="24" t="s">
        <v>141</v>
      </c>
    </row>
    <row r="20" customFormat="false" ht="15" hidden="false" customHeight="true" outlineLevel="0" collapsed="false">
      <c r="A20" s="12" t="n">
        <v>180</v>
      </c>
      <c r="B20" s="12" t="s">
        <v>142</v>
      </c>
      <c r="C20" s="12" t="n">
        <v>205</v>
      </c>
      <c r="D20" s="23" t="n">
        <v>10.88</v>
      </c>
      <c r="E20" s="12" t="s">
        <v>143</v>
      </c>
    </row>
    <row r="21" customFormat="false" ht="15" hidden="false" customHeight="true" outlineLevel="0" collapsed="false">
      <c r="A21" s="12" t="n">
        <v>220</v>
      </c>
      <c r="B21" s="12" t="s">
        <v>144</v>
      </c>
      <c r="C21" s="12" t="n">
        <v>279</v>
      </c>
      <c r="D21" s="23" t="n">
        <v>10.98</v>
      </c>
      <c r="E21" s="12" t="s">
        <v>145</v>
      </c>
    </row>
    <row r="23" customFormat="false" ht="15" hidden="false" customHeight="true" outlineLevel="0" collapsed="false">
      <c r="A23" s="26" t="s">
        <v>146</v>
      </c>
      <c r="B23" s="26"/>
      <c r="C23" s="26"/>
      <c r="D23" s="26"/>
      <c r="E23" s="26"/>
    </row>
    <row r="24" customFormat="false" ht="15" hidden="false" customHeight="true" outlineLevel="0" collapsed="false">
      <c r="A24" s="26" t="s">
        <v>147</v>
      </c>
      <c r="B24" s="26"/>
      <c r="C24" s="26"/>
      <c r="D24" s="26"/>
      <c r="E24" s="26"/>
    </row>
  </sheetData>
  <mergeCells count="6">
    <mergeCell ref="A1:E1"/>
    <mergeCell ref="A3:E3"/>
    <mergeCell ref="A10:E10"/>
    <mergeCell ref="A15:E15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"/>
    <col collapsed="false" customWidth="true" hidden="false" outlineLevel="0" max="28" min="3" style="1" width="7.5"/>
  </cols>
  <sheetData>
    <row r="1" customFormat="false" ht="21.75" hidden="false" customHeight="true" outlineLevel="0" collapsed="false">
      <c r="A1" s="2" t="s">
        <v>148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7" t="s">
        <v>149</v>
      </c>
      <c r="B2" s="28" t="n">
        <v>10.81</v>
      </c>
      <c r="C2" s="26" t="s">
        <v>150</v>
      </c>
      <c r="D2" s="26"/>
      <c r="E2" s="26"/>
      <c r="F2" s="26"/>
      <c r="G2" s="26"/>
      <c r="H2" s="26"/>
    </row>
    <row r="3" customFormat="false" ht="15" hidden="false" customHeight="true" outlineLevel="0" collapsed="false">
      <c r="A3" s="27" t="s">
        <v>151</v>
      </c>
      <c r="B3" s="29" t="n">
        <f aca="false">IRR(C20:AB20)</f>
        <v>0.119993344919593</v>
      </c>
    </row>
    <row r="4" customFormat="false" ht="15" hidden="false" customHeight="true" outlineLevel="0" collapsed="false">
      <c r="A4" s="27" t="s">
        <v>152</v>
      </c>
      <c r="B4" s="30" t="n">
        <f aca="false">NPV('2.Assumptions'!$B$30*0+0.12,D20:AB20)+C20</f>
        <v>-0.043740403006268</v>
      </c>
    </row>
    <row r="6" customFormat="false" ht="15" hidden="false" customHeight="true" outlineLevel="0" collapsed="false">
      <c r="A6" s="31" t="s">
        <v>153</v>
      </c>
      <c r="B6" s="32" t="s">
        <v>39</v>
      </c>
      <c r="C6" s="33" t="n">
        <v>0</v>
      </c>
      <c r="D6" s="33" t="n">
        <v>1</v>
      </c>
      <c r="E6" s="33" t="n">
        <v>2</v>
      </c>
      <c r="F6" s="33" t="n">
        <v>3</v>
      </c>
      <c r="G6" s="33" t="n">
        <v>4</v>
      </c>
      <c r="H6" s="33" t="n">
        <v>5</v>
      </c>
      <c r="I6" s="33" t="n">
        <v>6</v>
      </c>
      <c r="J6" s="33" t="n">
        <v>7</v>
      </c>
      <c r="K6" s="33" t="n">
        <v>8</v>
      </c>
      <c r="L6" s="33" t="n">
        <v>9</v>
      </c>
      <c r="M6" s="33" t="n">
        <v>10</v>
      </c>
      <c r="N6" s="33" t="n">
        <v>11</v>
      </c>
      <c r="O6" s="33" t="n">
        <v>12</v>
      </c>
      <c r="P6" s="33" t="n">
        <v>13</v>
      </c>
      <c r="Q6" s="33" t="n">
        <v>14</v>
      </c>
      <c r="R6" s="33" t="n">
        <v>15</v>
      </c>
      <c r="S6" s="33" t="n">
        <v>16</v>
      </c>
      <c r="T6" s="33" t="n">
        <v>17</v>
      </c>
      <c r="U6" s="33" t="n">
        <v>18</v>
      </c>
      <c r="V6" s="33" t="n">
        <v>19</v>
      </c>
      <c r="W6" s="33" t="n">
        <v>20</v>
      </c>
      <c r="X6" s="33" t="n">
        <v>21</v>
      </c>
      <c r="Y6" s="33" t="n">
        <v>22</v>
      </c>
      <c r="Z6" s="33" t="n">
        <v>23</v>
      </c>
      <c r="AA6" s="33" t="n">
        <v>24</v>
      </c>
      <c r="AB6" s="33" t="n">
        <v>25</v>
      </c>
    </row>
    <row r="7" customFormat="false" ht="15" hidden="false" customHeight="true" outlineLevel="0" collapsed="false">
      <c r="A7" s="34" t="s">
        <v>154</v>
      </c>
      <c r="B7" s="35" t="s">
        <v>52</v>
      </c>
      <c r="C7" s="36" t="n">
        <v>0</v>
      </c>
      <c r="D7" s="36" t="n">
        <f aca="false">'3.Sizing'!$B$4*(1-'2.Assumptions'!$B$12)^(1-1)</f>
        <v>275940</v>
      </c>
      <c r="E7" s="36" t="n">
        <f aca="false">'3.Sizing'!$B$4*(1-'2.Assumptions'!$B$12)^(2-1)</f>
        <v>274560.3</v>
      </c>
      <c r="F7" s="36" t="n">
        <f aca="false">'3.Sizing'!$B$4*(1-'2.Assumptions'!$B$12)^(3-1)</f>
        <v>273187.4985</v>
      </c>
      <c r="G7" s="36" t="n">
        <f aca="false">'3.Sizing'!$B$4*(1-'2.Assumptions'!$B$12)^(4-1)</f>
        <v>271821.5610075</v>
      </c>
      <c r="H7" s="36" t="n">
        <f aca="false">'3.Sizing'!$B$4*(1-'2.Assumptions'!$B$12)^(5-1)</f>
        <v>270462.453202462</v>
      </c>
      <c r="I7" s="36" t="n">
        <f aca="false">'3.Sizing'!$B$4*(1-'2.Assumptions'!$B$12)^(6-1)</f>
        <v>269110.14093645</v>
      </c>
      <c r="J7" s="36" t="n">
        <f aca="false">'3.Sizing'!$B$4*(1-'2.Assumptions'!$B$12)^(7-1)</f>
        <v>267764.590231768</v>
      </c>
      <c r="K7" s="36" t="n">
        <f aca="false">'3.Sizing'!$B$4*(1-'2.Assumptions'!$B$12)^(8-1)</f>
        <v>266425.767280609</v>
      </c>
      <c r="L7" s="36" t="n">
        <f aca="false">'3.Sizing'!$B$4*(1-'2.Assumptions'!$B$12)^(9-1)</f>
        <v>265093.638444206</v>
      </c>
      <c r="M7" s="36" t="n">
        <f aca="false">'3.Sizing'!$B$4*(1-'2.Assumptions'!$B$12)^(10-1)</f>
        <v>263768.170251985</v>
      </c>
      <c r="N7" s="36" t="n">
        <f aca="false">'3.Sizing'!$B$4*(1-'2.Assumptions'!$B$12)^(11-1)</f>
        <v>262449.329400725</v>
      </c>
      <c r="O7" s="36" t="n">
        <f aca="false">'3.Sizing'!$B$4*(1-'2.Assumptions'!$B$12)^(12-1)</f>
        <v>261137.082753721</v>
      </c>
      <c r="P7" s="36" t="n">
        <f aca="false">'3.Sizing'!$B$4*(1-'2.Assumptions'!$B$12)^(13-1)</f>
        <v>259831.397339953</v>
      </c>
      <c r="Q7" s="36" t="n">
        <f aca="false">'3.Sizing'!$B$4*(1-'2.Assumptions'!$B$12)^(14-1)</f>
        <v>258532.240353253</v>
      </c>
      <c r="R7" s="36" t="n">
        <f aca="false">'3.Sizing'!$B$4*(1-'2.Assumptions'!$B$12)^(15-1)</f>
        <v>257239.579151487</v>
      </c>
      <c r="S7" s="36" t="n">
        <f aca="false">'3.Sizing'!$B$4*(1-'2.Assumptions'!$B$12)^(16-1)</f>
        <v>255953.381255729</v>
      </c>
      <c r="T7" s="36" t="n">
        <f aca="false">'3.Sizing'!$B$4*(1-'2.Assumptions'!$B$12)^(17-1)</f>
        <v>254673.614349451</v>
      </c>
      <c r="U7" s="36" t="n">
        <f aca="false">'3.Sizing'!$B$4*(1-'2.Assumptions'!$B$12)^(18-1)</f>
        <v>253400.246277703</v>
      </c>
      <c r="V7" s="36" t="n">
        <f aca="false">'3.Sizing'!$B$4*(1-'2.Assumptions'!$B$12)^(19-1)</f>
        <v>252133.245046315</v>
      </c>
      <c r="W7" s="36" t="n">
        <f aca="false">'3.Sizing'!$B$4*(1-'2.Assumptions'!$B$12)^(20-1)</f>
        <v>250872.578821083</v>
      </c>
      <c r="X7" s="36" t="n">
        <f aca="false">'3.Sizing'!$B$4*(1-'2.Assumptions'!$B$12)^(21-1)</f>
        <v>249618.215926978</v>
      </c>
      <c r="Y7" s="36" t="n">
        <f aca="false">'3.Sizing'!$B$4*(1-'2.Assumptions'!$B$12)^(22-1)</f>
        <v>248370.124847343</v>
      </c>
      <c r="Z7" s="36" t="n">
        <f aca="false">'3.Sizing'!$B$4*(1-'2.Assumptions'!$B$12)^(23-1)</f>
        <v>247128.274223106</v>
      </c>
      <c r="AA7" s="36" t="n">
        <f aca="false">'3.Sizing'!$B$4*(1-'2.Assumptions'!$B$12)^(24-1)</f>
        <v>245892.632851991</v>
      </c>
      <c r="AB7" s="36" t="n">
        <f aca="false">'3.Sizing'!$B$4*(1-'2.Assumptions'!$B$12)^(25-1)</f>
        <v>244663.169687731</v>
      </c>
    </row>
    <row r="8" customFormat="false" ht="15" hidden="false" customHeight="true" outlineLevel="0" collapsed="false">
      <c r="A8" s="34" t="s">
        <v>155</v>
      </c>
      <c r="B8" s="35" t="s">
        <v>52</v>
      </c>
      <c r="C8" s="36" t="n">
        <v>0</v>
      </c>
      <c r="D8" s="36" t="n">
        <f aca="false">MAX(D7-'3.Sizing'!$B$5,0)</f>
        <v>150077.931034483</v>
      </c>
      <c r="E8" s="36" t="n">
        <f aca="false">MAX(E7-'3.Sizing'!$B$5,0)</f>
        <v>148698.231034483</v>
      </c>
      <c r="F8" s="36" t="n">
        <f aca="false">MAX(F7-'3.Sizing'!$B$5,0)</f>
        <v>147325.429534483</v>
      </c>
      <c r="G8" s="36" t="n">
        <f aca="false">MAX(G7-'3.Sizing'!$B$5,0)</f>
        <v>145959.492041983</v>
      </c>
      <c r="H8" s="36" t="n">
        <f aca="false">MAX(H7-'3.Sizing'!$B$5,0)</f>
        <v>144600.384236945</v>
      </c>
      <c r="I8" s="36" t="n">
        <f aca="false">MAX(I7-'3.Sizing'!$B$5,0)</f>
        <v>143248.071970933</v>
      </c>
      <c r="J8" s="36" t="n">
        <f aca="false">MAX(J7-'3.Sizing'!$B$5,0)</f>
        <v>141902.521266251</v>
      </c>
      <c r="K8" s="36" t="n">
        <f aca="false">MAX(K7-'3.Sizing'!$B$5,0)</f>
        <v>140563.698315092</v>
      </c>
      <c r="L8" s="36" t="n">
        <f aca="false">MAX(L7-'3.Sizing'!$B$5,0)</f>
        <v>139231.569478689</v>
      </c>
      <c r="M8" s="36" t="n">
        <f aca="false">MAX(M7-'3.Sizing'!$B$5,0)</f>
        <v>137906.101286468</v>
      </c>
      <c r="N8" s="36" t="n">
        <f aca="false">MAX(N7-'3.Sizing'!$B$5,0)</f>
        <v>136587.260435208</v>
      </c>
      <c r="O8" s="36" t="n">
        <f aca="false">MAX(O7-'3.Sizing'!$B$5,0)</f>
        <v>135275.013788204</v>
      </c>
      <c r="P8" s="36" t="n">
        <f aca="false">MAX(P7-'3.Sizing'!$B$5,0)</f>
        <v>133969.328374436</v>
      </c>
      <c r="Q8" s="36" t="n">
        <f aca="false">MAX(Q7-'3.Sizing'!$B$5,0)</f>
        <v>132670.171387736</v>
      </c>
      <c r="R8" s="36" t="n">
        <f aca="false">MAX(R7-'3.Sizing'!$B$5,0)</f>
        <v>131377.51018597</v>
      </c>
      <c r="S8" s="36" t="n">
        <f aca="false">MAX(S7-'3.Sizing'!$B$5,0)</f>
        <v>130091.312290212</v>
      </c>
      <c r="T8" s="36" t="n">
        <f aca="false">MAX(T7-'3.Sizing'!$B$5,0)</f>
        <v>128811.545383933</v>
      </c>
      <c r="U8" s="36" t="n">
        <f aca="false">MAX(U7-'3.Sizing'!$B$5,0)</f>
        <v>127538.177312186</v>
      </c>
      <c r="V8" s="36" t="n">
        <f aca="false">MAX(V7-'3.Sizing'!$B$5,0)</f>
        <v>126271.176080798</v>
      </c>
      <c r="W8" s="36" t="n">
        <f aca="false">MAX(W7-'3.Sizing'!$B$5,0)</f>
        <v>125010.509855566</v>
      </c>
      <c r="X8" s="36" t="n">
        <f aca="false">MAX(X7-'3.Sizing'!$B$5,0)</f>
        <v>123756.146961461</v>
      </c>
      <c r="Y8" s="36" t="n">
        <f aca="false">MAX(Y7-'3.Sizing'!$B$5,0)</f>
        <v>122508.055881826</v>
      </c>
      <c r="Z8" s="36" t="n">
        <f aca="false">MAX(Z7-'3.Sizing'!$B$5,0)</f>
        <v>121266.205257589</v>
      </c>
      <c r="AA8" s="36" t="n">
        <f aca="false">MAX(AA7-'3.Sizing'!$B$5,0)</f>
        <v>120030.563886474</v>
      </c>
      <c r="AB8" s="36" t="n">
        <f aca="false">MAX(AB7-'3.Sizing'!$B$5,0)</f>
        <v>118801.100722214</v>
      </c>
    </row>
    <row r="9" customFormat="false" ht="15" hidden="false" customHeight="true" outlineLevel="0" collapsed="false">
      <c r="A9" s="34" t="s">
        <v>156</v>
      </c>
      <c r="B9" s="35" t="s">
        <v>52</v>
      </c>
      <c r="C9" s="36" t="n">
        <v>0</v>
      </c>
      <c r="D9" s="36" t="n">
        <f aca="false">'3.Sizing'!$B$7</f>
        <v>109500</v>
      </c>
      <c r="E9" s="36" t="n">
        <f aca="false">'3.Sizing'!$B$7</f>
        <v>109500</v>
      </c>
      <c r="F9" s="36" t="n">
        <f aca="false">'3.Sizing'!$B$7</f>
        <v>109500</v>
      </c>
      <c r="G9" s="36" t="n">
        <f aca="false">'3.Sizing'!$B$7</f>
        <v>109500</v>
      </c>
      <c r="H9" s="36" t="n">
        <f aca="false">'3.Sizing'!$B$7</f>
        <v>109500</v>
      </c>
      <c r="I9" s="36" t="n">
        <f aca="false">'3.Sizing'!$B$7</f>
        <v>109500</v>
      </c>
      <c r="J9" s="36" t="n">
        <f aca="false">'3.Sizing'!$B$7</f>
        <v>109500</v>
      </c>
      <c r="K9" s="36" t="n">
        <f aca="false">'3.Sizing'!$B$7</f>
        <v>109500</v>
      </c>
      <c r="L9" s="36" t="n">
        <f aca="false">'3.Sizing'!$B$7</f>
        <v>109500</v>
      </c>
      <c r="M9" s="36" t="n">
        <f aca="false">'3.Sizing'!$B$7</f>
        <v>109500</v>
      </c>
      <c r="N9" s="36" t="n">
        <f aca="false">'3.Sizing'!$B$7</f>
        <v>109500</v>
      </c>
      <c r="O9" s="36" t="n">
        <f aca="false">'3.Sizing'!$B$7</f>
        <v>109500</v>
      </c>
      <c r="P9" s="36" t="n">
        <f aca="false">'3.Sizing'!$B$7</f>
        <v>109500</v>
      </c>
      <c r="Q9" s="36" t="n">
        <f aca="false">'3.Sizing'!$B$7</f>
        <v>109500</v>
      </c>
      <c r="R9" s="36" t="n">
        <f aca="false">'3.Sizing'!$B$7</f>
        <v>109500</v>
      </c>
      <c r="S9" s="36" t="n">
        <f aca="false">'3.Sizing'!$B$7</f>
        <v>109500</v>
      </c>
      <c r="T9" s="36" t="n">
        <f aca="false">'3.Sizing'!$B$7</f>
        <v>109500</v>
      </c>
      <c r="U9" s="36" t="n">
        <f aca="false">'3.Sizing'!$B$7</f>
        <v>109500</v>
      </c>
      <c r="V9" s="36" t="n">
        <f aca="false">'3.Sizing'!$B$7</f>
        <v>109500</v>
      </c>
      <c r="W9" s="36" t="n">
        <f aca="false">'3.Sizing'!$B$7</f>
        <v>109500</v>
      </c>
      <c r="X9" s="36" t="n">
        <f aca="false">'3.Sizing'!$B$7</f>
        <v>109500</v>
      </c>
      <c r="Y9" s="36" t="n">
        <f aca="false">'3.Sizing'!$B$7</f>
        <v>109500</v>
      </c>
      <c r="Z9" s="36" t="n">
        <f aca="false">'3.Sizing'!$B$7</f>
        <v>109500</v>
      </c>
      <c r="AA9" s="36" t="n">
        <f aca="false">'3.Sizing'!$B$7</f>
        <v>109500</v>
      </c>
      <c r="AB9" s="36" t="n">
        <f aca="false">'3.Sizing'!$B$7</f>
        <v>109500</v>
      </c>
    </row>
    <row r="10" customFormat="false" ht="15" hidden="false" customHeight="true" outlineLevel="0" collapsed="false">
      <c r="A10" s="34" t="s">
        <v>157</v>
      </c>
      <c r="B10" s="35" t="s">
        <v>82</v>
      </c>
      <c r="C10" s="37"/>
      <c r="D10" s="37" t="n">
        <f aca="false">'2.Assumptions'!$B$22*(1+'2.Assumptions'!$B$23)^(1-1)</f>
        <v>3</v>
      </c>
      <c r="E10" s="37" t="n">
        <f aca="false">'2.Assumptions'!$B$22*(1+'2.Assumptions'!$B$23)^(2-1)</f>
        <v>3.09</v>
      </c>
      <c r="F10" s="37" t="n">
        <f aca="false">'2.Assumptions'!$B$22*(1+'2.Assumptions'!$B$23)^(3-1)</f>
        <v>3.1827</v>
      </c>
      <c r="G10" s="37" t="n">
        <f aca="false">'2.Assumptions'!$B$22*(1+'2.Assumptions'!$B$23)^(4-1)</f>
        <v>3.278181</v>
      </c>
      <c r="H10" s="37" t="n">
        <f aca="false">'2.Assumptions'!$B$22*(1+'2.Assumptions'!$B$23)^(5-1)</f>
        <v>3.37652643</v>
      </c>
      <c r="I10" s="37" t="n">
        <f aca="false">'2.Assumptions'!$B$22*(1+'2.Assumptions'!$B$23)^(6-1)</f>
        <v>3.4778222229</v>
      </c>
      <c r="J10" s="37" t="n">
        <f aca="false">'2.Assumptions'!$B$22*(1+'2.Assumptions'!$B$23)^(7-1)</f>
        <v>3.582156889587</v>
      </c>
      <c r="K10" s="37" t="n">
        <f aca="false">'2.Assumptions'!$B$22*(1+'2.Assumptions'!$B$23)^(8-1)</f>
        <v>3.68962159627461</v>
      </c>
      <c r="L10" s="37" t="n">
        <f aca="false">'2.Assumptions'!$B$22*(1+'2.Assumptions'!$B$23)^(9-1)</f>
        <v>3.80031024416285</v>
      </c>
      <c r="M10" s="37" t="n">
        <f aca="false">'2.Assumptions'!$B$22*(1+'2.Assumptions'!$B$23)^(10-1)</f>
        <v>3.91431955148773</v>
      </c>
      <c r="N10" s="37" t="n">
        <f aca="false">'2.Assumptions'!$B$22*(1+'2.Assumptions'!$B$23)^(11-1)</f>
        <v>4.03174913803237</v>
      </c>
      <c r="O10" s="37" t="n">
        <f aca="false">'2.Assumptions'!$B$22*(1+'2.Assumptions'!$B$23)^(12-1)</f>
        <v>4.15270161217334</v>
      </c>
      <c r="P10" s="37" t="n">
        <f aca="false">'2.Assumptions'!$B$22*(1+'2.Assumptions'!$B$23)^(13-1)</f>
        <v>4.27728266053854</v>
      </c>
      <c r="Q10" s="37" t="n">
        <f aca="false">'2.Assumptions'!$B$22*(1+'2.Assumptions'!$B$23)^(14-1)</f>
        <v>4.40560114035469</v>
      </c>
      <c r="R10" s="37" t="n">
        <f aca="false">'2.Assumptions'!$B$22*(1+'2.Assumptions'!$B$23)^(15-1)</f>
        <v>4.53776917456534</v>
      </c>
      <c r="S10" s="37" t="n">
        <f aca="false">'2.Assumptions'!$B$22*(1+'2.Assumptions'!$B$23)^(16-1)</f>
        <v>4.6739022498023</v>
      </c>
      <c r="T10" s="37" t="n">
        <f aca="false">'2.Assumptions'!$B$22*(1+'2.Assumptions'!$B$23)^(17-1)</f>
        <v>4.81411931729637</v>
      </c>
      <c r="U10" s="37" t="n">
        <f aca="false">'2.Assumptions'!$B$22*(1+'2.Assumptions'!$B$23)^(18-1)</f>
        <v>4.95854289681526</v>
      </c>
      <c r="V10" s="37" t="n">
        <f aca="false">'2.Assumptions'!$B$22*(1+'2.Assumptions'!$B$23)^(19-1)</f>
        <v>5.10729918371971</v>
      </c>
      <c r="W10" s="37" t="n">
        <f aca="false">'2.Assumptions'!$B$22*(1+'2.Assumptions'!$B$23)^(20-1)</f>
        <v>5.26051815923131</v>
      </c>
      <c r="X10" s="37" t="n">
        <f aca="false">'2.Assumptions'!$B$22*(1+'2.Assumptions'!$B$23)^(21-1)</f>
        <v>5.41833370400824</v>
      </c>
      <c r="Y10" s="37" t="n">
        <f aca="false">'2.Assumptions'!$B$22*(1+'2.Assumptions'!$B$23)^(22-1)</f>
        <v>5.58088371512849</v>
      </c>
      <c r="Z10" s="37" t="n">
        <f aca="false">'2.Assumptions'!$B$22*(1+'2.Assumptions'!$B$23)^(23-1)</f>
        <v>5.74831022658235</v>
      </c>
      <c r="AA10" s="37" t="n">
        <f aca="false">'2.Assumptions'!$B$22*(1+'2.Assumptions'!$B$23)^(24-1)</f>
        <v>5.92075953337982</v>
      </c>
      <c r="AB10" s="37" t="n">
        <f aca="false">'2.Assumptions'!$B$22*(1+'2.Assumptions'!$B$23)^(25-1)</f>
        <v>6.09838231938121</v>
      </c>
    </row>
    <row r="11" customFormat="false" ht="15" hidden="false" customHeight="true" outlineLevel="0" collapsed="false">
      <c r="A11" s="34" t="s">
        <v>158</v>
      </c>
      <c r="B11" s="35" t="s">
        <v>159</v>
      </c>
      <c r="C11" s="36" t="n">
        <v>0</v>
      </c>
      <c r="D11" s="36" t="n">
        <f aca="false">D8*1000*D10/10000000</f>
        <v>45.0233793103448</v>
      </c>
      <c r="E11" s="36" t="n">
        <f aca="false">E8*1000*E10/10000000</f>
        <v>45.9477533896552</v>
      </c>
      <c r="F11" s="36" t="n">
        <f aca="false">F8*1000*F10/10000000</f>
        <v>46.8892644579398</v>
      </c>
      <c r="G11" s="36" t="n">
        <f aca="false">G8*1000*G10/10000000</f>
        <v>47.8481633581679</v>
      </c>
      <c r="H11" s="36" t="n">
        <f aca="false">H8*1000*H10/10000000</f>
        <v>48.8247019164201</v>
      </c>
      <c r="I11" s="36" t="n">
        <f aca="false">I8*1000*I10/10000000</f>
        <v>49.8191328088089</v>
      </c>
      <c r="J11" s="36" t="n">
        <f aca="false">J8*1000*J10/10000000</f>
        <v>50.8317094203666</v>
      </c>
      <c r="K11" s="36" t="n">
        <f aca="false">K8*1000*K10/10000000</f>
        <v>51.8626856955592</v>
      </c>
      <c r="L11" s="36" t="n">
        <f aca="false">L8*1000*L10/10000000</f>
        <v>52.9123159800732</v>
      </c>
      <c r="M11" s="36" t="n">
        <f aca="false">M8*1000*M10/10000000</f>
        <v>53.9808548535069</v>
      </c>
      <c r="N11" s="36" t="n">
        <f aca="false">N8*1000*N10/10000000</f>
        <v>55.0685569525852</v>
      </c>
      <c r="O11" s="36" t="n">
        <f aca="false">O8*1000*O10/10000000</f>
        <v>56.1756767845046</v>
      </c>
      <c r="P11" s="36" t="n">
        <f aca="false">P8*1000*P10/10000000</f>
        <v>57.3024685299967</v>
      </c>
      <c r="Q11" s="36" t="n">
        <f aca="false">Q8*1000*Q10/10000000</f>
        <v>58.4491858356862</v>
      </c>
      <c r="R11" s="36" t="n">
        <f aca="false">R8*1000*R10/10000000</f>
        <v>59.6160815953036</v>
      </c>
      <c r="S11" s="36" t="n">
        <f aca="false">S8*1000*S10/10000000</f>
        <v>60.8034077192956</v>
      </c>
      <c r="T11" s="36" t="n">
        <f aca="false">T8*1000*T10/10000000</f>
        <v>62.0114148923592</v>
      </c>
      <c r="U11" s="36" t="n">
        <f aca="false">U8*1000*U10/10000000</f>
        <v>63.2403523184106</v>
      </c>
      <c r="V11" s="36" t="n">
        <f aca="false">V8*1000*V10/10000000</f>
        <v>64.4904674524786</v>
      </c>
      <c r="W11" s="36" t="n">
        <f aca="false">W8*1000*W10/10000000</f>
        <v>65.762005718997</v>
      </c>
      <c r="X11" s="36" t="n">
        <f aca="false">X8*1000*X10/10000000</f>
        <v>67.055210215948</v>
      </c>
      <c r="Y11" s="36" t="n">
        <f aca="false">Y8*1000*Y10/10000000</f>
        <v>68.3703214042933</v>
      </c>
      <c r="Z11" s="36" t="n">
        <f aca="false">Z8*1000*Z10/10000000</f>
        <v>69.7075767821034</v>
      </c>
      <c r="AA11" s="36" t="n">
        <f aca="false">AA8*1000*AA10/10000000</f>
        <v>71.0672105427794</v>
      </c>
      <c r="AB11" s="36" t="n">
        <f aca="false">AB8*1000*AB10/10000000</f>
        <v>72.4494532167374</v>
      </c>
    </row>
    <row r="12" customFormat="false" ht="15" hidden="false" customHeight="true" outlineLevel="0" collapsed="false">
      <c r="A12" s="34" t="s">
        <v>160</v>
      </c>
      <c r="B12" s="35" t="s">
        <v>159</v>
      </c>
      <c r="C12" s="36" t="n">
        <v>0</v>
      </c>
      <c r="D12" s="36" t="n">
        <f aca="false">D9*1000*'4.Cashflow'!$B$2/10000000</f>
        <v>118.3695</v>
      </c>
      <c r="E12" s="36" t="n">
        <f aca="false">E9*1000*'4.Cashflow'!$B$2/10000000</f>
        <v>118.3695</v>
      </c>
      <c r="F12" s="36" t="n">
        <f aca="false">F9*1000*'4.Cashflow'!$B$2/10000000</f>
        <v>118.3695</v>
      </c>
      <c r="G12" s="36" t="n">
        <f aca="false">G9*1000*'4.Cashflow'!$B$2/10000000</f>
        <v>118.3695</v>
      </c>
      <c r="H12" s="36" t="n">
        <f aca="false">H9*1000*'4.Cashflow'!$B$2/10000000</f>
        <v>118.3695</v>
      </c>
      <c r="I12" s="36" t="n">
        <f aca="false">I9*1000*'4.Cashflow'!$B$2/10000000</f>
        <v>118.3695</v>
      </c>
      <c r="J12" s="36" t="n">
        <f aca="false">J9*1000*'4.Cashflow'!$B$2/10000000</f>
        <v>118.3695</v>
      </c>
      <c r="K12" s="36" t="n">
        <f aca="false">K9*1000*'4.Cashflow'!$B$2/10000000</f>
        <v>118.3695</v>
      </c>
      <c r="L12" s="36" t="n">
        <f aca="false">L9*1000*'4.Cashflow'!$B$2/10000000</f>
        <v>118.3695</v>
      </c>
      <c r="M12" s="36" t="n">
        <f aca="false">M9*1000*'4.Cashflow'!$B$2/10000000</f>
        <v>118.3695</v>
      </c>
      <c r="N12" s="36" t="n">
        <f aca="false">N9*1000*'4.Cashflow'!$B$2/10000000</f>
        <v>118.3695</v>
      </c>
      <c r="O12" s="36" t="n">
        <f aca="false">O9*1000*'4.Cashflow'!$B$2/10000000</f>
        <v>118.3695</v>
      </c>
      <c r="P12" s="36" t="n">
        <f aca="false">P9*1000*'4.Cashflow'!$B$2/10000000</f>
        <v>118.3695</v>
      </c>
      <c r="Q12" s="36" t="n">
        <f aca="false">Q9*1000*'4.Cashflow'!$B$2/10000000</f>
        <v>118.3695</v>
      </c>
      <c r="R12" s="36" t="n">
        <f aca="false">R9*1000*'4.Cashflow'!$B$2/10000000</f>
        <v>118.3695</v>
      </c>
      <c r="S12" s="36" t="n">
        <f aca="false">S9*1000*'4.Cashflow'!$B$2/10000000</f>
        <v>118.3695</v>
      </c>
      <c r="T12" s="36" t="n">
        <f aca="false">T9*1000*'4.Cashflow'!$B$2/10000000</f>
        <v>118.3695</v>
      </c>
      <c r="U12" s="36" t="n">
        <f aca="false">U9*1000*'4.Cashflow'!$B$2/10000000</f>
        <v>118.3695</v>
      </c>
      <c r="V12" s="36" t="n">
        <f aca="false">V9*1000*'4.Cashflow'!$B$2/10000000</f>
        <v>118.3695</v>
      </c>
      <c r="W12" s="36" t="n">
        <f aca="false">W9*1000*'4.Cashflow'!$B$2/10000000</f>
        <v>118.3695</v>
      </c>
      <c r="X12" s="36" t="n">
        <f aca="false">X9*1000*'4.Cashflow'!$B$2/10000000</f>
        <v>118.3695</v>
      </c>
      <c r="Y12" s="36" t="n">
        <f aca="false">Y9*1000*'4.Cashflow'!$B$2/10000000</f>
        <v>118.3695</v>
      </c>
      <c r="Z12" s="36" t="n">
        <f aca="false">Z9*1000*'4.Cashflow'!$B$2/10000000</f>
        <v>118.3695</v>
      </c>
      <c r="AA12" s="36" t="n">
        <f aca="false">AA9*1000*'4.Cashflow'!$B$2/10000000</f>
        <v>118.3695</v>
      </c>
      <c r="AB12" s="36" t="n">
        <f aca="false">AB9*1000*'4.Cashflow'!$B$2/10000000</f>
        <v>118.3695</v>
      </c>
    </row>
    <row r="13" customFormat="false" ht="15" hidden="false" customHeight="true" outlineLevel="0" collapsed="false">
      <c r="A13" s="38" t="s">
        <v>161</v>
      </c>
      <c r="B13" s="39" t="s">
        <v>159</v>
      </c>
      <c r="C13" s="40" t="n">
        <f aca="false">0</f>
        <v>0</v>
      </c>
      <c r="D13" s="40" t="n">
        <f aca="false">D11+D12</f>
        <v>163.392879310345</v>
      </c>
      <c r="E13" s="40" t="n">
        <f aca="false">E11+E12</f>
        <v>164.317253389655</v>
      </c>
      <c r="F13" s="40" t="n">
        <f aca="false">F11+F12</f>
        <v>165.25876445794</v>
      </c>
      <c r="G13" s="40" t="n">
        <f aca="false">G11+G12</f>
        <v>166.217663358168</v>
      </c>
      <c r="H13" s="40" t="n">
        <f aca="false">H11+H12</f>
        <v>167.19420191642</v>
      </c>
      <c r="I13" s="40" t="n">
        <f aca="false">I11+I12</f>
        <v>168.188632808809</v>
      </c>
      <c r="J13" s="40" t="n">
        <f aca="false">J11+J12</f>
        <v>169.201209420367</v>
      </c>
      <c r="K13" s="40" t="n">
        <f aca="false">K11+K12</f>
        <v>170.232185695559</v>
      </c>
      <c r="L13" s="40" t="n">
        <f aca="false">L11+L12</f>
        <v>171.281815980073</v>
      </c>
      <c r="M13" s="40" t="n">
        <f aca="false">M11+M12</f>
        <v>172.350354853507</v>
      </c>
      <c r="N13" s="40" t="n">
        <f aca="false">N11+N12</f>
        <v>173.438056952585</v>
      </c>
      <c r="O13" s="40" t="n">
        <f aca="false">O11+O12</f>
        <v>174.545176784505</v>
      </c>
      <c r="P13" s="40" t="n">
        <f aca="false">P11+P12</f>
        <v>175.671968529997</v>
      </c>
      <c r="Q13" s="40" t="n">
        <f aca="false">Q11+Q12</f>
        <v>176.818685835686</v>
      </c>
      <c r="R13" s="40" t="n">
        <f aca="false">R11+R12</f>
        <v>177.985581595304</v>
      </c>
      <c r="S13" s="40" t="n">
        <f aca="false">S11+S12</f>
        <v>179.172907719296</v>
      </c>
      <c r="T13" s="40" t="n">
        <f aca="false">T11+T12</f>
        <v>180.380914892359</v>
      </c>
      <c r="U13" s="40" t="n">
        <f aca="false">U11+U12</f>
        <v>181.609852318411</v>
      </c>
      <c r="V13" s="40" t="n">
        <f aca="false">V11+V12</f>
        <v>182.859967452479</v>
      </c>
      <c r="W13" s="40" t="n">
        <f aca="false">W11+W12</f>
        <v>184.131505718997</v>
      </c>
      <c r="X13" s="40" t="n">
        <f aca="false">X11+X12</f>
        <v>185.424710215948</v>
      </c>
      <c r="Y13" s="40" t="n">
        <f aca="false">Y11+Y12</f>
        <v>186.739821404293</v>
      </c>
      <c r="Z13" s="40" t="n">
        <f aca="false">Z11+Z12</f>
        <v>188.077076782103</v>
      </c>
      <c r="AA13" s="40" t="n">
        <f aca="false">AA11+AA12</f>
        <v>189.436710542779</v>
      </c>
      <c r="AB13" s="40" t="n">
        <f aca="false">AB11+AB12</f>
        <v>190.818953216737</v>
      </c>
    </row>
    <row r="14" customFormat="false" ht="15" hidden="false" customHeight="true" outlineLevel="0" collapsed="false">
      <c r="A14" s="34" t="s">
        <v>162</v>
      </c>
      <c r="B14" s="35" t="s">
        <v>159</v>
      </c>
      <c r="C14" s="36" t="n">
        <v>0</v>
      </c>
      <c r="D14" s="36" t="n">
        <f aca="false">('3.Sizing'!$B$11*'2.Assumptions'!$B$25+'3.Sizing'!$B$12*'2.Assumptions'!$B$26)*(1+'2.Assumptions'!$B$27)^(1-1)</f>
        <v>14.75</v>
      </c>
      <c r="E14" s="36" t="n">
        <f aca="false">('3.Sizing'!$B$11*'2.Assumptions'!$B$25+'3.Sizing'!$B$12*'2.Assumptions'!$B$26)*(1+'2.Assumptions'!$B$27)^(2-1)</f>
        <v>15.4875</v>
      </c>
      <c r="F14" s="36" t="n">
        <f aca="false">('3.Sizing'!$B$11*'2.Assumptions'!$B$25+'3.Sizing'!$B$12*'2.Assumptions'!$B$26)*(1+'2.Assumptions'!$B$27)^(3-1)</f>
        <v>16.261875</v>
      </c>
      <c r="G14" s="36" t="n">
        <f aca="false">('3.Sizing'!$B$11*'2.Assumptions'!$B$25+'3.Sizing'!$B$12*'2.Assumptions'!$B$26)*(1+'2.Assumptions'!$B$27)^(4-1)</f>
        <v>17.07496875</v>
      </c>
      <c r="H14" s="36" t="n">
        <f aca="false">('3.Sizing'!$B$11*'2.Assumptions'!$B$25+'3.Sizing'!$B$12*'2.Assumptions'!$B$26)*(1+'2.Assumptions'!$B$27)^(5-1)</f>
        <v>17.9287171875</v>
      </c>
      <c r="I14" s="36" t="n">
        <f aca="false">('3.Sizing'!$B$11*'2.Assumptions'!$B$25+'3.Sizing'!$B$12*'2.Assumptions'!$B$26)*(1+'2.Assumptions'!$B$27)^(6-1)</f>
        <v>18.825153046875</v>
      </c>
      <c r="J14" s="36" t="n">
        <f aca="false">('3.Sizing'!$B$11*'2.Assumptions'!$B$25+'3.Sizing'!$B$12*'2.Assumptions'!$B$26)*(1+'2.Assumptions'!$B$27)^(7-1)</f>
        <v>19.7664106992188</v>
      </c>
      <c r="K14" s="36" t="n">
        <f aca="false">('3.Sizing'!$B$11*'2.Assumptions'!$B$25+'3.Sizing'!$B$12*'2.Assumptions'!$B$26)*(1+'2.Assumptions'!$B$27)^(8-1)</f>
        <v>20.7547312341797</v>
      </c>
      <c r="L14" s="36" t="n">
        <f aca="false">('3.Sizing'!$B$11*'2.Assumptions'!$B$25+'3.Sizing'!$B$12*'2.Assumptions'!$B$26)*(1+'2.Assumptions'!$B$27)^(9-1)</f>
        <v>21.7924677958887</v>
      </c>
      <c r="M14" s="36" t="n">
        <f aca="false">('3.Sizing'!$B$11*'2.Assumptions'!$B$25+'3.Sizing'!$B$12*'2.Assumptions'!$B$26)*(1+'2.Assumptions'!$B$27)^(10-1)</f>
        <v>22.8820911856831</v>
      </c>
      <c r="N14" s="36" t="n">
        <f aca="false">('3.Sizing'!$B$11*'2.Assumptions'!$B$25+'3.Sizing'!$B$12*'2.Assumptions'!$B$26)*(1+'2.Assumptions'!$B$27)^(11-1)</f>
        <v>24.0261957449673</v>
      </c>
      <c r="O14" s="36" t="n">
        <f aca="false">('3.Sizing'!$B$11*'2.Assumptions'!$B$25+'3.Sizing'!$B$12*'2.Assumptions'!$B$26)*(1+'2.Assumptions'!$B$27)^(12-1)</f>
        <v>25.2275055322156</v>
      </c>
      <c r="P14" s="36" t="n">
        <f aca="false">('3.Sizing'!$B$11*'2.Assumptions'!$B$25+'3.Sizing'!$B$12*'2.Assumptions'!$B$26)*(1+'2.Assumptions'!$B$27)^(13-1)</f>
        <v>26.4888808088264</v>
      </c>
      <c r="Q14" s="36" t="n">
        <f aca="false">('3.Sizing'!$B$11*'2.Assumptions'!$B$25+'3.Sizing'!$B$12*'2.Assumptions'!$B$26)*(1+'2.Assumptions'!$B$27)^(14-1)</f>
        <v>27.8133248492677</v>
      </c>
      <c r="R14" s="36" t="n">
        <f aca="false">('3.Sizing'!$B$11*'2.Assumptions'!$B$25+'3.Sizing'!$B$12*'2.Assumptions'!$B$26)*(1+'2.Assumptions'!$B$27)^(15-1)</f>
        <v>29.2039910917311</v>
      </c>
      <c r="S14" s="36" t="n">
        <f aca="false">('3.Sizing'!$B$11*'2.Assumptions'!$B$25+'3.Sizing'!$B$12*'2.Assumptions'!$B$26)*(1+'2.Assumptions'!$B$27)^(16-1)</f>
        <v>30.6641906463177</v>
      </c>
      <c r="T14" s="36" t="n">
        <f aca="false">('3.Sizing'!$B$11*'2.Assumptions'!$B$25+'3.Sizing'!$B$12*'2.Assumptions'!$B$26)*(1+'2.Assumptions'!$B$27)^(17-1)</f>
        <v>32.1974001786336</v>
      </c>
      <c r="U14" s="36" t="n">
        <f aca="false">('3.Sizing'!$B$11*'2.Assumptions'!$B$25+'3.Sizing'!$B$12*'2.Assumptions'!$B$26)*(1+'2.Assumptions'!$B$27)^(18-1)</f>
        <v>33.8072701875653</v>
      </c>
      <c r="V14" s="36" t="n">
        <f aca="false">('3.Sizing'!$B$11*'2.Assumptions'!$B$25+'3.Sizing'!$B$12*'2.Assumptions'!$B$26)*(1+'2.Assumptions'!$B$27)^(19-1)</f>
        <v>35.4976336969435</v>
      </c>
      <c r="W14" s="36" t="n">
        <f aca="false">('3.Sizing'!$B$11*'2.Assumptions'!$B$25+'3.Sizing'!$B$12*'2.Assumptions'!$B$26)*(1+'2.Assumptions'!$B$27)^(20-1)</f>
        <v>37.2725153817907</v>
      </c>
      <c r="X14" s="36" t="n">
        <f aca="false">('3.Sizing'!$B$11*'2.Assumptions'!$B$25+'3.Sizing'!$B$12*'2.Assumptions'!$B$26)*(1+'2.Assumptions'!$B$27)^(21-1)</f>
        <v>39.1361411508802</v>
      </c>
      <c r="Y14" s="36" t="n">
        <f aca="false">('3.Sizing'!$B$11*'2.Assumptions'!$B$25+'3.Sizing'!$B$12*'2.Assumptions'!$B$26)*(1+'2.Assumptions'!$B$27)^(22-1)</f>
        <v>41.0929482084243</v>
      </c>
      <c r="Z14" s="36" t="n">
        <f aca="false">('3.Sizing'!$B$11*'2.Assumptions'!$B$25+'3.Sizing'!$B$12*'2.Assumptions'!$B$26)*(1+'2.Assumptions'!$B$27)^(23-1)</f>
        <v>43.1475956188455</v>
      </c>
      <c r="AA14" s="36" t="n">
        <f aca="false">('3.Sizing'!$B$11*'2.Assumptions'!$B$25+'3.Sizing'!$B$12*'2.Assumptions'!$B$26)*(1+'2.Assumptions'!$B$27)^(24-1)</f>
        <v>45.3049753997877</v>
      </c>
      <c r="AB14" s="36" t="n">
        <f aca="false">('3.Sizing'!$B$11*'2.Assumptions'!$B$25+'3.Sizing'!$B$12*'2.Assumptions'!$B$26)*(1+'2.Assumptions'!$B$27)^(25-1)</f>
        <v>47.5702241697771</v>
      </c>
    </row>
    <row r="15" customFormat="false" ht="15" hidden="false" customHeight="true" outlineLevel="0" collapsed="false">
      <c r="A15" s="38" t="s">
        <v>163</v>
      </c>
      <c r="B15" s="39" t="s">
        <v>159</v>
      </c>
      <c r="C15" s="40" t="n">
        <v>0</v>
      </c>
      <c r="D15" s="40" t="n">
        <f aca="false">D13-D14</f>
        <v>148.642879310345</v>
      </c>
      <c r="E15" s="40" t="n">
        <f aca="false">E13-E14</f>
        <v>148.829753389655</v>
      </c>
      <c r="F15" s="40" t="n">
        <f aca="false">F13-F14</f>
        <v>148.99688945794</v>
      </c>
      <c r="G15" s="40" t="n">
        <f aca="false">G13-G14</f>
        <v>149.142694608168</v>
      </c>
      <c r="H15" s="40" t="n">
        <f aca="false">H13-H14</f>
        <v>149.26548472892</v>
      </c>
      <c r="I15" s="40" t="n">
        <f aca="false">I13-I14</f>
        <v>149.363479761934</v>
      </c>
      <c r="J15" s="40" t="n">
        <f aca="false">J13-J14</f>
        <v>149.434798721148</v>
      </c>
      <c r="K15" s="40" t="n">
        <f aca="false">K13-K14</f>
        <v>149.47745446138</v>
      </c>
      <c r="L15" s="40" t="n">
        <f aca="false">L13-L14</f>
        <v>149.489348184185</v>
      </c>
      <c r="M15" s="40" t="n">
        <f aca="false">M13-M14</f>
        <v>149.468263667824</v>
      </c>
      <c r="N15" s="40" t="n">
        <f aca="false">N13-N14</f>
        <v>149.411861207618</v>
      </c>
      <c r="O15" s="40" t="n">
        <f aca="false">O13-O14</f>
        <v>149.317671252289</v>
      </c>
      <c r="P15" s="40" t="n">
        <f aca="false">P13-P14</f>
        <v>149.18308772117</v>
      </c>
      <c r="Q15" s="40" t="n">
        <f aca="false">Q13-Q14</f>
        <v>149.005360986418</v>
      </c>
      <c r="R15" s="40" t="n">
        <f aca="false">R13-R14</f>
        <v>148.781590503573</v>
      </c>
      <c r="S15" s="40" t="n">
        <f aca="false">S13-S14</f>
        <v>148.508717072978</v>
      </c>
      <c r="T15" s="40" t="n">
        <f aca="false">T13-T14</f>
        <v>148.183514713726</v>
      </c>
      <c r="U15" s="40" t="n">
        <f aca="false">U13-U14</f>
        <v>147.802582130845</v>
      </c>
      <c r="V15" s="40" t="n">
        <f aca="false">V13-V14</f>
        <v>147.362333755535</v>
      </c>
      <c r="W15" s="40" t="n">
        <f aca="false">W13-W14</f>
        <v>146.858990337206</v>
      </c>
      <c r="X15" s="40" t="n">
        <f aca="false">X13-X14</f>
        <v>146.288569065068</v>
      </c>
      <c r="Y15" s="40" t="n">
        <f aca="false">Y13-Y14</f>
        <v>145.646873195869</v>
      </c>
      <c r="Z15" s="40" t="n">
        <f aca="false">Z13-Z14</f>
        <v>144.929481163258</v>
      </c>
      <c r="AA15" s="40" t="n">
        <f aca="false">AA13-AA14</f>
        <v>144.131735142992</v>
      </c>
      <c r="AB15" s="40" t="n">
        <f aca="false">AB13-AB14</f>
        <v>143.24872904696</v>
      </c>
    </row>
    <row r="16" customFormat="false" ht="15" hidden="false" customHeight="true" outlineLevel="0" collapsed="false">
      <c r="A16" s="34" t="s">
        <v>164</v>
      </c>
      <c r="B16" s="35" t="s">
        <v>159</v>
      </c>
      <c r="C16" s="36" t="n">
        <v>0</v>
      </c>
      <c r="D16" s="36" t="n">
        <f aca="false">'3.Sizing'!$B$13/'2.Assumptions'!$B$28</f>
        <v>38</v>
      </c>
      <c r="E16" s="36" t="n">
        <f aca="false">'3.Sizing'!$B$13/'2.Assumptions'!$B$28</f>
        <v>38</v>
      </c>
      <c r="F16" s="36" t="n">
        <f aca="false">'3.Sizing'!$B$13/'2.Assumptions'!$B$28</f>
        <v>38</v>
      </c>
      <c r="G16" s="36" t="n">
        <f aca="false">'3.Sizing'!$B$13/'2.Assumptions'!$B$28</f>
        <v>38</v>
      </c>
      <c r="H16" s="36" t="n">
        <f aca="false">'3.Sizing'!$B$13/'2.Assumptions'!$B$28</f>
        <v>38</v>
      </c>
      <c r="I16" s="36" t="n">
        <f aca="false">'3.Sizing'!$B$13/'2.Assumptions'!$B$28</f>
        <v>38</v>
      </c>
      <c r="J16" s="36" t="n">
        <f aca="false">'3.Sizing'!$B$13/'2.Assumptions'!$B$28</f>
        <v>38</v>
      </c>
      <c r="K16" s="36" t="n">
        <f aca="false">'3.Sizing'!$B$13/'2.Assumptions'!$B$28</f>
        <v>38</v>
      </c>
      <c r="L16" s="36" t="n">
        <f aca="false">'3.Sizing'!$B$13/'2.Assumptions'!$B$28</f>
        <v>38</v>
      </c>
      <c r="M16" s="36" t="n">
        <f aca="false">'3.Sizing'!$B$13/'2.Assumptions'!$B$28</f>
        <v>38</v>
      </c>
      <c r="N16" s="36" t="n">
        <f aca="false">'3.Sizing'!$B$13/'2.Assumptions'!$B$28</f>
        <v>38</v>
      </c>
      <c r="O16" s="36" t="n">
        <f aca="false">'3.Sizing'!$B$13/'2.Assumptions'!$B$28</f>
        <v>38</v>
      </c>
      <c r="P16" s="36" t="n">
        <f aca="false">'3.Sizing'!$B$13/'2.Assumptions'!$B$28</f>
        <v>38</v>
      </c>
      <c r="Q16" s="36" t="n">
        <f aca="false">'3.Sizing'!$B$13/'2.Assumptions'!$B$28</f>
        <v>38</v>
      </c>
      <c r="R16" s="36" t="n">
        <f aca="false">'3.Sizing'!$B$13/'2.Assumptions'!$B$28</f>
        <v>38</v>
      </c>
      <c r="S16" s="36" t="n">
        <f aca="false">'3.Sizing'!$B$13/'2.Assumptions'!$B$28</f>
        <v>38</v>
      </c>
      <c r="T16" s="36" t="n">
        <f aca="false">'3.Sizing'!$B$13/'2.Assumptions'!$B$28</f>
        <v>38</v>
      </c>
      <c r="U16" s="36" t="n">
        <f aca="false">'3.Sizing'!$B$13/'2.Assumptions'!$B$28</f>
        <v>38</v>
      </c>
      <c r="V16" s="36" t="n">
        <f aca="false">'3.Sizing'!$B$13/'2.Assumptions'!$B$28</f>
        <v>38</v>
      </c>
      <c r="W16" s="36" t="n">
        <f aca="false">'3.Sizing'!$B$13/'2.Assumptions'!$B$28</f>
        <v>38</v>
      </c>
      <c r="X16" s="36" t="n">
        <f aca="false">'3.Sizing'!$B$13/'2.Assumptions'!$B$28</f>
        <v>38</v>
      </c>
      <c r="Y16" s="36" t="n">
        <f aca="false">'3.Sizing'!$B$13/'2.Assumptions'!$B$28</f>
        <v>38</v>
      </c>
      <c r="Z16" s="36" t="n">
        <f aca="false">'3.Sizing'!$B$13/'2.Assumptions'!$B$28</f>
        <v>38</v>
      </c>
      <c r="AA16" s="36" t="n">
        <f aca="false">'3.Sizing'!$B$13/'2.Assumptions'!$B$28</f>
        <v>38</v>
      </c>
      <c r="AB16" s="36" t="n">
        <f aca="false">'3.Sizing'!$B$13/'2.Assumptions'!$B$28</f>
        <v>38</v>
      </c>
    </row>
    <row r="17" customFormat="false" ht="15" hidden="false" customHeight="true" outlineLevel="0" collapsed="false">
      <c r="A17" s="34" t="s">
        <v>165</v>
      </c>
      <c r="B17" s="35" t="s">
        <v>159</v>
      </c>
      <c r="C17" s="36" t="n">
        <v>0</v>
      </c>
      <c r="D17" s="36" t="n">
        <f aca="false">MAX(D15-D16,0)</f>
        <v>110.642879310345</v>
      </c>
      <c r="E17" s="36" t="n">
        <f aca="false">MAX(E15-E16,0)</f>
        <v>110.829753389655</v>
      </c>
      <c r="F17" s="36" t="n">
        <f aca="false">MAX(F15-F16,0)</f>
        <v>110.99688945794</v>
      </c>
      <c r="G17" s="36" t="n">
        <f aca="false">MAX(G15-G16,0)</f>
        <v>111.142694608168</v>
      </c>
      <c r="H17" s="36" t="n">
        <f aca="false">MAX(H15-H16,0)</f>
        <v>111.26548472892</v>
      </c>
      <c r="I17" s="36" t="n">
        <f aca="false">MAX(I15-I16,0)</f>
        <v>111.363479761934</v>
      </c>
      <c r="J17" s="36" t="n">
        <f aca="false">MAX(J15-J16,0)</f>
        <v>111.434798721148</v>
      </c>
      <c r="K17" s="36" t="n">
        <f aca="false">MAX(K15-K16,0)</f>
        <v>111.47745446138</v>
      </c>
      <c r="L17" s="36" t="n">
        <f aca="false">MAX(L15-L16,0)</f>
        <v>111.489348184185</v>
      </c>
      <c r="M17" s="36" t="n">
        <f aca="false">MAX(M15-M16,0)</f>
        <v>111.468263667824</v>
      </c>
      <c r="N17" s="36" t="n">
        <f aca="false">MAX(N15-N16,0)</f>
        <v>111.411861207618</v>
      </c>
      <c r="O17" s="36" t="n">
        <f aca="false">MAX(O15-O16,0)</f>
        <v>111.317671252289</v>
      </c>
      <c r="P17" s="36" t="n">
        <f aca="false">MAX(P15-P16,0)</f>
        <v>111.18308772117</v>
      </c>
      <c r="Q17" s="36" t="n">
        <f aca="false">MAX(Q15-Q16,0)</f>
        <v>111.005360986418</v>
      </c>
      <c r="R17" s="36" t="n">
        <f aca="false">MAX(R15-R16,0)</f>
        <v>110.781590503572</v>
      </c>
      <c r="S17" s="36" t="n">
        <f aca="false">MAX(S15-S16,0)</f>
        <v>110.508717072978</v>
      </c>
      <c r="T17" s="36" t="n">
        <f aca="false">MAX(T15-T16,0)</f>
        <v>110.183514713726</v>
      </c>
      <c r="U17" s="36" t="n">
        <f aca="false">MAX(U15-U16,0)</f>
        <v>109.802582130845</v>
      </c>
      <c r="V17" s="36" t="n">
        <f aca="false">MAX(V15-V16,0)</f>
        <v>109.362333755535</v>
      </c>
      <c r="W17" s="36" t="n">
        <f aca="false">MAX(W15-W16,0)</f>
        <v>108.858990337206</v>
      </c>
      <c r="X17" s="36" t="n">
        <f aca="false">MAX(X15-X16,0)</f>
        <v>108.288569065068</v>
      </c>
      <c r="Y17" s="36" t="n">
        <f aca="false">MAX(Y15-Y16,0)</f>
        <v>107.646873195869</v>
      </c>
      <c r="Z17" s="36" t="n">
        <f aca="false">MAX(Z15-Z16,0)</f>
        <v>106.929481163258</v>
      </c>
      <c r="AA17" s="36" t="n">
        <f aca="false">MAX(AA15-AA16,0)</f>
        <v>106.131735142992</v>
      </c>
      <c r="AB17" s="36" t="n">
        <f aca="false">MAX(AB15-AB16,0)</f>
        <v>105.24872904696</v>
      </c>
    </row>
    <row r="18" customFormat="false" ht="15" hidden="false" customHeight="true" outlineLevel="0" collapsed="false">
      <c r="A18" s="34" t="s">
        <v>166</v>
      </c>
      <c r="B18" s="35" t="s">
        <v>159</v>
      </c>
      <c r="C18" s="36" t="n">
        <v>0</v>
      </c>
      <c r="D18" s="36" t="n">
        <f aca="false">D17*'2.Assumptions'!$B$30</f>
        <v>27.6607198275862</v>
      </c>
      <c r="E18" s="36" t="n">
        <f aca="false">E17*'2.Assumptions'!$B$30</f>
        <v>27.7074383474138</v>
      </c>
      <c r="F18" s="36" t="n">
        <f aca="false">F17*'2.Assumptions'!$B$30</f>
        <v>27.749222364485</v>
      </c>
      <c r="G18" s="36" t="n">
        <f aca="false">G17*'2.Assumptions'!$B$30</f>
        <v>27.785673652042</v>
      </c>
      <c r="H18" s="36" t="n">
        <f aca="false">H17*'2.Assumptions'!$B$30</f>
        <v>27.81637118223</v>
      </c>
      <c r="I18" s="36" t="n">
        <f aca="false">I17*'2.Assumptions'!$B$30</f>
        <v>27.8408699404835</v>
      </c>
      <c r="J18" s="36" t="n">
        <f aca="false">J17*'2.Assumptions'!$B$30</f>
        <v>27.858699680287</v>
      </c>
      <c r="K18" s="36" t="n">
        <f aca="false">K17*'2.Assumptions'!$B$30</f>
        <v>27.8693636153449</v>
      </c>
      <c r="L18" s="36" t="n">
        <f aca="false">L17*'2.Assumptions'!$B$30</f>
        <v>27.8723370460461</v>
      </c>
      <c r="M18" s="36" t="n">
        <f aca="false">M17*'2.Assumptions'!$B$30</f>
        <v>27.8670659169559</v>
      </c>
      <c r="N18" s="36" t="n">
        <f aca="false">N17*'2.Assumptions'!$B$30</f>
        <v>27.8529653019045</v>
      </c>
      <c r="O18" s="36" t="n">
        <f aca="false">O17*'2.Assumptions'!$B$30</f>
        <v>27.8294178130722</v>
      </c>
      <c r="P18" s="36" t="n">
        <f aca="false">P17*'2.Assumptions'!$B$30</f>
        <v>27.7957719302926</v>
      </c>
      <c r="Q18" s="36" t="n">
        <f aca="false">Q17*'2.Assumptions'!$B$30</f>
        <v>27.7513402466046</v>
      </c>
      <c r="R18" s="36" t="n">
        <f aca="false">R17*'2.Assumptions'!$B$30</f>
        <v>27.6953976258931</v>
      </c>
      <c r="S18" s="36" t="n">
        <f aca="false">S17*'2.Assumptions'!$B$30</f>
        <v>27.6271792682445</v>
      </c>
      <c r="T18" s="36" t="n">
        <f aca="false">T17*'2.Assumptions'!$B$30</f>
        <v>27.5458786784314</v>
      </c>
      <c r="U18" s="36" t="n">
        <f aca="false">U17*'2.Assumptions'!$B$30</f>
        <v>27.4506455327113</v>
      </c>
      <c r="V18" s="36" t="n">
        <f aca="false">V17*'2.Assumptions'!$B$30</f>
        <v>27.3405834388838</v>
      </c>
      <c r="W18" s="36" t="n">
        <f aca="false">W17*'2.Assumptions'!$B$30</f>
        <v>27.2147475843016</v>
      </c>
      <c r="X18" s="36" t="n">
        <f aca="false">X17*'2.Assumptions'!$B$30</f>
        <v>27.0721422662669</v>
      </c>
      <c r="Y18" s="36" t="n">
        <f aca="false">Y17*'2.Assumptions'!$B$30</f>
        <v>26.9117182989673</v>
      </c>
      <c r="Z18" s="36" t="n">
        <f aca="false">Z17*'2.Assumptions'!$B$30</f>
        <v>26.7323702908145</v>
      </c>
      <c r="AA18" s="36" t="n">
        <f aca="false">AA17*'2.Assumptions'!$B$30</f>
        <v>26.5329337857479</v>
      </c>
      <c r="AB18" s="36" t="n">
        <f aca="false">AB17*'2.Assumptions'!$B$30</f>
        <v>26.3121822617401</v>
      </c>
    </row>
    <row r="19" customFormat="false" ht="15" hidden="false" customHeight="true" outlineLevel="0" collapsed="false">
      <c r="A19" s="34" t="s">
        <v>167</v>
      </c>
      <c r="B19" s="35" t="s">
        <v>159</v>
      </c>
      <c r="C19" s="36" t="n">
        <f aca="false">-'3.Sizing'!$B$13</f>
        <v>-950</v>
      </c>
      <c r="D19" s="36" t="n">
        <v>0</v>
      </c>
      <c r="E19" s="36" t="n">
        <v>0</v>
      </c>
      <c r="F19" s="36" t="n">
        <v>0</v>
      </c>
      <c r="G19" s="36" t="n">
        <v>0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6" t="n">
        <v>0</v>
      </c>
      <c r="N19" s="36" t="n">
        <v>0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0</v>
      </c>
      <c r="T19" s="36" t="n">
        <v>0</v>
      </c>
      <c r="U19" s="36" t="n">
        <v>0</v>
      </c>
      <c r="V19" s="36" t="n">
        <v>0</v>
      </c>
      <c r="W19" s="36" t="n">
        <v>0</v>
      </c>
      <c r="X19" s="36" t="n">
        <v>0</v>
      </c>
      <c r="Y19" s="36" t="n">
        <v>0</v>
      </c>
      <c r="Z19" s="36" t="n">
        <v>0</v>
      </c>
      <c r="AA19" s="36" t="n">
        <v>0</v>
      </c>
      <c r="AB19" s="36" t="n">
        <v>0</v>
      </c>
    </row>
    <row r="20" customFormat="false" ht="15" hidden="false" customHeight="true" outlineLevel="0" collapsed="false">
      <c r="A20" s="38" t="s">
        <v>168</v>
      </c>
      <c r="B20" s="39" t="s">
        <v>159</v>
      </c>
      <c r="C20" s="40" t="n">
        <f aca="false">C15-C18+C19</f>
        <v>-950</v>
      </c>
      <c r="D20" s="40" t="n">
        <f aca="false">D15-D18</f>
        <v>120.982159482759</v>
      </c>
      <c r="E20" s="40" t="n">
        <f aca="false">E15-E18</f>
        <v>121.122315042241</v>
      </c>
      <c r="F20" s="40" t="n">
        <f aca="false">F15-F18</f>
        <v>121.247667093455</v>
      </c>
      <c r="G20" s="40" t="n">
        <f aca="false">G15-G18</f>
        <v>121.357020956126</v>
      </c>
      <c r="H20" s="40" t="n">
        <f aca="false">H15-H18</f>
        <v>121.44911354669</v>
      </c>
      <c r="I20" s="40" t="n">
        <f aca="false">I15-I18</f>
        <v>121.52260982145</v>
      </c>
      <c r="J20" s="40" t="n">
        <f aca="false">J15-J18</f>
        <v>121.576099040861</v>
      </c>
      <c r="K20" s="40" t="n">
        <f aca="false">K15-K18</f>
        <v>121.608090846035</v>
      </c>
      <c r="L20" s="40" t="n">
        <f aca="false">L15-L18</f>
        <v>121.617011138138</v>
      </c>
      <c r="M20" s="40" t="n">
        <f aca="false">M15-M18</f>
        <v>121.601197750868</v>
      </c>
      <c r="N20" s="40" t="n">
        <f aca="false">N15-N18</f>
        <v>121.558895905713</v>
      </c>
      <c r="O20" s="40" t="n">
        <f aca="false">O15-O18</f>
        <v>121.488253439217</v>
      </c>
      <c r="P20" s="40" t="n">
        <f aca="false">P15-P18</f>
        <v>121.387315790878</v>
      </c>
      <c r="Q20" s="40" t="n">
        <f aca="false">Q15-Q18</f>
        <v>121.254020739814</v>
      </c>
      <c r="R20" s="40" t="n">
        <f aca="false">R15-R18</f>
        <v>121.086192877679</v>
      </c>
      <c r="S20" s="40" t="n">
        <f aca="false">S15-S18</f>
        <v>120.881537804733</v>
      </c>
      <c r="T20" s="40" t="n">
        <f aca="false">T15-T18</f>
        <v>120.637636035294</v>
      </c>
      <c r="U20" s="40" t="n">
        <f aca="false">U15-U18</f>
        <v>120.351936598134</v>
      </c>
      <c r="V20" s="40" t="n">
        <f aca="false">V15-V18</f>
        <v>120.021750316651</v>
      </c>
      <c r="W20" s="40" t="n">
        <f aca="false">W15-W18</f>
        <v>119.644242752905</v>
      </c>
      <c r="X20" s="40" t="n">
        <f aca="false">X15-X18</f>
        <v>119.216426798801</v>
      </c>
      <c r="Y20" s="40" t="n">
        <f aca="false">Y15-Y18</f>
        <v>118.735154896902</v>
      </c>
      <c r="Z20" s="40" t="n">
        <f aca="false">Z15-Z18</f>
        <v>118.197110872443</v>
      </c>
      <c r="AA20" s="40" t="n">
        <f aca="false">AA15-AA18</f>
        <v>117.598801357244</v>
      </c>
      <c r="AB20" s="40" t="n">
        <f aca="false">AB15-AB18</f>
        <v>116.93654678522</v>
      </c>
    </row>
  </sheetData>
  <mergeCells count="2">
    <mergeCell ref="A1:H1"/>
    <mergeCell ref="C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"/>
    <col collapsed="false" customWidth="true" hidden="false" outlineLevel="0" max="28" min="3" style="1" width="7.5"/>
  </cols>
  <sheetData>
    <row r="1" customFormat="false" ht="21.75" hidden="false" customHeight="true" outlineLevel="0" collapsed="false">
      <c r="A1" s="2" t="s">
        <v>169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7" t="s">
        <v>170</v>
      </c>
      <c r="B2" s="29" t="n">
        <f aca="false">IRR(C12:AB12)</f>
        <v>0.173566838844846</v>
      </c>
      <c r="D2" s="41" t="s">
        <v>171</v>
      </c>
    </row>
    <row r="4" customFormat="false" ht="15" hidden="false" customHeight="true" outlineLevel="0" collapsed="false">
      <c r="A4" s="31" t="s">
        <v>127</v>
      </c>
      <c r="B4" s="31" t="s">
        <v>39</v>
      </c>
      <c r="C4" s="32" t="n">
        <v>0</v>
      </c>
      <c r="D4" s="32" t="n">
        <v>1</v>
      </c>
      <c r="E4" s="32" t="n">
        <v>2</v>
      </c>
      <c r="F4" s="32" t="n">
        <v>3</v>
      </c>
      <c r="G4" s="32" t="n">
        <v>4</v>
      </c>
      <c r="H4" s="32" t="n">
        <v>5</v>
      </c>
      <c r="I4" s="32" t="n">
        <v>6</v>
      </c>
      <c r="J4" s="32" t="n">
        <v>7</v>
      </c>
      <c r="K4" s="32" t="n">
        <v>8</v>
      </c>
      <c r="L4" s="32" t="n">
        <v>9</v>
      </c>
      <c r="M4" s="32" t="n">
        <v>10</v>
      </c>
      <c r="N4" s="32" t="n">
        <v>11</v>
      </c>
      <c r="O4" s="32" t="n">
        <v>12</v>
      </c>
      <c r="P4" s="32" t="n">
        <v>13</v>
      </c>
      <c r="Q4" s="32" t="n">
        <v>14</v>
      </c>
      <c r="R4" s="32" t="n">
        <v>15</v>
      </c>
      <c r="S4" s="32" t="n">
        <v>16</v>
      </c>
      <c r="T4" s="32" t="n">
        <v>17</v>
      </c>
      <c r="U4" s="32" t="n">
        <v>18</v>
      </c>
      <c r="V4" s="32" t="n">
        <v>19</v>
      </c>
      <c r="W4" s="32" t="n">
        <v>20</v>
      </c>
      <c r="X4" s="32" t="n">
        <v>21</v>
      </c>
      <c r="Y4" s="32" t="n">
        <v>22</v>
      </c>
      <c r="Z4" s="32" t="n">
        <v>23</v>
      </c>
      <c r="AA4" s="32" t="n">
        <v>24</v>
      </c>
      <c r="AB4" s="32" t="n">
        <v>25</v>
      </c>
    </row>
    <row r="5" customFormat="false" ht="15" hidden="false" customHeight="true" outlineLevel="0" collapsed="false">
      <c r="A5" s="34" t="s">
        <v>172</v>
      </c>
      <c r="B5" s="35" t="s">
        <v>159</v>
      </c>
      <c r="C5" s="36" t="n">
        <f aca="false">'4.Cashflow'!C15</f>
        <v>0</v>
      </c>
      <c r="D5" s="36" t="n">
        <f aca="false">'4.Cashflow'!D15</f>
        <v>148.642879310345</v>
      </c>
      <c r="E5" s="36" t="n">
        <f aca="false">'4.Cashflow'!E15</f>
        <v>148.829753389655</v>
      </c>
      <c r="F5" s="36" t="n">
        <f aca="false">'4.Cashflow'!F15</f>
        <v>148.99688945794</v>
      </c>
      <c r="G5" s="36" t="n">
        <f aca="false">'4.Cashflow'!G15</f>
        <v>149.142694608168</v>
      </c>
      <c r="H5" s="36" t="n">
        <f aca="false">'4.Cashflow'!H15</f>
        <v>149.26548472892</v>
      </c>
      <c r="I5" s="36" t="n">
        <f aca="false">'4.Cashflow'!I15</f>
        <v>149.363479761934</v>
      </c>
      <c r="J5" s="36" t="n">
        <f aca="false">'4.Cashflow'!J15</f>
        <v>149.434798721148</v>
      </c>
      <c r="K5" s="36" t="n">
        <f aca="false">'4.Cashflow'!K15</f>
        <v>149.47745446138</v>
      </c>
      <c r="L5" s="36" t="n">
        <f aca="false">'4.Cashflow'!L15</f>
        <v>149.489348184185</v>
      </c>
      <c r="M5" s="36" t="n">
        <f aca="false">'4.Cashflow'!M15</f>
        <v>149.468263667824</v>
      </c>
      <c r="N5" s="36" t="n">
        <f aca="false">'4.Cashflow'!N15</f>
        <v>149.411861207618</v>
      </c>
      <c r="O5" s="36" t="n">
        <f aca="false">'4.Cashflow'!O15</f>
        <v>149.317671252289</v>
      </c>
      <c r="P5" s="36" t="n">
        <f aca="false">'4.Cashflow'!P15</f>
        <v>149.18308772117</v>
      </c>
      <c r="Q5" s="36" t="n">
        <f aca="false">'4.Cashflow'!Q15</f>
        <v>149.005360986418</v>
      </c>
      <c r="R5" s="36" t="n">
        <f aca="false">'4.Cashflow'!R15</f>
        <v>148.781590503573</v>
      </c>
      <c r="S5" s="36" t="n">
        <f aca="false">'4.Cashflow'!S15</f>
        <v>148.508717072978</v>
      </c>
      <c r="T5" s="36" t="n">
        <f aca="false">'4.Cashflow'!T15</f>
        <v>148.183514713726</v>
      </c>
      <c r="U5" s="36" t="n">
        <f aca="false">'4.Cashflow'!U15</f>
        <v>147.802582130845</v>
      </c>
      <c r="V5" s="36" t="n">
        <f aca="false">'4.Cashflow'!V15</f>
        <v>147.362333755535</v>
      </c>
      <c r="W5" s="36" t="n">
        <f aca="false">'4.Cashflow'!W15</f>
        <v>146.858990337206</v>
      </c>
      <c r="X5" s="36" t="n">
        <f aca="false">'4.Cashflow'!X15</f>
        <v>146.288569065068</v>
      </c>
      <c r="Y5" s="36" t="n">
        <f aca="false">'4.Cashflow'!Y15</f>
        <v>145.646873195869</v>
      </c>
      <c r="Z5" s="36" t="n">
        <f aca="false">'4.Cashflow'!Z15</f>
        <v>144.929481163258</v>
      </c>
      <c r="AA5" s="36" t="n">
        <f aca="false">'4.Cashflow'!AA15</f>
        <v>144.131735142992</v>
      </c>
      <c r="AB5" s="36" t="n">
        <f aca="false">'4.Cashflow'!AB15</f>
        <v>143.24872904696</v>
      </c>
    </row>
    <row r="6" customFormat="false" ht="15" hidden="false" customHeight="true" outlineLevel="0" collapsed="false">
      <c r="A6" s="34" t="s">
        <v>173</v>
      </c>
      <c r="B6" s="35" t="s">
        <v>159</v>
      </c>
      <c r="C6" s="36" t="n">
        <f aca="false">'3.Sizing'!$B$13*'2.Assumptions'!$B$33</f>
        <v>665</v>
      </c>
      <c r="D6" s="36" t="n">
        <f aca="false">MAX(C6-C8,0)</f>
        <v>665</v>
      </c>
      <c r="E6" s="36" t="n">
        <f aca="false">MAX(D6-D8,0)</f>
        <v>620.666666666667</v>
      </c>
      <c r="F6" s="36" t="n">
        <f aca="false">MAX(E6-E8,0)</f>
        <v>576.333333333333</v>
      </c>
      <c r="G6" s="36" t="n">
        <f aca="false">MAX(F6-F8,0)</f>
        <v>532</v>
      </c>
      <c r="H6" s="36" t="n">
        <f aca="false">MAX(G6-G8,0)</f>
        <v>487.666666666667</v>
      </c>
      <c r="I6" s="36" t="n">
        <f aca="false">MAX(H6-H8,0)</f>
        <v>443.333333333333</v>
      </c>
      <c r="J6" s="36" t="n">
        <f aca="false">MAX(I6-I8,0)</f>
        <v>399</v>
      </c>
      <c r="K6" s="36" t="n">
        <f aca="false">MAX(J6-J8,0)</f>
        <v>354.666666666667</v>
      </c>
      <c r="L6" s="36" t="n">
        <f aca="false">MAX(K6-K8,0)</f>
        <v>310.333333333333</v>
      </c>
      <c r="M6" s="36" t="n">
        <f aca="false">MAX(L6-L8,0)</f>
        <v>266</v>
      </c>
      <c r="N6" s="36" t="n">
        <f aca="false">MAX(M6-M8,0)</f>
        <v>221.666666666667</v>
      </c>
      <c r="O6" s="36" t="n">
        <f aca="false">MAX(N6-N8,0)</f>
        <v>177.333333333333</v>
      </c>
      <c r="P6" s="36" t="n">
        <f aca="false">MAX(O6-O8,0)</f>
        <v>133</v>
      </c>
      <c r="Q6" s="36" t="n">
        <f aca="false">MAX(P6-P8,0)</f>
        <v>88.6666666666666</v>
      </c>
      <c r="R6" s="36" t="n">
        <f aca="false">MAX(Q6-Q8,0)</f>
        <v>44.3333333333333</v>
      </c>
      <c r="S6" s="36" t="n">
        <f aca="false">MAX(R6-R8,0)</f>
        <v>0</v>
      </c>
      <c r="T6" s="36" t="n">
        <f aca="false">MAX(S6-S8,0)</f>
        <v>0</v>
      </c>
      <c r="U6" s="36" t="n">
        <f aca="false">MAX(T6-T8,0)</f>
        <v>0</v>
      </c>
      <c r="V6" s="36" t="n">
        <f aca="false">MAX(U6-U8,0)</f>
        <v>0</v>
      </c>
      <c r="W6" s="36" t="n">
        <f aca="false">MAX(V6-V8,0)</f>
        <v>0</v>
      </c>
      <c r="X6" s="36" t="n">
        <f aca="false">MAX(W6-W8,0)</f>
        <v>0</v>
      </c>
      <c r="Y6" s="36" t="n">
        <f aca="false">MAX(X6-X8,0)</f>
        <v>0</v>
      </c>
      <c r="Z6" s="36" t="n">
        <f aca="false">MAX(Y6-Y8,0)</f>
        <v>0</v>
      </c>
      <c r="AA6" s="36" t="n">
        <f aca="false">MAX(Z6-Z8,0)</f>
        <v>0</v>
      </c>
      <c r="AB6" s="36" t="n">
        <f aca="false">MAX(AA6-AA8,0)</f>
        <v>0</v>
      </c>
    </row>
    <row r="7" customFormat="false" ht="15" hidden="false" customHeight="true" outlineLevel="0" collapsed="false">
      <c r="A7" s="34" t="s">
        <v>174</v>
      </c>
      <c r="B7" s="35" t="s">
        <v>159</v>
      </c>
      <c r="C7" s="36" t="n">
        <v>0</v>
      </c>
      <c r="D7" s="36" t="n">
        <f aca="false">IF(1&lt;='2.Assumptions'!$B$35,D6*'2.Assumptions'!$B$34,0)</f>
        <v>59.85</v>
      </c>
      <c r="E7" s="36" t="n">
        <f aca="false">IF(2&lt;='2.Assumptions'!$B$35,E6*'2.Assumptions'!$B$34,0)</f>
        <v>55.86</v>
      </c>
      <c r="F7" s="36" t="n">
        <f aca="false">IF(3&lt;='2.Assumptions'!$B$35,F6*'2.Assumptions'!$B$34,0)</f>
        <v>51.87</v>
      </c>
      <c r="G7" s="36" t="n">
        <f aca="false">IF(4&lt;='2.Assumptions'!$B$35,G6*'2.Assumptions'!$B$34,0)</f>
        <v>47.88</v>
      </c>
      <c r="H7" s="36" t="n">
        <f aca="false">IF(5&lt;='2.Assumptions'!$B$35,H6*'2.Assumptions'!$B$34,0)</f>
        <v>43.89</v>
      </c>
      <c r="I7" s="36" t="n">
        <f aca="false">IF(6&lt;='2.Assumptions'!$B$35,I6*'2.Assumptions'!$B$34,0)</f>
        <v>39.9</v>
      </c>
      <c r="J7" s="36" t="n">
        <f aca="false">IF(7&lt;='2.Assumptions'!$B$35,J6*'2.Assumptions'!$B$34,0)</f>
        <v>35.91</v>
      </c>
      <c r="K7" s="36" t="n">
        <f aca="false">IF(8&lt;='2.Assumptions'!$B$35,K6*'2.Assumptions'!$B$34,0)</f>
        <v>31.92</v>
      </c>
      <c r="L7" s="36" t="n">
        <f aca="false">IF(9&lt;='2.Assumptions'!$B$35,L6*'2.Assumptions'!$B$34,0)</f>
        <v>27.93</v>
      </c>
      <c r="M7" s="36" t="n">
        <f aca="false">IF(10&lt;='2.Assumptions'!$B$35,M6*'2.Assumptions'!$B$34,0)</f>
        <v>23.94</v>
      </c>
      <c r="N7" s="36" t="n">
        <f aca="false">IF(11&lt;='2.Assumptions'!$B$35,N6*'2.Assumptions'!$B$34,0)</f>
        <v>19.95</v>
      </c>
      <c r="O7" s="36" t="n">
        <f aca="false">IF(12&lt;='2.Assumptions'!$B$35,O6*'2.Assumptions'!$B$34,0)</f>
        <v>15.96</v>
      </c>
      <c r="P7" s="36" t="n">
        <f aca="false">IF(13&lt;='2.Assumptions'!$B$35,P6*'2.Assumptions'!$B$34,0)</f>
        <v>11.97</v>
      </c>
      <c r="Q7" s="36" t="n">
        <f aca="false">IF(14&lt;='2.Assumptions'!$B$35,Q6*'2.Assumptions'!$B$34,0)</f>
        <v>7.98</v>
      </c>
      <c r="R7" s="36" t="n">
        <f aca="false">IF(15&lt;='2.Assumptions'!$B$35,R6*'2.Assumptions'!$B$34,0)</f>
        <v>3.99</v>
      </c>
      <c r="S7" s="36" t="n">
        <f aca="false">IF(16&lt;='2.Assumptions'!$B$35,S6*'2.Assumptions'!$B$34,0)</f>
        <v>0</v>
      </c>
      <c r="T7" s="36" t="n">
        <f aca="false">IF(17&lt;='2.Assumptions'!$B$35,T6*'2.Assumptions'!$B$34,0)</f>
        <v>0</v>
      </c>
      <c r="U7" s="36" t="n">
        <f aca="false">IF(18&lt;='2.Assumptions'!$B$35,U6*'2.Assumptions'!$B$34,0)</f>
        <v>0</v>
      </c>
      <c r="V7" s="36" t="n">
        <f aca="false">IF(19&lt;='2.Assumptions'!$B$35,V6*'2.Assumptions'!$B$34,0)</f>
        <v>0</v>
      </c>
      <c r="W7" s="36" t="n">
        <f aca="false">IF(20&lt;='2.Assumptions'!$B$35,W6*'2.Assumptions'!$B$34,0)</f>
        <v>0</v>
      </c>
      <c r="X7" s="36" t="n">
        <f aca="false">IF(21&lt;='2.Assumptions'!$B$35,X6*'2.Assumptions'!$B$34,0)</f>
        <v>0</v>
      </c>
      <c r="Y7" s="36" t="n">
        <f aca="false">IF(22&lt;='2.Assumptions'!$B$35,Y6*'2.Assumptions'!$B$34,0)</f>
        <v>0</v>
      </c>
      <c r="Z7" s="36" t="n">
        <f aca="false">IF(23&lt;='2.Assumptions'!$B$35,Z6*'2.Assumptions'!$B$34,0)</f>
        <v>0</v>
      </c>
      <c r="AA7" s="36" t="n">
        <f aca="false">IF(24&lt;='2.Assumptions'!$B$35,AA6*'2.Assumptions'!$B$34,0)</f>
        <v>0</v>
      </c>
      <c r="AB7" s="36" t="n">
        <f aca="false">IF(25&lt;='2.Assumptions'!$B$35,AB6*'2.Assumptions'!$B$34,0)</f>
        <v>0</v>
      </c>
    </row>
    <row r="8" customFormat="false" ht="15" hidden="false" customHeight="true" outlineLevel="0" collapsed="false">
      <c r="A8" s="34" t="s">
        <v>175</v>
      </c>
      <c r="B8" s="35" t="s">
        <v>159</v>
      </c>
      <c r="C8" s="36" t="n">
        <v>0</v>
      </c>
      <c r="D8" s="36" t="n">
        <f aca="false">IF(1&lt;='2.Assumptions'!$B$35,('3.Sizing'!$B$13*'2.Assumptions'!$B$33)/'2.Assumptions'!$B$35,0)</f>
        <v>44.3333333333333</v>
      </c>
      <c r="E8" s="36" t="n">
        <f aca="false">IF(2&lt;='2.Assumptions'!$B$35,('3.Sizing'!$B$13*'2.Assumptions'!$B$33)/'2.Assumptions'!$B$35,0)</f>
        <v>44.3333333333333</v>
      </c>
      <c r="F8" s="36" t="n">
        <f aca="false">IF(3&lt;='2.Assumptions'!$B$35,('3.Sizing'!$B$13*'2.Assumptions'!$B$33)/'2.Assumptions'!$B$35,0)</f>
        <v>44.3333333333333</v>
      </c>
      <c r="G8" s="36" t="n">
        <f aca="false">IF(4&lt;='2.Assumptions'!$B$35,('3.Sizing'!$B$13*'2.Assumptions'!$B$33)/'2.Assumptions'!$B$35,0)</f>
        <v>44.3333333333333</v>
      </c>
      <c r="H8" s="36" t="n">
        <f aca="false">IF(5&lt;='2.Assumptions'!$B$35,('3.Sizing'!$B$13*'2.Assumptions'!$B$33)/'2.Assumptions'!$B$35,0)</f>
        <v>44.3333333333333</v>
      </c>
      <c r="I8" s="36" t="n">
        <f aca="false">IF(6&lt;='2.Assumptions'!$B$35,('3.Sizing'!$B$13*'2.Assumptions'!$B$33)/'2.Assumptions'!$B$35,0)</f>
        <v>44.3333333333333</v>
      </c>
      <c r="J8" s="36" t="n">
        <f aca="false">IF(7&lt;='2.Assumptions'!$B$35,('3.Sizing'!$B$13*'2.Assumptions'!$B$33)/'2.Assumptions'!$B$35,0)</f>
        <v>44.3333333333333</v>
      </c>
      <c r="K8" s="36" t="n">
        <f aca="false">IF(8&lt;='2.Assumptions'!$B$35,('3.Sizing'!$B$13*'2.Assumptions'!$B$33)/'2.Assumptions'!$B$35,0)</f>
        <v>44.3333333333333</v>
      </c>
      <c r="L8" s="36" t="n">
        <f aca="false">IF(9&lt;='2.Assumptions'!$B$35,('3.Sizing'!$B$13*'2.Assumptions'!$B$33)/'2.Assumptions'!$B$35,0)</f>
        <v>44.3333333333333</v>
      </c>
      <c r="M8" s="36" t="n">
        <f aca="false">IF(10&lt;='2.Assumptions'!$B$35,('3.Sizing'!$B$13*'2.Assumptions'!$B$33)/'2.Assumptions'!$B$35,0)</f>
        <v>44.3333333333333</v>
      </c>
      <c r="N8" s="36" t="n">
        <f aca="false">IF(11&lt;='2.Assumptions'!$B$35,('3.Sizing'!$B$13*'2.Assumptions'!$B$33)/'2.Assumptions'!$B$35,0)</f>
        <v>44.3333333333333</v>
      </c>
      <c r="O8" s="36" t="n">
        <f aca="false">IF(12&lt;='2.Assumptions'!$B$35,('3.Sizing'!$B$13*'2.Assumptions'!$B$33)/'2.Assumptions'!$B$35,0)</f>
        <v>44.3333333333333</v>
      </c>
      <c r="P8" s="36" t="n">
        <f aca="false">IF(13&lt;='2.Assumptions'!$B$35,('3.Sizing'!$B$13*'2.Assumptions'!$B$33)/'2.Assumptions'!$B$35,0)</f>
        <v>44.3333333333333</v>
      </c>
      <c r="Q8" s="36" t="n">
        <f aca="false">IF(14&lt;='2.Assumptions'!$B$35,('3.Sizing'!$B$13*'2.Assumptions'!$B$33)/'2.Assumptions'!$B$35,0)</f>
        <v>44.3333333333333</v>
      </c>
      <c r="R8" s="36" t="n">
        <f aca="false">IF(15&lt;='2.Assumptions'!$B$35,('3.Sizing'!$B$13*'2.Assumptions'!$B$33)/'2.Assumptions'!$B$35,0)</f>
        <v>44.3333333333333</v>
      </c>
      <c r="S8" s="36" t="n">
        <f aca="false">IF(16&lt;='2.Assumptions'!$B$35,('3.Sizing'!$B$13*'2.Assumptions'!$B$33)/'2.Assumptions'!$B$35,0)</f>
        <v>0</v>
      </c>
      <c r="T8" s="36" t="n">
        <f aca="false">IF(17&lt;='2.Assumptions'!$B$35,('3.Sizing'!$B$13*'2.Assumptions'!$B$33)/'2.Assumptions'!$B$35,0)</f>
        <v>0</v>
      </c>
      <c r="U8" s="36" t="n">
        <f aca="false">IF(18&lt;='2.Assumptions'!$B$35,('3.Sizing'!$B$13*'2.Assumptions'!$B$33)/'2.Assumptions'!$B$35,0)</f>
        <v>0</v>
      </c>
      <c r="V8" s="36" t="n">
        <f aca="false">IF(19&lt;='2.Assumptions'!$B$35,('3.Sizing'!$B$13*'2.Assumptions'!$B$33)/'2.Assumptions'!$B$35,0)</f>
        <v>0</v>
      </c>
      <c r="W8" s="36" t="n">
        <f aca="false">IF(20&lt;='2.Assumptions'!$B$35,('3.Sizing'!$B$13*'2.Assumptions'!$B$33)/'2.Assumptions'!$B$35,0)</f>
        <v>0</v>
      </c>
      <c r="X8" s="36" t="n">
        <f aca="false">IF(21&lt;='2.Assumptions'!$B$35,('3.Sizing'!$B$13*'2.Assumptions'!$B$33)/'2.Assumptions'!$B$35,0)</f>
        <v>0</v>
      </c>
      <c r="Y8" s="36" t="n">
        <f aca="false">IF(22&lt;='2.Assumptions'!$B$35,('3.Sizing'!$B$13*'2.Assumptions'!$B$33)/'2.Assumptions'!$B$35,0)</f>
        <v>0</v>
      </c>
      <c r="Z8" s="36" t="n">
        <f aca="false">IF(23&lt;='2.Assumptions'!$B$35,('3.Sizing'!$B$13*'2.Assumptions'!$B$33)/'2.Assumptions'!$B$35,0)</f>
        <v>0</v>
      </c>
      <c r="AA8" s="36" t="n">
        <f aca="false">IF(24&lt;='2.Assumptions'!$B$35,('3.Sizing'!$B$13*'2.Assumptions'!$B$33)/'2.Assumptions'!$B$35,0)</f>
        <v>0</v>
      </c>
      <c r="AB8" s="36" t="n">
        <f aca="false">IF(25&lt;='2.Assumptions'!$B$35,('3.Sizing'!$B$13*'2.Assumptions'!$B$33)/'2.Assumptions'!$B$35,0)</f>
        <v>0</v>
      </c>
    </row>
    <row r="9" customFormat="false" ht="15" hidden="false" customHeight="true" outlineLevel="0" collapsed="false">
      <c r="A9" s="34" t="s">
        <v>164</v>
      </c>
      <c r="B9" s="35" t="s">
        <v>159</v>
      </c>
      <c r="C9" s="36" t="n">
        <v>0</v>
      </c>
      <c r="D9" s="36" t="n">
        <f aca="false">'3.Sizing'!$B$13/'2.Assumptions'!$B$28</f>
        <v>38</v>
      </c>
      <c r="E9" s="36" t="n">
        <f aca="false">'3.Sizing'!$B$13/'2.Assumptions'!$B$28</f>
        <v>38</v>
      </c>
      <c r="F9" s="36" t="n">
        <f aca="false">'3.Sizing'!$B$13/'2.Assumptions'!$B$28</f>
        <v>38</v>
      </c>
      <c r="G9" s="36" t="n">
        <f aca="false">'3.Sizing'!$B$13/'2.Assumptions'!$B$28</f>
        <v>38</v>
      </c>
      <c r="H9" s="36" t="n">
        <f aca="false">'3.Sizing'!$B$13/'2.Assumptions'!$B$28</f>
        <v>38</v>
      </c>
      <c r="I9" s="36" t="n">
        <f aca="false">'3.Sizing'!$B$13/'2.Assumptions'!$B$28</f>
        <v>38</v>
      </c>
      <c r="J9" s="36" t="n">
        <f aca="false">'3.Sizing'!$B$13/'2.Assumptions'!$B$28</f>
        <v>38</v>
      </c>
      <c r="K9" s="36" t="n">
        <f aca="false">'3.Sizing'!$B$13/'2.Assumptions'!$B$28</f>
        <v>38</v>
      </c>
      <c r="L9" s="36" t="n">
        <f aca="false">'3.Sizing'!$B$13/'2.Assumptions'!$B$28</f>
        <v>38</v>
      </c>
      <c r="M9" s="36" t="n">
        <f aca="false">'3.Sizing'!$B$13/'2.Assumptions'!$B$28</f>
        <v>38</v>
      </c>
      <c r="N9" s="36" t="n">
        <f aca="false">'3.Sizing'!$B$13/'2.Assumptions'!$B$28</f>
        <v>38</v>
      </c>
      <c r="O9" s="36" t="n">
        <f aca="false">'3.Sizing'!$B$13/'2.Assumptions'!$B$28</f>
        <v>38</v>
      </c>
      <c r="P9" s="36" t="n">
        <f aca="false">'3.Sizing'!$B$13/'2.Assumptions'!$B$28</f>
        <v>38</v>
      </c>
      <c r="Q9" s="36" t="n">
        <f aca="false">'3.Sizing'!$B$13/'2.Assumptions'!$B$28</f>
        <v>38</v>
      </c>
      <c r="R9" s="36" t="n">
        <f aca="false">'3.Sizing'!$B$13/'2.Assumptions'!$B$28</f>
        <v>38</v>
      </c>
      <c r="S9" s="36" t="n">
        <f aca="false">'3.Sizing'!$B$13/'2.Assumptions'!$B$28</f>
        <v>38</v>
      </c>
      <c r="T9" s="36" t="n">
        <f aca="false">'3.Sizing'!$B$13/'2.Assumptions'!$B$28</f>
        <v>38</v>
      </c>
      <c r="U9" s="36" t="n">
        <f aca="false">'3.Sizing'!$B$13/'2.Assumptions'!$B$28</f>
        <v>38</v>
      </c>
      <c r="V9" s="36" t="n">
        <f aca="false">'3.Sizing'!$B$13/'2.Assumptions'!$B$28</f>
        <v>38</v>
      </c>
      <c r="W9" s="36" t="n">
        <f aca="false">'3.Sizing'!$B$13/'2.Assumptions'!$B$28</f>
        <v>38</v>
      </c>
      <c r="X9" s="36" t="n">
        <f aca="false">'3.Sizing'!$B$13/'2.Assumptions'!$B$28</f>
        <v>38</v>
      </c>
      <c r="Y9" s="36" t="n">
        <f aca="false">'3.Sizing'!$B$13/'2.Assumptions'!$B$28</f>
        <v>38</v>
      </c>
      <c r="Z9" s="36" t="n">
        <f aca="false">'3.Sizing'!$B$13/'2.Assumptions'!$B$28</f>
        <v>38</v>
      </c>
      <c r="AA9" s="36" t="n">
        <f aca="false">'3.Sizing'!$B$13/'2.Assumptions'!$B$28</f>
        <v>38</v>
      </c>
      <c r="AB9" s="36" t="n">
        <f aca="false">'3.Sizing'!$B$13/'2.Assumptions'!$B$28</f>
        <v>38</v>
      </c>
    </row>
    <row r="10" customFormat="false" ht="15" hidden="false" customHeight="true" outlineLevel="0" collapsed="false">
      <c r="A10" s="34" t="s">
        <v>165</v>
      </c>
      <c r="B10" s="35" t="s">
        <v>159</v>
      </c>
      <c r="C10" s="36" t="n">
        <v>0</v>
      </c>
      <c r="D10" s="36" t="n">
        <f aca="false">MAX(D5-D9-D7,0)</f>
        <v>50.7928793103448</v>
      </c>
      <c r="E10" s="36" t="n">
        <f aca="false">MAX(E5-E9-E7,0)</f>
        <v>54.9697533896552</v>
      </c>
      <c r="F10" s="36" t="n">
        <f aca="false">MAX(F5-F9-F7,0)</f>
        <v>59.1268894579398</v>
      </c>
      <c r="G10" s="36" t="n">
        <f aca="false">MAX(G5-G9-G7,0)</f>
        <v>63.2626946081679</v>
      </c>
      <c r="H10" s="36" t="n">
        <f aca="false">MAX(H5-H9-H7,0)</f>
        <v>67.3754847289201</v>
      </c>
      <c r="I10" s="36" t="n">
        <f aca="false">MAX(I5-I9-I7,0)</f>
        <v>71.4634797619339</v>
      </c>
      <c r="J10" s="36" t="n">
        <f aca="false">MAX(J5-J9-J7,0)</f>
        <v>75.5247987211478</v>
      </c>
      <c r="K10" s="36" t="n">
        <f aca="false">MAX(K5-K9-K7,0)</f>
        <v>79.5574544613795</v>
      </c>
      <c r="L10" s="36" t="n">
        <f aca="false">MAX(L5-L9-L7,0)</f>
        <v>83.5593481841846</v>
      </c>
      <c r="M10" s="36" t="n">
        <f aca="false">MAX(M5-M9-M7,0)</f>
        <v>87.5282636678238</v>
      </c>
      <c r="N10" s="36" t="n">
        <f aca="false">MAX(N5-N9-N7,0)</f>
        <v>91.4618612076179</v>
      </c>
      <c r="O10" s="36" t="n">
        <f aca="false">MAX(O5-O9-O7,0)</f>
        <v>95.357671252289</v>
      </c>
      <c r="P10" s="36" t="n">
        <f aca="false">MAX(P5-P9-P7,0)</f>
        <v>99.2130877211703</v>
      </c>
      <c r="Q10" s="36" t="n">
        <f aca="false">MAX(Q5-Q9-Q7,0)</f>
        <v>103.025360986418</v>
      </c>
      <c r="R10" s="36" t="n">
        <f aca="false">MAX(R5-R9-R7,0)</f>
        <v>106.791590503573</v>
      </c>
      <c r="S10" s="36" t="n">
        <f aca="false">MAX(S5-S9-S7,0)</f>
        <v>110.508717072978</v>
      </c>
      <c r="T10" s="36" t="n">
        <f aca="false">MAX(T5-T9-T7,0)</f>
        <v>110.183514713726</v>
      </c>
      <c r="U10" s="36" t="n">
        <f aca="false">MAX(U5-U9-U7,0)</f>
        <v>109.802582130845</v>
      </c>
      <c r="V10" s="36" t="n">
        <f aca="false">MAX(V5-V9-V7,0)</f>
        <v>109.362333755535</v>
      </c>
      <c r="W10" s="36" t="n">
        <f aca="false">MAX(W5-W9-W7,0)</f>
        <v>108.858990337206</v>
      </c>
      <c r="X10" s="36" t="n">
        <f aca="false">MAX(X5-X9-X7,0)</f>
        <v>108.288569065068</v>
      </c>
      <c r="Y10" s="36" t="n">
        <f aca="false">MAX(Y5-Y9-Y7,0)</f>
        <v>107.646873195869</v>
      </c>
      <c r="Z10" s="36" t="n">
        <f aca="false">MAX(Z5-Z9-Z7,0)</f>
        <v>106.929481163258</v>
      </c>
      <c r="AA10" s="36" t="n">
        <f aca="false">MAX(AA5-AA9-AA7,0)</f>
        <v>106.131735142992</v>
      </c>
      <c r="AB10" s="36" t="n">
        <f aca="false">MAX(AB5-AB9-AB7,0)</f>
        <v>105.24872904696</v>
      </c>
    </row>
    <row r="11" customFormat="false" ht="15" hidden="false" customHeight="true" outlineLevel="0" collapsed="false">
      <c r="A11" s="34" t="s">
        <v>166</v>
      </c>
      <c r="B11" s="35" t="s">
        <v>159</v>
      </c>
      <c r="C11" s="36" t="n">
        <v>0</v>
      </c>
      <c r="D11" s="36" t="n">
        <f aca="false">D10*'2.Assumptions'!$B$30</f>
        <v>12.6982198275862</v>
      </c>
      <c r="E11" s="36" t="n">
        <f aca="false">E10*'2.Assumptions'!$B$30</f>
        <v>13.7424383474138</v>
      </c>
      <c r="F11" s="36" t="n">
        <f aca="false">F10*'2.Assumptions'!$B$30</f>
        <v>14.781722364485</v>
      </c>
      <c r="G11" s="36" t="n">
        <f aca="false">G10*'2.Assumptions'!$B$30</f>
        <v>15.815673652042</v>
      </c>
      <c r="H11" s="36" t="n">
        <f aca="false">H10*'2.Assumptions'!$B$30</f>
        <v>16.84387118223</v>
      </c>
      <c r="I11" s="36" t="n">
        <f aca="false">I10*'2.Assumptions'!$B$30</f>
        <v>17.8658699404835</v>
      </c>
      <c r="J11" s="36" t="n">
        <f aca="false">J10*'2.Assumptions'!$B$30</f>
        <v>18.881199680287</v>
      </c>
      <c r="K11" s="36" t="n">
        <f aca="false">K10*'2.Assumptions'!$B$30</f>
        <v>19.8893636153449</v>
      </c>
      <c r="L11" s="36" t="n">
        <f aca="false">L10*'2.Assumptions'!$B$30</f>
        <v>20.8898370460461</v>
      </c>
      <c r="M11" s="36" t="n">
        <f aca="false">M10*'2.Assumptions'!$B$30</f>
        <v>21.8820659169559</v>
      </c>
      <c r="N11" s="36" t="n">
        <f aca="false">N10*'2.Assumptions'!$B$30</f>
        <v>22.8654653019045</v>
      </c>
      <c r="O11" s="36" t="n">
        <f aca="false">O10*'2.Assumptions'!$B$30</f>
        <v>23.8394178130723</v>
      </c>
      <c r="P11" s="36" t="n">
        <f aca="false">P10*'2.Assumptions'!$B$30</f>
        <v>24.8032719302926</v>
      </c>
      <c r="Q11" s="36" t="n">
        <f aca="false">Q10*'2.Assumptions'!$B$30</f>
        <v>25.7563402466046</v>
      </c>
      <c r="R11" s="36" t="n">
        <f aca="false">R10*'2.Assumptions'!$B$30</f>
        <v>26.6978976258931</v>
      </c>
      <c r="S11" s="36" t="n">
        <f aca="false">S10*'2.Assumptions'!$B$30</f>
        <v>27.6271792682445</v>
      </c>
      <c r="T11" s="36" t="n">
        <f aca="false">T10*'2.Assumptions'!$B$30</f>
        <v>27.5458786784314</v>
      </c>
      <c r="U11" s="36" t="n">
        <f aca="false">U10*'2.Assumptions'!$B$30</f>
        <v>27.4506455327113</v>
      </c>
      <c r="V11" s="36" t="n">
        <f aca="false">V10*'2.Assumptions'!$B$30</f>
        <v>27.3405834388838</v>
      </c>
      <c r="W11" s="36" t="n">
        <f aca="false">W10*'2.Assumptions'!$B$30</f>
        <v>27.2147475843016</v>
      </c>
      <c r="X11" s="36" t="n">
        <f aca="false">X10*'2.Assumptions'!$B$30</f>
        <v>27.0721422662669</v>
      </c>
      <c r="Y11" s="36" t="n">
        <f aca="false">Y10*'2.Assumptions'!$B$30</f>
        <v>26.9117182989673</v>
      </c>
      <c r="Z11" s="36" t="n">
        <f aca="false">Z10*'2.Assumptions'!$B$30</f>
        <v>26.7323702908145</v>
      </c>
      <c r="AA11" s="36" t="n">
        <f aca="false">AA10*'2.Assumptions'!$B$30</f>
        <v>26.5329337857479</v>
      </c>
      <c r="AB11" s="36" t="n">
        <f aca="false">AB10*'2.Assumptions'!$B$30</f>
        <v>26.3121822617401</v>
      </c>
    </row>
    <row r="12" customFormat="false" ht="15" hidden="false" customHeight="true" outlineLevel="0" collapsed="false">
      <c r="A12" s="42" t="s">
        <v>176</v>
      </c>
      <c r="B12" s="35" t="s">
        <v>159</v>
      </c>
      <c r="C12" s="36" t="n">
        <f aca="false">-'3.Sizing'!$B$13*(1-'2.Assumptions'!$B$33)</f>
        <v>-285</v>
      </c>
      <c r="D12" s="36" t="n">
        <f aca="false">D5-D11-D7-D8</f>
        <v>31.7613261494253</v>
      </c>
      <c r="E12" s="36" t="n">
        <f aca="false">E5-E11-E7-E8</f>
        <v>34.8939817089081</v>
      </c>
      <c r="F12" s="36" t="n">
        <f aca="false">F5-F11-F7-F8</f>
        <v>38.0118337601216</v>
      </c>
      <c r="G12" s="36" t="n">
        <f aca="false">G5-G11-G7-G8</f>
        <v>41.1136876227926</v>
      </c>
      <c r="H12" s="36" t="n">
        <f aca="false">H5-H11-H7-H8</f>
        <v>44.1982802133567</v>
      </c>
      <c r="I12" s="36" t="n">
        <f aca="false">I5-I11-I7-I8</f>
        <v>47.2642764881171</v>
      </c>
      <c r="J12" s="36" t="n">
        <f aca="false">J5-J11-J7-J8</f>
        <v>50.3102657075275</v>
      </c>
      <c r="K12" s="36" t="n">
        <f aca="false">K5-K11-K7-K8</f>
        <v>53.3347575127013</v>
      </c>
      <c r="L12" s="36" t="n">
        <f aca="false">L5-L11-L7-L8</f>
        <v>56.3361778048051</v>
      </c>
      <c r="M12" s="36" t="n">
        <f aca="false">M5-M11-M7-M8</f>
        <v>59.3128644175345</v>
      </c>
      <c r="N12" s="36" t="n">
        <f aca="false">N5-N11-N7-N8</f>
        <v>62.2630625723801</v>
      </c>
      <c r="O12" s="36" t="n">
        <f aca="false">O5-O11-O7-O8</f>
        <v>65.1849201058834</v>
      </c>
      <c r="P12" s="36" t="n">
        <f aca="false">P5-P11-P7-P8</f>
        <v>68.0764824575444</v>
      </c>
      <c r="Q12" s="36" t="n">
        <f aca="false">Q5-Q11-Q7-Q8</f>
        <v>70.9356874064805</v>
      </c>
      <c r="R12" s="36" t="n">
        <f aca="false">R5-R11-R7-R8</f>
        <v>73.760359544346</v>
      </c>
      <c r="S12" s="36" t="n">
        <f aca="false">S5-S11-S7-S8</f>
        <v>120.881537804733</v>
      </c>
      <c r="T12" s="36" t="n">
        <f aca="false">T5-T11-T7-T8</f>
        <v>120.637636035294</v>
      </c>
      <c r="U12" s="36" t="n">
        <f aca="false">U5-U11-U7-U8</f>
        <v>120.351936598134</v>
      </c>
      <c r="V12" s="36" t="n">
        <f aca="false">V5-V11-V7-V8</f>
        <v>120.021750316651</v>
      </c>
      <c r="W12" s="36" t="n">
        <f aca="false">W5-W11-W7-W8</f>
        <v>119.644242752905</v>
      </c>
      <c r="X12" s="36" t="n">
        <f aca="false">X5-X11-X7-X8</f>
        <v>119.216426798801</v>
      </c>
      <c r="Y12" s="36" t="n">
        <f aca="false">Y5-Y11-Y7-Y8</f>
        <v>118.735154896902</v>
      </c>
      <c r="Z12" s="36" t="n">
        <f aca="false">Z5-Z11-Z7-Z8</f>
        <v>118.197110872443</v>
      </c>
      <c r="AA12" s="36" t="n">
        <f aca="false">AA5-AA11-AA7-AA8</f>
        <v>117.598801357244</v>
      </c>
      <c r="AB12" s="36" t="n">
        <f aca="false">AB5-AB11-AB7-AB8</f>
        <v>116.93654678522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"/>
    <col collapsed="false" customWidth="true" hidden="false" outlineLevel="0" max="5" min="3" style="1" width="15"/>
    <col collapsed="false" customWidth="true" hidden="false" outlineLevel="0" max="6" min="6" style="1" width="3"/>
  </cols>
  <sheetData>
    <row r="1" customFormat="false" ht="21.75" hidden="false" customHeight="true" outlineLevel="0" collapsed="false">
      <c r="A1" s="2" t="s">
        <v>177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6" t="s">
        <v>178</v>
      </c>
      <c r="B2" s="26"/>
      <c r="C2" s="26"/>
      <c r="D2" s="26"/>
      <c r="E2" s="26"/>
      <c r="F2" s="26"/>
    </row>
    <row r="4" customFormat="false" ht="15" hidden="false" customHeight="true" outlineLevel="0" collapsed="false">
      <c r="A4" s="6" t="s">
        <v>179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43"/>
      <c r="C5" s="44" t="s">
        <v>180</v>
      </c>
      <c r="D5" s="44" t="s">
        <v>181</v>
      </c>
      <c r="E5" s="44" t="s">
        <v>182</v>
      </c>
      <c r="F5" s="43"/>
    </row>
    <row r="6" customFormat="false" ht="15" hidden="false" customHeight="true" outlineLevel="0" collapsed="false">
      <c r="A6" s="45" t="s">
        <v>183</v>
      </c>
      <c r="C6" s="46" t="n">
        <v>0.9</v>
      </c>
      <c r="D6" s="46" t="n">
        <v>1</v>
      </c>
      <c r="E6" s="46" t="n">
        <v>1.1</v>
      </c>
    </row>
    <row r="7" customFormat="false" ht="15" hidden="false" customHeight="true" outlineLevel="0" collapsed="false">
      <c r="A7" s="45" t="s">
        <v>170</v>
      </c>
      <c r="C7" s="47" t="n">
        <f aca="false">IRR(C14:C39)</f>
        <v>0.163235668609118</v>
      </c>
      <c r="D7" s="48" t="n">
        <f aca="false">IRR(D14:D39)</f>
        <v>0.173566838844846</v>
      </c>
      <c r="E7" s="49" t="n">
        <f aca="false">IRR(E14:E39)</f>
        <v>0.183929506655938</v>
      </c>
    </row>
    <row r="8" customFormat="false" ht="15" hidden="false" customHeight="true" outlineLevel="0" collapsed="false">
      <c r="A8" s="45" t="s">
        <v>184</v>
      </c>
      <c r="C8" s="50" t="n">
        <f aca="false">(C7-$D$7)*100</f>
        <v>-1.03311702357276</v>
      </c>
      <c r="D8" s="51" t="n">
        <f aca="false">(D7-$D$7)*100</f>
        <v>0</v>
      </c>
      <c r="E8" s="52" t="n">
        <f aca="false">(E7-$D$7)*100</f>
        <v>1.03626678110919</v>
      </c>
    </row>
    <row r="9" customFormat="false" ht="15" hidden="false" customHeight="true" outlineLevel="0" collapsed="false">
      <c r="A9" s="45" t="s">
        <v>185</v>
      </c>
      <c r="C9" s="53" t="n">
        <f aca="false">'4.Cashflow'!$B$2+'2.Assumptions'!$B$36*MAX('2.Assumptions'!$B$21*$C$6-'4.Cashflow'!$B$2,0)</f>
        <v>10.81</v>
      </c>
      <c r="D9" s="54" t="n">
        <f aca="false">'4.Cashflow'!$B$2+'2.Assumptions'!$B$36*MAX('2.Assumptions'!$B$21*$D$6-'4.Cashflow'!$B$2,0)</f>
        <v>10.81</v>
      </c>
      <c r="E9" s="55" t="n">
        <f aca="false">'4.Cashflow'!$B$2+'2.Assumptions'!$B$36*MAX('2.Assumptions'!$B$21*$E$6-'4.Cashflow'!$B$2,0)</f>
        <v>10.81</v>
      </c>
    </row>
    <row r="10" customFormat="false" ht="15" hidden="false" customHeight="true" outlineLevel="0" collapsed="false">
      <c r="A10" s="45" t="s">
        <v>186</v>
      </c>
      <c r="C10" s="56" t="n">
        <f aca="false">IF('2.Assumptions'!$B$21*$C$6&lt;'4.Cashflow'!$B$2,('4.Cashflow'!$B$2-'2.Assumptions'!$B$21*$C$6),-(1-'2.Assumptions'!$B$36)*('2.Assumptions'!$B$21*$C$6-'4.Cashflow'!$B$2))*'3.Sizing'!$B$7*1000/10000000</f>
        <v>59.2395</v>
      </c>
      <c r="D10" s="57" t="n">
        <f aca="false">IF('2.Assumptions'!$B$21*$D$6&lt;'4.Cashflow'!$B$2,('4.Cashflow'!$B$2-'2.Assumptions'!$B$21*$D$6),-(1-'2.Assumptions'!$B$36)*('2.Assumptions'!$B$21*$D$6-'4.Cashflow'!$B$2))*'3.Sizing'!$B$7*1000/10000000</f>
        <v>52.6695</v>
      </c>
      <c r="E10" s="58" t="n">
        <f aca="false">IF('2.Assumptions'!$B$21*$E$6&lt;'4.Cashflow'!$B$2,('4.Cashflow'!$B$2-'2.Assumptions'!$B$21*$E$6),-(1-'2.Assumptions'!$B$36)*('2.Assumptions'!$B$21*$E$6-'4.Cashflow'!$B$2))*'3.Sizing'!$B$7*1000/10000000</f>
        <v>46.0995</v>
      </c>
    </row>
    <row r="12" customFormat="false" ht="15" hidden="false" customHeight="true" outlineLevel="0" collapsed="false">
      <c r="A12" s="6" t="s">
        <v>187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44" t="s">
        <v>188</v>
      </c>
      <c r="C13" s="44" t="s">
        <v>180</v>
      </c>
      <c r="D13" s="44" t="s">
        <v>181</v>
      </c>
      <c r="E13" s="44" t="s">
        <v>182</v>
      </c>
    </row>
    <row r="14" customFormat="false" ht="15" hidden="false" customHeight="true" outlineLevel="0" collapsed="false">
      <c r="A14" s="59" t="n">
        <v>0</v>
      </c>
      <c r="C14" s="60" t="n">
        <f aca="false">-'3.Sizing'!$B$13*(1-'2.Assumptions'!$B$33)</f>
        <v>-285</v>
      </c>
      <c r="D14" s="60" t="n">
        <f aca="false">-'3.Sizing'!$B$13*(1-'2.Assumptions'!$B$33)</f>
        <v>-285</v>
      </c>
      <c r="E14" s="60" t="n">
        <f aca="false">-'3.Sizing'!$B$13*(1-'2.Assumptions'!$B$33)</f>
        <v>-285</v>
      </c>
    </row>
    <row r="15" customFormat="false" ht="15" hidden="false" customHeight="true" outlineLevel="0" collapsed="false">
      <c r="A15" s="59" t="n">
        <v>1</v>
      </c>
      <c r="C15" s="60" t="n">
        <f aca="false">(MAX('3.Sizing'!$B$4*(1-'2.Assumptions'!$B$12)^(1-1)-'3.Sizing'!$B$5,0)*1000*('2.Assumptions'!$B$22*$C$6*(1+'2.Assumptions'!$B$23)^(1-1))/10000000+'3.Sizing'!$B$7*1000*('4.Cashflow'!$B$2+'2.Assumptions'!$B$36*MAX('2.Assumptions'!$B$21*$C$6-'4.Cashflow'!$B$2,0))/10000000-('3.Sizing'!$B$11*'2.Assumptions'!$B$25+'3.Sizing'!$B$12*'2.Assumptions'!$B$26)*(1+'2.Assumptions'!$B$27)^(1-1))-(MAX((MAX('3.Sizing'!$B$4*(1-'2.Assumptions'!$B$12)^(1-1)-'3.Sizing'!$B$5,0)*1000*('2.Assumptions'!$B$22*$C$6*(1+'2.Assumptions'!$B$23)^(1-1))/10000000+'3.Sizing'!$B$7*1000*('4.Cashflow'!$B$2+'2.Assumptions'!$B$36*MAX('2.Assumptions'!$B$21*$C$6-'4.Cashflow'!$B$2,0))/10000000-('3.Sizing'!$B$11*'2.Assumptions'!$B$25+'3.Sizing'!$B$12*'2.Assumptions'!$B$26)*(1+'2.Assumptions'!$B$27)^(1-1))-'3.Sizing'!$B$13/'2.Assumptions'!$B$28-IF(1&lt;='2.Assumptions'!$B$35,('3.Sizing'!$B$13*'2.Assumptions'!$B$33-('3.Sizing'!$B$13*'2.Assumptions'!$B$33/'2.Assumptions'!$B$35)*(1-1))*'2.Assumptions'!$B$34,0),0)*'2.Assumptions'!$B$30)-(IF(1&lt;='2.Assumptions'!$B$35,('3.Sizing'!$B$13*'2.Assumptions'!$B$33-('3.Sizing'!$B$13*'2.Assumptions'!$B$33/'2.Assumptions'!$B$35)*(1-1))*'2.Assumptions'!$B$34,0))-(IF(1&lt;='2.Assumptions'!$B$35,('3.Sizing'!$B$13*'2.Assumptions'!$B$33)/'2.Assumptions'!$B$35,0))</f>
        <v>28.3845727011494</v>
      </c>
      <c r="D15" s="60" t="n">
        <f aca="false">(MAX('3.Sizing'!$B$4*(1-'2.Assumptions'!$B$12)^(1-1)-'3.Sizing'!$B$5,0)*1000*('2.Assumptions'!$B$22*$D$6*(1+'2.Assumptions'!$B$23)^(1-1))/10000000+'3.Sizing'!$B$7*1000*('4.Cashflow'!$B$2+'2.Assumptions'!$B$36*MAX('2.Assumptions'!$B$21*$D$6-'4.Cashflow'!$B$2,0))/10000000-('3.Sizing'!$B$11*'2.Assumptions'!$B$25+'3.Sizing'!$B$12*'2.Assumptions'!$B$26)*(1+'2.Assumptions'!$B$27)^(1-1))-(MAX((MAX('3.Sizing'!$B$4*(1-'2.Assumptions'!$B$12)^(1-1)-'3.Sizing'!$B$5,0)*1000*('2.Assumptions'!$B$22*$D$6*(1+'2.Assumptions'!$B$23)^(1-1))/10000000+'3.Sizing'!$B$7*1000*('4.Cashflow'!$B$2+'2.Assumptions'!$B$36*MAX('2.Assumptions'!$B$21*$D$6-'4.Cashflow'!$B$2,0))/10000000-('3.Sizing'!$B$11*'2.Assumptions'!$B$25+'3.Sizing'!$B$12*'2.Assumptions'!$B$26)*(1+'2.Assumptions'!$B$27)^(1-1))-'3.Sizing'!$B$13/'2.Assumptions'!$B$28-IF(1&lt;='2.Assumptions'!$B$35,('3.Sizing'!$B$13*'2.Assumptions'!$B$33-('3.Sizing'!$B$13*'2.Assumptions'!$B$33/'2.Assumptions'!$B$35)*(1-1))*'2.Assumptions'!$B$34,0),0)*'2.Assumptions'!$B$30)-(IF(1&lt;='2.Assumptions'!$B$35,('3.Sizing'!$B$13*'2.Assumptions'!$B$33-('3.Sizing'!$B$13*'2.Assumptions'!$B$33/'2.Assumptions'!$B$35)*(1-1))*'2.Assumptions'!$B$34,0))-(IF(1&lt;='2.Assumptions'!$B$35,('3.Sizing'!$B$13*'2.Assumptions'!$B$33)/'2.Assumptions'!$B$35,0))</f>
        <v>31.7613261494253</v>
      </c>
      <c r="E15" s="60" t="n">
        <f aca="false">(MAX('3.Sizing'!$B$4*(1-'2.Assumptions'!$B$12)^(1-1)-'3.Sizing'!$B$5,0)*1000*('2.Assumptions'!$B$22*$E$6*(1+'2.Assumptions'!$B$23)^(1-1))/10000000+'3.Sizing'!$B$7*1000*('4.Cashflow'!$B$2+'2.Assumptions'!$B$36*MAX('2.Assumptions'!$B$21*$E$6-'4.Cashflow'!$B$2,0))/10000000-('3.Sizing'!$B$11*'2.Assumptions'!$B$25+'3.Sizing'!$B$12*'2.Assumptions'!$B$26)*(1+'2.Assumptions'!$B$27)^(1-1))-(MAX((MAX('3.Sizing'!$B$4*(1-'2.Assumptions'!$B$12)^(1-1)-'3.Sizing'!$B$5,0)*1000*('2.Assumptions'!$B$22*$E$6*(1+'2.Assumptions'!$B$23)^(1-1))/10000000+'3.Sizing'!$B$7*1000*('4.Cashflow'!$B$2+'2.Assumptions'!$B$36*MAX('2.Assumptions'!$B$21*$E$6-'4.Cashflow'!$B$2,0))/10000000-('3.Sizing'!$B$11*'2.Assumptions'!$B$25+'3.Sizing'!$B$12*'2.Assumptions'!$B$26)*(1+'2.Assumptions'!$B$27)^(1-1))-'3.Sizing'!$B$13/'2.Assumptions'!$B$28-IF(1&lt;='2.Assumptions'!$B$35,('3.Sizing'!$B$13*'2.Assumptions'!$B$33-('3.Sizing'!$B$13*'2.Assumptions'!$B$33/'2.Assumptions'!$B$35)*(1-1))*'2.Assumptions'!$B$34,0),0)*'2.Assumptions'!$B$30)-(IF(1&lt;='2.Assumptions'!$B$35,('3.Sizing'!$B$13*'2.Assumptions'!$B$33-('3.Sizing'!$B$13*'2.Assumptions'!$B$33/'2.Assumptions'!$B$35)*(1-1))*'2.Assumptions'!$B$34,0))-(IF(1&lt;='2.Assumptions'!$B$35,('3.Sizing'!$B$13*'2.Assumptions'!$B$33)/'2.Assumptions'!$B$35,0))</f>
        <v>35.1380795977012</v>
      </c>
    </row>
    <row r="16" customFormat="false" ht="15" hidden="false" customHeight="true" outlineLevel="0" collapsed="false">
      <c r="A16" s="59" t="n">
        <v>2</v>
      </c>
      <c r="C16" s="60" t="n">
        <f aca="false">(MAX('3.Sizing'!$B$4*(1-'2.Assumptions'!$B$12)^(2-1)-'3.Sizing'!$B$5,0)*1000*('2.Assumptions'!$B$22*$C$6*(1+'2.Assumptions'!$B$23)^(2-1))/10000000+'3.Sizing'!$B$7*1000*('4.Cashflow'!$B$2+'2.Assumptions'!$B$36*MAX('2.Assumptions'!$B$21*$C$6-'4.Cashflow'!$B$2,0))/10000000-('3.Sizing'!$B$11*'2.Assumptions'!$B$25+'3.Sizing'!$B$12*'2.Assumptions'!$B$26)*(1+'2.Assumptions'!$B$27)^(2-1))-(MAX((MAX('3.Sizing'!$B$4*(1-'2.Assumptions'!$B$12)^(2-1)-'3.Sizing'!$B$5,0)*1000*('2.Assumptions'!$B$22*$C$6*(1+'2.Assumptions'!$B$23)^(2-1))/10000000+'3.Sizing'!$B$7*1000*('4.Cashflow'!$B$2+'2.Assumptions'!$B$36*MAX('2.Assumptions'!$B$21*$C$6-'4.Cashflow'!$B$2,0))/10000000-('3.Sizing'!$B$11*'2.Assumptions'!$B$25+'3.Sizing'!$B$12*'2.Assumptions'!$B$26)*(1+'2.Assumptions'!$B$27)^(2-1))-'3.Sizing'!$B$13/'2.Assumptions'!$B$28-IF(2&lt;='2.Assumptions'!$B$35,('3.Sizing'!$B$13*'2.Assumptions'!$B$33-('3.Sizing'!$B$13*'2.Assumptions'!$B$33/'2.Assumptions'!$B$35)*(2-1))*'2.Assumptions'!$B$34,0),0)*'2.Assumptions'!$B$30)-(IF(2&lt;='2.Assumptions'!$B$35,('3.Sizing'!$B$13*'2.Assumptions'!$B$33-('3.Sizing'!$B$13*'2.Assumptions'!$B$33/'2.Assumptions'!$B$35)*(2-1))*'2.Assumptions'!$B$34,0))-(IF(2&lt;='2.Assumptions'!$B$35,('3.Sizing'!$B$13*'2.Assumptions'!$B$33)/'2.Assumptions'!$B$35,0))</f>
        <v>31.4479002046839</v>
      </c>
      <c r="D16" s="60" t="n">
        <f aca="false">(MAX('3.Sizing'!$B$4*(1-'2.Assumptions'!$B$12)^(2-1)-'3.Sizing'!$B$5,0)*1000*('2.Assumptions'!$B$22*$D$6*(1+'2.Assumptions'!$B$23)^(2-1))/10000000+'3.Sizing'!$B$7*1000*('4.Cashflow'!$B$2+'2.Assumptions'!$B$36*MAX('2.Assumptions'!$B$21*$D$6-'4.Cashflow'!$B$2,0))/10000000-('3.Sizing'!$B$11*'2.Assumptions'!$B$25+'3.Sizing'!$B$12*'2.Assumptions'!$B$26)*(1+'2.Assumptions'!$B$27)^(2-1))-(MAX((MAX('3.Sizing'!$B$4*(1-'2.Assumptions'!$B$12)^(2-1)-'3.Sizing'!$B$5,0)*1000*('2.Assumptions'!$B$22*$D$6*(1+'2.Assumptions'!$B$23)^(2-1))/10000000+'3.Sizing'!$B$7*1000*('4.Cashflow'!$B$2+'2.Assumptions'!$B$36*MAX('2.Assumptions'!$B$21*$D$6-'4.Cashflow'!$B$2,0))/10000000-('3.Sizing'!$B$11*'2.Assumptions'!$B$25+'3.Sizing'!$B$12*'2.Assumptions'!$B$26)*(1+'2.Assumptions'!$B$27)^(2-1))-'3.Sizing'!$B$13/'2.Assumptions'!$B$28-IF(2&lt;='2.Assumptions'!$B$35,('3.Sizing'!$B$13*'2.Assumptions'!$B$33-('3.Sizing'!$B$13*'2.Assumptions'!$B$33/'2.Assumptions'!$B$35)*(2-1))*'2.Assumptions'!$B$34,0),0)*'2.Assumptions'!$B$30)-(IF(2&lt;='2.Assumptions'!$B$35,('3.Sizing'!$B$13*'2.Assumptions'!$B$33-('3.Sizing'!$B$13*'2.Assumptions'!$B$33/'2.Assumptions'!$B$35)*(2-1))*'2.Assumptions'!$B$34,0))-(IF(2&lt;='2.Assumptions'!$B$35,('3.Sizing'!$B$13*'2.Assumptions'!$B$33)/'2.Assumptions'!$B$35,0))</f>
        <v>34.8939817089081</v>
      </c>
      <c r="E16" s="60" t="n">
        <f aca="false">(MAX('3.Sizing'!$B$4*(1-'2.Assumptions'!$B$12)^(2-1)-'3.Sizing'!$B$5,0)*1000*('2.Assumptions'!$B$22*$E$6*(1+'2.Assumptions'!$B$23)^(2-1))/10000000+'3.Sizing'!$B$7*1000*('4.Cashflow'!$B$2+'2.Assumptions'!$B$36*MAX('2.Assumptions'!$B$21*$E$6-'4.Cashflow'!$B$2,0))/10000000-('3.Sizing'!$B$11*'2.Assumptions'!$B$25+'3.Sizing'!$B$12*'2.Assumptions'!$B$26)*(1+'2.Assumptions'!$B$27)^(2-1))-(MAX((MAX('3.Sizing'!$B$4*(1-'2.Assumptions'!$B$12)^(2-1)-'3.Sizing'!$B$5,0)*1000*('2.Assumptions'!$B$22*$E$6*(1+'2.Assumptions'!$B$23)^(2-1))/10000000+'3.Sizing'!$B$7*1000*('4.Cashflow'!$B$2+'2.Assumptions'!$B$36*MAX('2.Assumptions'!$B$21*$E$6-'4.Cashflow'!$B$2,0))/10000000-('3.Sizing'!$B$11*'2.Assumptions'!$B$25+'3.Sizing'!$B$12*'2.Assumptions'!$B$26)*(1+'2.Assumptions'!$B$27)^(2-1))-'3.Sizing'!$B$13/'2.Assumptions'!$B$28-IF(2&lt;='2.Assumptions'!$B$35,('3.Sizing'!$B$13*'2.Assumptions'!$B$33-('3.Sizing'!$B$13*'2.Assumptions'!$B$33/'2.Assumptions'!$B$35)*(2-1))*'2.Assumptions'!$B$34,0),0)*'2.Assumptions'!$B$30)-(IF(2&lt;='2.Assumptions'!$B$35,('3.Sizing'!$B$13*'2.Assumptions'!$B$33-('3.Sizing'!$B$13*'2.Assumptions'!$B$33/'2.Assumptions'!$B$35)*(2-1))*'2.Assumptions'!$B$34,0))-(IF(2&lt;='2.Assumptions'!$B$35,('3.Sizing'!$B$13*'2.Assumptions'!$B$33)/'2.Assumptions'!$B$35,0))</f>
        <v>38.3400632131322</v>
      </c>
    </row>
    <row r="17" customFormat="false" ht="15" hidden="false" customHeight="true" outlineLevel="0" collapsed="false">
      <c r="A17" s="59" t="n">
        <v>3</v>
      </c>
      <c r="C17" s="60" t="n">
        <f aca="false">(MAX('3.Sizing'!$B$4*(1-'2.Assumptions'!$B$12)^(3-1)-'3.Sizing'!$B$5,0)*1000*('2.Assumptions'!$B$22*$C$6*(1+'2.Assumptions'!$B$23)^(3-1))/10000000+'3.Sizing'!$B$7*1000*('4.Cashflow'!$B$2+'2.Assumptions'!$B$36*MAX('2.Assumptions'!$B$21*$C$6-'4.Cashflow'!$B$2,0))/10000000-('3.Sizing'!$B$11*'2.Assumptions'!$B$25+'3.Sizing'!$B$12*'2.Assumptions'!$B$26)*(1+'2.Assumptions'!$B$27)^(3-1))-(MAX((MAX('3.Sizing'!$B$4*(1-'2.Assumptions'!$B$12)^(3-1)-'3.Sizing'!$B$5,0)*1000*('2.Assumptions'!$B$22*$C$6*(1+'2.Assumptions'!$B$23)^(3-1))/10000000+'3.Sizing'!$B$7*1000*('4.Cashflow'!$B$2+'2.Assumptions'!$B$36*MAX('2.Assumptions'!$B$21*$C$6-'4.Cashflow'!$B$2,0))/10000000-('3.Sizing'!$B$11*'2.Assumptions'!$B$25+'3.Sizing'!$B$12*'2.Assumptions'!$B$26)*(1+'2.Assumptions'!$B$27)^(3-1))-'3.Sizing'!$B$13/'2.Assumptions'!$B$28-IF(3&lt;='2.Assumptions'!$B$35,('3.Sizing'!$B$13*'2.Assumptions'!$B$33-('3.Sizing'!$B$13*'2.Assumptions'!$B$33/'2.Assumptions'!$B$35)*(3-1))*'2.Assumptions'!$B$34,0),0)*'2.Assumptions'!$B$30)-(IF(3&lt;='2.Assumptions'!$B$35,('3.Sizing'!$B$13*'2.Assumptions'!$B$33-('3.Sizing'!$B$13*'2.Assumptions'!$B$33/'2.Assumptions'!$B$35)*(3-1))*'2.Assumptions'!$B$34,0))-(IF(3&lt;='2.Assumptions'!$B$35,('3.Sizing'!$B$13*'2.Assumptions'!$B$33)/'2.Assumptions'!$B$35,0))</f>
        <v>34.4951389257761</v>
      </c>
      <c r="D17" s="60" t="n">
        <f aca="false">(MAX('3.Sizing'!$B$4*(1-'2.Assumptions'!$B$12)^(3-1)-'3.Sizing'!$B$5,0)*1000*('2.Assumptions'!$B$22*$D$6*(1+'2.Assumptions'!$B$23)^(3-1))/10000000+'3.Sizing'!$B$7*1000*('4.Cashflow'!$B$2+'2.Assumptions'!$B$36*MAX('2.Assumptions'!$B$21*$D$6-'4.Cashflow'!$B$2,0))/10000000-('3.Sizing'!$B$11*'2.Assumptions'!$B$25+'3.Sizing'!$B$12*'2.Assumptions'!$B$26)*(1+'2.Assumptions'!$B$27)^(3-1))-(MAX((MAX('3.Sizing'!$B$4*(1-'2.Assumptions'!$B$12)^(3-1)-'3.Sizing'!$B$5,0)*1000*('2.Assumptions'!$B$22*$D$6*(1+'2.Assumptions'!$B$23)^(3-1))/10000000+'3.Sizing'!$B$7*1000*('4.Cashflow'!$B$2+'2.Assumptions'!$B$36*MAX('2.Assumptions'!$B$21*$D$6-'4.Cashflow'!$B$2,0))/10000000-('3.Sizing'!$B$11*'2.Assumptions'!$B$25+'3.Sizing'!$B$12*'2.Assumptions'!$B$26)*(1+'2.Assumptions'!$B$27)^(3-1))-'3.Sizing'!$B$13/'2.Assumptions'!$B$28-IF(3&lt;='2.Assumptions'!$B$35,('3.Sizing'!$B$13*'2.Assumptions'!$B$33-('3.Sizing'!$B$13*'2.Assumptions'!$B$33/'2.Assumptions'!$B$35)*(3-1))*'2.Assumptions'!$B$34,0),0)*'2.Assumptions'!$B$30)-(IF(3&lt;='2.Assumptions'!$B$35,('3.Sizing'!$B$13*'2.Assumptions'!$B$33-('3.Sizing'!$B$13*'2.Assumptions'!$B$33/'2.Assumptions'!$B$35)*(3-1))*'2.Assumptions'!$B$34,0))-(IF(3&lt;='2.Assumptions'!$B$35,('3.Sizing'!$B$13*'2.Assumptions'!$B$33)/'2.Assumptions'!$B$35,0))</f>
        <v>38.0118337601215</v>
      </c>
      <c r="E17" s="60" t="n">
        <f aca="false">(MAX('3.Sizing'!$B$4*(1-'2.Assumptions'!$B$12)^(3-1)-'3.Sizing'!$B$5,0)*1000*('2.Assumptions'!$B$22*$E$6*(1+'2.Assumptions'!$B$23)^(3-1))/10000000+'3.Sizing'!$B$7*1000*('4.Cashflow'!$B$2+'2.Assumptions'!$B$36*MAX('2.Assumptions'!$B$21*$E$6-'4.Cashflow'!$B$2,0))/10000000-('3.Sizing'!$B$11*'2.Assumptions'!$B$25+'3.Sizing'!$B$12*'2.Assumptions'!$B$26)*(1+'2.Assumptions'!$B$27)^(3-1))-(MAX((MAX('3.Sizing'!$B$4*(1-'2.Assumptions'!$B$12)^(3-1)-'3.Sizing'!$B$5,0)*1000*('2.Assumptions'!$B$22*$E$6*(1+'2.Assumptions'!$B$23)^(3-1))/10000000+'3.Sizing'!$B$7*1000*('4.Cashflow'!$B$2+'2.Assumptions'!$B$36*MAX('2.Assumptions'!$B$21*$E$6-'4.Cashflow'!$B$2,0))/10000000-('3.Sizing'!$B$11*'2.Assumptions'!$B$25+'3.Sizing'!$B$12*'2.Assumptions'!$B$26)*(1+'2.Assumptions'!$B$27)^(3-1))-'3.Sizing'!$B$13/'2.Assumptions'!$B$28-IF(3&lt;='2.Assumptions'!$B$35,('3.Sizing'!$B$13*'2.Assumptions'!$B$33-('3.Sizing'!$B$13*'2.Assumptions'!$B$33/'2.Assumptions'!$B$35)*(3-1))*'2.Assumptions'!$B$34,0),0)*'2.Assumptions'!$B$30)-(IF(3&lt;='2.Assumptions'!$B$35,('3.Sizing'!$B$13*'2.Assumptions'!$B$33-('3.Sizing'!$B$13*'2.Assumptions'!$B$33/'2.Assumptions'!$B$35)*(3-1))*'2.Assumptions'!$B$34,0))-(IF(3&lt;='2.Assumptions'!$B$35,('3.Sizing'!$B$13*'2.Assumptions'!$B$33)/'2.Assumptions'!$B$35,0))</f>
        <v>41.528528594467</v>
      </c>
    </row>
    <row r="18" customFormat="false" ht="15" hidden="false" customHeight="true" outlineLevel="0" collapsed="false">
      <c r="A18" s="59" t="n">
        <v>4</v>
      </c>
      <c r="C18" s="60" t="n">
        <f aca="false">(MAX('3.Sizing'!$B$4*(1-'2.Assumptions'!$B$12)^(4-1)-'3.Sizing'!$B$5,0)*1000*('2.Assumptions'!$B$22*$C$6*(1+'2.Assumptions'!$B$23)^(4-1))/10000000+'3.Sizing'!$B$7*1000*('4.Cashflow'!$B$2+'2.Assumptions'!$B$36*MAX('2.Assumptions'!$B$21*$C$6-'4.Cashflow'!$B$2,0))/10000000-('3.Sizing'!$B$11*'2.Assumptions'!$B$25+'3.Sizing'!$B$12*'2.Assumptions'!$B$26)*(1+'2.Assumptions'!$B$27)^(4-1))-(MAX((MAX('3.Sizing'!$B$4*(1-'2.Assumptions'!$B$12)^(4-1)-'3.Sizing'!$B$5,0)*1000*('2.Assumptions'!$B$22*$C$6*(1+'2.Assumptions'!$B$23)^(4-1))/10000000+'3.Sizing'!$B$7*1000*('4.Cashflow'!$B$2+'2.Assumptions'!$B$36*MAX('2.Assumptions'!$B$21*$C$6-'4.Cashflow'!$B$2,0))/10000000-('3.Sizing'!$B$11*'2.Assumptions'!$B$25+'3.Sizing'!$B$12*'2.Assumptions'!$B$26)*(1+'2.Assumptions'!$B$27)^(4-1))-'3.Sizing'!$B$13/'2.Assumptions'!$B$28-IF(4&lt;='2.Assumptions'!$B$35,('3.Sizing'!$B$13*'2.Assumptions'!$B$33-('3.Sizing'!$B$13*'2.Assumptions'!$B$33/'2.Assumptions'!$B$35)*(4-1))*'2.Assumptions'!$B$34,0),0)*'2.Assumptions'!$B$30)-(IF(4&lt;='2.Assumptions'!$B$35,('3.Sizing'!$B$13*'2.Assumptions'!$B$33-('3.Sizing'!$B$13*'2.Assumptions'!$B$33/'2.Assumptions'!$B$35)*(4-1))*'2.Assumptions'!$B$34,0))-(IF(4&lt;='2.Assumptions'!$B$35,('3.Sizing'!$B$13*'2.Assumptions'!$B$33)/'2.Assumptions'!$B$35,0))</f>
        <v>37.52507537093</v>
      </c>
      <c r="D18" s="60" t="n">
        <f aca="false">(MAX('3.Sizing'!$B$4*(1-'2.Assumptions'!$B$12)^(4-1)-'3.Sizing'!$B$5,0)*1000*('2.Assumptions'!$B$22*$D$6*(1+'2.Assumptions'!$B$23)^(4-1))/10000000+'3.Sizing'!$B$7*1000*('4.Cashflow'!$B$2+'2.Assumptions'!$B$36*MAX('2.Assumptions'!$B$21*$D$6-'4.Cashflow'!$B$2,0))/10000000-('3.Sizing'!$B$11*'2.Assumptions'!$B$25+'3.Sizing'!$B$12*'2.Assumptions'!$B$26)*(1+'2.Assumptions'!$B$27)^(4-1))-(MAX((MAX('3.Sizing'!$B$4*(1-'2.Assumptions'!$B$12)^(4-1)-'3.Sizing'!$B$5,0)*1000*('2.Assumptions'!$B$22*$D$6*(1+'2.Assumptions'!$B$23)^(4-1))/10000000+'3.Sizing'!$B$7*1000*('4.Cashflow'!$B$2+'2.Assumptions'!$B$36*MAX('2.Assumptions'!$B$21*$D$6-'4.Cashflow'!$B$2,0))/10000000-('3.Sizing'!$B$11*'2.Assumptions'!$B$25+'3.Sizing'!$B$12*'2.Assumptions'!$B$26)*(1+'2.Assumptions'!$B$27)^(4-1))-'3.Sizing'!$B$13/'2.Assumptions'!$B$28-IF(4&lt;='2.Assumptions'!$B$35,('3.Sizing'!$B$13*'2.Assumptions'!$B$33-('3.Sizing'!$B$13*'2.Assumptions'!$B$33/'2.Assumptions'!$B$35)*(4-1))*'2.Assumptions'!$B$34,0),0)*'2.Assumptions'!$B$30)-(IF(4&lt;='2.Assumptions'!$B$35,('3.Sizing'!$B$13*'2.Assumptions'!$B$33-('3.Sizing'!$B$13*'2.Assumptions'!$B$33/'2.Assumptions'!$B$35)*(4-1))*'2.Assumptions'!$B$34,0))-(IF(4&lt;='2.Assumptions'!$B$35,('3.Sizing'!$B$13*'2.Assumptions'!$B$33)/'2.Assumptions'!$B$35,0))</f>
        <v>41.1136876227926</v>
      </c>
      <c r="E18" s="60" t="n">
        <f aca="false">(MAX('3.Sizing'!$B$4*(1-'2.Assumptions'!$B$12)^(4-1)-'3.Sizing'!$B$5,0)*1000*('2.Assumptions'!$B$22*$E$6*(1+'2.Assumptions'!$B$23)^(4-1))/10000000+'3.Sizing'!$B$7*1000*('4.Cashflow'!$B$2+'2.Assumptions'!$B$36*MAX('2.Assumptions'!$B$21*$E$6-'4.Cashflow'!$B$2,0))/10000000-('3.Sizing'!$B$11*'2.Assumptions'!$B$25+'3.Sizing'!$B$12*'2.Assumptions'!$B$26)*(1+'2.Assumptions'!$B$27)^(4-1))-(MAX((MAX('3.Sizing'!$B$4*(1-'2.Assumptions'!$B$12)^(4-1)-'3.Sizing'!$B$5,0)*1000*('2.Assumptions'!$B$22*$E$6*(1+'2.Assumptions'!$B$23)^(4-1))/10000000+'3.Sizing'!$B$7*1000*('4.Cashflow'!$B$2+'2.Assumptions'!$B$36*MAX('2.Assumptions'!$B$21*$E$6-'4.Cashflow'!$B$2,0))/10000000-('3.Sizing'!$B$11*'2.Assumptions'!$B$25+'3.Sizing'!$B$12*'2.Assumptions'!$B$26)*(1+'2.Assumptions'!$B$27)^(4-1))-'3.Sizing'!$B$13/'2.Assumptions'!$B$28-IF(4&lt;='2.Assumptions'!$B$35,('3.Sizing'!$B$13*'2.Assumptions'!$B$33-('3.Sizing'!$B$13*'2.Assumptions'!$B$33/'2.Assumptions'!$B$35)*(4-1))*'2.Assumptions'!$B$34,0),0)*'2.Assumptions'!$B$30)-(IF(4&lt;='2.Assumptions'!$B$35,('3.Sizing'!$B$13*'2.Assumptions'!$B$33-('3.Sizing'!$B$13*'2.Assumptions'!$B$33/'2.Assumptions'!$B$35)*(4-1))*'2.Assumptions'!$B$34,0))-(IF(4&lt;='2.Assumptions'!$B$35,('3.Sizing'!$B$13*'2.Assumptions'!$B$33)/'2.Assumptions'!$B$35,0))</f>
        <v>44.7022998746552</v>
      </c>
    </row>
    <row r="19" customFormat="false" ht="15" hidden="false" customHeight="true" outlineLevel="0" collapsed="false">
      <c r="A19" s="59" t="n">
        <v>5</v>
      </c>
      <c r="C19" s="60" t="n">
        <f aca="false">(MAX('3.Sizing'!$B$4*(1-'2.Assumptions'!$B$12)^(5-1)-'3.Sizing'!$B$5,0)*1000*('2.Assumptions'!$B$22*$C$6*(1+'2.Assumptions'!$B$23)^(5-1))/10000000+'3.Sizing'!$B$7*1000*('4.Cashflow'!$B$2+'2.Assumptions'!$B$36*MAX('2.Assumptions'!$B$21*$C$6-'4.Cashflow'!$B$2,0))/10000000-('3.Sizing'!$B$11*'2.Assumptions'!$B$25+'3.Sizing'!$B$12*'2.Assumptions'!$B$26)*(1+'2.Assumptions'!$B$27)^(5-1))-(MAX((MAX('3.Sizing'!$B$4*(1-'2.Assumptions'!$B$12)^(5-1)-'3.Sizing'!$B$5,0)*1000*('2.Assumptions'!$B$22*$C$6*(1+'2.Assumptions'!$B$23)^(5-1))/10000000+'3.Sizing'!$B$7*1000*('4.Cashflow'!$B$2+'2.Assumptions'!$B$36*MAX('2.Assumptions'!$B$21*$C$6-'4.Cashflow'!$B$2,0))/10000000-('3.Sizing'!$B$11*'2.Assumptions'!$B$25+'3.Sizing'!$B$12*'2.Assumptions'!$B$26)*(1+'2.Assumptions'!$B$27)^(5-1))-'3.Sizing'!$B$13/'2.Assumptions'!$B$28-IF(5&lt;='2.Assumptions'!$B$35,('3.Sizing'!$B$13*'2.Assumptions'!$B$33-('3.Sizing'!$B$13*'2.Assumptions'!$B$33/'2.Assumptions'!$B$35)*(5-1))*'2.Assumptions'!$B$34,0),0)*'2.Assumptions'!$B$30)-(IF(5&lt;='2.Assumptions'!$B$35,('3.Sizing'!$B$13*'2.Assumptions'!$B$33-('3.Sizing'!$B$13*'2.Assumptions'!$B$33/'2.Assumptions'!$B$35)*(5-1))*'2.Assumptions'!$B$34,0))-(IF(5&lt;='2.Assumptions'!$B$35,('3.Sizing'!$B$13*'2.Assumptions'!$B$33)/'2.Assumptions'!$B$35,0))</f>
        <v>40.5364275696252</v>
      </c>
      <c r="D19" s="60" t="n">
        <f aca="false">(MAX('3.Sizing'!$B$4*(1-'2.Assumptions'!$B$12)^(5-1)-'3.Sizing'!$B$5,0)*1000*('2.Assumptions'!$B$22*$D$6*(1+'2.Assumptions'!$B$23)^(5-1))/10000000+'3.Sizing'!$B$7*1000*('4.Cashflow'!$B$2+'2.Assumptions'!$B$36*MAX('2.Assumptions'!$B$21*$D$6-'4.Cashflow'!$B$2,0))/10000000-('3.Sizing'!$B$11*'2.Assumptions'!$B$25+'3.Sizing'!$B$12*'2.Assumptions'!$B$26)*(1+'2.Assumptions'!$B$27)^(5-1))-(MAX((MAX('3.Sizing'!$B$4*(1-'2.Assumptions'!$B$12)^(5-1)-'3.Sizing'!$B$5,0)*1000*('2.Assumptions'!$B$22*$D$6*(1+'2.Assumptions'!$B$23)^(5-1))/10000000+'3.Sizing'!$B$7*1000*('4.Cashflow'!$B$2+'2.Assumptions'!$B$36*MAX('2.Assumptions'!$B$21*$D$6-'4.Cashflow'!$B$2,0))/10000000-('3.Sizing'!$B$11*'2.Assumptions'!$B$25+'3.Sizing'!$B$12*'2.Assumptions'!$B$26)*(1+'2.Assumptions'!$B$27)^(5-1))-'3.Sizing'!$B$13/'2.Assumptions'!$B$28-IF(5&lt;='2.Assumptions'!$B$35,('3.Sizing'!$B$13*'2.Assumptions'!$B$33-('3.Sizing'!$B$13*'2.Assumptions'!$B$33/'2.Assumptions'!$B$35)*(5-1))*'2.Assumptions'!$B$34,0),0)*'2.Assumptions'!$B$30)-(IF(5&lt;='2.Assumptions'!$B$35,('3.Sizing'!$B$13*'2.Assumptions'!$B$33-('3.Sizing'!$B$13*'2.Assumptions'!$B$33/'2.Assumptions'!$B$35)*(5-1))*'2.Assumptions'!$B$34,0))-(IF(5&lt;='2.Assumptions'!$B$35,('3.Sizing'!$B$13*'2.Assumptions'!$B$33)/'2.Assumptions'!$B$35,0))</f>
        <v>44.1982802133567</v>
      </c>
      <c r="E19" s="60" t="n">
        <f aca="false">(MAX('3.Sizing'!$B$4*(1-'2.Assumptions'!$B$12)^(5-1)-'3.Sizing'!$B$5,0)*1000*('2.Assumptions'!$B$22*$E$6*(1+'2.Assumptions'!$B$23)^(5-1))/10000000+'3.Sizing'!$B$7*1000*('4.Cashflow'!$B$2+'2.Assumptions'!$B$36*MAX('2.Assumptions'!$B$21*$E$6-'4.Cashflow'!$B$2,0))/10000000-('3.Sizing'!$B$11*'2.Assumptions'!$B$25+'3.Sizing'!$B$12*'2.Assumptions'!$B$26)*(1+'2.Assumptions'!$B$27)^(5-1))-(MAX((MAX('3.Sizing'!$B$4*(1-'2.Assumptions'!$B$12)^(5-1)-'3.Sizing'!$B$5,0)*1000*('2.Assumptions'!$B$22*$E$6*(1+'2.Assumptions'!$B$23)^(5-1))/10000000+'3.Sizing'!$B$7*1000*('4.Cashflow'!$B$2+'2.Assumptions'!$B$36*MAX('2.Assumptions'!$B$21*$E$6-'4.Cashflow'!$B$2,0))/10000000-('3.Sizing'!$B$11*'2.Assumptions'!$B$25+'3.Sizing'!$B$12*'2.Assumptions'!$B$26)*(1+'2.Assumptions'!$B$27)^(5-1))-'3.Sizing'!$B$13/'2.Assumptions'!$B$28-IF(5&lt;='2.Assumptions'!$B$35,('3.Sizing'!$B$13*'2.Assumptions'!$B$33-('3.Sizing'!$B$13*'2.Assumptions'!$B$33/'2.Assumptions'!$B$35)*(5-1))*'2.Assumptions'!$B$34,0),0)*'2.Assumptions'!$B$30)-(IF(5&lt;='2.Assumptions'!$B$35,('3.Sizing'!$B$13*'2.Assumptions'!$B$33-('3.Sizing'!$B$13*'2.Assumptions'!$B$33/'2.Assumptions'!$B$35)*(5-1))*'2.Assumptions'!$B$34,0))-(IF(5&lt;='2.Assumptions'!$B$35,('3.Sizing'!$B$13*'2.Assumptions'!$B$33)/'2.Assumptions'!$B$35,0))</f>
        <v>47.8601328570883</v>
      </c>
    </row>
    <row r="20" customFormat="false" ht="15" hidden="false" customHeight="true" outlineLevel="0" collapsed="false">
      <c r="A20" s="59" t="n">
        <v>6</v>
      </c>
      <c r="C20" s="60" t="n">
        <f aca="false">(MAX('3.Sizing'!$B$4*(1-'2.Assumptions'!$B$12)^(6-1)-'3.Sizing'!$B$5,0)*1000*('2.Assumptions'!$B$22*$C$6*(1+'2.Assumptions'!$B$23)^(6-1))/10000000+'3.Sizing'!$B$7*1000*('4.Cashflow'!$B$2+'2.Assumptions'!$B$36*MAX('2.Assumptions'!$B$21*$C$6-'4.Cashflow'!$B$2,0))/10000000-('3.Sizing'!$B$11*'2.Assumptions'!$B$25+'3.Sizing'!$B$12*'2.Assumptions'!$B$26)*(1+'2.Assumptions'!$B$27)^(6-1))-(MAX((MAX('3.Sizing'!$B$4*(1-'2.Assumptions'!$B$12)^(6-1)-'3.Sizing'!$B$5,0)*1000*('2.Assumptions'!$B$22*$C$6*(1+'2.Assumptions'!$B$23)^(6-1))/10000000+'3.Sizing'!$B$7*1000*('4.Cashflow'!$B$2+'2.Assumptions'!$B$36*MAX('2.Assumptions'!$B$21*$C$6-'4.Cashflow'!$B$2,0))/10000000-('3.Sizing'!$B$11*'2.Assumptions'!$B$25+'3.Sizing'!$B$12*'2.Assumptions'!$B$26)*(1+'2.Assumptions'!$B$27)^(6-1))-'3.Sizing'!$B$13/'2.Assumptions'!$B$28-IF(6&lt;='2.Assumptions'!$B$35,('3.Sizing'!$B$13*'2.Assumptions'!$B$33-('3.Sizing'!$B$13*'2.Assumptions'!$B$33/'2.Assumptions'!$B$35)*(6-1))*'2.Assumptions'!$B$34,0),0)*'2.Assumptions'!$B$30)-(IF(6&lt;='2.Assumptions'!$B$35,('3.Sizing'!$B$13*'2.Assumptions'!$B$33-('3.Sizing'!$B$13*'2.Assumptions'!$B$33/'2.Assumptions'!$B$35)*(6-1))*'2.Assumptions'!$B$34,0))-(IF(6&lt;='2.Assumptions'!$B$35,('3.Sizing'!$B$13*'2.Assumptions'!$B$33)/'2.Assumptions'!$B$35,0))</f>
        <v>43.5278415274564</v>
      </c>
      <c r="D20" s="60" t="n">
        <f aca="false">(MAX('3.Sizing'!$B$4*(1-'2.Assumptions'!$B$12)^(6-1)-'3.Sizing'!$B$5,0)*1000*('2.Assumptions'!$B$22*$D$6*(1+'2.Assumptions'!$B$23)^(6-1))/10000000+'3.Sizing'!$B$7*1000*('4.Cashflow'!$B$2+'2.Assumptions'!$B$36*MAX('2.Assumptions'!$B$21*$D$6-'4.Cashflow'!$B$2,0))/10000000-('3.Sizing'!$B$11*'2.Assumptions'!$B$25+'3.Sizing'!$B$12*'2.Assumptions'!$B$26)*(1+'2.Assumptions'!$B$27)^(6-1))-(MAX((MAX('3.Sizing'!$B$4*(1-'2.Assumptions'!$B$12)^(6-1)-'3.Sizing'!$B$5,0)*1000*('2.Assumptions'!$B$22*$D$6*(1+'2.Assumptions'!$B$23)^(6-1))/10000000+'3.Sizing'!$B$7*1000*('4.Cashflow'!$B$2+'2.Assumptions'!$B$36*MAX('2.Assumptions'!$B$21*$D$6-'4.Cashflow'!$B$2,0))/10000000-('3.Sizing'!$B$11*'2.Assumptions'!$B$25+'3.Sizing'!$B$12*'2.Assumptions'!$B$26)*(1+'2.Assumptions'!$B$27)^(6-1))-'3.Sizing'!$B$13/'2.Assumptions'!$B$28-IF(6&lt;='2.Assumptions'!$B$35,('3.Sizing'!$B$13*'2.Assumptions'!$B$33-('3.Sizing'!$B$13*'2.Assumptions'!$B$33/'2.Assumptions'!$B$35)*(6-1))*'2.Assumptions'!$B$34,0),0)*'2.Assumptions'!$B$30)-(IF(6&lt;='2.Assumptions'!$B$35,('3.Sizing'!$B$13*'2.Assumptions'!$B$33-('3.Sizing'!$B$13*'2.Assumptions'!$B$33/'2.Assumptions'!$B$35)*(6-1))*'2.Assumptions'!$B$34,0))-(IF(6&lt;='2.Assumptions'!$B$35,('3.Sizing'!$B$13*'2.Assumptions'!$B$33)/'2.Assumptions'!$B$35,0))</f>
        <v>47.2642764881171</v>
      </c>
      <c r="E20" s="60" t="n">
        <f aca="false">(MAX('3.Sizing'!$B$4*(1-'2.Assumptions'!$B$12)^(6-1)-'3.Sizing'!$B$5,0)*1000*('2.Assumptions'!$B$22*$E$6*(1+'2.Assumptions'!$B$23)^(6-1))/10000000+'3.Sizing'!$B$7*1000*('4.Cashflow'!$B$2+'2.Assumptions'!$B$36*MAX('2.Assumptions'!$B$21*$E$6-'4.Cashflow'!$B$2,0))/10000000-('3.Sizing'!$B$11*'2.Assumptions'!$B$25+'3.Sizing'!$B$12*'2.Assumptions'!$B$26)*(1+'2.Assumptions'!$B$27)^(6-1))-(MAX((MAX('3.Sizing'!$B$4*(1-'2.Assumptions'!$B$12)^(6-1)-'3.Sizing'!$B$5,0)*1000*('2.Assumptions'!$B$22*$E$6*(1+'2.Assumptions'!$B$23)^(6-1))/10000000+'3.Sizing'!$B$7*1000*('4.Cashflow'!$B$2+'2.Assumptions'!$B$36*MAX('2.Assumptions'!$B$21*$E$6-'4.Cashflow'!$B$2,0))/10000000-('3.Sizing'!$B$11*'2.Assumptions'!$B$25+'3.Sizing'!$B$12*'2.Assumptions'!$B$26)*(1+'2.Assumptions'!$B$27)^(6-1))-'3.Sizing'!$B$13/'2.Assumptions'!$B$28-IF(6&lt;='2.Assumptions'!$B$35,('3.Sizing'!$B$13*'2.Assumptions'!$B$33-('3.Sizing'!$B$13*'2.Assumptions'!$B$33/'2.Assumptions'!$B$35)*(6-1))*'2.Assumptions'!$B$34,0),0)*'2.Assumptions'!$B$30)-(IF(6&lt;='2.Assumptions'!$B$35,('3.Sizing'!$B$13*'2.Assumptions'!$B$33-('3.Sizing'!$B$13*'2.Assumptions'!$B$33/'2.Assumptions'!$B$35)*(6-1))*'2.Assumptions'!$B$34,0))-(IF(6&lt;='2.Assumptions'!$B$35,('3.Sizing'!$B$13*'2.Assumptions'!$B$33)/'2.Assumptions'!$B$35,0))</f>
        <v>51.0007114487778</v>
      </c>
    </row>
    <row r="21" customFormat="false" ht="15" hidden="false" customHeight="true" outlineLevel="0" collapsed="false">
      <c r="A21" s="59" t="n">
        <v>7</v>
      </c>
      <c r="C21" s="60" t="n">
        <f aca="false">(MAX('3.Sizing'!$B$4*(1-'2.Assumptions'!$B$12)^(7-1)-'3.Sizing'!$B$5,0)*1000*('2.Assumptions'!$B$22*$C$6*(1+'2.Assumptions'!$B$23)^(7-1))/10000000+'3.Sizing'!$B$7*1000*('4.Cashflow'!$B$2+'2.Assumptions'!$B$36*MAX('2.Assumptions'!$B$21*$C$6-'4.Cashflow'!$B$2,0))/10000000-('3.Sizing'!$B$11*'2.Assumptions'!$B$25+'3.Sizing'!$B$12*'2.Assumptions'!$B$26)*(1+'2.Assumptions'!$B$27)^(7-1))-(MAX((MAX('3.Sizing'!$B$4*(1-'2.Assumptions'!$B$12)^(7-1)-'3.Sizing'!$B$5,0)*1000*('2.Assumptions'!$B$22*$C$6*(1+'2.Assumptions'!$B$23)^(7-1))/10000000+'3.Sizing'!$B$7*1000*('4.Cashflow'!$B$2+'2.Assumptions'!$B$36*MAX('2.Assumptions'!$B$21*$C$6-'4.Cashflow'!$B$2,0))/10000000-('3.Sizing'!$B$11*'2.Assumptions'!$B$25+'3.Sizing'!$B$12*'2.Assumptions'!$B$26)*(1+'2.Assumptions'!$B$27)^(7-1))-'3.Sizing'!$B$13/'2.Assumptions'!$B$28-IF(7&lt;='2.Assumptions'!$B$35,('3.Sizing'!$B$13*'2.Assumptions'!$B$33-('3.Sizing'!$B$13*'2.Assumptions'!$B$33/'2.Assumptions'!$B$35)*(7-1))*'2.Assumptions'!$B$34,0),0)*'2.Assumptions'!$B$30)-(IF(7&lt;='2.Assumptions'!$B$35,('3.Sizing'!$B$13*'2.Assumptions'!$B$33-('3.Sizing'!$B$13*'2.Assumptions'!$B$33/'2.Assumptions'!$B$35)*(7-1))*'2.Assumptions'!$B$34,0))-(IF(7&lt;='2.Assumptions'!$B$35,('3.Sizing'!$B$13*'2.Assumptions'!$B$33)/'2.Assumptions'!$B$35,0))</f>
        <v>46.497887501</v>
      </c>
      <c r="D21" s="60" t="n">
        <f aca="false">(MAX('3.Sizing'!$B$4*(1-'2.Assumptions'!$B$12)^(7-1)-'3.Sizing'!$B$5,0)*1000*('2.Assumptions'!$B$22*$D$6*(1+'2.Assumptions'!$B$23)^(7-1))/10000000+'3.Sizing'!$B$7*1000*('4.Cashflow'!$B$2+'2.Assumptions'!$B$36*MAX('2.Assumptions'!$B$21*$D$6-'4.Cashflow'!$B$2,0))/10000000-('3.Sizing'!$B$11*'2.Assumptions'!$B$25+'3.Sizing'!$B$12*'2.Assumptions'!$B$26)*(1+'2.Assumptions'!$B$27)^(7-1))-(MAX((MAX('3.Sizing'!$B$4*(1-'2.Assumptions'!$B$12)^(7-1)-'3.Sizing'!$B$5,0)*1000*('2.Assumptions'!$B$22*$D$6*(1+'2.Assumptions'!$B$23)^(7-1))/10000000+'3.Sizing'!$B$7*1000*('4.Cashflow'!$B$2+'2.Assumptions'!$B$36*MAX('2.Assumptions'!$B$21*$D$6-'4.Cashflow'!$B$2,0))/10000000-('3.Sizing'!$B$11*'2.Assumptions'!$B$25+'3.Sizing'!$B$12*'2.Assumptions'!$B$26)*(1+'2.Assumptions'!$B$27)^(7-1))-'3.Sizing'!$B$13/'2.Assumptions'!$B$28-IF(7&lt;='2.Assumptions'!$B$35,('3.Sizing'!$B$13*'2.Assumptions'!$B$33-('3.Sizing'!$B$13*'2.Assumptions'!$B$33/'2.Assumptions'!$B$35)*(7-1))*'2.Assumptions'!$B$34,0),0)*'2.Assumptions'!$B$30)-(IF(7&lt;='2.Assumptions'!$B$35,('3.Sizing'!$B$13*'2.Assumptions'!$B$33-('3.Sizing'!$B$13*'2.Assumptions'!$B$33/'2.Assumptions'!$B$35)*(7-1))*'2.Assumptions'!$B$34,0))-(IF(7&lt;='2.Assumptions'!$B$35,('3.Sizing'!$B$13*'2.Assumptions'!$B$33)/'2.Assumptions'!$B$35,0))</f>
        <v>50.3102657075275</v>
      </c>
      <c r="E21" s="60" t="n">
        <f aca="false">(MAX('3.Sizing'!$B$4*(1-'2.Assumptions'!$B$12)^(7-1)-'3.Sizing'!$B$5,0)*1000*('2.Assumptions'!$B$22*$E$6*(1+'2.Assumptions'!$B$23)^(7-1))/10000000+'3.Sizing'!$B$7*1000*('4.Cashflow'!$B$2+'2.Assumptions'!$B$36*MAX('2.Assumptions'!$B$21*$E$6-'4.Cashflow'!$B$2,0))/10000000-('3.Sizing'!$B$11*'2.Assumptions'!$B$25+'3.Sizing'!$B$12*'2.Assumptions'!$B$26)*(1+'2.Assumptions'!$B$27)^(7-1))-(MAX((MAX('3.Sizing'!$B$4*(1-'2.Assumptions'!$B$12)^(7-1)-'3.Sizing'!$B$5,0)*1000*('2.Assumptions'!$B$22*$E$6*(1+'2.Assumptions'!$B$23)^(7-1))/10000000+'3.Sizing'!$B$7*1000*('4.Cashflow'!$B$2+'2.Assumptions'!$B$36*MAX('2.Assumptions'!$B$21*$E$6-'4.Cashflow'!$B$2,0))/10000000-('3.Sizing'!$B$11*'2.Assumptions'!$B$25+'3.Sizing'!$B$12*'2.Assumptions'!$B$26)*(1+'2.Assumptions'!$B$27)^(7-1))-'3.Sizing'!$B$13/'2.Assumptions'!$B$28-IF(7&lt;='2.Assumptions'!$B$35,('3.Sizing'!$B$13*'2.Assumptions'!$B$33-('3.Sizing'!$B$13*'2.Assumptions'!$B$33/'2.Assumptions'!$B$35)*(7-1))*'2.Assumptions'!$B$34,0),0)*'2.Assumptions'!$B$30)-(IF(7&lt;='2.Assumptions'!$B$35,('3.Sizing'!$B$13*'2.Assumptions'!$B$33-('3.Sizing'!$B$13*'2.Assumptions'!$B$33/'2.Assumptions'!$B$35)*(7-1))*'2.Assumptions'!$B$34,0))-(IF(7&lt;='2.Assumptions'!$B$35,('3.Sizing'!$B$13*'2.Assumptions'!$B$33)/'2.Assumptions'!$B$35,0))</f>
        <v>54.122643914055</v>
      </c>
    </row>
    <row r="22" customFormat="false" ht="15" hidden="false" customHeight="true" outlineLevel="0" collapsed="false">
      <c r="A22" s="59" t="n">
        <v>8</v>
      </c>
      <c r="C22" s="60" t="n">
        <f aca="false">(MAX('3.Sizing'!$B$4*(1-'2.Assumptions'!$B$12)^(8-1)-'3.Sizing'!$B$5,0)*1000*('2.Assumptions'!$B$22*$C$6*(1+'2.Assumptions'!$B$23)^(8-1))/10000000+'3.Sizing'!$B$7*1000*('4.Cashflow'!$B$2+'2.Assumptions'!$B$36*MAX('2.Assumptions'!$B$21*$C$6-'4.Cashflow'!$B$2,0))/10000000-('3.Sizing'!$B$11*'2.Assumptions'!$B$25+'3.Sizing'!$B$12*'2.Assumptions'!$B$26)*(1+'2.Assumptions'!$B$27)^(8-1))-(MAX((MAX('3.Sizing'!$B$4*(1-'2.Assumptions'!$B$12)^(8-1)-'3.Sizing'!$B$5,0)*1000*('2.Assumptions'!$B$22*$C$6*(1+'2.Assumptions'!$B$23)^(8-1))/10000000+'3.Sizing'!$B$7*1000*('4.Cashflow'!$B$2+'2.Assumptions'!$B$36*MAX('2.Assumptions'!$B$21*$C$6-'4.Cashflow'!$B$2,0))/10000000-('3.Sizing'!$B$11*'2.Assumptions'!$B$25+'3.Sizing'!$B$12*'2.Assumptions'!$B$26)*(1+'2.Assumptions'!$B$27)^(8-1))-'3.Sizing'!$B$13/'2.Assumptions'!$B$28-IF(8&lt;='2.Assumptions'!$B$35,('3.Sizing'!$B$13*'2.Assumptions'!$B$33-('3.Sizing'!$B$13*'2.Assumptions'!$B$33/'2.Assumptions'!$B$35)*(8-1))*'2.Assumptions'!$B$34,0),0)*'2.Assumptions'!$B$30)-(IF(8&lt;='2.Assumptions'!$B$35,('3.Sizing'!$B$13*'2.Assumptions'!$B$33-('3.Sizing'!$B$13*'2.Assumptions'!$B$33/'2.Assumptions'!$B$35)*(8-1))*'2.Assumptions'!$B$34,0))-(IF(8&lt;='2.Assumptions'!$B$35,('3.Sizing'!$B$13*'2.Assumptions'!$B$33)/'2.Assumptions'!$B$35,0))</f>
        <v>49.4450560855343</v>
      </c>
      <c r="D22" s="60" t="n">
        <f aca="false">(MAX('3.Sizing'!$B$4*(1-'2.Assumptions'!$B$12)^(8-1)-'3.Sizing'!$B$5,0)*1000*('2.Assumptions'!$B$22*$D$6*(1+'2.Assumptions'!$B$23)^(8-1))/10000000+'3.Sizing'!$B$7*1000*('4.Cashflow'!$B$2+'2.Assumptions'!$B$36*MAX('2.Assumptions'!$B$21*$D$6-'4.Cashflow'!$B$2,0))/10000000-('3.Sizing'!$B$11*'2.Assumptions'!$B$25+'3.Sizing'!$B$12*'2.Assumptions'!$B$26)*(1+'2.Assumptions'!$B$27)^(8-1))-(MAX((MAX('3.Sizing'!$B$4*(1-'2.Assumptions'!$B$12)^(8-1)-'3.Sizing'!$B$5,0)*1000*('2.Assumptions'!$B$22*$D$6*(1+'2.Assumptions'!$B$23)^(8-1))/10000000+'3.Sizing'!$B$7*1000*('4.Cashflow'!$B$2+'2.Assumptions'!$B$36*MAX('2.Assumptions'!$B$21*$D$6-'4.Cashflow'!$B$2,0))/10000000-('3.Sizing'!$B$11*'2.Assumptions'!$B$25+'3.Sizing'!$B$12*'2.Assumptions'!$B$26)*(1+'2.Assumptions'!$B$27)^(8-1))-'3.Sizing'!$B$13/'2.Assumptions'!$B$28-IF(8&lt;='2.Assumptions'!$B$35,('3.Sizing'!$B$13*'2.Assumptions'!$B$33-('3.Sizing'!$B$13*'2.Assumptions'!$B$33/'2.Assumptions'!$B$35)*(8-1))*'2.Assumptions'!$B$34,0),0)*'2.Assumptions'!$B$30)-(IF(8&lt;='2.Assumptions'!$B$35,('3.Sizing'!$B$13*'2.Assumptions'!$B$33-('3.Sizing'!$B$13*'2.Assumptions'!$B$33/'2.Assumptions'!$B$35)*(8-1))*'2.Assumptions'!$B$34,0))-(IF(8&lt;='2.Assumptions'!$B$35,('3.Sizing'!$B$13*'2.Assumptions'!$B$33)/'2.Assumptions'!$B$35,0))</f>
        <v>53.3347575127013</v>
      </c>
      <c r="E22" s="60" t="n">
        <f aca="false">(MAX('3.Sizing'!$B$4*(1-'2.Assumptions'!$B$12)^(8-1)-'3.Sizing'!$B$5,0)*1000*('2.Assumptions'!$B$22*$E$6*(1+'2.Assumptions'!$B$23)^(8-1))/10000000+'3.Sizing'!$B$7*1000*('4.Cashflow'!$B$2+'2.Assumptions'!$B$36*MAX('2.Assumptions'!$B$21*$E$6-'4.Cashflow'!$B$2,0))/10000000-('3.Sizing'!$B$11*'2.Assumptions'!$B$25+'3.Sizing'!$B$12*'2.Assumptions'!$B$26)*(1+'2.Assumptions'!$B$27)^(8-1))-(MAX((MAX('3.Sizing'!$B$4*(1-'2.Assumptions'!$B$12)^(8-1)-'3.Sizing'!$B$5,0)*1000*('2.Assumptions'!$B$22*$E$6*(1+'2.Assumptions'!$B$23)^(8-1))/10000000+'3.Sizing'!$B$7*1000*('4.Cashflow'!$B$2+'2.Assumptions'!$B$36*MAX('2.Assumptions'!$B$21*$E$6-'4.Cashflow'!$B$2,0))/10000000-('3.Sizing'!$B$11*'2.Assumptions'!$B$25+'3.Sizing'!$B$12*'2.Assumptions'!$B$26)*(1+'2.Assumptions'!$B$27)^(8-1))-'3.Sizing'!$B$13/'2.Assumptions'!$B$28-IF(8&lt;='2.Assumptions'!$B$35,('3.Sizing'!$B$13*'2.Assumptions'!$B$33-('3.Sizing'!$B$13*'2.Assumptions'!$B$33/'2.Assumptions'!$B$35)*(8-1))*'2.Assumptions'!$B$34,0),0)*'2.Assumptions'!$B$30)-(IF(8&lt;='2.Assumptions'!$B$35,('3.Sizing'!$B$13*'2.Assumptions'!$B$33-('3.Sizing'!$B$13*'2.Assumptions'!$B$33/'2.Assumptions'!$B$35)*(8-1))*'2.Assumptions'!$B$34,0))-(IF(8&lt;='2.Assumptions'!$B$35,('3.Sizing'!$B$13*'2.Assumptions'!$B$33)/'2.Assumptions'!$B$35,0))</f>
        <v>57.2244589398682</v>
      </c>
    </row>
    <row r="23" customFormat="false" ht="15" hidden="false" customHeight="true" outlineLevel="0" collapsed="false">
      <c r="A23" s="59" t="n">
        <v>9</v>
      </c>
      <c r="C23" s="60" t="n">
        <f aca="false">(MAX('3.Sizing'!$B$4*(1-'2.Assumptions'!$B$12)^(9-1)-'3.Sizing'!$B$5,0)*1000*('2.Assumptions'!$B$22*$C$6*(1+'2.Assumptions'!$B$23)^(9-1))/10000000+'3.Sizing'!$B$7*1000*('4.Cashflow'!$B$2+'2.Assumptions'!$B$36*MAX('2.Assumptions'!$B$21*$C$6-'4.Cashflow'!$B$2,0))/10000000-('3.Sizing'!$B$11*'2.Assumptions'!$B$25+'3.Sizing'!$B$12*'2.Assumptions'!$B$26)*(1+'2.Assumptions'!$B$27)^(9-1))-(MAX((MAX('3.Sizing'!$B$4*(1-'2.Assumptions'!$B$12)^(9-1)-'3.Sizing'!$B$5,0)*1000*('2.Assumptions'!$B$22*$C$6*(1+'2.Assumptions'!$B$23)^(9-1))/10000000+'3.Sizing'!$B$7*1000*('4.Cashflow'!$B$2+'2.Assumptions'!$B$36*MAX('2.Assumptions'!$B$21*$C$6-'4.Cashflow'!$B$2,0))/10000000-('3.Sizing'!$B$11*'2.Assumptions'!$B$25+'3.Sizing'!$B$12*'2.Assumptions'!$B$26)*(1+'2.Assumptions'!$B$27)^(9-1))-'3.Sizing'!$B$13/'2.Assumptions'!$B$28-IF(9&lt;='2.Assumptions'!$B$35,('3.Sizing'!$B$13*'2.Assumptions'!$B$33-('3.Sizing'!$B$13*'2.Assumptions'!$B$33/'2.Assumptions'!$B$35)*(9-1))*'2.Assumptions'!$B$34,0),0)*'2.Assumptions'!$B$30)-(IF(9&lt;='2.Assumptions'!$B$35,('3.Sizing'!$B$13*'2.Assumptions'!$B$33-('3.Sizing'!$B$13*'2.Assumptions'!$B$33/'2.Assumptions'!$B$35)*(9-1))*'2.Assumptions'!$B$34,0))-(IF(9&lt;='2.Assumptions'!$B$35,('3.Sizing'!$B$13*'2.Assumptions'!$B$33)/'2.Assumptions'!$B$35,0))</f>
        <v>52.3677541062996</v>
      </c>
      <c r="D23" s="60" t="n">
        <f aca="false">(MAX('3.Sizing'!$B$4*(1-'2.Assumptions'!$B$12)^(9-1)-'3.Sizing'!$B$5,0)*1000*('2.Assumptions'!$B$22*$D$6*(1+'2.Assumptions'!$B$23)^(9-1))/10000000+'3.Sizing'!$B$7*1000*('4.Cashflow'!$B$2+'2.Assumptions'!$B$36*MAX('2.Assumptions'!$B$21*$D$6-'4.Cashflow'!$B$2,0))/10000000-('3.Sizing'!$B$11*'2.Assumptions'!$B$25+'3.Sizing'!$B$12*'2.Assumptions'!$B$26)*(1+'2.Assumptions'!$B$27)^(9-1))-(MAX((MAX('3.Sizing'!$B$4*(1-'2.Assumptions'!$B$12)^(9-1)-'3.Sizing'!$B$5,0)*1000*('2.Assumptions'!$B$22*$D$6*(1+'2.Assumptions'!$B$23)^(9-1))/10000000+'3.Sizing'!$B$7*1000*('4.Cashflow'!$B$2+'2.Assumptions'!$B$36*MAX('2.Assumptions'!$B$21*$D$6-'4.Cashflow'!$B$2,0))/10000000-('3.Sizing'!$B$11*'2.Assumptions'!$B$25+'3.Sizing'!$B$12*'2.Assumptions'!$B$26)*(1+'2.Assumptions'!$B$27)^(9-1))-'3.Sizing'!$B$13/'2.Assumptions'!$B$28-IF(9&lt;='2.Assumptions'!$B$35,('3.Sizing'!$B$13*'2.Assumptions'!$B$33-('3.Sizing'!$B$13*'2.Assumptions'!$B$33/'2.Assumptions'!$B$35)*(9-1))*'2.Assumptions'!$B$34,0),0)*'2.Assumptions'!$B$30)-(IF(9&lt;='2.Assumptions'!$B$35,('3.Sizing'!$B$13*'2.Assumptions'!$B$33-('3.Sizing'!$B$13*'2.Assumptions'!$B$33/'2.Assumptions'!$B$35)*(9-1))*'2.Assumptions'!$B$34,0))-(IF(9&lt;='2.Assumptions'!$B$35,('3.Sizing'!$B$13*'2.Assumptions'!$B$33)/'2.Assumptions'!$B$35,0))</f>
        <v>56.3361778048051</v>
      </c>
      <c r="E23" s="60" t="n">
        <f aca="false">(MAX('3.Sizing'!$B$4*(1-'2.Assumptions'!$B$12)^(9-1)-'3.Sizing'!$B$5,0)*1000*('2.Assumptions'!$B$22*$E$6*(1+'2.Assumptions'!$B$23)^(9-1))/10000000+'3.Sizing'!$B$7*1000*('4.Cashflow'!$B$2+'2.Assumptions'!$B$36*MAX('2.Assumptions'!$B$21*$E$6-'4.Cashflow'!$B$2,0))/10000000-('3.Sizing'!$B$11*'2.Assumptions'!$B$25+'3.Sizing'!$B$12*'2.Assumptions'!$B$26)*(1+'2.Assumptions'!$B$27)^(9-1))-(MAX((MAX('3.Sizing'!$B$4*(1-'2.Assumptions'!$B$12)^(9-1)-'3.Sizing'!$B$5,0)*1000*('2.Assumptions'!$B$22*$E$6*(1+'2.Assumptions'!$B$23)^(9-1))/10000000+'3.Sizing'!$B$7*1000*('4.Cashflow'!$B$2+'2.Assumptions'!$B$36*MAX('2.Assumptions'!$B$21*$E$6-'4.Cashflow'!$B$2,0))/10000000-('3.Sizing'!$B$11*'2.Assumptions'!$B$25+'3.Sizing'!$B$12*'2.Assumptions'!$B$26)*(1+'2.Assumptions'!$B$27)^(9-1))-'3.Sizing'!$B$13/'2.Assumptions'!$B$28-IF(9&lt;='2.Assumptions'!$B$35,('3.Sizing'!$B$13*'2.Assumptions'!$B$33-('3.Sizing'!$B$13*'2.Assumptions'!$B$33/'2.Assumptions'!$B$35)*(9-1))*'2.Assumptions'!$B$34,0),0)*'2.Assumptions'!$B$30)-(IF(9&lt;='2.Assumptions'!$B$35,('3.Sizing'!$B$13*'2.Assumptions'!$B$33-('3.Sizing'!$B$13*'2.Assumptions'!$B$33/'2.Assumptions'!$B$35)*(9-1))*'2.Assumptions'!$B$34,0))-(IF(9&lt;='2.Assumptions'!$B$35,('3.Sizing'!$B$13*'2.Assumptions'!$B$33)/'2.Assumptions'!$B$35,0))</f>
        <v>60.3046015033106</v>
      </c>
    </row>
    <row r="24" customFormat="false" ht="15" hidden="false" customHeight="true" outlineLevel="0" collapsed="false">
      <c r="A24" s="59" t="n">
        <v>10</v>
      </c>
      <c r="C24" s="60" t="n">
        <f aca="false">(MAX('3.Sizing'!$B$4*(1-'2.Assumptions'!$B$12)^(10-1)-'3.Sizing'!$B$5,0)*1000*('2.Assumptions'!$B$22*$C$6*(1+'2.Assumptions'!$B$23)^(10-1))/10000000+'3.Sizing'!$B$7*1000*('4.Cashflow'!$B$2+'2.Assumptions'!$B$36*MAX('2.Assumptions'!$B$21*$C$6-'4.Cashflow'!$B$2,0))/10000000-('3.Sizing'!$B$11*'2.Assumptions'!$B$25+'3.Sizing'!$B$12*'2.Assumptions'!$B$26)*(1+'2.Assumptions'!$B$27)^(10-1))-(MAX((MAX('3.Sizing'!$B$4*(1-'2.Assumptions'!$B$12)^(10-1)-'3.Sizing'!$B$5,0)*1000*('2.Assumptions'!$B$22*$C$6*(1+'2.Assumptions'!$B$23)^(10-1))/10000000+'3.Sizing'!$B$7*1000*('4.Cashflow'!$B$2+'2.Assumptions'!$B$36*MAX('2.Assumptions'!$B$21*$C$6-'4.Cashflow'!$B$2,0))/10000000-('3.Sizing'!$B$11*'2.Assumptions'!$B$25+'3.Sizing'!$B$12*'2.Assumptions'!$B$26)*(1+'2.Assumptions'!$B$27)^(10-1))-'3.Sizing'!$B$13/'2.Assumptions'!$B$28-IF(10&lt;='2.Assumptions'!$B$35,('3.Sizing'!$B$13*'2.Assumptions'!$B$33-('3.Sizing'!$B$13*'2.Assumptions'!$B$33/'2.Assumptions'!$B$35)*(10-1))*'2.Assumptions'!$B$34,0),0)*'2.Assumptions'!$B$30)-(IF(10&lt;='2.Assumptions'!$B$35,('3.Sizing'!$B$13*'2.Assumptions'!$B$33-('3.Sizing'!$B$13*'2.Assumptions'!$B$33/'2.Assumptions'!$B$35)*(10-1))*'2.Assumptions'!$B$34,0))-(IF(10&lt;='2.Assumptions'!$B$35,('3.Sizing'!$B$13*'2.Assumptions'!$B$33)/'2.Assumptions'!$B$35,0))</f>
        <v>55.2643003035215</v>
      </c>
      <c r="D24" s="60" t="n">
        <f aca="false">(MAX('3.Sizing'!$B$4*(1-'2.Assumptions'!$B$12)^(10-1)-'3.Sizing'!$B$5,0)*1000*('2.Assumptions'!$B$22*$D$6*(1+'2.Assumptions'!$B$23)^(10-1))/10000000+'3.Sizing'!$B$7*1000*('4.Cashflow'!$B$2+'2.Assumptions'!$B$36*MAX('2.Assumptions'!$B$21*$D$6-'4.Cashflow'!$B$2,0))/10000000-('3.Sizing'!$B$11*'2.Assumptions'!$B$25+'3.Sizing'!$B$12*'2.Assumptions'!$B$26)*(1+'2.Assumptions'!$B$27)^(10-1))-(MAX((MAX('3.Sizing'!$B$4*(1-'2.Assumptions'!$B$12)^(10-1)-'3.Sizing'!$B$5,0)*1000*('2.Assumptions'!$B$22*$D$6*(1+'2.Assumptions'!$B$23)^(10-1))/10000000+'3.Sizing'!$B$7*1000*('4.Cashflow'!$B$2+'2.Assumptions'!$B$36*MAX('2.Assumptions'!$B$21*$D$6-'4.Cashflow'!$B$2,0))/10000000-('3.Sizing'!$B$11*'2.Assumptions'!$B$25+'3.Sizing'!$B$12*'2.Assumptions'!$B$26)*(1+'2.Assumptions'!$B$27)^(10-1))-'3.Sizing'!$B$13/'2.Assumptions'!$B$28-IF(10&lt;='2.Assumptions'!$B$35,('3.Sizing'!$B$13*'2.Assumptions'!$B$33-('3.Sizing'!$B$13*'2.Assumptions'!$B$33/'2.Assumptions'!$B$35)*(10-1))*'2.Assumptions'!$B$34,0),0)*'2.Assumptions'!$B$30)-(IF(10&lt;='2.Assumptions'!$B$35,('3.Sizing'!$B$13*'2.Assumptions'!$B$33-('3.Sizing'!$B$13*'2.Assumptions'!$B$33/'2.Assumptions'!$B$35)*(10-1))*'2.Assumptions'!$B$34,0))-(IF(10&lt;='2.Assumptions'!$B$35,('3.Sizing'!$B$13*'2.Assumptions'!$B$33)/'2.Assumptions'!$B$35,0))</f>
        <v>59.3128644175345</v>
      </c>
      <c r="E24" s="60" t="n">
        <f aca="false">(MAX('3.Sizing'!$B$4*(1-'2.Assumptions'!$B$12)^(10-1)-'3.Sizing'!$B$5,0)*1000*('2.Assumptions'!$B$22*$E$6*(1+'2.Assumptions'!$B$23)^(10-1))/10000000+'3.Sizing'!$B$7*1000*('4.Cashflow'!$B$2+'2.Assumptions'!$B$36*MAX('2.Assumptions'!$B$21*$E$6-'4.Cashflow'!$B$2,0))/10000000-('3.Sizing'!$B$11*'2.Assumptions'!$B$25+'3.Sizing'!$B$12*'2.Assumptions'!$B$26)*(1+'2.Assumptions'!$B$27)^(10-1))-(MAX((MAX('3.Sizing'!$B$4*(1-'2.Assumptions'!$B$12)^(10-1)-'3.Sizing'!$B$5,0)*1000*('2.Assumptions'!$B$22*$E$6*(1+'2.Assumptions'!$B$23)^(10-1))/10000000+'3.Sizing'!$B$7*1000*('4.Cashflow'!$B$2+'2.Assumptions'!$B$36*MAX('2.Assumptions'!$B$21*$E$6-'4.Cashflow'!$B$2,0))/10000000-('3.Sizing'!$B$11*'2.Assumptions'!$B$25+'3.Sizing'!$B$12*'2.Assumptions'!$B$26)*(1+'2.Assumptions'!$B$27)^(10-1))-'3.Sizing'!$B$13/'2.Assumptions'!$B$28-IF(10&lt;='2.Assumptions'!$B$35,('3.Sizing'!$B$13*'2.Assumptions'!$B$33-('3.Sizing'!$B$13*'2.Assumptions'!$B$33/'2.Assumptions'!$B$35)*(10-1))*'2.Assumptions'!$B$34,0),0)*'2.Assumptions'!$B$30)-(IF(10&lt;='2.Assumptions'!$B$35,('3.Sizing'!$B$13*'2.Assumptions'!$B$33-('3.Sizing'!$B$13*'2.Assumptions'!$B$33/'2.Assumptions'!$B$35)*(10-1))*'2.Assumptions'!$B$34,0))-(IF(10&lt;='2.Assumptions'!$B$35,('3.Sizing'!$B$13*'2.Assumptions'!$B$33)/'2.Assumptions'!$B$35,0))</f>
        <v>63.3614285315475</v>
      </c>
    </row>
    <row r="25" customFormat="false" ht="15" hidden="false" customHeight="true" outlineLevel="0" collapsed="false">
      <c r="A25" s="59" t="n">
        <v>11</v>
      </c>
      <c r="C25" s="60" t="n">
        <f aca="false">(MAX('3.Sizing'!$B$4*(1-'2.Assumptions'!$B$12)^(11-1)-'3.Sizing'!$B$5,0)*1000*('2.Assumptions'!$B$22*$C$6*(1+'2.Assumptions'!$B$23)^(11-1))/10000000+'3.Sizing'!$B$7*1000*('4.Cashflow'!$B$2+'2.Assumptions'!$B$36*MAX('2.Assumptions'!$B$21*$C$6-'4.Cashflow'!$B$2,0))/10000000-('3.Sizing'!$B$11*'2.Assumptions'!$B$25+'3.Sizing'!$B$12*'2.Assumptions'!$B$26)*(1+'2.Assumptions'!$B$27)^(11-1))-(MAX((MAX('3.Sizing'!$B$4*(1-'2.Assumptions'!$B$12)^(11-1)-'3.Sizing'!$B$5,0)*1000*('2.Assumptions'!$B$22*$C$6*(1+'2.Assumptions'!$B$23)^(11-1))/10000000+'3.Sizing'!$B$7*1000*('4.Cashflow'!$B$2+'2.Assumptions'!$B$36*MAX('2.Assumptions'!$B$21*$C$6-'4.Cashflow'!$B$2,0))/10000000-('3.Sizing'!$B$11*'2.Assumptions'!$B$25+'3.Sizing'!$B$12*'2.Assumptions'!$B$26)*(1+'2.Assumptions'!$B$27)^(11-1))-'3.Sizing'!$B$13/'2.Assumptions'!$B$28-IF(11&lt;='2.Assumptions'!$B$35,('3.Sizing'!$B$13*'2.Assumptions'!$B$33-('3.Sizing'!$B$13*'2.Assumptions'!$B$33/'2.Assumptions'!$B$35)*(11-1))*'2.Assumptions'!$B$34,0),0)*'2.Assumptions'!$B$30)-(IF(11&lt;='2.Assumptions'!$B$35,('3.Sizing'!$B$13*'2.Assumptions'!$B$33-('3.Sizing'!$B$13*'2.Assumptions'!$B$33/'2.Assumptions'!$B$35)*(11-1))*'2.Assumptions'!$B$34,0))-(IF(11&lt;='2.Assumptions'!$B$35,('3.Sizing'!$B$13*'2.Assumptions'!$B$33)/'2.Assumptions'!$B$35,0))</f>
        <v>58.1329208009362</v>
      </c>
      <c r="D25" s="60" t="n">
        <f aca="false">(MAX('3.Sizing'!$B$4*(1-'2.Assumptions'!$B$12)^(11-1)-'3.Sizing'!$B$5,0)*1000*('2.Assumptions'!$B$22*$D$6*(1+'2.Assumptions'!$B$23)^(11-1))/10000000+'3.Sizing'!$B$7*1000*('4.Cashflow'!$B$2+'2.Assumptions'!$B$36*MAX('2.Assumptions'!$B$21*$D$6-'4.Cashflow'!$B$2,0))/10000000-('3.Sizing'!$B$11*'2.Assumptions'!$B$25+'3.Sizing'!$B$12*'2.Assumptions'!$B$26)*(1+'2.Assumptions'!$B$27)^(11-1))-(MAX((MAX('3.Sizing'!$B$4*(1-'2.Assumptions'!$B$12)^(11-1)-'3.Sizing'!$B$5,0)*1000*('2.Assumptions'!$B$22*$D$6*(1+'2.Assumptions'!$B$23)^(11-1))/10000000+'3.Sizing'!$B$7*1000*('4.Cashflow'!$B$2+'2.Assumptions'!$B$36*MAX('2.Assumptions'!$B$21*$D$6-'4.Cashflow'!$B$2,0))/10000000-('3.Sizing'!$B$11*'2.Assumptions'!$B$25+'3.Sizing'!$B$12*'2.Assumptions'!$B$26)*(1+'2.Assumptions'!$B$27)^(11-1))-'3.Sizing'!$B$13/'2.Assumptions'!$B$28-IF(11&lt;='2.Assumptions'!$B$35,('3.Sizing'!$B$13*'2.Assumptions'!$B$33-('3.Sizing'!$B$13*'2.Assumptions'!$B$33/'2.Assumptions'!$B$35)*(11-1))*'2.Assumptions'!$B$34,0),0)*'2.Assumptions'!$B$30)-(IF(11&lt;='2.Assumptions'!$B$35,('3.Sizing'!$B$13*'2.Assumptions'!$B$33-('3.Sizing'!$B$13*'2.Assumptions'!$B$33/'2.Assumptions'!$B$35)*(11-1))*'2.Assumptions'!$B$34,0))-(IF(11&lt;='2.Assumptions'!$B$35,('3.Sizing'!$B$13*'2.Assumptions'!$B$33)/'2.Assumptions'!$B$35,0))</f>
        <v>62.2630625723801</v>
      </c>
      <c r="E25" s="60" t="n">
        <f aca="false">(MAX('3.Sizing'!$B$4*(1-'2.Assumptions'!$B$12)^(11-1)-'3.Sizing'!$B$5,0)*1000*('2.Assumptions'!$B$22*$E$6*(1+'2.Assumptions'!$B$23)^(11-1))/10000000+'3.Sizing'!$B$7*1000*('4.Cashflow'!$B$2+'2.Assumptions'!$B$36*MAX('2.Assumptions'!$B$21*$E$6-'4.Cashflow'!$B$2,0))/10000000-('3.Sizing'!$B$11*'2.Assumptions'!$B$25+'3.Sizing'!$B$12*'2.Assumptions'!$B$26)*(1+'2.Assumptions'!$B$27)^(11-1))-(MAX((MAX('3.Sizing'!$B$4*(1-'2.Assumptions'!$B$12)^(11-1)-'3.Sizing'!$B$5,0)*1000*('2.Assumptions'!$B$22*$E$6*(1+'2.Assumptions'!$B$23)^(11-1))/10000000+'3.Sizing'!$B$7*1000*('4.Cashflow'!$B$2+'2.Assumptions'!$B$36*MAX('2.Assumptions'!$B$21*$E$6-'4.Cashflow'!$B$2,0))/10000000-('3.Sizing'!$B$11*'2.Assumptions'!$B$25+'3.Sizing'!$B$12*'2.Assumptions'!$B$26)*(1+'2.Assumptions'!$B$27)^(11-1))-'3.Sizing'!$B$13/'2.Assumptions'!$B$28-IF(11&lt;='2.Assumptions'!$B$35,('3.Sizing'!$B$13*'2.Assumptions'!$B$33-('3.Sizing'!$B$13*'2.Assumptions'!$B$33/'2.Assumptions'!$B$35)*(11-1))*'2.Assumptions'!$B$34,0),0)*'2.Assumptions'!$B$30)-(IF(11&lt;='2.Assumptions'!$B$35,('3.Sizing'!$B$13*'2.Assumptions'!$B$33-('3.Sizing'!$B$13*'2.Assumptions'!$B$33/'2.Assumptions'!$B$35)*(11-1))*'2.Assumptions'!$B$34,0))-(IF(11&lt;='2.Assumptions'!$B$35,('3.Sizing'!$B$13*'2.Assumptions'!$B$33)/'2.Assumptions'!$B$35,0))</f>
        <v>66.393204343824</v>
      </c>
    </row>
    <row r="26" customFormat="false" ht="15" hidden="false" customHeight="true" outlineLevel="0" collapsed="false">
      <c r="A26" s="59" t="n">
        <v>12</v>
      </c>
      <c r="C26" s="60" t="n">
        <f aca="false">(MAX('3.Sizing'!$B$4*(1-'2.Assumptions'!$B$12)^(12-1)-'3.Sizing'!$B$5,0)*1000*('2.Assumptions'!$B$22*$C$6*(1+'2.Assumptions'!$B$23)^(12-1))/10000000+'3.Sizing'!$B$7*1000*('4.Cashflow'!$B$2+'2.Assumptions'!$B$36*MAX('2.Assumptions'!$B$21*$C$6-'4.Cashflow'!$B$2,0))/10000000-('3.Sizing'!$B$11*'2.Assumptions'!$B$25+'3.Sizing'!$B$12*'2.Assumptions'!$B$26)*(1+'2.Assumptions'!$B$27)^(12-1))-(MAX((MAX('3.Sizing'!$B$4*(1-'2.Assumptions'!$B$12)^(12-1)-'3.Sizing'!$B$5,0)*1000*('2.Assumptions'!$B$22*$C$6*(1+'2.Assumptions'!$B$23)^(12-1))/10000000+'3.Sizing'!$B$7*1000*('4.Cashflow'!$B$2+'2.Assumptions'!$B$36*MAX('2.Assumptions'!$B$21*$C$6-'4.Cashflow'!$B$2,0))/10000000-('3.Sizing'!$B$11*'2.Assumptions'!$B$25+'3.Sizing'!$B$12*'2.Assumptions'!$B$26)*(1+'2.Assumptions'!$B$27)^(12-1))-'3.Sizing'!$B$13/'2.Assumptions'!$B$28-IF(12&lt;='2.Assumptions'!$B$35,('3.Sizing'!$B$13*'2.Assumptions'!$B$33-('3.Sizing'!$B$13*'2.Assumptions'!$B$33/'2.Assumptions'!$B$35)*(12-1))*'2.Assumptions'!$B$34,0),0)*'2.Assumptions'!$B$30)-(IF(12&lt;='2.Assumptions'!$B$35,('3.Sizing'!$B$13*'2.Assumptions'!$B$33-('3.Sizing'!$B$13*'2.Assumptions'!$B$33/'2.Assumptions'!$B$35)*(12-1))*'2.Assumptions'!$B$34,0))-(IF(12&lt;='2.Assumptions'!$B$35,('3.Sizing'!$B$13*'2.Assumptions'!$B$33)/'2.Assumptions'!$B$35,0))</f>
        <v>60.9717443470456</v>
      </c>
      <c r="D26" s="60" t="n">
        <f aca="false">(MAX('3.Sizing'!$B$4*(1-'2.Assumptions'!$B$12)^(12-1)-'3.Sizing'!$B$5,0)*1000*('2.Assumptions'!$B$22*$D$6*(1+'2.Assumptions'!$B$23)^(12-1))/10000000+'3.Sizing'!$B$7*1000*('4.Cashflow'!$B$2+'2.Assumptions'!$B$36*MAX('2.Assumptions'!$B$21*$D$6-'4.Cashflow'!$B$2,0))/10000000-('3.Sizing'!$B$11*'2.Assumptions'!$B$25+'3.Sizing'!$B$12*'2.Assumptions'!$B$26)*(1+'2.Assumptions'!$B$27)^(12-1))-(MAX((MAX('3.Sizing'!$B$4*(1-'2.Assumptions'!$B$12)^(12-1)-'3.Sizing'!$B$5,0)*1000*('2.Assumptions'!$B$22*$D$6*(1+'2.Assumptions'!$B$23)^(12-1))/10000000+'3.Sizing'!$B$7*1000*('4.Cashflow'!$B$2+'2.Assumptions'!$B$36*MAX('2.Assumptions'!$B$21*$D$6-'4.Cashflow'!$B$2,0))/10000000-('3.Sizing'!$B$11*'2.Assumptions'!$B$25+'3.Sizing'!$B$12*'2.Assumptions'!$B$26)*(1+'2.Assumptions'!$B$27)^(12-1))-'3.Sizing'!$B$13/'2.Assumptions'!$B$28-IF(12&lt;='2.Assumptions'!$B$35,('3.Sizing'!$B$13*'2.Assumptions'!$B$33-('3.Sizing'!$B$13*'2.Assumptions'!$B$33/'2.Assumptions'!$B$35)*(12-1))*'2.Assumptions'!$B$34,0),0)*'2.Assumptions'!$B$30)-(IF(12&lt;='2.Assumptions'!$B$35,('3.Sizing'!$B$13*'2.Assumptions'!$B$33-('3.Sizing'!$B$13*'2.Assumptions'!$B$33/'2.Assumptions'!$B$35)*(12-1))*'2.Assumptions'!$B$34,0))-(IF(12&lt;='2.Assumptions'!$B$35,('3.Sizing'!$B$13*'2.Assumptions'!$B$33)/'2.Assumptions'!$B$35,0))</f>
        <v>65.1849201058834</v>
      </c>
      <c r="E26" s="60" t="n">
        <f aca="false">(MAX('3.Sizing'!$B$4*(1-'2.Assumptions'!$B$12)^(12-1)-'3.Sizing'!$B$5,0)*1000*('2.Assumptions'!$B$22*$E$6*(1+'2.Assumptions'!$B$23)^(12-1))/10000000+'3.Sizing'!$B$7*1000*('4.Cashflow'!$B$2+'2.Assumptions'!$B$36*MAX('2.Assumptions'!$B$21*$E$6-'4.Cashflow'!$B$2,0))/10000000-('3.Sizing'!$B$11*'2.Assumptions'!$B$25+'3.Sizing'!$B$12*'2.Assumptions'!$B$26)*(1+'2.Assumptions'!$B$27)^(12-1))-(MAX((MAX('3.Sizing'!$B$4*(1-'2.Assumptions'!$B$12)^(12-1)-'3.Sizing'!$B$5,0)*1000*('2.Assumptions'!$B$22*$E$6*(1+'2.Assumptions'!$B$23)^(12-1))/10000000+'3.Sizing'!$B$7*1000*('4.Cashflow'!$B$2+'2.Assumptions'!$B$36*MAX('2.Assumptions'!$B$21*$E$6-'4.Cashflow'!$B$2,0))/10000000-('3.Sizing'!$B$11*'2.Assumptions'!$B$25+'3.Sizing'!$B$12*'2.Assumptions'!$B$26)*(1+'2.Assumptions'!$B$27)^(12-1))-'3.Sizing'!$B$13/'2.Assumptions'!$B$28-IF(12&lt;='2.Assumptions'!$B$35,('3.Sizing'!$B$13*'2.Assumptions'!$B$33-('3.Sizing'!$B$13*'2.Assumptions'!$B$33/'2.Assumptions'!$B$35)*(12-1))*'2.Assumptions'!$B$34,0),0)*'2.Assumptions'!$B$30)-(IF(12&lt;='2.Assumptions'!$B$35,('3.Sizing'!$B$13*'2.Assumptions'!$B$33-('3.Sizing'!$B$13*'2.Assumptions'!$B$33/'2.Assumptions'!$B$35)*(12-1))*'2.Assumptions'!$B$34,0))-(IF(12&lt;='2.Assumptions'!$B$35,('3.Sizing'!$B$13*'2.Assumptions'!$B$33)/'2.Assumptions'!$B$35,0))</f>
        <v>69.3980958647212</v>
      </c>
    </row>
    <row r="27" customFormat="false" ht="15" hidden="false" customHeight="true" outlineLevel="0" collapsed="false">
      <c r="A27" s="59" t="n">
        <v>13</v>
      </c>
      <c r="C27" s="60" t="n">
        <f aca="false">(MAX('3.Sizing'!$B$4*(1-'2.Assumptions'!$B$12)^(13-1)-'3.Sizing'!$B$5,0)*1000*('2.Assumptions'!$B$22*$C$6*(1+'2.Assumptions'!$B$23)^(13-1))/10000000+'3.Sizing'!$B$7*1000*('4.Cashflow'!$B$2+'2.Assumptions'!$B$36*MAX('2.Assumptions'!$B$21*$C$6-'4.Cashflow'!$B$2,0))/10000000-('3.Sizing'!$B$11*'2.Assumptions'!$B$25+'3.Sizing'!$B$12*'2.Assumptions'!$B$26)*(1+'2.Assumptions'!$B$27)^(13-1))-(MAX((MAX('3.Sizing'!$B$4*(1-'2.Assumptions'!$B$12)^(13-1)-'3.Sizing'!$B$5,0)*1000*('2.Assumptions'!$B$22*$C$6*(1+'2.Assumptions'!$B$23)^(13-1))/10000000+'3.Sizing'!$B$7*1000*('4.Cashflow'!$B$2+'2.Assumptions'!$B$36*MAX('2.Assumptions'!$B$21*$C$6-'4.Cashflow'!$B$2,0))/10000000-('3.Sizing'!$B$11*'2.Assumptions'!$B$25+'3.Sizing'!$B$12*'2.Assumptions'!$B$26)*(1+'2.Assumptions'!$B$27)^(13-1))-'3.Sizing'!$B$13/'2.Assumptions'!$B$28-IF(13&lt;='2.Assumptions'!$B$35,('3.Sizing'!$B$13*'2.Assumptions'!$B$33-('3.Sizing'!$B$13*'2.Assumptions'!$B$33/'2.Assumptions'!$B$35)*(13-1))*'2.Assumptions'!$B$34,0),0)*'2.Assumptions'!$B$30)-(IF(13&lt;='2.Assumptions'!$B$35,('3.Sizing'!$B$13*'2.Assumptions'!$B$33-('3.Sizing'!$B$13*'2.Assumptions'!$B$33/'2.Assumptions'!$B$35)*(13-1))*'2.Assumptions'!$B$34,0))-(IF(13&lt;='2.Assumptions'!$B$35,('3.Sizing'!$B$13*'2.Assumptions'!$B$33)/'2.Assumptions'!$B$35,0))</f>
        <v>63.7787973177946</v>
      </c>
      <c r="D27" s="60" t="n">
        <f aca="false">(MAX('3.Sizing'!$B$4*(1-'2.Assumptions'!$B$12)^(13-1)-'3.Sizing'!$B$5,0)*1000*('2.Assumptions'!$B$22*$D$6*(1+'2.Assumptions'!$B$23)^(13-1))/10000000+'3.Sizing'!$B$7*1000*('4.Cashflow'!$B$2+'2.Assumptions'!$B$36*MAX('2.Assumptions'!$B$21*$D$6-'4.Cashflow'!$B$2,0))/10000000-('3.Sizing'!$B$11*'2.Assumptions'!$B$25+'3.Sizing'!$B$12*'2.Assumptions'!$B$26)*(1+'2.Assumptions'!$B$27)^(13-1))-(MAX((MAX('3.Sizing'!$B$4*(1-'2.Assumptions'!$B$12)^(13-1)-'3.Sizing'!$B$5,0)*1000*('2.Assumptions'!$B$22*$D$6*(1+'2.Assumptions'!$B$23)^(13-1))/10000000+'3.Sizing'!$B$7*1000*('4.Cashflow'!$B$2+'2.Assumptions'!$B$36*MAX('2.Assumptions'!$B$21*$D$6-'4.Cashflow'!$B$2,0))/10000000-('3.Sizing'!$B$11*'2.Assumptions'!$B$25+'3.Sizing'!$B$12*'2.Assumptions'!$B$26)*(1+'2.Assumptions'!$B$27)^(13-1))-'3.Sizing'!$B$13/'2.Assumptions'!$B$28-IF(13&lt;='2.Assumptions'!$B$35,('3.Sizing'!$B$13*'2.Assumptions'!$B$33-('3.Sizing'!$B$13*'2.Assumptions'!$B$33/'2.Assumptions'!$B$35)*(13-1))*'2.Assumptions'!$B$34,0),0)*'2.Assumptions'!$B$30)-(IF(13&lt;='2.Assumptions'!$B$35,('3.Sizing'!$B$13*'2.Assumptions'!$B$33-('3.Sizing'!$B$13*'2.Assumptions'!$B$33/'2.Assumptions'!$B$35)*(13-1))*'2.Assumptions'!$B$34,0))-(IF(13&lt;='2.Assumptions'!$B$35,('3.Sizing'!$B$13*'2.Assumptions'!$B$33)/'2.Assumptions'!$B$35,0))</f>
        <v>68.0764824575444</v>
      </c>
      <c r="E27" s="60" t="n">
        <f aca="false">(MAX('3.Sizing'!$B$4*(1-'2.Assumptions'!$B$12)^(13-1)-'3.Sizing'!$B$5,0)*1000*('2.Assumptions'!$B$22*$E$6*(1+'2.Assumptions'!$B$23)^(13-1))/10000000+'3.Sizing'!$B$7*1000*('4.Cashflow'!$B$2+'2.Assumptions'!$B$36*MAX('2.Assumptions'!$B$21*$E$6-'4.Cashflow'!$B$2,0))/10000000-('3.Sizing'!$B$11*'2.Assumptions'!$B$25+'3.Sizing'!$B$12*'2.Assumptions'!$B$26)*(1+'2.Assumptions'!$B$27)^(13-1))-(MAX((MAX('3.Sizing'!$B$4*(1-'2.Assumptions'!$B$12)^(13-1)-'3.Sizing'!$B$5,0)*1000*('2.Assumptions'!$B$22*$E$6*(1+'2.Assumptions'!$B$23)^(13-1))/10000000+'3.Sizing'!$B$7*1000*('4.Cashflow'!$B$2+'2.Assumptions'!$B$36*MAX('2.Assumptions'!$B$21*$E$6-'4.Cashflow'!$B$2,0))/10000000-('3.Sizing'!$B$11*'2.Assumptions'!$B$25+'3.Sizing'!$B$12*'2.Assumptions'!$B$26)*(1+'2.Assumptions'!$B$27)^(13-1))-'3.Sizing'!$B$13/'2.Assumptions'!$B$28-IF(13&lt;='2.Assumptions'!$B$35,('3.Sizing'!$B$13*'2.Assumptions'!$B$33-('3.Sizing'!$B$13*'2.Assumptions'!$B$33/'2.Assumptions'!$B$35)*(13-1))*'2.Assumptions'!$B$34,0),0)*'2.Assumptions'!$B$30)-(IF(13&lt;='2.Assumptions'!$B$35,('3.Sizing'!$B$13*'2.Assumptions'!$B$33-('3.Sizing'!$B$13*'2.Assumptions'!$B$33/'2.Assumptions'!$B$35)*(13-1))*'2.Assumptions'!$B$34,0))-(IF(13&lt;='2.Assumptions'!$B$35,('3.Sizing'!$B$13*'2.Assumptions'!$B$33)/'2.Assumptions'!$B$35,0))</f>
        <v>72.3741675972941</v>
      </c>
    </row>
    <row r="28" customFormat="false" ht="15" hidden="false" customHeight="true" outlineLevel="0" collapsed="false">
      <c r="A28" s="59" t="n">
        <v>14</v>
      </c>
      <c r="C28" s="60" t="n">
        <f aca="false">(MAX('3.Sizing'!$B$4*(1-'2.Assumptions'!$B$12)^(14-1)-'3.Sizing'!$B$5,0)*1000*('2.Assumptions'!$B$22*$C$6*(1+'2.Assumptions'!$B$23)^(14-1))/10000000+'3.Sizing'!$B$7*1000*('4.Cashflow'!$B$2+'2.Assumptions'!$B$36*MAX('2.Assumptions'!$B$21*$C$6-'4.Cashflow'!$B$2,0))/10000000-('3.Sizing'!$B$11*'2.Assumptions'!$B$25+'3.Sizing'!$B$12*'2.Assumptions'!$B$26)*(1+'2.Assumptions'!$B$27)^(14-1))-(MAX((MAX('3.Sizing'!$B$4*(1-'2.Assumptions'!$B$12)^(14-1)-'3.Sizing'!$B$5,0)*1000*('2.Assumptions'!$B$22*$C$6*(1+'2.Assumptions'!$B$23)^(14-1))/10000000+'3.Sizing'!$B$7*1000*('4.Cashflow'!$B$2+'2.Assumptions'!$B$36*MAX('2.Assumptions'!$B$21*$C$6-'4.Cashflow'!$B$2,0))/10000000-('3.Sizing'!$B$11*'2.Assumptions'!$B$25+'3.Sizing'!$B$12*'2.Assumptions'!$B$26)*(1+'2.Assumptions'!$B$27)^(14-1))-'3.Sizing'!$B$13/'2.Assumptions'!$B$28-IF(14&lt;='2.Assumptions'!$B$35,('3.Sizing'!$B$13*'2.Assumptions'!$B$33-('3.Sizing'!$B$13*'2.Assumptions'!$B$33/'2.Assumptions'!$B$35)*(14-1))*'2.Assumptions'!$B$34,0),0)*'2.Assumptions'!$B$30)-(IF(14&lt;='2.Assumptions'!$B$35,('3.Sizing'!$B$13*'2.Assumptions'!$B$33-('3.Sizing'!$B$13*'2.Assumptions'!$B$33/'2.Assumptions'!$B$35)*(14-1))*'2.Assumptions'!$B$34,0))-(IF(14&lt;='2.Assumptions'!$B$35,('3.Sizing'!$B$13*'2.Assumptions'!$B$33)/'2.Assumptions'!$B$35,0))</f>
        <v>66.551998468804</v>
      </c>
      <c r="D28" s="60" t="n">
        <f aca="false">(MAX('3.Sizing'!$B$4*(1-'2.Assumptions'!$B$12)^(14-1)-'3.Sizing'!$B$5,0)*1000*('2.Assumptions'!$B$22*$D$6*(1+'2.Assumptions'!$B$23)^(14-1))/10000000+'3.Sizing'!$B$7*1000*('4.Cashflow'!$B$2+'2.Assumptions'!$B$36*MAX('2.Assumptions'!$B$21*$D$6-'4.Cashflow'!$B$2,0))/10000000-('3.Sizing'!$B$11*'2.Assumptions'!$B$25+'3.Sizing'!$B$12*'2.Assumptions'!$B$26)*(1+'2.Assumptions'!$B$27)^(14-1))-(MAX((MAX('3.Sizing'!$B$4*(1-'2.Assumptions'!$B$12)^(14-1)-'3.Sizing'!$B$5,0)*1000*('2.Assumptions'!$B$22*$D$6*(1+'2.Assumptions'!$B$23)^(14-1))/10000000+'3.Sizing'!$B$7*1000*('4.Cashflow'!$B$2+'2.Assumptions'!$B$36*MAX('2.Assumptions'!$B$21*$D$6-'4.Cashflow'!$B$2,0))/10000000-('3.Sizing'!$B$11*'2.Assumptions'!$B$25+'3.Sizing'!$B$12*'2.Assumptions'!$B$26)*(1+'2.Assumptions'!$B$27)^(14-1))-'3.Sizing'!$B$13/'2.Assumptions'!$B$28-IF(14&lt;='2.Assumptions'!$B$35,('3.Sizing'!$B$13*'2.Assumptions'!$B$33-('3.Sizing'!$B$13*'2.Assumptions'!$B$33/'2.Assumptions'!$B$35)*(14-1))*'2.Assumptions'!$B$34,0),0)*'2.Assumptions'!$B$30)-(IF(14&lt;='2.Assumptions'!$B$35,('3.Sizing'!$B$13*'2.Assumptions'!$B$33-('3.Sizing'!$B$13*'2.Assumptions'!$B$33/'2.Assumptions'!$B$35)*(14-1))*'2.Assumptions'!$B$34,0))-(IF(14&lt;='2.Assumptions'!$B$35,('3.Sizing'!$B$13*'2.Assumptions'!$B$33)/'2.Assumptions'!$B$35,0))</f>
        <v>70.9356874064805</v>
      </c>
      <c r="E28" s="60" t="n">
        <f aca="false">(MAX('3.Sizing'!$B$4*(1-'2.Assumptions'!$B$12)^(14-1)-'3.Sizing'!$B$5,0)*1000*('2.Assumptions'!$B$22*$E$6*(1+'2.Assumptions'!$B$23)^(14-1))/10000000+'3.Sizing'!$B$7*1000*('4.Cashflow'!$B$2+'2.Assumptions'!$B$36*MAX('2.Assumptions'!$B$21*$E$6-'4.Cashflow'!$B$2,0))/10000000-('3.Sizing'!$B$11*'2.Assumptions'!$B$25+'3.Sizing'!$B$12*'2.Assumptions'!$B$26)*(1+'2.Assumptions'!$B$27)^(14-1))-(MAX((MAX('3.Sizing'!$B$4*(1-'2.Assumptions'!$B$12)^(14-1)-'3.Sizing'!$B$5,0)*1000*('2.Assumptions'!$B$22*$E$6*(1+'2.Assumptions'!$B$23)^(14-1))/10000000+'3.Sizing'!$B$7*1000*('4.Cashflow'!$B$2+'2.Assumptions'!$B$36*MAX('2.Assumptions'!$B$21*$E$6-'4.Cashflow'!$B$2,0))/10000000-('3.Sizing'!$B$11*'2.Assumptions'!$B$25+'3.Sizing'!$B$12*'2.Assumptions'!$B$26)*(1+'2.Assumptions'!$B$27)^(14-1))-'3.Sizing'!$B$13/'2.Assumptions'!$B$28-IF(14&lt;='2.Assumptions'!$B$35,('3.Sizing'!$B$13*'2.Assumptions'!$B$33-('3.Sizing'!$B$13*'2.Assumptions'!$B$33/'2.Assumptions'!$B$35)*(14-1))*'2.Assumptions'!$B$34,0),0)*'2.Assumptions'!$B$30)-(IF(14&lt;='2.Assumptions'!$B$35,('3.Sizing'!$B$13*'2.Assumptions'!$B$33-('3.Sizing'!$B$13*'2.Assumptions'!$B$33/'2.Assumptions'!$B$35)*(14-1))*'2.Assumptions'!$B$34,0))-(IF(14&lt;='2.Assumptions'!$B$35,('3.Sizing'!$B$13*'2.Assumptions'!$B$33)/'2.Assumptions'!$B$35,0))</f>
        <v>75.319376344157</v>
      </c>
    </row>
    <row r="29" customFormat="false" ht="15" hidden="false" customHeight="true" outlineLevel="0" collapsed="false">
      <c r="A29" s="59" t="n">
        <v>15</v>
      </c>
      <c r="C29" s="60" t="n">
        <f aca="false">(MAX('3.Sizing'!$B$4*(1-'2.Assumptions'!$B$12)^(15-1)-'3.Sizing'!$B$5,0)*1000*('2.Assumptions'!$B$22*$C$6*(1+'2.Assumptions'!$B$23)^(15-1))/10000000+'3.Sizing'!$B$7*1000*('4.Cashflow'!$B$2+'2.Assumptions'!$B$36*MAX('2.Assumptions'!$B$21*$C$6-'4.Cashflow'!$B$2,0))/10000000-('3.Sizing'!$B$11*'2.Assumptions'!$B$25+'3.Sizing'!$B$12*'2.Assumptions'!$B$26)*(1+'2.Assumptions'!$B$27)^(15-1))-(MAX((MAX('3.Sizing'!$B$4*(1-'2.Assumptions'!$B$12)^(15-1)-'3.Sizing'!$B$5,0)*1000*('2.Assumptions'!$B$22*$C$6*(1+'2.Assumptions'!$B$23)^(15-1))/10000000+'3.Sizing'!$B$7*1000*('4.Cashflow'!$B$2+'2.Assumptions'!$B$36*MAX('2.Assumptions'!$B$21*$C$6-'4.Cashflow'!$B$2,0))/10000000-('3.Sizing'!$B$11*'2.Assumptions'!$B$25+'3.Sizing'!$B$12*'2.Assumptions'!$B$26)*(1+'2.Assumptions'!$B$27)^(15-1))-'3.Sizing'!$B$13/'2.Assumptions'!$B$28-IF(15&lt;='2.Assumptions'!$B$35,('3.Sizing'!$B$13*'2.Assumptions'!$B$33-('3.Sizing'!$B$13*'2.Assumptions'!$B$33/'2.Assumptions'!$B$35)*(15-1))*'2.Assumptions'!$B$34,0),0)*'2.Assumptions'!$B$30)-(IF(15&lt;='2.Assumptions'!$B$35,('3.Sizing'!$B$13*'2.Assumptions'!$B$33-('3.Sizing'!$B$13*'2.Assumptions'!$B$33/'2.Assumptions'!$B$35)*(15-1))*'2.Assumptions'!$B$34,0))-(IF(15&lt;='2.Assumptions'!$B$35,('3.Sizing'!$B$13*'2.Assumptions'!$B$33)/'2.Assumptions'!$B$35,0))</f>
        <v>69.2891534246983</v>
      </c>
      <c r="D29" s="60" t="n">
        <f aca="false">(MAX('3.Sizing'!$B$4*(1-'2.Assumptions'!$B$12)^(15-1)-'3.Sizing'!$B$5,0)*1000*('2.Assumptions'!$B$22*$D$6*(1+'2.Assumptions'!$B$23)^(15-1))/10000000+'3.Sizing'!$B$7*1000*('4.Cashflow'!$B$2+'2.Assumptions'!$B$36*MAX('2.Assumptions'!$B$21*$D$6-'4.Cashflow'!$B$2,0))/10000000-('3.Sizing'!$B$11*'2.Assumptions'!$B$25+'3.Sizing'!$B$12*'2.Assumptions'!$B$26)*(1+'2.Assumptions'!$B$27)^(15-1))-(MAX((MAX('3.Sizing'!$B$4*(1-'2.Assumptions'!$B$12)^(15-1)-'3.Sizing'!$B$5,0)*1000*('2.Assumptions'!$B$22*$D$6*(1+'2.Assumptions'!$B$23)^(15-1))/10000000+'3.Sizing'!$B$7*1000*('4.Cashflow'!$B$2+'2.Assumptions'!$B$36*MAX('2.Assumptions'!$B$21*$D$6-'4.Cashflow'!$B$2,0))/10000000-('3.Sizing'!$B$11*'2.Assumptions'!$B$25+'3.Sizing'!$B$12*'2.Assumptions'!$B$26)*(1+'2.Assumptions'!$B$27)^(15-1))-'3.Sizing'!$B$13/'2.Assumptions'!$B$28-IF(15&lt;='2.Assumptions'!$B$35,('3.Sizing'!$B$13*'2.Assumptions'!$B$33-('3.Sizing'!$B$13*'2.Assumptions'!$B$33/'2.Assumptions'!$B$35)*(15-1))*'2.Assumptions'!$B$34,0),0)*'2.Assumptions'!$B$30)-(IF(15&lt;='2.Assumptions'!$B$35,('3.Sizing'!$B$13*'2.Assumptions'!$B$33-('3.Sizing'!$B$13*'2.Assumptions'!$B$33/'2.Assumptions'!$B$35)*(15-1))*'2.Assumptions'!$B$34,0))-(IF(15&lt;='2.Assumptions'!$B$35,('3.Sizing'!$B$13*'2.Assumptions'!$B$33)/'2.Assumptions'!$B$35,0))</f>
        <v>73.760359544346</v>
      </c>
      <c r="E29" s="60" t="n">
        <f aca="false">(MAX('3.Sizing'!$B$4*(1-'2.Assumptions'!$B$12)^(15-1)-'3.Sizing'!$B$5,0)*1000*('2.Assumptions'!$B$22*$E$6*(1+'2.Assumptions'!$B$23)^(15-1))/10000000+'3.Sizing'!$B$7*1000*('4.Cashflow'!$B$2+'2.Assumptions'!$B$36*MAX('2.Assumptions'!$B$21*$E$6-'4.Cashflow'!$B$2,0))/10000000-('3.Sizing'!$B$11*'2.Assumptions'!$B$25+'3.Sizing'!$B$12*'2.Assumptions'!$B$26)*(1+'2.Assumptions'!$B$27)^(15-1))-(MAX((MAX('3.Sizing'!$B$4*(1-'2.Assumptions'!$B$12)^(15-1)-'3.Sizing'!$B$5,0)*1000*('2.Assumptions'!$B$22*$E$6*(1+'2.Assumptions'!$B$23)^(15-1))/10000000+'3.Sizing'!$B$7*1000*('4.Cashflow'!$B$2+'2.Assumptions'!$B$36*MAX('2.Assumptions'!$B$21*$E$6-'4.Cashflow'!$B$2,0))/10000000-('3.Sizing'!$B$11*'2.Assumptions'!$B$25+'3.Sizing'!$B$12*'2.Assumptions'!$B$26)*(1+'2.Assumptions'!$B$27)^(15-1))-'3.Sizing'!$B$13/'2.Assumptions'!$B$28-IF(15&lt;='2.Assumptions'!$B$35,('3.Sizing'!$B$13*'2.Assumptions'!$B$33-('3.Sizing'!$B$13*'2.Assumptions'!$B$33/'2.Assumptions'!$B$35)*(15-1))*'2.Assumptions'!$B$34,0),0)*'2.Assumptions'!$B$30)-(IF(15&lt;='2.Assumptions'!$B$35,('3.Sizing'!$B$13*'2.Assumptions'!$B$33-('3.Sizing'!$B$13*'2.Assumptions'!$B$33/'2.Assumptions'!$B$35)*(15-1))*'2.Assumptions'!$B$34,0))-(IF(15&lt;='2.Assumptions'!$B$35,('3.Sizing'!$B$13*'2.Assumptions'!$B$33)/'2.Assumptions'!$B$35,0))</f>
        <v>78.2315656639938</v>
      </c>
    </row>
    <row r="30" customFormat="false" ht="15" hidden="false" customHeight="true" outlineLevel="0" collapsed="false">
      <c r="A30" s="59" t="n">
        <v>16</v>
      </c>
      <c r="C30" s="60" t="n">
        <f aca="false">(MAX('3.Sizing'!$B$4*(1-'2.Assumptions'!$B$12)^(16-1)-'3.Sizing'!$B$5,0)*1000*('2.Assumptions'!$B$22*$C$6*(1+'2.Assumptions'!$B$23)^(16-1))/10000000+'3.Sizing'!$B$7*1000*('4.Cashflow'!$B$2+'2.Assumptions'!$B$36*MAX('2.Assumptions'!$B$21*$C$6-'4.Cashflow'!$B$2,0))/10000000-('3.Sizing'!$B$11*'2.Assumptions'!$B$25+'3.Sizing'!$B$12*'2.Assumptions'!$B$26)*(1+'2.Assumptions'!$B$27)^(16-1))-(MAX((MAX('3.Sizing'!$B$4*(1-'2.Assumptions'!$B$12)^(16-1)-'3.Sizing'!$B$5,0)*1000*('2.Assumptions'!$B$22*$C$6*(1+'2.Assumptions'!$B$23)^(16-1))/10000000+'3.Sizing'!$B$7*1000*('4.Cashflow'!$B$2+'2.Assumptions'!$B$36*MAX('2.Assumptions'!$B$21*$C$6-'4.Cashflow'!$B$2,0))/10000000-('3.Sizing'!$B$11*'2.Assumptions'!$B$25+'3.Sizing'!$B$12*'2.Assumptions'!$B$26)*(1+'2.Assumptions'!$B$27)^(16-1))-'3.Sizing'!$B$13/'2.Assumptions'!$B$28-IF(16&lt;='2.Assumptions'!$B$35,('3.Sizing'!$B$13*'2.Assumptions'!$B$33-('3.Sizing'!$B$13*'2.Assumptions'!$B$33/'2.Assumptions'!$B$35)*(16-1))*'2.Assumptions'!$B$34,0),0)*'2.Assumptions'!$B$30)-(IF(16&lt;='2.Assumptions'!$B$35,('3.Sizing'!$B$13*'2.Assumptions'!$B$33-('3.Sizing'!$B$13*'2.Assumptions'!$B$33/'2.Assumptions'!$B$35)*(16-1))*'2.Assumptions'!$B$34,0))-(IF(16&lt;='2.Assumptions'!$B$35,('3.Sizing'!$B$13*'2.Assumptions'!$B$33)/'2.Assumptions'!$B$35,0))</f>
        <v>116.321282225786</v>
      </c>
      <c r="D30" s="60" t="n">
        <f aca="false">(MAX('3.Sizing'!$B$4*(1-'2.Assumptions'!$B$12)^(16-1)-'3.Sizing'!$B$5,0)*1000*('2.Assumptions'!$B$22*$D$6*(1+'2.Assumptions'!$B$23)^(16-1))/10000000+'3.Sizing'!$B$7*1000*('4.Cashflow'!$B$2+'2.Assumptions'!$B$36*MAX('2.Assumptions'!$B$21*$D$6-'4.Cashflow'!$B$2,0))/10000000-('3.Sizing'!$B$11*'2.Assumptions'!$B$25+'3.Sizing'!$B$12*'2.Assumptions'!$B$26)*(1+'2.Assumptions'!$B$27)^(16-1))-(MAX((MAX('3.Sizing'!$B$4*(1-'2.Assumptions'!$B$12)^(16-1)-'3.Sizing'!$B$5,0)*1000*('2.Assumptions'!$B$22*$D$6*(1+'2.Assumptions'!$B$23)^(16-1))/10000000+'3.Sizing'!$B$7*1000*('4.Cashflow'!$B$2+'2.Assumptions'!$B$36*MAX('2.Assumptions'!$B$21*$D$6-'4.Cashflow'!$B$2,0))/10000000-('3.Sizing'!$B$11*'2.Assumptions'!$B$25+'3.Sizing'!$B$12*'2.Assumptions'!$B$26)*(1+'2.Assumptions'!$B$27)^(16-1))-'3.Sizing'!$B$13/'2.Assumptions'!$B$28-IF(16&lt;='2.Assumptions'!$B$35,('3.Sizing'!$B$13*'2.Assumptions'!$B$33-('3.Sizing'!$B$13*'2.Assumptions'!$B$33/'2.Assumptions'!$B$35)*(16-1))*'2.Assumptions'!$B$34,0),0)*'2.Assumptions'!$B$30)-(IF(16&lt;='2.Assumptions'!$B$35,('3.Sizing'!$B$13*'2.Assumptions'!$B$33-('3.Sizing'!$B$13*'2.Assumptions'!$B$33/'2.Assumptions'!$B$35)*(16-1))*'2.Assumptions'!$B$34,0))-(IF(16&lt;='2.Assumptions'!$B$35,('3.Sizing'!$B$13*'2.Assumptions'!$B$33)/'2.Assumptions'!$B$35,0))</f>
        <v>120.881537804733</v>
      </c>
      <c r="E30" s="60" t="n">
        <f aca="false">(MAX('3.Sizing'!$B$4*(1-'2.Assumptions'!$B$12)^(16-1)-'3.Sizing'!$B$5,0)*1000*('2.Assumptions'!$B$22*$E$6*(1+'2.Assumptions'!$B$23)^(16-1))/10000000+'3.Sizing'!$B$7*1000*('4.Cashflow'!$B$2+'2.Assumptions'!$B$36*MAX('2.Assumptions'!$B$21*$E$6-'4.Cashflow'!$B$2,0))/10000000-('3.Sizing'!$B$11*'2.Assumptions'!$B$25+'3.Sizing'!$B$12*'2.Assumptions'!$B$26)*(1+'2.Assumptions'!$B$27)^(16-1))-(MAX((MAX('3.Sizing'!$B$4*(1-'2.Assumptions'!$B$12)^(16-1)-'3.Sizing'!$B$5,0)*1000*('2.Assumptions'!$B$22*$E$6*(1+'2.Assumptions'!$B$23)^(16-1))/10000000+'3.Sizing'!$B$7*1000*('4.Cashflow'!$B$2+'2.Assumptions'!$B$36*MAX('2.Assumptions'!$B$21*$E$6-'4.Cashflow'!$B$2,0))/10000000-('3.Sizing'!$B$11*'2.Assumptions'!$B$25+'3.Sizing'!$B$12*'2.Assumptions'!$B$26)*(1+'2.Assumptions'!$B$27)^(16-1))-'3.Sizing'!$B$13/'2.Assumptions'!$B$28-IF(16&lt;='2.Assumptions'!$B$35,('3.Sizing'!$B$13*'2.Assumptions'!$B$33-('3.Sizing'!$B$13*'2.Assumptions'!$B$33/'2.Assumptions'!$B$35)*(16-1))*'2.Assumptions'!$B$34,0),0)*'2.Assumptions'!$B$30)-(IF(16&lt;='2.Assumptions'!$B$35,('3.Sizing'!$B$13*'2.Assumptions'!$B$33-('3.Sizing'!$B$13*'2.Assumptions'!$B$33/'2.Assumptions'!$B$35)*(16-1))*'2.Assumptions'!$B$34,0))-(IF(16&lt;='2.Assumptions'!$B$35,('3.Sizing'!$B$13*'2.Assumptions'!$B$33)/'2.Assumptions'!$B$35,0))</f>
        <v>125.441793383681</v>
      </c>
    </row>
    <row r="31" customFormat="false" ht="15" hidden="false" customHeight="true" outlineLevel="0" collapsed="false">
      <c r="A31" s="59" t="n">
        <v>17</v>
      </c>
      <c r="C31" s="60" t="n">
        <f aca="false">(MAX('3.Sizing'!$B$4*(1-'2.Assumptions'!$B$12)^(17-1)-'3.Sizing'!$B$5,0)*1000*('2.Assumptions'!$B$22*$C$6*(1+'2.Assumptions'!$B$23)^(17-1))/10000000+'3.Sizing'!$B$7*1000*('4.Cashflow'!$B$2+'2.Assumptions'!$B$36*MAX('2.Assumptions'!$B$21*$C$6-'4.Cashflow'!$B$2,0))/10000000-('3.Sizing'!$B$11*'2.Assumptions'!$B$25+'3.Sizing'!$B$12*'2.Assumptions'!$B$26)*(1+'2.Assumptions'!$B$27)^(17-1))-(MAX((MAX('3.Sizing'!$B$4*(1-'2.Assumptions'!$B$12)^(17-1)-'3.Sizing'!$B$5,0)*1000*('2.Assumptions'!$B$22*$C$6*(1+'2.Assumptions'!$B$23)^(17-1))/10000000+'3.Sizing'!$B$7*1000*('4.Cashflow'!$B$2+'2.Assumptions'!$B$36*MAX('2.Assumptions'!$B$21*$C$6-'4.Cashflow'!$B$2,0))/10000000-('3.Sizing'!$B$11*'2.Assumptions'!$B$25+'3.Sizing'!$B$12*'2.Assumptions'!$B$26)*(1+'2.Assumptions'!$B$27)^(17-1))-'3.Sizing'!$B$13/'2.Assumptions'!$B$28-IF(17&lt;='2.Assumptions'!$B$35,('3.Sizing'!$B$13*'2.Assumptions'!$B$33-('3.Sizing'!$B$13*'2.Assumptions'!$B$33/'2.Assumptions'!$B$35)*(17-1))*'2.Assumptions'!$B$34,0),0)*'2.Assumptions'!$B$30)-(IF(17&lt;='2.Assumptions'!$B$35,('3.Sizing'!$B$13*'2.Assumptions'!$B$33-('3.Sizing'!$B$13*'2.Assumptions'!$B$33/'2.Assumptions'!$B$35)*(17-1))*'2.Assumptions'!$B$34,0))-(IF(17&lt;='2.Assumptions'!$B$35,('3.Sizing'!$B$13*'2.Assumptions'!$B$33)/'2.Assumptions'!$B$35,0))</f>
        <v>115.986779918367</v>
      </c>
      <c r="D31" s="60" t="n">
        <f aca="false">(MAX('3.Sizing'!$B$4*(1-'2.Assumptions'!$B$12)^(17-1)-'3.Sizing'!$B$5,0)*1000*('2.Assumptions'!$B$22*$D$6*(1+'2.Assumptions'!$B$23)^(17-1))/10000000+'3.Sizing'!$B$7*1000*('4.Cashflow'!$B$2+'2.Assumptions'!$B$36*MAX('2.Assumptions'!$B$21*$D$6-'4.Cashflow'!$B$2,0))/10000000-('3.Sizing'!$B$11*'2.Assumptions'!$B$25+'3.Sizing'!$B$12*'2.Assumptions'!$B$26)*(1+'2.Assumptions'!$B$27)^(17-1))-(MAX((MAX('3.Sizing'!$B$4*(1-'2.Assumptions'!$B$12)^(17-1)-'3.Sizing'!$B$5,0)*1000*('2.Assumptions'!$B$22*$D$6*(1+'2.Assumptions'!$B$23)^(17-1))/10000000+'3.Sizing'!$B$7*1000*('4.Cashflow'!$B$2+'2.Assumptions'!$B$36*MAX('2.Assumptions'!$B$21*$D$6-'4.Cashflow'!$B$2,0))/10000000-('3.Sizing'!$B$11*'2.Assumptions'!$B$25+'3.Sizing'!$B$12*'2.Assumptions'!$B$26)*(1+'2.Assumptions'!$B$27)^(17-1))-'3.Sizing'!$B$13/'2.Assumptions'!$B$28-IF(17&lt;='2.Assumptions'!$B$35,('3.Sizing'!$B$13*'2.Assumptions'!$B$33-('3.Sizing'!$B$13*'2.Assumptions'!$B$33/'2.Assumptions'!$B$35)*(17-1))*'2.Assumptions'!$B$34,0),0)*'2.Assumptions'!$B$30)-(IF(17&lt;='2.Assumptions'!$B$35,('3.Sizing'!$B$13*'2.Assumptions'!$B$33-('3.Sizing'!$B$13*'2.Assumptions'!$B$33/'2.Assumptions'!$B$35)*(17-1))*'2.Assumptions'!$B$34,0))-(IF(17&lt;='2.Assumptions'!$B$35,('3.Sizing'!$B$13*'2.Assumptions'!$B$33)/'2.Assumptions'!$B$35,0))</f>
        <v>120.637636035294</v>
      </c>
      <c r="E31" s="60" t="n">
        <f aca="false">(MAX('3.Sizing'!$B$4*(1-'2.Assumptions'!$B$12)^(17-1)-'3.Sizing'!$B$5,0)*1000*('2.Assumptions'!$B$22*$E$6*(1+'2.Assumptions'!$B$23)^(17-1))/10000000+'3.Sizing'!$B$7*1000*('4.Cashflow'!$B$2+'2.Assumptions'!$B$36*MAX('2.Assumptions'!$B$21*$E$6-'4.Cashflow'!$B$2,0))/10000000-('3.Sizing'!$B$11*'2.Assumptions'!$B$25+'3.Sizing'!$B$12*'2.Assumptions'!$B$26)*(1+'2.Assumptions'!$B$27)^(17-1))-(MAX((MAX('3.Sizing'!$B$4*(1-'2.Assumptions'!$B$12)^(17-1)-'3.Sizing'!$B$5,0)*1000*('2.Assumptions'!$B$22*$E$6*(1+'2.Assumptions'!$B$23)^(17-1))/10000000+'3.Sizing'!$B$7*1000*('4.Cashflow'!$B$2+'2.Assumptions'!$B$36*MAX('2.Assumptions'!$B$21*$E$6-'4.Cashflow'!$B$2,0))/10000000-('3.Sizing'!$B$11*'2.Assumptions'!$B$25+'3.Sizing'!$B$12*'2.Assumptions'!$B$26)*(1+'2.Assumptions'!$B$27)^(17-1))-'3.Sizing'!$B$13/'2.Assumptions'!$B$28-IF(17&lt;='2.Assumptions'!$B$35,('3.Sizing'!$B$13*'2.Assumptions'!$B$33-('3.Sizing'!$B$13*'2.Assumptions'!$B$33/'2.Assumptions'!$B$35)*(17-1))*'2.Assumptions'!$B$34,0),0)*'2.Assumptions'!$B$30)-(IF(17&lt;='2.Assumptions'!$B$35,('3.Sizing'!$B$13*'2.Assumptions'!$B$33-('3.Sizing'!$B$13*'2.Assumptions'!$B$33/'2.Assumptions'!$B$35)*(17-1))*'2.Assumptions'!$B$34,0))-(IF(17&lt;='2.Assumptions'!$B$35,('3.Sizing'!$B$13*'2.Assumptions'!$B$33)/'2.Assumptions'!$B$35,0))</f>
        <v>125.288492152221</v>
      </c>
    </row>
    <row r="32" customFormat="false" ht="15" hidden="false" customHeight="true" outlineLevel="0" collapsed="false">
      <c r="A32" s="59" t="n">
        <v>18</v>
      </c>
      <c r="C32" s="60" t="n">
        <f aca="false">(MAX('3.Sizing'!$B$4*(1-'2.Assumptions'!$B$12)^(18-1)-'3.Sizing'!$B$5,0)*1000*('2.Assumptions'!$B$22*$C$6*(1+'2.Assumptions'!$B$23)^(18-1))/10000000+'3.Sizing'!$B$7*1000*('4.Cashflow'!$B$2+'2.Assumptions'!$B$36*MAX('2.Assumptions'!$B$21*$C$6-'4.Cashflow'!$B$2,0))/10000000-('3.Sizing'!$B$11*'2.Assumptions'!$B$25+'3.Sizing'!$B$12*'2.Assumptions'!$B$26)*(1+'2.Assumptions'!$B$27)^(18-1))-(MAX((MAX('3.Sizing'!$B$4*(1-'2.Assumptions'!$B$12)^(18-1)-'3.Sizing'!$B$5,0)*1000*('2.Assumptions'!$B$22*$C$6*(1+'2.Assumptions'!$B$23)^(18-1))/10000000+'3.Sizing'!$B$7*1000*('4.Cashflow'!$B$2+'2.Assumptions'!$B$36*MAX('2.Assumptions'!$B$21*$C$6-'4.Cashflow'!$B$2,0))/10000000-('3.Sizing'!$B$11*'2.Assumptions'!$B$25+'3.Sizing'!$B$12*'2.Assumptions'!$B$26)*(1+'2.Assumptions'!$B$27)^(18-1))-'3.Sizing'!$B$13/'2.Assumptions'!$B$28-IF(18&lt;='2.Assumptions'!$B$35,('3.Sizing'!$B$13*'2.Assumptions'!$B$33-('3.Sizing'!$B$13*'2.Assumptions'!$B$33/'2.Assumptions'!$B$35)*(18-1))*'2.Assumptions'!$B$34,0),0)*'2.Assumptions'!$B$30)-(IF(18&lt;='2.Assumptions'!$B$35,('3.Sizing'!$B$13*'2.Assumptions'!$B$33-('3.Sizing'!$B$13*'2.Assumptions'!$B$33/'2.Assumptions'!$B$35)*(18-1))*'2.Assumptions'!$B$34,0))-(IF(18&lt;='2.Assumptions'!$B$35,('3.Sizing'!$B$13*'2.Assumptions'!$B$33)/'2.Assumptions'!$B$35,0))</f>
        <v>115.608910174253</v>
      </c>
      <c r="D32" s="60" t="n">
        <f aca="false">(MAX('3.Sizing'!$B$4*(1-'2.Assumptions'!$B$12)^(18-1)-'3.Sizing'!$B$5,0)*1000*('2.Assumptions'!$B$22*$D$6*(1+'2.Assumptions'!$B$23)^(18-1))/10000000+'3.Sizing'!$B$7*1000*('4.Cashflow'!$B$2+'2.Assumptions'!$B$36*MAX('2.Assumptions'!$B$21*$D$6-'4.Cashflow'!$B$2,0))/10000000-('3.Sizing'!$B$11*'2.Assumptions'!$B$25+'3.Sizing'!$B$12*'2.Assumptions'!$B$26)*(1+'2.Assumptions'!$B$27)^(18-1))-(MAX((MAX('3.Sizing'!$B$4*(1-'2.Assumptions'!$B$12)^(18-1)-'3.Sizing'!$B$5,0)*1000*('2.Assumptions'!$B$22*$D$6*(1+'2.Assumptions'!$B$23)^(18-1))/10000000+'3.Sizing'!$B$7*1000*('4.Cashflow'!$B$2+'2.Assumptions'!$B$36*MAX('2.Assumptions'!$B$21*$D$6-'4.Cashflow'!$B$2,0))/10000000-('3.Sizing'!$B$11*'2.Assumptions'!$B$25+'3.Sizing'!$B$12*'2.Assumptions'!$B$26)*(1+'2.Assumptions'!$B$27)^(18-1))-'3.Sizing'!$B$13/'2.Assumptions'!$B$28-IF(18&lt;='2.Assumptions'!$B$35,('3.Sizing'!$B$13*'2.Assumptions'!$B$33-('3.Sizing'!$B$13*'2.Assumptions'!$B$33/'2.Assumptions'!$B$35)*(18-1))*'2.Assumptions'!$B$34,0),0)*'2.Assumptions'!$B$30)-(IF(18&lt;='2.Assumptions'!$B$35,('3.Sizing'!$B$13*'2.Assumptions'!$B$33-('3.Sizing'!$B$13*'2.Assumptions'!$B$33/'2.Assumptions'!$B$35)*(18-1))*'2.Assumptions'!$B$34,0))-(IF(18&lt;='2.Assumptions'!$B$35,('3.Sizing'!$B$13*'2.Assumptions'!$B$33)/'2.Assumptions'!$B$35,0))</f>
        <v>120.351936598134</v>
      </c>
      <c r="E32" s="60" t="n">
        <f aca="false">(MAX('3.Sizing'!$B$4*(1-'2.Assumptions'!$B$12)^(18-1)-'3.Sizing'!$B$5,0)*1000*('2.Assumptions'!$B$22*$E$6*(1+'2.Assumptions'!$B$23)^(18-1))/10000000+'3.Sizing'!$B$7*1000*('4.Cashflow'!$B$2+'2.Assumptions'!$B$36*MAX('2.Assumptions'!$B$21*$E$6-'4.Cashflow'!$B$2,0))/10000000-('3.Sizing'!$B$11*'2.Assumptions'!$B$25+'3.Sizing'!$B$12*'2.Assumptions'!$B$26)*(1+'2.Assumptions'!$B$27)^(18-1))-(MAX((MAX('3.Sizing'!$B$4*(1-'2.Assumptions'!$B$12)^(18-1)-'3.Sizing'!$B$5,0)*1000*('2.Assumptions'!$B$22*$E$6*(1+'2.Assumptions'!$B$23)^(18-1))/10000000+'3.Sizing'!$B$7*1000*('4.Cashflow'!$B$2+'2.Assumptions'!$B$36*MAX('2.Assumptions'!$B$21*$E$6-'4.Cashflow'!$B$2,0))/10000000-('3.Sizing'!$B$11*'2.Assumptions'!$B$25+'3.Sizing'!$B$12*'2.Assumptions'!$B$26)*(1+'2.Assumptions'!$B$27)^(18-1))-'3.Sizing'!$B$13/'2.Assumptions'!$B$28-IF(18&lt;='2.Assumptions'!$B$35,('3.Sizing'!$B$13*'2.Assumptions'!$B$33-('3.Sizing'!$B$13*'2.Assumptions'!$B$33/'2.Assumptions'!$B$35)*(18-1))*'2.Assumptions'!$B$34,0),0)*'2.Assumptions'!$B$30)-(IF(18&lt;='2.Assumptions'!$B$35,('3.Sizing'!$B$13*'2.Assumptions'!$B$33-('3.Sizing'!$B$13*'2.Assumptions'!$B$33/'2.Assumptions'!$B$35)*(18-1))*'2.Assumptions'!$B$34,0))-(IF(18&lt;='2.Assumptions'!$B$35,('3.Sizing'!$B$13*'2.Assumptions'!$B$33)/'2.Assumptions'!$B$35,0))</f>
        <v>125.094963022015</v>
      </c>
    </row>
    <row r="33" customFormat="false" ht="15" hidden="false" customHeight="true" outlineLevel="0" collapsed="false">
      <c r="A33" s="59" t="n">
        <v>19</v>
      </c>
      <c r="C33" s="60" t="n">
        <f aca="false">(MAX('3.Sizing'!$B$4*(1-'2.Assumptions'!$B$12)^(19-1)-'3.Sizing'!$B$5,0)*1000*('2.Assumptions'!$B$22*$C$6*(1+'2.Assumptions'!$B$23)^(19-1))/10000000+'3.Sizing'!$B$7*1000*('4.Cashflow'!$B$2+'2.Assumptions'!$B$36*MAX('2.Assumptions'!$B$21*$C$6-'4.Cashflow'!$B$2,0))/10000000-('3.Sizing'!$B$11*'2.Assumptions'!$B$25+'3.Sizing'!$B$12*'2.Assumptions'!$B$26)*(1+'2.Assumptions'!$B$27)^(19-1))-(MAX((MAX('3.Sizing'!$B$4*(1-'2.Assumptions'!$B$12)^(19-1)-'3.Sizing'!$B$5,0)*1000*('2.Assumptions'!$B$22*$C$6*(1+'2.Assumptions'!$B$23)^(19-1))/10000000+'3.Sizing'!$B$7*1000*('4.Cashflow'!$B$2+'2.Assumptions'!$B$36*MAX('2.Assumptions'!$B$21*$C$6-'4.Cashflow'!$B$2,0))/10000000-('3.Sizing'!$B$11*'2.Assumptions'!$B$25+'3.Sizing'!$B$12*'2.Assumptions'!$B$26)*(1+'2.Assumptions'!$B$27)^(19-1))-'3.Sizing'!$B$13/'2.Assumptions'!$B$28-IF(19&lt;='2.Assumptions'!$B$35,('3.Sizing'!$B$13*'2.Assumptions'!$B$33-('3.Sizing'!$B$13*'2.Assumptions'!$B$33/'2.Assumptions'!$B$35)*(19-1))*'2.Assumptions'!$B$34,0),0)*'2.Assumptions'!$B$30)-(IF(19&lt;='2.Assumptions'!$B$35,('3.Sizing'!$B$13*'2.Assumptions'!$B$33-('3.Sizing'!$B$13*'2.Assumptions'!$B$33/'2.Assumptions'!$B$35)*(19-1))*'2.Assumptions'!$B$34,0))-(IF(19&lt;='2.Assumptions'!$B$35,('3.Sizing'!$B$13*'2.Assumptions'!$B$33)/'2.Assumptions'!$B$35,0))</f>
        <v>115.184965257715</v>
      </c>
      <c r="D33" s="60" t="n">
        <f aca="false">(MAX('3.Sizing'!$B$4*(1-'2.Assumptions'!$B$12)^(19-1)-'3.Sizing'!$B$5,0)*1000*('2.Assumptions'!$B$22*$D$6*(1+'2.Assumptions'!$B$23)^(19-1))/10000000+'3.Sizing'!$B$7*1000*('4.Cashflow'!$B$2+'2.Assumptions'!$B$36*MAX('2.Assumptions'!$B$21*$D$6-'4.Cashflow'!$B$2,0))/10000000-('3.Sizing'!$B$11*'2.Assumptions'!$B$25+'3.Sizing'!$B$12*'2.Assumptions'!$B$26)*(1+'2.Assumptions'!$B$27)^(19-1))-(MAX((MAX('3.Sizing'!$B$4*(1-'2.Assumptions'!$B$12)^(19-1)-'3.Sizing'!$B$5,0)*1000*('2.Assumptions'!$B$22*$D$6*(1+'2.Assumptions'!$B$23)^(19-1))/10000000+'3.Sizing'!$B$7*1000*('4.Cashflow'!$B$2+'2.Assumptions'!$B$36*MAX('2.Assumptions'!$B$21*$D$6-'4.Cashflow'!$B$2,0))/10000000-('3.Sizing'!$B$11*'2.Assumptions'!$B$25+'3.Sizing'!$B$12*'2.Assumptions'!$B$26)*(1+'2.Assumptions'!$B$27)^(19-1))-'3.Sizing'!$B$13/'2.Assumptions'!$B$28-IF(19&lt;='2.Assumptions'!$B$35,('3.Sizing'!$B$13*'2.Assumptions'!$B$33-('3.Sizing'!$B$13*'2.Assumptions'!$B$33/'2.Assumptions'!$B$35)*(19-1))*'2.Assumptions'!$B$34,0),0)*'2.Assumptions'!$B$30)-(IF(19&lt;='2.Assumptions'!$B$35,('3.Sizing'!$B$13*'2.Assumptions'!$B$33-('3.Sizing'!$B$13*'2.Assumptions'!$B$33/'2.Assumptions'!$B$35)*(19-1))*'2.Assumptions'!$B$34,0))-(IF(19&lt;='2.Assumptions'!$B$35,('3.Sizing'!$B$13*'2.Assumptions'!$B$33)/'2.Assumptions'!$B$35,0))</f>
        <v>120.021750316651</v>
      </c>
      <c r="E33" s="60" t="n">
        <f aca="false">(MAX('3.Sizing'!$B$4*(1-'2.Assumptions'!$B$12)^(19-1)-'3.Sizing'!$B$5,0)*1000*('2.Assumptions'!$B$22*$E$6*(1+'2.Assumptions'!$B$23)^(19-1))/10000000+'3.Sizing'!$B$7*1000*('4.Cashflow'!$B$2+'2.Assumptions'!$B$36*MAX('2.Assumptions'!$B$21*$E$6-'4.Cashflow'!$B$2,0))/10000000-('3.Sizing'!$B$11*'2.Assumptions'!$B$25+'3.Sizing'!$B$12*'2.Assumptions'!$B$26)*(1+'2.Assumptions'!$B$27)^(19-1))-(MAX((MAX('3.Sizing'!$B$4*(1-'2.Assumptions'!$B$12)^(19-1)-'3.Sizing'!$B$5,0)*1000*('2.Assumptions'!$B$22*$E$6*(1+'2.Assumptions'!$B$23)^(19-1))/10000000+'3.Sizing'!$B$7*1000*('4.Cashflow'!$B$2+'2.Assumptions'!$B$36*MAX('2.Assumptions'!$B$21*$E$6-'4.Cashflow'!$B$2,0))/10000000-('3.Sizing'!$B$11*'2.Assumptions'!$B$25+'3.Sizing'!$B$12*'2.Assumptions'!$B$26)*(1+'2.Assumptions'!$B$27)^(19-1))-'3.Sizing'!$B$13/'2.Assumptions'!$B$28-IF(19&lt;='2.Assumptions'!$B$35,('3.Sizing'!$B$13*'2.Assumptions'!$B$33-('3.Sizing'!$B$13*'2.Assumptions'!$B$33/'2.Assumptions'!$B$35)*(19-1))*'2.Assumptions'!$B$34,0),0)*'2.Assumptions'!$B$30)-(IF(19&lt;='2.Assumptions'!$B$35,('3.Sizing'!$B$13*'2.Assumptions'!$B$33-('3.Sizing'!$B$13*'2.Assumptions'!$B$33/'2.Assumptions'!$B$35)*(19-1))*'2.Assumptions'!$B$34,0))-(IF(19&lt;='2.Assumptions'!$B$35,('3.Sizing'!$B$13*'2.Assumptions'!$B$33)/'2.Assumptions'!$B$35,0))</f>
        <v>124.858535375587</v>
      </c>
    </row>
    <row r="34" customFormat="false" ht="15" hidden="false" customHeight="true" outlineLevel="0" collapsed="false">
      <c r="A34" s="59" t="n">
        <v>20</v>
      </c>
      <c r="C34" s="60" t="n">
        <f aca="false">(MAX('3.Sizing'!$B$4*(1-'2.Assumptions'!$B$12)^(20-1)-'3.Sizing'!$B$5,0)*1000*('2.Assumptions'!$B$22*$C$6*(1+'2.Assumptions'!$B$23)^(20-1))/10000000+'3.Sizing'!$B$7*1000*('4.Cashflow'!$B$2+'2.Assumptions'!$B$36*MAX('2.Assumptions'!$B$21*$C$6-'4.Cashflow'!$B$2,0))/10000000-('3.Sizing'!$B$11*'2.Assumptions'!$B$25+'3.Sizing'!$B$12*'2.Assumptions'!$B$26)*(1+'2.Assumptions'!$B$27)^(20-1))-(MAX((MAX('3.Sizing'!$B$4*(1-'2.Assumptions'!$B$12)^(20-1)-'3.Sizing'!$B$5,0)*1000*('2.Assumptions'!$B$22*$C$6*(1+'2.Assumptions'!$B$23)^(20-1))/10000000+'3.Sizing'!$B$7*1000*('4.Cashflow'!$B$2+'2.Assumptions'!$B$36*MAX('2.Assumptions'!$B$21*$C$6-'4.Cashflow'!$B$2,0))/10000000-('3.Sizing'!$B$11*'2.Assumptions'!$B$25+'3.Sizing'!$B$12*'2.Assumptions'!$B$26)*(1+'2.Assumptions'!$B$27)^(20-1))-'3.Sizing'!$B$13/'2.Assumptions'!$B$28-IF(20&lt;='2.Assumptions'!$B$35,('3.Sizing'!$B$13*'2.Assumptions'!$B$33-('3.Sizing'!$B$13*'2.Assumptions'!$B$33/'2.Assumptions'!$B$35)*(20-1))*'2.Assumptions'!$B$34,0),0)*'2.Assumptions'!$B$30)-(IF(20&lt;='2.Assumptions'!$B$35,('3.Sizing'!$B$13*'2.Assumptions'!$B$33-('3.Sizing'!$B$13*'2.Assumptions'!$B$33/'2.Assumptions'!$B$35)*(20-1))*'2.Assumptions'!$B$34,0))-(IF(20&lt;='2.Assumptions'!$B$35,('3.Sizing'!$B$13*'2.Assumptions'!$B$33)/'2.Assumptions'!$B$35,0))</f>
        <v>114.71209232398</v>
      </c>
      <c r="D34" s="60" t="n">
        <f aca="false">(MAX('3.Sizing'!$B$4*(1-'2.Assumptions'!$B$12)^(20-1)-'3.Sizing'!$B$5,0)*1000*('2.Assumptions'!$B$22*$D$6*(1+'2.Assumptions'!$B$23)^(20-1))/10000000+'3.Sizing'!$B$7*1000*('4.Cashflow'!$B$2+'2.Assumptions'!$B$36*MAX('2.Assumptions'!$B$21*$D$6-'4.Cashflow'!$B$2,0))/10000000-('3.Sizing'!$B$11*'2.Assumptions'!$B$25+'3.Sizing'!$B$12*'2.Assumptions'!$B$26)*(1+'2.Assumptions'!$B$27)^(20-1))-(MAX((MAX('3.Sizing'!$B$4*(1-'2.Assumptions'!$B$12)^(20-1)-'3.Sizing'!$B$5,0)*1000*('2.Assumptions'!$B$22*$D$6*(1+'2.Assumptions'!$B$23)^(20-1))/10000000+'3.Sizing'!$B$7*1000*('4.Cashflow'!$B$2+'2.Assumptions'!$B$36*MAX('2.Assumptions'!$B$21*$D$6-'4.Cashflow'!$B$2,0))/10000000-('3.Sizing'!$B$11*'2.Assumptions'!$B$25+'3.Sizing'!$B$12*'2.Assumptions'!$B$26)*(1+'2.Assumptions'!$B$27)^(20-1))-'3.Sizing'!$B$13/'2.Assumptions'!$B$28-IF(20&lt;='2.Assumptions'!$B$35,('3.Sizing'!$B$13*'2.Assumptions'!$B$33-('3.Sizing'!$B$13*'2.Assumptions'!$B$33/'2.Assumptions'!$B$35)*(20-1))*'2.Assumptions'!$B$34,0),0)*'2.Assumptions'!$B$30)-(IF(20&lt;='2.Assumptions'!$B$35,('3.Sizing'!$B$13*'2.Assumptions'!$B$33-('3.Sizing'!$B$13*'2.Assumptions'!$B$33/'2.Assumptions'!$B$35)*(20-1))*'2.Assumptions'!$B$34,0))-(IF(20&lt;='2.Assumptions'!$B$35,('3.Sizing'!$B$13*'2.Assumptions'!$B$33)/'2.Assumptions'!$B$35,0))</f>
        <v>119.644242752905</v>
      </c>
      <c r="E34" s="60" t="n">
        <f aca="false">(MAX('3.Sizing'!$B$4*(1-'2.Assumptions'!$B$12)^(20-1)-'3.Sizing'!$B$5,0)*1000*('2.Assumptions'!$B$22*$E$6*(1+'2.Assumptions'!$B$23)^(20-1))/10000000+'3.Sizing'!$B$7*1000*('4.Cashflow'!$B$2+'2.Assumptions'!$B$36*MAX('2.Assumptions'!$B$21*$E$6-'4.Cashflow'!$B$2,0))/10000000-('3.Sizing'!$B$11*'2.Assumptions'!$B$25+'3.Sizing'!$B$12*'2.Assumptions'!$B$26)*(1+'2.Assumptions'!$B$27)^(20-1))-(MAX((MAX('3.Sizing'!$B$4*(1-'2.Assumptions'!$B$12)^(20-1)-'3.Sizing'!$B$5,0)*1000*('2.Assumptions'!$B$22*$E$6*(1+'2.Assumptions'!$B$23)^(20-1))/10000000+'3.Sizing'!$B$7*1000*('4.Cashflow'!$B$2+'2.Assumptions'!$B$36*MAX('2.Assumptions'!$B$21*$E$6-'4.Cashflow'!$B$2,0))/10000000-('3.Sizing'!$B$11*'2.Assumptions'!$B$25+'3.Sizing'!$B$12*'2.Assumptions'!$B$26)*(1+'2.Assumptions'!$B$27)^(20-1))-'3.Sizing'!$B$13/'2.Assumptions'!$B$28-IF(20&lt;='2.Assumptions'!$B$35,('3.Sizing'!$B$13*'2.Assumptions'!$B$33-('3.Sizing'!$B$13*'2.Assumptions'!$B$33/'2.Assumptions'!$B$35)*(20-1))*'2.Assumptions'!$B$34,0),0)*'2.Assumptions'!$B$30)-(IF(20&lt;='2.Assumptions'!$B$35,('3.Sizing'!$B$13*'2.Assumptions'!$B$33-('3.Sizing'!$B$13*'2.Assumptions'!$B$33/'2.Assumptions'!$B$35)*(20-1))*'2.Assumptions'!$B$34,0))-(IF(20&lt;='2.Assumptions'!$B$35,('3.Sizing'!$B$13*'2.Assumptions'!$B$33)/'2.Assumptions'!$B$35,0))</f>
        <v>124.576393181829</v>
      </c>
    </row>
    <row r="35" customFormat="false" ht="15" hidden="false" customHeight="true" outlineLevel="0" collapsed="false">
      <c r="A35" s="59" t="n">
        <v>21</v>
      </c>
      <c r="C35" s="60" t="n">
        <f aca="false">(MAX('3.Sizing'!$B$4*(1-'2.Assumptions'!$B$12)^(21-1)-'3.Sizing'!$B$5,0)*1000*('2.Assumptions'!$B$22*$C$6*(1+'2.Assumptions'!$B$23)^(21-1))/10000000+'3.Sizing'!$B$7*1000*('4.Cashflow'!$B$2+'2.Assumptions'!$B$36*MAX('2.Assumptions'!$B$21*$C$6-'4.Cashflow'!$B$2,0))/10000000-('3.Sizing'!$B$11*'2.Assumptions'!$B$25+'3.Sizing'!$B$12*'2.Assumptions'!$B$26)*(1+'2.Assumptions'!$B$27)^(21-1))-(MAX((MAX('3.Sizing'!$B$4*(1-'2.Assumptions'!$B$12)^(21-1)-'3.Sizing'!$B$5,0)*1000*('2.Assumptions'!$B$22*$C$6*(1+'2.Assumptions'!$B$23)^(21-1))/10000000+'3.Sizing'!$B$7*1000*('4.Cashflow'!$B$2+'2.Assumptions'!$B$36*MAX('2.Assumptions'!$B$21*$C$6-'4.Cashflow'!$B$2,0))/10000000-('3.Sizing'!$B$11*'2.Assumptions'!$B$25+'3.Sizing'!$B$12*'2.Assumptions'!$B$26)*(1+'2.Assumptions'!$B$27)^(21-1))-'3.Sizing'!$B$13/'2.Assumptions'!$B$28-IF(21&lt;='2.Assumptions'!$B$35,('3.Sizing'!$B$13*'2.Assumptions'!$B$33-('3.Sizing'!$B$13*'2.Assumptions'!$B$33/'2.Assumptions'!$B$35)*(21-1))*'2.Assumptions'!$B$34,0),0)*'2.Assumptions'!$B$30)-(IF(21&lt;='2.Assumptions'!$B$35,('3.Sizing'!$B$13*'2.Assumptions'!$B$33-('3.Sizing'!$B$13*'2.Assumptions'!$B$33/'2.Assumptions'!$B$35)*(21-1))*'2.Assumptions'!$B$34,0))-(IF(21&lt;='2.Assumptions'!$B$35,('3.Sizing'!$B$13*'2.Assumptions'!$B$33)/'2.Assumptions'!$B$35,0))</f>
        <v>114.187286032605</v>
      </c>
      <c r="D35" s="60" t="n">
        <f aca="false">(MAX('3.Sizing'!$B$4*(1-'2.Assumptions'!$B$12)^(21-1)-'3.Sizing'!$B$5,0)*1000*('2.Assumptions'!$B$22*$D$6*(1+'2.Assumptions'!$B$23)^(21-1))/10000000+'3.Sizing'!$B$7*1000*('4.Cashflow'!$B$2+'2.Assumptions'!$B$36*MAX('2.Assumptions'!$B$21*$D$6-'4.Cashflow'!$B$2,0))/10000000-('3.Sizing'!$B$11*'2.Assumptions'!$B$25+'3.Sizing'!$B$12*'2.Assumptions'!$B$26)*(1+'2.Assumptions'!$B$27)^(21-1))-(MAX((MAX('3.Sizing'!$B$4*(1-'2.Assumptions'!$B$12)^(21-1)-'3.Sizing'!$B$5,0)*1000*('2.Assumptions'!$B$22*$D$6*(1+'2.Assumptions'!$B$23)^(21-1))/10000000+'3.Sizing'!$B$7*1000*('4.Cashflow'!$B$2+'2.Assumptions'!$B$36*MAX('2.Assumptions'!$B$21*$D$6-'4.Cashflow'!$B$2,0))/10000000-('3.Sizing'!$B$11*'2.Assumptions'!$B$25+'3.Sizing'!$B$12*'2.Assumptions'!$B$26)*(1+'2.Assumptions'!$B$27)^(21-1))-'3.Sizing'!$B$13/'2.Assumptions'!$B$28-IF(21&lt;='2.Assumptions'!$B$35,('3.Sizing'!$B$13*'2.Assumptions'!$B$33-('3.Sizing'!$B$13*'2.Assumptions'!$B$33/'2.Assumptions'!$B$35)*(21-1))*'2.Assumptions'!$B$34,0),0)*'2.Assumptions'!$B$30)-(IF(21&lt;='2.Assumptions'!$B$35,('3.Sizing'!$B$13*'2.Assumptions'!$B$33-('3.Sizing'!$B$13*'2.Assumptions'!$B$33/'2.Assumptions'!$B$35)*(21-1))*'2.Assumptions'!$B$34,0))-(IF(21&lt;='2.Assumptions'!$B$35,('3.Sizing'!$B$13*'2.Assumptions'!$B$33)/'2.Assumptions'!$B$35,0))</f>
        <v>119.216426798801</v>
      </c>
      <c r="E35" s="60" t="n">
        <f aca="false">(MAX('3.Sizing'!$B$4*(1-'2.Assumptions'!$B$12)^(21-1)-'3.Sizing'!$B$5,0)*1000*('2.Assumptions'!$B$22*$E$6*(1+'2.Assumptions'!$B$23)^(21-1))/10000000+'3.Sizing'!$B$7*1000*('4.Cashflow'!$B$2+'2.Assumptions'!$B$36*MAX('2.Assumptions'!$B$21*$E$6-'4.Cashflow'!$B$2,0))/10000000-('3.Sizing'!$B$11*'2.Assumptions'!$B$25+'3.Sizing'!$B$12*'2.Assumptions'!$B$26)*(1+'2.Assumptions'!$B$27)^(21-1))-(MAX((MAX('3.Sizing'!$B$4*(1-'2.Assumptions'!$B$12)^(21-1)-'3.Sizing'!$B$5,0)*1000*('2.Assumptions'!$B$22*$E$6*(1+'2.Assumptions'!$B$23)^(21-1))/10000000+'3.Sizing'!$B$7*1000*('4.Cashflow'!$B$2+'2.Assumptions'!$B$36*MAX('2.Assumptions'!$B$21*$E$6-'4.Cashflow'!$B$2,0))/10000000-('3.Sizing'!$B$11*'2.Assumptions'!$B$25+'3.Sizing'!$B$12*'2.Assumptions'!$B$26)*(1+'2.Assumptions'!$B$27)^(21-1))-'3.Sizing'!$B$13/'2.Assumptions'!$B$28-IF(21&lt;='2.Assumptions'!$B$35,('3.Sizing'!$B$13*'2.Assumptions'!$B$33-('3.Sizing'!$B$13*'2.Assumptions'!$B$33/'2.Assumptions'!$B$35)*(21-1))*'2.Assumptions'!$B$34,0),0)*'2.Assumptions'!$B$30)-(IF(21&lt;='2.Assumptions'!$B$35,('3.Sizing'!$B$13*'2.Assumptions'!$B$33-('3.Sizing'!$B$13*'2.Assumptions'!$B$33/'2.Assumptions'!$B$35)*(21-1))*'2.Assumptions'!$B$34,0))-(IF(21&lt;='2.Assumptions'!$B$35,('3.Sizing'!$B$13*'2.Assumptions'!$B$33)/'2.Assumptions'!$B$35,0))</f>
        <v>124.245567564997</v>
      </c>
    </row>
    <row r="36" customFormat="false" ht="15" hidden="false" customHeight="true" outlineLevel="0" collapsed="false">
      <c r="A36" s="59" t="n">
        <v>22</v>
      </c>
      <c r="C36" s="60" t="n">
        <f aca="false">(MAX('3.Sizing'!$B$4*(1-'2.Assumptions'!$B$12)^(22-1)-'3.Sizing'!$B$5,0)*1000*('2.Assumptions'!$B$22*$C$6*(1+'2.Assumptions'!$B$23)^(22-1))/10000000+'3.Sizing'!$B$7*1000*('4.Cashflow'!$B$2+'2.Assumptions'!$B$36*MAX('2.Assumptions'!$B$21*$C$6-'4.Cashflow'!$B$2,0))/10000000-('3.Sizing'!$B$11*'2.Assumptions'!$B$25+'3.Sizing'!$B$12*'2.Assumptions'!$B$26)*(1+'2.Assumptions'!$B$27)^(22-1))-(MAX((MAX('3.Sizing'!$B$4*(1-'2.Assumptions'!$B$12)^(22-1)-'3.Sizing'!$B$5,0)*1000*('2.Assumptions'!$B$22*$C$6*(1+'2.Assumptions'!$B$23)^(22-1))/10000000+'3.Sizing'!$B$7*1000*('4.Cashflow'!$B$2+'2.Assumptions'!$B$36*MAX('2.Assumptions'!$B$21*$C$6-'4.Cashflow'!$B$2,0))/10000000-('3.Sizing'!$B$11*'2.Assumptions'!$B$25+'3.Sizing'!$B$12*'2.Assumptions'!$B$26)*(1+'2.Assumptions'!$B$27)^(22-1))-'3.Sizing'!$B$13/'2.Assumptions'!$B$28-IF(22&lt;='2.Assumptions'!$B$35,('3.Sizing'!$B$13*'2.Assumptions'!$B$33-('3.Sizing'!$B$13*'2.Assumptions'!$B$33/'2.Assumptions'!$B$35)*(22-1))*'2.Assumptions'!$B$34,0),0)*'2.Assumptions'!$B$30)-(IF(22&lt;='2.Assumptions'!$B$35,('3.Sizing'!$B$13*'2.Assumptions'!$B$33-('3.Sizing'!$B$13*'2.Assumptions'!$B$33/'2.Assumptions'!$B$35)*(22-1))*'2.Assumptions'!$B$34,0))-(IF(22&lt;='2.Assumptions'!$B$35,('3.Sizing'!$B$13*'2.Assumptions'!$B$33)/'2.Assumptions'!$B$35,0))</f>
        <v>113.60738079158</v>
      </c>
      <c r="D36" s="60" t="n">
        <f aca="false">(MAX('3.Sizing'!$B$4*(1-'2.Assumptions'!$B$12)^(22-1)-'3.Sizing'!$B$5,0)*1000*('2.Assumptions'!$B$22*$D$6*(1+'2.Assumptions'!$B$23)^(22-1))/10000000+'3.Sizing'!$B$7*1000*('4.Cashflow'!$B$2+'2.Assumptions'!$B$36*MAX('2.Assumptions'!$B$21*$D$6-'4.Cashflow'!$B$2,0))/10000000-('3.Sizing'!$B$11*'2.Assumptions'!$B$25+'3.Sizing'!$B$12*'2.Assumptions'!$B$26)*(1+'2.Assumptions'!$B$27)^(22-1))-(MAX((MAX('3.Sizing'!$B$4*(1-'2.Assumptions'!$B$12)^(22-1)-'3.Sizing'!$B$5,0)*1000*('2.Assumptions'!$B$22*$D$6*(1+'2.Assumptions'!$B$23)^(22-1))/10000000+'3.Sizing'!$B$7*1000*('4.Cashflow'!$B$2+'2.Assumptions'!$B$36*MAX('2.Assumptions'!$B$21*$D$6-'4.Cashflow'!$B$2,0))/10000000-('3.Sizing'!$B$11*'2.Assumptions'!$B$25+'3.Sizing'!$B$12*'2.Assumptions'!$B$26)*(1+'2.Assumptions'!$B$27)^(22-1))-'3.Sizing'!$B$13/'2.Assumptions'!$B$28-IF(22&lt;='2.Assumptions'!$B$35,('3.Sizing'!$B$13*'2.Assumptions'!$B$33-('3.Sizing'!$B$13*'2.Assumptions'!$B$33/'2.Assumptions'!$B$35)*(22-1))*'2.Assumptions'!$B$34,0),0)*'2.Assumptions'!$B$30)-(IF(22&lt;='2.Assumptions'!$B$35,('3.Sizing'!$B$13*'2.Assumptions'!$B$33-('3.Sizing'!$B$13*'2.Assumptions'!$B$33/'2.Assumptions'!$B$35)*(22-1))*'2.Assumptions'!$B$34,0))-(IF(22&lt;='2.Assumptions'!$B$35,('3.Sizing'!$B$13*'2.Assumptions'!$B$33)/'2.Assumptions'!$B$35,0))</f>
        <v>118.735154896902</v>
      </c>
      <c r="E36" s="60" t="n">
        <f aca="false">(MAX('3.Sizing'!$B$4*(1-'2.Assumptions'!$B$12)^(22-1)-'3.Sizing'!$B$5,0)*1000*('2.Assumptions'!$B$22*$E$6*(1+'2.Assumptions'!$B$23)^(22-1))/10000000+'3.Sizing'!$B$7*1000*('4.Cashflow'!$B$2+'2.Assumptions'!$B$36*MAX('2.Assumptions'!$B$21*$E$6-'4.Cashflow'!$B$2,0))/10000000-('3.Sizing'!$B$11*'2.Assumptions'!$B$25+'3.Sizing'!$B$12*'2.Assumptions'!$B$26)*(1+'2.Assumptions'!$B$27)^(22-1))-(MAX((MAX('3.Sizing'!$B$4*(1-'2.Assumptions'!$B$12)^(22-1)-'3.Sizing'!$B$5,0)*1000*('2.Assumptions'!$B$22*$E$6*(1+'2.Assumptions'!$B$23)^(22-1))/10000000+'3.Sizing'!$B$7*1000*('4.Cashflow'!$B$2+'2.Assumptions'!$B$36*MAX('2.Assumptions'!$B$21*$E$6-'4.Cashflow'!$B$2,0))/10000000-('3.Sizing'!$B$11*'2.Assumptions'!$B$25+'3.Sizing'!$B$12*'2.Assumptions'!$B$26)*(1+'2.Assumptions'!$B$27)^(22-1))-'3.Sizing'!$B$13/'2.Assumptions'!$B$28-IF(22&lt;='2.Assumptions'!$B$35,('3.Sizing'!$B$13*'2.Assumptions'!$B$33-('3.Sizing'!$B$13*'2.Assumptions'!$B$33/'2.Assumptions'!$B$35)*(22-1))*'2.Assumptions'!$B$34,0),0)*'2.Assumptions'!$B$30)-(IF(22&lt;='2.Assumptions'!$B$35,('3.Sizing'!$B$13*'2.Assumptions'!$B$33-('3.Sizing'!$B$13*'2.Assumptions'!$B$33/'2.Assumptions'!$B$35)*(22-1))*'2.Assumptions'!$B$34,0))-(IF(22&lt;='2.Assumptions'!$B$35,('3.Sizing'!$B$13*'2.Assumptions'!$B$33)/'2.Assumptions'!$B$35,0))</f>
        <v>123.862929002224</v>
      </c>
    </row>
    <row r="37" customFormat="false" ht="15" hidden="false" customHeight="true" outlineLevel="0" collapsed="false">
      <c r="A37" s="59" t="n">
        <v>23</v>
      </c>
      <c r="C37" s="60" t="n">
        <f aca="false">(MAX('3.Sizing'!$B$4*(1-'2.Assumptions'!$B$12)^(23-1)-'3.Sizing'!$B$5,0)*1000*('2.Assumptions'!$B$22*$C$6*(1+'2.Assumptions'!$B$23)^(23-1))/10000000+'3.Sizing'!$B$7*1000*('4.Cashflow'!$B$2+'2.Assumptions'!$B$36*MAX('2.Assumptions'!$B$21*$C$6-'4.Cashflow'!$B$2,0))/10000000-('3.Sizing'!$B$11*'2.Assumptions'!$B$25+'3.Sizing'!$B$12*'2.Assumptions'!$B$26)*(1+'2.Assumptions'!$B$27)^(23-1))-(MAX((MAX('3.Sizing'!$B$4*(1-'2.Assumptions'!$B$12)^(23-1)-'3.Sizing'!$B$5,0)*1000*('2.Assumptions'!$B$22*$C$6*(1+'2.Assumptions'!$B$23)^(23-1))/10000000+'3.Sizing'!$B$7*1000*('4.Cashflow'!$B$2+'2.Assumptions'!$B$36*MAX('2.Assumptions'!$B$21*$C$6-'4.Cashflow'!$B$2,0))/10000000-('3.Sizing'!$B$11*'2.Assumptions'!$B$25+'3.Sizing'!$B$12*'2.Assumptions'!$B$26)*(1+'2.Assumptions'!$B$27)^(23-1))-'3.Sizing'!$B$13/'2.Assumptions'!$B$28-IF(23&lt;='2.Assumptions'!$B$35,('3.Sizing'!$B$13*'2.Assumptions'!$B$33-('3.Sizing'!$B$13*'2.Assumptions'!$B$33/'2.Assumptions'!$B$35)*(23-1))*'2.Assumptions'!$B$34,0),0)*'2.Assumptions'!$B$30)-(IF(23&lt;='2.Assumptions'!$B$35,('3.Sizing'!$B$13*'2.Assumptions'!$B$33-('3.Sizing'!$B$13*'2.Assumptions'!$B$33/'2.Assumptions'!$B$35)*(23-1))*'2.Assumptions'!$B$34,0))-(IF(23&lt;='2.Assumptions'!$B$35,('3.Sizing'!$B$13*'2.Assumptions'!$B$33)/'2.Assumptions'!$B$35,0))</f>
        <v>112.969042613786</v>
      </c>
      <c r="D37" s="60" t="n">
        <f aca="false">(MAX('3.Sizing'!$B$4*(1-'2.Assumptions'!$B$12)^(23-1)-'3.Sizing'!$B$5,0)*1000*('2.Assumptions'!$B$22*$D$6*(1+'2.Assumptions'!$B$23)^(23-1))/10000000+'3.Sizing'!$B$7*1000*('4.Cashflow'!$B$2+'2.Assumptions'!$B$36*MAX('2.Assumptions'!$B$21*$D$6-'4.Cashflow'!$B$2,0))/10000000-('3.Sizing'!$B$11*'2.Assumptions'!$B$25+'3.Sizing'!$B$12*'2.Assumptions'!$B$26)*(1+'2.Assumptions'!$B$27)^(23-1))-(MAX((MAX('3.Sizing'!$B$4*(1-'2.Assumptions'!$B$12)^(23-1)-'3.Sizing'!$B$5,0)*1000*('2.Assumptions'!$B$22*$D$6*(1+'2.Assumptions'!$B$23)^(23-1))/10000000+'3.Sizing'!$B$7*1000*('4.Cashflow'!$B$2+'2.Assumptions'!$B$36*MAX('2.Assumptions'!$B$21*$D$6-'4.Cashflow'!$B$2,0))/10000000-('3.Sizing'!$B$11*'2.Assumptions'!$B$25+'3.Sizing'!$B$12*'2.Assumptions'!$B$26)*(1+'2.Assumptions'!$B$27)^(23-1))-'3.Sizing'!$B$13/'2.Assumptions'!$B$28-IF(23&lt;='2.Assumptions'!$B$35,('3.Sizing'!$B$13*'2.Assumptions'!$B$33-('3.Sizing'!$B$13*'2.Assumptions'!$B$33/'2.Assumptions'!$B$35)*(23-1))*'2.Assumptions'!$B$34,0),0)*'2.Assumptions'!$B$30)-(IF(23&lt;='2.Assumptions'!$B$35,('3.Sizing'!$B$13*'2.Assumptions'!$B$33-('3.Sizing'!$B$13*'2.Assumptions'!$B$33/'2.Assumptions'!$B$35)*(23-1))*'2.Assumptions'!$B$34,0))-(IF(23&lt;='2.Assumptions'!$B$35,('3.Sizing'!$B$13*'2.Assumptions'!$B$33)/'2.Assumptions'!$B$35,0))</f>
        <v>118.197110872443</v>
      </c>
      <c r="E37" s="60" t="n">
        <f aca="false">(MAX('3.Sizing'!$B$4*(1-'2.Assumptions'!$B$12)^(23-1)-'3.Sizing'!$B$5,0)*1000*('2.Assumptions'!$B$22*$E$6*(1+'2.Assumptions'!$B$23)^(23-1))/10000000+'3.Sizing'!$B$7*1000*('4.Cashflow'!$B$2+'2.Assumptions'!$B$36*MAX('2.Assumptions'!$B$21*$E$6-'4.Cashflow'!$B$2,0))/10000000-('3.Sizing'!$B$11*'2.Assumptions'!$B$25+'3.Sizing'!$B$12*'2.Assumptions'!$B$26)*(1+'2.Assumptions'!$B$27)^(23-1))-(MAX((MAX('3.Sizing'!$B$4*(1-'2.Assumptions'!$B$12)^(23-1)-'3.Sizing'!$B$5,0)*1000*('2.Assumptions'!$B$22*$E$6*(1+'2.Assumptions'!$B$23)^(23-1))/10000000+'3.Sizing'!$B$7*1000*('4.Cashflow'!$B$2+'2.Assumptions'!$B$36*MAX('2.Assumptions'!$B$21*$E$6-'4.Cashflow'!$B$2,0))/10000000-('3.Sizing'!$B$11*'2.Assumptions'!$B$25+'3.Sizing'!$B$12*'2.Assumptions'!$B$26)*(1+'2.Assumptions'!$B$27)^(23-1))-'3.Sizing'!$B$13/'2.Assumptions'!$B$28-IF(23&lt;='2.Assumptions'!$B$35,('3.Sizing'!$B$13*'2.Assumptions'!$B$33-('3.Sizing'!$B$13*'2.Assumptions'!$B$33/'2.Assumptions'!$B$35)*(23-1))*'2.Assumptions'!$B$34,0),0)*'2.Assumptions'!$B$30)-(IF(23&lt;='2.Assumptions'!$B$35,('3.Sizing'!$B$13*'2.Assumptions'!$B$33-('3.Sizing'!$B$13*'2.Assumptions'!$B$33/'2.Assumptions'!$B$35)*(23-1))*'2.Assumptions'!$B$34,0))-(IF(23&lt;='2.Assumptions'!$B$35,('3.Sizing'!$B$13*'2.Assumptions'!$B$33)/'2.Assumptions'!$B$35,0))</f>
        <v>123.425179131101</v>
      </c>
    </row>
    <row r="38" customFormat="false" ht="15" hidden="false" customHeight="true" outlineLevel="0" collapsed="false">
      <c r="A38" s="59" t="n">
        <v>24</v>
      </c>
      <c r="C38" s="60" t="n">
        <f aca="false">(MAX('3.Sizing'!$B$4*(1-'2.Assumptions'!$B$12)^(24-1)-'3.Sizing'!$B$5,0)*1000*('2.Assumptions'!$B$22*$C$6*(1+'2.Assumptions'!$B$23)^(24-1))/10000000+'3.Sizing'!$B$7*1000*('4.Cashflow'!$B$2+'2.Assumptions'!$B$36*MAX('2.Assumptions'!$B$21*$C$6-'4.Cashflow'!$B$2,0))/10000000-('3.Sizing'!$B$11*'2.Assumptions'!$B$25+'3.Sizing'!$B$12*'2.Assumptions'!$B$26)*(1+'2.Assumptions'!$B$27)^(24-1))-(MAX((MAX('3.Sizing'!$B$4*(1-'2.Assumptions'!$B$12)^(24-1)-'3.Sizing'!$B$5,0)*1000*('2.Assumptions'!$B$22*$C$6*(1+'2.Assumptions'!$B$23)^(24-1))/10000000+'3.Sizing'!$B$7*1000*('4.Cashflow'!$B$2+'2.Assumptions'!$B$36*MAX('2.Assumptions'!$B$21*$C$6-'4.Cashflow'!$B$2,0))/10000000-('3.Sizing'!$B$11*'2.Assumptions'!$B$25+'3.Sizing'!$B$12*'2.Assumptions'!$B$26)*(1+'2.Assumptions'!$B$27)^(24-1))-'3.Sizing'!$B$13/'2.Assumptions'!$B$28-IF(24&lt;='2.Assumptions'!$B$35,('3.Sizing'!$B$13*'2.Assumptions'!$B$33-('3.Sizing'!$B$13*'2.Assumptions'!$B$33/'2.Assumptions'!$B$35)*(24-1))*'2.Assumptions'!$B$34,0),0)*'2.Assumptions'!$B$30)-(IF(24&lt;='2.Assumptions'!$B$35,('3.Sizing'!$B$13*'2.Assumptions'!$B$33-('3.Sizing'!$B$13*'2.Assumptions'!$B$33/'2.Assumptions'!$B$35)*(24-1))*'2.Assumptions'!$B$34,0))-(IF(24&lt;='2.Assumptions'!$B$35,('3.Sizing'!$B$13*'2.Assumptions'!$B$33)/'2.Assumptions'!$B$35,0))</f>
        <v>112.268760566535</v>
      </c>
      <c r="D38" s="60" t="n">
        <f aca="false">(MAX('3.Sizing'!$B$4*(1-'2.Assumptions'!$B$12)^(24-1)-'3.Sizing'!$B$5,0)*1000*('2.Assumptions'!$B$22*$D$6*(1+'2.Assumptions'!$B$23)^(24-1))/10000000+'3.Sizing'!$B$7*1000*('4.Cashflow'!$B$2+'2.Assumptions'!$B$36*MAX('2.Assumptions'!$B$21*$D$6-'4.Cashflow'!$B$2,0))/10000000-('3.Sizing'!$B$11*'2.Assumptions'!$B$25+'3.Sizing'!$B$12*'2.Assumptions'!$B$26)*(1+'2.Assumptions'!$B$27)^(24-1))-(MAX((MAX('3.Sizing'!$B$4*(1-'2.Assumptions'!$B$12)^(24-1)-'3.Sizing'!$B$5,0)*1000*('2.Assumptions'!$B$22*$D$6*(1+'2.Assumptions'!$B$23)^(24-1))/10000000+'3.Sizing'!$B$7*1000*('4.Cashflow'!$B$2+'2.Assumptions'!$B$36*MAX('2.Assumptions'!$B$21*$D$6-'4.Cashflow'!$B$2,0))/10000000-('3.Sizing'!$B$11*'2.Assumptions'!$B$25+'3.Sizing'!$B$12*'2.Assumptions'!$B$26)*(1+'2.Assumptions'!$B$27)^(24-1))-'3.Sizing'!$B$13/'2.Assumptions'!$B$28-IF(24&lt;='2.Assumptions'!$B$35,('3.Sizing'!$B$13*'2.Assumptions'!$B$33-('3.Sizing'!$B$13*'2.Assumptions'!$B$33/'2.Assumptions'!$B$35)*(24-1))*'2.Assumptions'!$B$34,0),0)*'2.Assumptions'!$B$30)-(IF(24&lt;='2.Assumptions'!$B$35,('3.Sizing'!$B$13*'2.Assumptions'!$B$33-('3.Sizing'!$B$13*'2.Assumptions'!$B$33/'2.Assumptions'!$B$35)*(24-1))*'2.Assumptions'!$B$34,0))-(IF(24&lt;='2.Assumptions'!$B$35,('3.Sizing'!$B$13*'2.Assumptions'!$B$33)/'2.Assumptions'!$B$35,0))</f>
        <v>117.598801357244</v>
      </c>
      <c r="E38" s="60" t="n">
        <f aca="false">(MAX('3.Sizing'!$B$4*(1-'2.Assumptions'!$B$12)^(24-1)-'3.Sizing'!$B$5,0)*1000*('2.Assumptions'!$B$22*$E$6*(1+'2.Assumptions'!$B$23)^(24-1))/10000000+'3.Sizing'!$B$7*1000*('4.Cashflow'!$B$2+'2.Assumptions'!$B$36*MAX('2.Assumptions'!$B$21*$E$6-'4.Cashflow'!$B$2,0))/10000000-('3.Sizing'!$B$11*'2.Assumptions'!$B$25+'3.Sizing'!$B$12*'2.Assumptions'!$B$26)*(1+'2.Assumptions'!$B$27)^(24-1))-(MAX((MAX('3.Sizing'!$B$4*(1-'2.Assumptions'!$B$12)^(24-1)-'3.Sizing'!$B$5,0)*1000*('2.Assumptions'!$B$22*$E$6*(1+'2.Assumptions'!$B$23)^(24-1))/10000000+'3.Sizing'!$B$7*1000*('4.Cashflow'!$B$2+'2.Assumptions'!$B$36*MAX('2.Assumptions'!$B$21*$E$6-'4.Cashflow'!$B$2,0))/10000000-('3.Sizing'!$B$11*'2.Assumptions'!$B$25+'3.Sizing'!$B$12*'2.Assumptions'!$B$26)*(1+'2.Assumptions'!$B$27)^(24-1))-'3.Sizing'!$B$13/'2.Assumptions'!$B$28-IF(24&lt;='2.Assumptions'!$B$35,('3.Sizing'!$B$13*'2.Assumptions'!$B$33-('3.Sizing'!$B$13*'2.Assumptions'!$B$33/'2.Assumptions'!$B$35)*(24-1))*'2.Assumptions'!$B$34,0),0)*'2.Assumptions'!$B$30)-(IF(24&lt;='2.Assumptions'!$B$35,('3.Sizing'!$B$13*'2.Assumptions'!$B$33-('3.Sizing'!$B$13*'2.Assumptions'!$B$33/'2.Assumptions'!$B$35)*(24-1))*'2.Assumptions'!$B$34,0))-(IF(24&lt;='2.Assumptions'!$B$35,('3.Sizing'!$B$13*'2.Assumptions'!$B$33)/'2.Assumptions'!$B$35,0))</f>
        <v>122.928842147952</v>
      </c>
    </row>
    <row r="39" customFormat="false" ht="15" hidden="false" customHeight="true" outlineLevel="0" collapsed="false">
      <c r="A39" s="59" t="n">
        <v>25</v>
      </c>
      <c r="C39" s="60" t="n">
        <f aca="false">(MAX('3.Sizing'!$B$4*(1-'2.Assumptions'!$B$12)^(25-1)-'3.Sizing'!$B$5,0)*1000*('2.Assumptions'!$B$22*$C$6*(1+'2.Assumptions'!$B$23)^(25-1))/10000000+'3.Sizing'!$B$7*1000*('4.Cashflow'!$B$2+'2.Assumptions'!$B$36*MAX('2.Assumptions'!$B$21*$C$6-'4.Cashflow'!$B$2,0))/10000000-('3.Sizing'!$B$11*'2.Assumptions'!$B$25+'3.Sizing'!$B$12*'2.Assumptions'!$B$26)*(1+'2.Assumptions'!$B$27)^(25-1))-(MAX((MAX('3.Sizing'!$B$4*(1-'2.Assumptions'!$B$12)^(25-1)-'3.Sizing'!$B$5,0)*1000*('2.Assumptions'!$B$22*$C$6*(1+'2.Assumptions'!$B$23)^(25-1))/10000000+'3.Sizing'!$B$7*1000*('4.Cashflow'!$B$2+'2.Assumptions'!$B$36*MAX('2.Assumptions'!$B$21*$C$6-'4.Cashflow'!$B$2,0))/10000000-('3.Sizing'!$B$11*'2.Assumptions'!$B$25+'3.Sizing'!$B$12*'2.Assumptions'!$B$26)*(1+'2.Assumptions'!$B$27)^(25-1))-'3.Sizing'!$B$13/'2.Assumptions'!$B$28-IF(25&lt;='2.Assumptions'!$B$35,('3.Sizing'!$B$13*'2.Assumptions'!$B$33-('3.Sizing'!$B$13*'2.Assumptions'!$B$33/'2.Assumptions'!$B$35)*(25-1))*'2.Assumptions'!$B$34,0),0)*'2.Assumptions'!$B$30)-(IF(25&lt;='2.Assumptions'!$B$35,('3.Sizing'!$B$13*'2.Assumptions'!$B$33-('3.Sizing'!$B$13*'2.Assumptions'!$B$33/'2.Assumptions'!$B$35)*(25-1))*'2.Assumptions'!$B$34,0))-(IF(25&lt;='2.Assumptions'!$B$35,('3.Sizing'!$B$13*'2.Assumptions'!$B$33)/'2.Assumptions'!$B$35,0))</f>
        <v>111.502837793965</v>
      </c>
      <c r="D39" s="60" t="n">
        <f aca="false">(MAX('3.Sizing'!$B$4*(1-'2.Assumptions'!$B$12)^(25-1)-'3.Sizing'!$B$5,0)*1000*('2.Assumptions'!$B$22*$D$6*(1+'2.Assumptions'!$B$23)^(25-1))/10000000+'3.Sizing'!$B$7*1000*('4.Cashflow'!$B$2+'2.Assumptions'!$B$36*MAX('2.Assumptions'!$B$21*$D$6-'4.Cashflow'!$B$2,0))/10000000-('3.Sizing'!$B$11*'2.Assumptions'!$B$25+'3.Sizing'!$B$12*'2.Assumptions'!$B$26)*(1+'2.Assumptions'!$B$27)^(25-1))-(MAX((MAX('3.Sizing'!$B$4*(1-'2.Assumptions'!$B$12)^(25-1)-'3.Sizing'!$B$5,0)*1000*('2.Assumptions'!$B$22*$D$6*(1+'2.Assumptions'!$B$23)^(25-1))/10000000+'3.Sizing'!$B$7*1000*('4.Cashflow'!$B$2+'2.Assumptions'!$B$36*MAX('2.Assumptions'!$B$21*$D$6-'4.Cashflow'!$B$2,0))/10000000-('3.Sizing'!$B$11*'2.Assumptions'!$B$25+'3.Sizing'!$B$12*'2.Assumptions'!$B$26)*(1+'2.Assumptions'!$B$27)^(25-1))-'3.Sizing'!$B$13/'2.Assumptions'!$B$28-IF(25&lt;='2.Assumptions'!$B$35,('3.Sizing'!$B$13*'2.Assumptions'!$B$33-('3.Sizing'!$B$13*'2.Assumptions'!$B$33/'2.Assumptions'!$B$35)*(25-1))*'2.Assumptions'!$B$34,0),0)*'2.Assumptions'!$B$30)-(IF(25&lt;='2.Assumptions'!$B$35,('3.Sizing'!$B$13*'2.Assumptions'!$B$33-('3.Sizing'!$B$13*'2.Assumptions'!$B$33/'2.Assumptions'!$B$35)*(25-1))*'2.Assumptions'!$B$34,0))-(IF(25&lt;='2.Assumptions'!$B$35,('3.Sizing'!$B$13*'2.Assumptions'!$B$33)/'2.Assumptions'!$B$35,0))</f>
        <v>116.93654678522</v>
      </c>
      <c r="E39" s="60" t="n">
        <f aca="false">(MAX('3.Sizing'!$B$4*(1-'2.Assumptions'!$B$12)^(25-1)-'3.Sizing'!$B$5,0)*1000*('2.Assumptions'!$B$22*$E$6*(1+'2.Assumptions'!$B$23)^(25-1))/10000000+'3.Sizing'!$B$7*1000*('4.Cashflow'!$B$2+'2.Assumptions'!$B$36*MAX('2.Assumptions'!$B$21*$E$6-'4.Cashflow'!$B$2,0))/10000000-('3.Sizing'!$B$11*'2.Assumptions'!$B$25+'3.Sizing'!$B$12*'2.Assumptions'!$B$26)*(1+'2.Assumptions'!$B$27)^(25-1))-(MAX((MAX('3.Sizing'!$B$4*(1-'2.Assumptions'!$B$12)^(25-1)-'3.Sizing'!$B$5,0)*1000*('2.Assumptions'!$B$22*$E$6*(1+'2.Assumptions'!$B$23)^(25-1))/10000000+'3.Sizing'!$B$7*1000*('4.Cashflow'!$B$2+'2.Assumptions'!$B$36*MAX('2.Assumptions'!$B$21*$E$6-'4.Cashflow'!$B$2,0))/10000000-('3.Sizing'!$B$11*'2.Assumptions'!$B$25+'3.Sizing'!$B$12*'2.Assumptions'!$B$26)*(1+'2.Assumptions'!$B$27)^(25-1))-'3.Sizing'!$B$13/'2.Assumptions'!$B$28-IF(25&lt;='2.Assumptions'!$B$35,('3.Sizing'!$B$13*'2.Assumptions'!$B$33-('3.Sizing'!$B$13*'2.Assumptions'!$B$33/'2.Assumptions'!$B$35)*(25-1))*'2.Assumptions'!$B$34,0),0)*'2.Assumptions'!$B$30)-(IF(25&lt;='2.Assumptions'!$B$35,('3.Sizing'!$B$13*'2.Assumptions'!$B$33-('3.Sizing'!$B$13*'2.Assumptions'!$B$33/'2.Assumptions'!$B$35)*(25-1))*'2.Assumptions'!$B$34,0))-(IF(25&lt;='2.Assumptions'!$B$35,('3.Sizing'!$B$13*'2.Assumptions'!$B$33)/'2.Assumptions'!$B$35,0))</f>
        <v>122.370255776476</v>
      </c>
    </row>
    <row r="42" customFormat="false" ht="15" hidden="false" customHeight="true" outlineLevel="0" collapsed="false">
      <c r="A42" s="4" t="s">
        <v>189</v>
      </c>
    </row>
    <row r="43" customFormat="false" ht="21.75" hidden="false" customHeight="true" outlineLevel="0" collapsed="false">
      <c r="A43" s="61" t="s">
        <v>190</v>
      </c>
      <c r="B43" s="61"/>
      <c r="C43" s="61"/>
      <c r="D43" s="61"/>
      <c r="E43" s="61"/>
      <c r="F43" s="61"/>
    </row>
    <row r="44" customFormat="false" ht="15" hidden="false" customHeight="true" outlineLevel="0" collapsed="false">
      <c r="A44" s="61" t="s">
        <v>191</v>
      </c>
      <c r="B44" s="61"/>
      <c r="C44" s="61"/>
      <c r="D44" s="61"/>
      <c r="E44" s="61"/>
      <c r="F44" s="61"/>
    </row>
    <row r="45" customFormat="false" ht="15" hidden="false" customHeight="true" outlineLevel="0" collapsed="false">
      <c r="A45" s="61" t="s">
        <v>192</v>
      </c>
      <c r="B45" s="61"/>
      <c r="C45" s="61"/>
      <c r="D45" s="61"/>
      <c r="E45" s="61"/>
      <c r="F45" s="61"/>
    </row>
    <row r="46" customFormat="false" ht="21.75" hidden="false" customHeight="true" outlineLevel="0" collapsed="false">
      <c r="A46" s="61" t="s">
        <v>193</v>
      </c>
      <c r="B46" s="61"/>
      <c r="C46" s="61"/>
      <c r="D46" s="61"/>
      <c r="E46" s="61"/>
      <c r="F46" s="61"/>
    </row>
  </sheetData>
  <mergeCells count="8">
    <mergeCell ref="A1:F1"/>
    <mergeCell ref="A2:F2"/>
    <mergeCell ref="A4:F4"/>
    <mergeCell ref="A12:F12"/>
    <mergeCell ref="A43:F43"/>
    <mergeCell ref="A44:F44"/>
    <mergeCell ref="A45:F45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2026-07-03T15:21:57Z</dcterms:created>
  <dc:creator>openpyxl</dc:creator>
  <dc:description/>
  <dc:language>en-US</dc:language>
  <cp:lastModifiedBy/>
  <dcterms:modified xsi:type="dcterms:W3CDTF">2026-07-03T15:22:57Z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